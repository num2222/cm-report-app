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N-NB\Desktop\Claude\Cm_app\Template\v2\"/>
    </mc:Choice>
  </mc:AlternateContent>
  <xr:revisionPtr revIDLastSave="0" documentId="13_ncr:1_{DAB27E92-CEBE-4F77-A6BB-AFBA72A10EB4}" xr6:coauthVersionLast="47" xr6:coauthVersionMax="47" xr10:uidLastSave="{00000000-0000-0000-0000-000000000000}"/>
  <bookViews>
    <workbookView xWindow="-120" yWindow="-120" windowWidth="29040" windowHeight="15720" xr2:uid="{15C402BE-9675-4F7F-93C6-CE572345F033}"/>
  </bookViews>
  <sheets>
    <sheet name="Daily CM" sheetId="6" r:id="rId1"/>
    <sheet name="MTB" sheetId="1" r:id="rId2"/>
    <sheet name="Z2" sheetId="2" r:id="rId3"/>
    <sheet name="FZ" sheetId="3" r:id="rId4"/>
    <sheet name="SAT1" sheetId="4" r:id="rId5"/>
  </sheets>
  <externalReferences>
    <externalReference r:id="rId6"/>
  </externalReferences>
  <definedNames>
    <definedName name="_xlnm.Print_Area" localSheetId="0">'Daily CM'!$A$1:$P$48</definedName>
    <definedName name="_xlnm.Print_Area" localSheetId="3">FZ!$A$1:$Q$41</definedName>
    <definedName name="_xlnm.Print_Area" localSheetId="1">MTB!$A$1:$Q$41</definedName>
    <definedName name="_xlnm.Print_Area" localSheetId="4">'SAT1'!$A$1:$Q$41</definedName>
    <definedName name="_xlnm.Print_Area" localSheetId="2">'Z2'!$A$1:$Q$41</definedName>
    <definedName name="_xlnm.Print_Titles" localSheetId="0">'Daily CM'!$1:$8</definedName>
    <definedName name="_xlnm.Print_Titles" localSheetId="3">FZ!$1:$7</definedName>
    <definedName name="_xlnm.Print_Titles" localSheetId="1">MTB!$1:$7</definedName>
    <definedName name="_xlnm.Print_Titles" localSheetId="4">'SAT1'!$1:$7</definedName>
    <definedName name="_xlnm.Print_Titles" localSheetId="2">'Z2'!$1:$7</definedName>
    <definedName name="สองจุดเก้า">#REF!</definedName>
    <definedName name="สองจุดเจ็ด">#REF!</definedName>
    <definedName name="สองจุดแปด">#REF!</definedName>
    <definedName name="สองจุดสอง">#REF!</definedName>
    <definedName name="สองจุดสองเก้า">#REF!</definedName>
    <definedName name="สองจุดสองเจ็ด">#REF!</definedName>
    <definedName name="สองจุดสองแปด">#REF!</definedName>
    <definedName name="สองจุดสองสอง">#REF!</definedName>
    <definedName name="สองจุดสองสองศูนย์">#REF!</definedName>
    <definedName name="สองจุดสองสองสอง">#REF!</definedName>
    <definedName name="สองจุดสองสองสาม">#REF!</definedName>
    <definedName name="สองจุดสองสองสี่">#REF!</definedName>
    <definedName name="สองจุดสองสองหนึ่ง">#REF!</definedName>
    <definedName name="สองจุดสองสองห้า">#REF!</definedName>
    <definedName name="สองจุดสองสาม">#REF!</definedName>
    <definedName name="สองจุดสองสี่">#REF!</definedName>
    <definedName name="สองจุดสองหก">#REF!</definedName>
    <definedName name="สองจุดสองหนึ่ง">#REF!</definedName>
    <definedName name="สองจุดสองหนึ่งเก้า">#REF!</definedName>
    <definedName name="สองจุดสองหนึ่งเจ็ด">#REF!</definedName>
    <definedName name="สองจุดสองหนึ่งแปด">#REF!</definedName>
    <definedName name="สองจุดสองหนึ่งศูนย์">#REF!</definedName>
    <definedName name="สองจุดสองหนึ่งสอง">#REF!</definedName>
    <definedName name="สองจุดสองหนึ่งสาม">#REF!</definedName>
    <definedName name="สองจุดสองหนึ่งสี่">#REF!</definedName>
    <definedName name="สองจุดสองหนึ่งหก">#REF!</definedName>
    <definedName name="สองจุดสองหนึ่งหนึ่ง">#REF!</definedName>
    <definedName name="สองจุดสองหนึ่งห้า">#REF!</definedName>
    <definedName name="สองจุดสองห้า">#REF!</definedName>
    <definedName name="สองจุดสาม">#REF!</definedName>
    <definedName name="สองจุดสี่">#REF!</definedName>
    <definedName name="สองจุดหก">#REF!</definedName>
    <definedName name="สองจุดหนึ่ง">#REF!</definedName>
    <definedName name="สองจุดหนึ่งศูนย์">#REF!</definedName>
    <definedName name="สองจุดหนึ่งสอง">#REF!</definedName>
    <definedName name="สองจุดหนึ่งสาม">#REF!</definedName>
    <definedName name="สองจุดหนึ่งสี่">#REF!</definedName>
    <definedName name="สองจุดหนึ่งหก">#REF!</definedName>
    <definedName name="สองจุดหนึ่งหนึ่ง">#REF!</definedName>
    <definedName name="สองจุดหนึ่งห้า">#REF!</definedName>
    <definedName name="สองจุดห้า">#REF!</definedName>
    <definedName name="สามจุดเก้า">#REF!</definedName>
    <definedName name="สามจุดเจ็ด">#REF!</definedName>
    <definedName name="สามจุดแปด">#REF!</definedName>
    <definedName name="สามจุดสอง">#REF!</definedName>
    <definedName name="สามจุดสองเก้า">#REF!</definedName>
    <definedName name="สามจุดสองเจ็ด">#REF!</definedName>
    <definedName name="สามจุดสองแปด">#REF!</definedName>
    <definedName name="สามจุดสองสอง">#REF!</definedName>
    <definedName name="สามจุดสองสองศูนย์">#REF!</definedName>
    <definedName name="สามจุดสองสองสอง">#REF!</definedName>
    <definedName name="สามจุดสองสองสาม">#REF!</definedName>
    <definedName name="สามจุดสองสองสี่">#REF!</definedName>
    <definedName name="สามจุดสองสองหนึ่ง">#REF!</definedName>
    <definedName name="สามจุดสองสาม">#REF!</definedName>
    <definedName name="สามจุดสองสี่">#REF!</definedName>
    <definedName name="สามจุดสองหก">#REF!</definedName>
    <definedName name="สามจุดสองหนึ่ง">#REF!</definedName>
    <definedName name="สามจุดสองหนึ่งเก้า">#REF!</definedName>
    <definedName name="สามจุดสองหนึ่งเจ็ด">#REF!</definedName>
    <definedName name="สามจุดสองหนึ่งแปด">#REF!</definedName>
    <definedName name="สามจุดสองหนึ่งศูนย์">#REF!</definedName>
    <definedName name="สามจุดสองหนึ่งสอง">#REF!</definedName>
    <definedName name="สามจุดสองหนึ่งสาม">#REF!</definedName>
    <definedName name="สามจุดสองหนึ่งสี่">#REF!</definedName>
    <definedName name="สามจุดสองหนึ่งหก">#REF!</definedName>
    <definedName name="สามจุดสองหนึ่งหนึ่ง">#REF!</definedName>
    <definedName name="สามจุดสองหนึ่งห้า">#REF!</definedName>
    <definedName name="สามจุดสองห้า">#REF!</definedName>
    <definedName name="สามจุดสาม">#REF!</definedName>
    <definedName name="สามจุดสี่">#REF!</definedName>
    <definedName name="สามจุดหก">#REF!</definedName>
    <definedName name="สามจุดหนึ่ง">#REF!</definedName>
    <definedName name="สามจุดหนึ่งศูนย์">#REF!</definedName>
    <definedName name="สามจุดหนึ่งสอง">#REF!</definedName>
    <definedName name="สามจุดหนึ่งสาม">#REF!</definedName>
    <definedName name="สามจุดหนึ่งสี่">#REF!</definedName>
    <definedName name="สามจุดหนึ่งหก">#REF!</definedName>
    <definedName name="สามจุดหนึ่งหนึ่ง">#REF!</definedName>
    <definedName name="สามจุดหนึ่งห้า">#REF!</definedName>
    <definedName name="สามจุดห้า">#REF!</definedName>
    <definedName name="สี่จุดเก้า">#REF!</definedName>
    <definedName name="สี่จุดเจ็ด">#REF!</definedName>
    <definedName name="สี่จุดแปด">#REF!</definedName>
    <definedName name="สี่จุดสอง">#REF!</definedName>
    <definedName name="สี่จุดสาม">#REF!</definedName>
    <definedName name="สี่จุดสี่">#REF!</definedName>
    <definedName name="สี่จุดหก">#REF!</definedName>
    <definedName name="สี่จุดหนึ่ง">#REF!</definedName>
    <definedName name="สี่จุดหนึ่งศูนย์">#REF!</definedName>
    <definedName name="สี่จุดหนึ่งสอง">#REF!</definedName>
    <definedName name="สี่จุดหนึ่งสาม">#REF!</definedName>
    <definedName name="สี่จุดหนึ่งสี่">#REF!</definedName>
    <definedName name="สี่จุดหนึ่งหก">#REF!</definedName>
    <definedName name="สี่จุดหนึ่งหนึ่ง">#REF!</definedName>
    <definedName name="สี่จุดหนึ่งห้า">#REF!</definedName>
    <definedName name="สี่จุดห้า">#REF!</definedName>
    <definedName name="หนึ่งจุดเก้า">#REF!</definedName>
    <definedName name="หนึ่งจุดเจ็ด">#REF!</definedName>
    <definedName name="หนึ่งจุดแปด">#REF!</definedName>
    <definedName name="หนึ่งจุดสอง">#REF!</definedName>
    <definedName name="หนึ่งจุดสาม">#REF!</definedName>
    <definedName name="หนึ่งจุดสี่">#REF!</definedName>
    <definedName name="หนึ่งจุดหก">#REF!</definedName>
    <definedName name="หนึ่งจุดหนึ่ง">#REF!</definedName>
    <definedName name="หนึ่งจุดหนึ่งศูนย์">#REF!</definedName>
    <definedName name="หนึ่งจุดหนึ่งสอง">#REF!</definedName>
    <definedName name="หนึ่งจุดหนึ่งสาม">#REF!</definedName>
    <definedName name="หนึ่งจุดหนึ่งสี่">#REF!</definedName>
    <definedName name="หนึ่งจุดหนึ่งหก">#REF!</definedName>
    <definedName name="หนึ่งจุดหนึ่งหนึ่ง">#REF!</definedName>
    <definedName name="หนึ่งจุดหนึ่งห้า">#REF!</definedName>
    <definedName name="หนึ่งจุดห้า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N9" i="3"/>
  <c r="N10" i="3"/>
  <c r="N11" i="3"/>
  <c r="N12" i="3"/>
  <c r="N13" i="3"/>
  <c r="N14" i="3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3" i="1"/>
  <c r="H15" i="1"/>
  <c r="H16" i="1"/>
  <c r="H17" i="1"/>
  <c r="H18" i="1"/>
  <c r="H19" i="1"/>
  <c r="H20" i="1"/>
  <c r="H21" i="1"/>
  <c r="H22" i="1"/>
  <c r="H9" i="2"/>
  <c r="H10" i="2"/>
  <c r="H11" i="2"/>
  <c r="H12" i="2"/>
  <c r="H13" i="2"/>
  <c r="H14" i="2"/>
  <c r="H10" i="4" l="1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9" i="4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9" i="3"/>
  <c r="N10" i="2" l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9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9" i="1"/>
  <c r="H10" i="1"/>
  <c r="H11" i="1"/>
  <c r="H12" i="1"/>
  <c r="H13" i="1"/>
  <c r="H14" i="1"/>
  <c r="H41" i="1"/>
  <c r="P9" i="4" l="1"/>
  <c r="K9" i="4"/>
  <c r="K10" i="4"/>
  <c r="P10" i="4"/>
  <c r="K11" i="4"/>
  <c r="P11" i="4"/>
  <c r="P12" i="4"/>
  <c r="K12" i="4"/>
  <c r="K13" i="4"/>
  <c r="P13" i="4"/>
  <c r="K14" i="4"/>
  <c r="P14" i="4"/>
  <c r="P15" i="4"/>
  <c r="K15" i="4"/>
  <c r="K16" i="4"/>
  <c r="P16" i="4"/>
  <c r="K17" i="4"/>
  <c r="P17" i="4"/>
  <c r="P18" i="4"/>
  <c r="K18" i="4"/>
  <c r="K19" i="4"/>
  <c r="P19" i="4"/>
  <c r="K20" i="4"/>
  <c r="P20" i="4"/>
  <c r="K21" i="4"/>
  <c r="P21" i="4"/>
  <c r="K22" i="4"/>
  <c r="P22" i="4"/>
  <c r="K23" i="4"/>
  <c r="P23" i="4"/>
  <c r="K24" i="4"/>
  <c r="P24" i="4"/>
  <c r="K25" i="4"/>
  <c r="P25" i="4"/>
  <c r="K26" i="4"/>
  <c r="P26" i="4"/>
  <c r="K27" i="4"/>
  <c r="P27" i="4"/>
  <c r="K28" i="4"/>
  <c r="P28" i="4"/>
  <c r="K29" i="4"/>
  <c r="P29" i="4"/>
  <c r="K30" i="4"/>
  <c r="P30" i="4"/>
  <c r="K31" i="4"/>
  <c r="P31" i="4"/>
  <c r="K32" i="4"/>
  <c r="P32" i="4"/>
  <c r="K33" i="4"/>
  <c r="P33" i="4"/>
  <c r="K34" i="4"/>
  <c r="P34" i="4"/>
  <c r="K35" i="4"/>
  <c r="P35" i="4"/>
  <c r="K36" i="4"/>
  <c r="P36" i="4"/>
  <c r="K37" i="4"/>
  <c r="P37" i="4"/>
  <c r="K38" i="4"/>
  <c r="P38" i="4"/>
  <c r="K39" i="4"/>
  <c r="P39" i="4"/>
  <c r="K40" i="4"/>
  <c r="P40" i="4"/>
  <c r="K41" i="4"/>
  <c r="P41" i="4"/>
  <c r="K9" i="3"/>
  <c r="P9" i="3"/>
  <c r="K10" i="3"/>
  <c r="P10" i="3"/>
  <c r="K11" i="3"/>
  <c r="P11" i="3"/>
  <c r="K12" i="3"/>
  <c r="P12" i="3"/>
  <c r="K13" i="3"/>
  <c r="P13" i="3"/>
  <c r="K14" i="3"/>
  <c r="P14" i="3"/>
  <c r="K15" i="3"/>
  <c r="P15" i="3"/>
  <c r="K16" i="3"/>
  <c r="P16" i="3"/>
  <c r="K17" i="3"/>
  <c r="P17" i="3"/>
  <c r="K18" i="3"/>
  <c r="P18" i="3"/>
  <c r="K19" i="3"/>
  <c r="P19" i="3"/>
  <c r="K20" i="3"/>
  <c r="P20" i="3"/>
  <c r="K21" i="3"/>
  <c r="P21" i="3"/>
  <c r="K22" i="3"/>
  <c r="P22" i="3"/>
  <c r="K23" i="3"/>
  <c r="P23" i="3"/>
  <c r="K24" i="3"/>
  <c r="P24" i="3"/>
  <c r="K25" i="3"/>
  <c r="P25" i="3"/>
  <c r="K26" i="3"/>
  <c r="P26" i="3"/>
  <c r="K27" i="3"/>
  <c r="P27" i="3"/>
  <c r="K28" i="3"/>
  <c r="P28" i="3"/>
  <c r="K29" i="3"/>
  <c r="P29" i="3"/>
  <c r="K30" i="3"/>
  <c r="P30" i="3"/>
  <c r="K31" i="3"/>
  <c r="P31" i="3"/>
  <c r="K32" i="3"/>
  <c r="P32" i="3"/>
  <c r="K33" i="3"/>
  <c r="P33" i="3"/>
  <c r="K34" i="3"/>
  <c r="P34" i="3"/>
  <c r="K35" i="3"/>
  <c r="P35" i="3"/>
  <c r="K36" i="3"/>
  <c r="P36" i="3"/>
  <c r="K37" i="3"/>
  <c r="P37" i="3"/>
  <c r="K38" i="3"/>
  <c r="P38" i="3"/>
  <c r="K39" i="3"/>
  <c r="P39" i="3"/>
  <c r="K40" i="3"/>
  <c r="P40" i="3"/>
  <c r="K41" i="3"/>
  <c r="P41" i="3"/>
  <c r="K9" i="2"/>
  <c r="P9" i="2"/>
  <c r="K10" i="2"/>
  <c r="P10" i="2"/>
  <c r="K11" i="2"/>
  <c r="P11" i="2"/>
  <c r="K12" i="2"/>
  <c r="P12" i="2"/>
  <c r="K13" i="2"/>
  <c r="P13" i="2"/>
  <c r="K14" i="2"/>
  <c r="P14" i="2"/>
  <c r="K15" i="2"/>
  <c r="P15" i="2"/>
  <c r="K16" i="2"/>
  <c r="P16" i="2"/>
  <c r="K17" i="2"/>
  <c r="P17" i="2"/>
  <c r="K18" i="2"/>
  <c r="P18" i="2"/>
  <c r="K19" i="2"/>
  <c r="P19" i="2"/>
  <c r="K20" i="2"/>
  <c r="P20" i="2"/>
  <c r="K21" i="2"/>
  <c r="P21" i="2"/>
  <c r="K22" i="2"/>
  <c r="P22" i="2"/>
  <c r="K23" i="2"/>
  <c r="P23" i="2"/>
  <c r="K24" i="2"/>
  <c r="P24" i="2"/>
  <c r="K25" i="2"/>
  <c r="P25" i="2"/>
  <c r="K26" i="2"/>
  <c r="P26" i="2"/>
  <c r="K27" i="2"/>
  <c r="P27" i="2"/>
  <c r="K28" i="2"/>
  <c r="P28" i="2"/>
  <c r="K29" i="2"/>
  <c r="P29" i="2"/>
  <c r="K30" i="2"/>
  <c r="P30" i="2"/>
  <c r="K31" i="2"/>
  <c r="P31" i="2"/>
  <c r="K32" i="2"/>
  <c r="P32" i="2"/>
  <c r="K33" i="2"/>
  <c r="P33" i="2"/>
  <c r="K34" i="2"/>
  <c r="P34" i="2"/>
  <c r="K35" i="2"/>
  <c r="P35" i="2"/>
  <c r="K36" i="2"/>
  <c r="P36" i="2"/>
  <c r="K37" i="2"/>
  <c r="P37" i="2"/>
  <c r="K38" i="2"/>
  <c r="P38" i="2"/>
  <c r="K39" i="2"/>
  <c r="P39" i="2"/>
  <c r="K40" i="2"/>
  <c r="P40" i="2"/>
  <c r="K41" i="2"/>
  <c r="P41" i="2"/>
  <c r="P36" i="1"/>
  <c r="P35" i="1"/>
  <c r="P34" i="1"/>
  <c r="P33" i="1"/>
  <c r="P40" i="1"/>
  <c r="P39" i="1"/>
  <c r="P38" i="1"/>
  <c r="P37" i="1"/>
  <c r="P32" i="1"/>
  <c r="P31" i="1"/>
  <c r="P30" i="1"/>
  <c r="P29" i="1"/>
  <c r="P28" i="1"/>
  <c r="K9" i="1"/>
  <c r="P9" i="1"/>
  <c r="K10" i="1"/>
  <c r="P10" i="1"/>
  <c r="K11" i="1"/>
  <c r="P11" i="1"/>
  <c r="K12" i="1"/>
  <c r="K13" i="1"/>
  <c r="P13" i="1"/>
  <c r="P14" i="1"/>
  <c r="P15" i="1"/>
  <c r="P16" i="1"/>
  <c r="P17" i="1"/>
  <c r="P18" i="1"/>
  <c r="P19" i="1"/>
  <c r="P20" i="1"/>
  <c r="P22" i="1"/>
  <c r="K41" i="1"/>
  <c r="P41" i="1"/>
  <c r="P23" i="1" l="1"/>
  <c r="P12" i="1"/>
  <c r="P21" i="1"/>
  <c r="F38" i="6" l="1"/>
  <c r="F40" i="6" s="1"/>
  <c r="L38" i="6"/>
  <c r="L4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Worachai K.</author>
  </authors>
  <commentList>
    <comment ref="G7" authorId="0" shapeId="0" xr:uid="{FD7BDAA7-622D-4296-A0D4-422AC8E72494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H7" authorId="0" shapeId="0" xr:uid="{EF05A397-F043-45B1-BF88-9AA0619825D6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K7" authorId="0" shapeId="0" xr:uid="{425235F2-6DC1-4551-995B-3A1FEB564668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M7" authorId="0" shapeId="0" xr:uid="{214B38F7-2860-4901-99EE-E11AF24F9B2C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N7" authorId="0" shapeId="0" xr:uid="{C7135007-15B6-4B09-AF9B-14BD6BC5A184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P7" authorId="0" shapeId="0" xr:uid="{9B79F6FE-DCFF-4F68-99A7-60F9549A72BA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Worachai K.</author>
  </authors>
  <commentList>
    <comment ref="G7" authorId="0" shapeId="0" xr:uid="{837F9154-D014-44C2-898A-0A7CEDF62BF0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H7" authorId="0" shapeId="0" xr:uid="{70700986-D3C2-449C-93D5-79C448EA7226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K7" authorId="0" shapeId="0" xr:uid="{2298EEEF-0C9E-4F34-BD32-19872DAD9886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M7" authorId="0" shapeId="0" xr:uid="{EFA47670-F1E2-433D-8781-C6241821A5CD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N7" authorId="0" shapeId="0" xr:uid="{8D024C56-27D1-4815-92C0-78F8C8EE993D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P7" authorId="0" shapeId="0" xr:uid="{3DA1F1E0-1B3C-4EA7-A10F-780D8BB94DB7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Worachai K.</author>
  </authors>
  <commentList>
    <comment ref="G7" authorId="0" shapeId="0" xr:uid="{AD0DCFD1-3A80-48BC-8EA9-39AF7EFB8025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H7" authorId="0" shapeId="0" xr:uid="{9BD129B4-29DC-4CAF-9545-C4DF0A5FFD1A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K7" authorId="0" shapeId="0" xr:uid="{30B73EED-0D57-4836-8878-0A864BCD9680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M7" authorId="0" shapeId="0" xr:uid="{ABCDD67F-4169-460F-9DFB-FF315EE3ED6C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N7" authorId="0" shapeId="0" xr:uid="{E6C4FF43-EE12-4A60-8097-1E324236FD7C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P7" authorId="0" shapeId="0" xr:uid="{B45B0F4C-9DA8-444C-8C82-D4F8E2864D08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Worachai K.</author>
  </authors>
  <commentList>
    <comment ref="G7" authorId="0" shapeId="0" xr:uid="{14261094-BDB4-44E1-AE38-483C02008D2B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H7" authorId="0" shapeId="0" xr:uid="{51B23761-BE13-4F95-97A2-74924F480D42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K7" authorId="0" shapeId="0" xr:uid="{8A14BB01-EA81-45B1-88FA-5E390C63166A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M7" authorId="0" shapeId="0" xr:uid="{7EAEE9F1-4FAD-44EC-B403-4B8D093C8F1E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เลือกตามรายการ
พิมพ์ไม่ได้</t>
        </r>
      </text>
    </comment>
    <comment ref="N7" authorId="0" shapeId="0" xr:uid="{7D26BB91-4361-47D8-82CF-A5CC872B729D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  <comment ref="P7" authorId="0" shapeId="0" xr:uid="{3A7FB033-2C21-4256-AC01-A8AFCD155B9E}">
      <text>
        <r>
          <rPr>
            <b/>
            <sz val="12"/>
            <color indexed="81"/>
            <rFont val="TH SarabunPSK"/>
            <family val="2"/>
          </rPr>
          <t>Worachai K.:</t>
        </r>
        <r>
          <rPr>
            <sz val="12"/>
            <color indexed="81"/>
            <rFont val="TH SarabunPSK"/>
            <family val="2"/>
          </rPr>
          <t xml:space="preserve">
ข้อมูลแสดงเอง
เขียนสูตรไว้</t>
        </r>
      </text>
    </comment>
  </commentList>
</comments>
</file>

<file path=xl/sharedStrings.xml><?xml version="1.0" encoding="utf-8"?>
<sst xmlns="http://schemas.openxmlformats.org/spreadsheetml/2006/main" count="176" uniqueCount="49">
  <si>
    <t>SAP No.</t>
  </si>
  <si>
    <t>Job No.</t>
  </si>
  <si>
    <t>No.</t>
  </si>
  <si>
    <t>การปฏิบัติงานซ่อมแซมแก้ไข (Corrective Maintenance : CM)</t>
  </si>
  <si>
    <t>ตำแหน่ง / สถานที่</t>
  </si>
  <si>
    <t>รายละเอียดงานแจ้ง</t>
  </si>
  <si>
    <t>ผล KPI</t>
  </si>
  <si>
    <t>รายละเอียดการดำเนินงาน</t>
  </si>
  <si>
    <t>เวลาที่
รับแจ้ง</t>
  </si>
  <si>
    <t>KPI No.</t>
  </si>
  <si>
    <t>เวลาอนุมัติการซ่อม</t>
  </si>
  <si>
    <t>เวลาถึงหน้างาน</t>
  </si>
  <si>
    <t>ระยะเวลาในการ ตอบรับการบริการ</t>
  </si>
  <si>
    <t>ระยะเวลาในการ ดำเนินการแก้ไข</t>
  </si>
  <si>
    <t>เวลามาตรฐาน</t>
  </si>
  <si>
    <t>เสร็จงาน/หยุดงาน</t>
  </si>
  <si>
    <t>หมายเหตุ</t>
  </si>
  <si>
    <t>-</t>
  </si>
  <si>
    <t>ดำเนินการแก้ไขเสร็จแล้ว</t>
  </si>
  <si>
    <t>ดำเนินการแก้ไขยังไม่แล้วเสร็จ</t>
  </si>
  <si>
    <t>ประจำวันที่</t>
  </si>
  <si>
    <t>งานระบบไฟฟ้าสำหรับอาคารทั่วไป</t>
  </si>
  <si>
    <t>งานระบบไฟฟ้าสำหรับอาคารผู้โดยสาร และอาคารเทียบเครื่องบิน</t>
  </si>
  <si>
    <t>งานระบบไฟฟ้าสำหรับเขตปลอดอากร และคลังสินค้า (Free Zone)</t>
  </si>
  <si>
    <t>งานระบบไฟฟ้าสำหรับอาคารเทียบเครื่องบินรองหลังที่ 1 (SAT-1)</t>
  </si>
  <si>
    <t>)</t>
  </si>
  <si>
    <t>(</t>
  </si>
  <si>
    <t>ลงชื่อ</t>
  </si>
  <si>
    <t>เจ้าหน้าที่ควบคุมงาน</t>
  </si>
  <si>
    <t>วิศวกร / ผู้ควบคุมโครงการ</t>
  </si>
  <si>
    <t>สรุปส่วนที่ 2 ระยะเวลาในการดำเนินการ</t>
  </si>
  <si>
    <t>สรุปส่วนที่ 1 ระยะเวลาในตอบรับบริการ</t>
  </si>
  <si>
    <t>รายละเอียดสรุปข้อมูล
การปฏิบัติงานซ่อมแซมแก้ไข (Corrective Maintenance : CM)</t>
  </si>
  <si>
    <t>ตั้งแต่เวลา 00:00 ถึง 24:00 น.</t>
  </si>
  <si>
    <t>รายงานประจำวัน การปฏิบัติงานซ่อมแซมแก้ไข (Corrective Maintenance)</t>
  </si>
  <si>
    <t>งานไฟฟ้าอาคารผู้โดยสาร อาคารเทียบเครื่องบิน และกลุ่มอาคารทั่วไป ท่าอากาศยานสุวรรณภูมิ</t>
  </si>
  <si>
    <t>ระบบการจ่ายไฟฟ้าแรงดันต่ำ (Low Voltage System : LV.)</t>
  </si>
  <si>
    <t>ปริมาณงานทั้งหมด</t>
  </si>
  <si>
    <t>งาน</t>
  </si>
  <si>
    <t>ปริมาณของงาน การปฏิบัติงานซ่อมแซมแก้ไข (Corrective Maintenance : CM) ประจำวันที่ผ่านมา</t>
  </si>
  <si>
    <t>พื้นที่ งานระบบไฟฟ้าสำหรับอาคารผู้โดยสาร และอาคารเทียบเครื่องบิน</t>
  </si>
  <si>
    <t>พื้นที่ งานระบบไฟฟ้าสำหรับอาคารทั่วไป</t>
  </si>
  <si>
    <t>พื้นที่ งานระบบไฟฟ้าสำหรับเขตปลอดอากร และคลังสินค้า (Free Zone)</t>
  </si>
  <si>
    <t>พื้นที่ งานระบบไฟฟ้าสำหรับอาคารเทียบเครื่องบินรองหลังที่ 1 (SAT-1)</t>
  </si>
  <si>
    <t>สรุปผลการปฏิบัติงานซ่อมแซมแก้ไข (Corrective Maintenance : CM) ตามค่าดัชนีชี้วัดในการบำรุงรักษา (KPI)</t>
  </si>
  <si>
    <t>อยู่ในมาตรฐานกำหนด</t>
  </si>
  <si>
    <t>เกินมาตรฐานกำหนด</t>
  </si>
  <si>
    <t>%</t>
  </si>
  <si>
    <r>
      <rPr>
        <u/>
        <sz val="14"/>
        <color theme="1"/>
        <rFont val="TH SarabunPSK"/>
        <family val="2"/>
      </rPr>
      <t>หมายเหตุ</t>
    </r>
    <r>
      <rPr>
        <sz val="14"/>
        <color theme="1"/>
        <rFont val="TH SarabunPSK"/>
        <family val="2"/>
      </rPr>
      <t xml:space="preserve"> งานที่ดำเนินการแก้ไขยังไม่แล้วเสร็จ มีการดำเนินการติดตาม และกำลังดำเนินการแก้ไขต่อให้แล้วเสร็จ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</si>
</sst>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7041E]d\ mmmm\ yyyy;@"/>
    <numFmt numFmtId="165" formatCode="[h]:mm"/>
  </numFmts>
  <fonts count="11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8"/>
      <name val="TH SarabunPSK"/>
      <family val="2"/>
      <charset val="222"/>
    </font>
    <font>
      <b/>
      <sz val="16"/>
      <color theme="1"/>
      <name val="TH SarabunPSK"/>
      <family val="2"/>
    </font>
    <font>
      <b/>
      <sz val="12"/>
      <color indexed="81"/>
      <name val="TH SarabunPSK"/>
      <family val="2"/>
    </font>
    <font>
      <sz val="12"/>
      <color indexed="81"/>
      <name val="TH SarabunPSK"/>
      <family val="2"/>
    </font>
    <font>
      <sz val="16"/>
      <color theme="1"/>
      <name val="TH SarabunPSK"/>
      <family val="2"/>
    </font>
    <font>
      <u/>
      <sz val="14"/>
      <color theme="1"/>
      <name val="TH SarabunPSK"/>
      <family val="2"/>
    </font>
    <font>
      <sz val="10"/>
      <color theme="1"/>
      <name val="TH SarabunPSK"/>
      <family val="2"/>
    </font>
    <font>
      <sz val="8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164" fontId="4" fillId="2" borderId="2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vertical="top"/>
    </xf>
    <xf numFmtId="164" fontId="4" fillId="2" borderId="0" xfId="0" applyNumberFormat="1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20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/>
    <xf numFmtId="0" fontId="1" fillId="2" borderId="8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20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165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right" vertical="top"/>
    </xf>
    <xf numFmtId="0" fontId="4" fillId="8" borderId="5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5">
    <dxf>
      <numFmt numFmtId="166" formatCode="&quot;&quot;"/>
    </dxf>
    <dxf>
      <numFmt numFmtId="166" formatCode="&quot;&quot;"/>
    </dxf>
    <dxf>
      <numFmt numFmtId="166" formatCode="&quot;&quot;"/>
    </dxf>
    <dxf>
      <numFmt numFmtId="166" formatCode="&quot;&quot;"/>
    </dxf>
    <dxf>
      <numFmt numFmtId="166" formatCode="&quot;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5</xdr:col>
      <xdr:colOff>66675</xdr:colOff>
      <xdr:row>2</xdr:row>
      <xdr:rowOff>190500</xdr:rowOff>
    </xdr:to>
    <xdr:pic>
      <xdr:nvPicPr>
        <xdr:cNvPr id="3" name="รูปภาพ 53">
          <a:extLst>
            <a:ext uri="{FF2B5EF4-FFF2-40B4-BE49-F238E27FC236}">
              <a16:creationId xmlns:a16="http://schemas.microsoft.com/office/drawing/2014/main" id="{EBBF7DD8-6FA1-42EE-8DB5-C1AB47588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" y="28575"/>
          <a:ext cx="2181225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16566</xdr:colOff>
      <xdr:row>0</xdr:row>
      <xdr:rowOff>24848</xdr:rowOff>
    </xdr:from>
    <xdr:to>
      <xdr:col>3</xdr:col>
      <xdr:colOff>417030</xdr:colOff>
      <xdr:row>2</xdr:row>
      <xdr:rowOff>190086</xdr:rowOff>
    </xdr:to>
    <xdr:pic>
      <xdr:nvPicPr>
        <xdr:cNvPr id="2" name="รูปภาพ 53">
          <a:extLst>
            <a:ext uri="{FF2B5EF4-FFF2-40B4-BE49-F238E27FC236}">
              <a16:creationId xmlns:a16="http://schemas.microsoft.com/office/drawing/2014/main" id="{BC221DDC-F872-47F9-9324-96C3423D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66" y="24848"/>
          <a:ext cx="2181225" cy="69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428625</xdr:colOff>
      <xdr:row>2</xdr:row>
      <xdr:rowOff>190500</xdr:rowOff>
    </xdr:to>
    <xdr:pic>
      <xdr:nvPicPr>
        <xdr:cNvPr id="3" name="รูปภาพ 53">
          <a:extLst>
            <a:ext uri="{FF2B5EF4-FFF2-40B4-BE49-F238E27FC236}">
              <a16:creationId xmlns:a16="http://schemas.microsoft.com/office/drawing/2014/main" id="{F959E92E-1B85-4326-A2D7-CC9BB936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" y="28575"/>
          <a:ext cx="2181225" cy="695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20485</xdr:colOff>
      <xdr:row>0</xdr:row>
      <xdr:rowOff>20484</xdr:rowOff>
    </xdr:from>
    <xdr:to>
      <xdr:col>3</xdr:col>
      <xdr:colOff>419613</xdr:colOff>
      <xdr:row>2</xdr:row>
      <xdr:rowOff>183228</xdr:rowOff>
    </xdr:to>
    <xdr:pic>
      <xdr:nvPicPr>
        <xdr:cNvPr id="3" name="รูปภาพ 53">
          <a:extLst>
            <a:ext uri="{FF2B5EF4-FFF2-40B4-BE49-F238E27FC236}">
              <a16:creationId xmlns:a16="http://schemas.microsoft.com/office/drawing/2014/main" id="{AD36F96A-D4F2-45FE-9AE5-6BE40695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85" y="20484"/>
          <a:ext cx="2181225" cy="695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419100</xdr:colOff>
      <xdr:row>2</xdr:row>
      <xdr:rowOff>180975</xdr:rowOff>
    </xdr:to>
    <xdr:pic>
      <xdr:nvPicPr>
        <xdr:cNvPr id="3" name="รูปภาพ 53">
          <a:extLst>
            <a:ext uri="{FF2B5EF4-FFF2-40B4-BE49-F238E27FC236}">
              <a16:creationId xmlns:a16="http://schemas.microsoft.com/office/drawing/2014/main" id="{24B51EA1-154D-4D8F-A305-D29D9BA1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" y="19050"/>
          <a:ext cx="2181225" cy="69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AOTAO/Downloads/25670801%20Daily%20CM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KPI"/>
      <sheetName val="Daily CM"/>
      <sheetName val="1"/>
      <sheetName val="2"/>
      <sheetName val="3"/>
      <sheetName val="4"/>
    </sheetNames>
    <sheetDataSet>
      <sheetData sheetId="0">
        <row r="3">
          <cell r="A3" t="str">
            <v>1.1</v>
          </cell>
          <cell r="B3" t="str">
            <v>การแจ้งเหตุต่อผู้ว่าจ้างกรณีฉุกเฉิน</v>
          </cell>
          <cell r="C3" t="str">
            <v>ทันที</v>
          </cell>
          <cell r="D3" t="str">
            <v>A</v>
          </cell>
          <cell r="E3" t="str">
            <v>หนึ่งจุดหนึ่ง</v>
          </cell>
          <cell r="F3">
            <v>6.9444444444444447E-4</v>
          </cell>
          <cell r="M3" t="str">
            <v>A</v>
          </cell>
          <cell r="N3">
            <v>2.0833333333333332E-2</v>
          </cell>
        </row>
        <row r="4">
          <cell r="A4" t="str">
            <v>1.2</v>
          </cell>
          <cell r="B4" t="str">
            <v>การควบคุมการปิด-เปิดไฟแสงสว่างขัดข้อง</v>
          </cell>
          <cell r="C4">
            <v>15</v>
          </cell>
          <cell r="D4" t="str">
            <v>A</v>
          </cell>
          <cell r="E4" t="str">
            <v>หนึ่งจุดสอง</v>
          </cell>
          <cell r="F4">
            <v>1.0416666666666666E-2</v>
          </cell>
          <cell r="M4" t="str">
            <v>B</v>
          </cell>
          <cell r="N4">
            <v>0.125</v>
          </cell>
        </row>
        <row r="5">
          <cell r="A5" t="str">
            <v>1.3</v>
          </cell>
          <cell r="B5" t="str">
            <v>เซอร์กิตเบรกเกอร์ "ทริป" (การตัดวงจรของเซอร์กิตเบรคเกอร์)</v>
          </cell>
          <cell r="C5">
            <v>20</v>
          </cell>
          <cell r="D5" t="str">
            <v>A</v>
          </cell>
          <cell r="E5" t="str">
            <v>หนึ่งจุดสาม</v>
          </cell>
          <cell r="F5">
            <v>1.3888888888888888E-2</v>
          </cell>
          <cell r="M5" t="str">
            <v>C</v>
          </cell>
          <cell r="N5">
            <v>1</v>
          </cell>
        </row>
        <row r="6">
          <cell r="A6" t="str">
            <v>1.4</v>
          </cell>
          <cell r="B6" t="str">
            <v>ระบบไฟฟ้าแรงสูงขัดข้อง/กระพริบ</v>
          </cell>
          <cell r="C6">
            <v>20</v>
          </cell>
          <cell r="D6" t="str">
            <v>B</v>
          </cell>
          <cell r="E6" t="str">
            <v>หนึ่งจุดสี่</v>
          </cell>
          <cell r="F6">
            <v>1.3888888888888888E-2</v>
          </cell>
          <cell r="M6" t="str">
            <v>D</v>
          </cell>
          <cell r="N6">
            <v>7</v>
          </cell>
        </row>
        <row r="7">
          <cell r="A7" t="str">
            <v>1.5</v>
          </cell>
          <cell r="B7" t="str">
            <v>เปลี่ยนอุปกรณ์ภายในโคมไฟหรือซ่อมแซมหรือทำความสะอาด/โคม</v>
          </cell>
          <cell r="C7">
            <v>20</v>
          </cell>
          <cell r="D7" t="str">
            <v>A, B, C, D</v>
          </cell>
          <cell r="E7" t="str">
            <v>หนึ่งจุดห้า</v>
          </cell>
          <cell r="F7">
            <v>1.3888888888888888E-2</v>
          </cell>
          <cell r="M7" t="str">
            <v>E</v>
          </cell>
          <cell r="N7">
            <v>14</v>
          </cell>
        </row>
        <row r="8">
          <cell r="A8" t="str">
            <v>1.6</v>
          </cell>
          <cell r="B8" t="str">
            <v>ซ่อมเต้ารับไฟฟ้า / ชุด</v>
          </cell>
          <cell r="C8">
            <v>15</v>
          </cell>
          <cell r="D8" t="str">
            <v>A</v>
          </cell>
          <cell r="E8" t="str">
            <v>หนึ่งจุดหก</v>
          </cell>
          <cell r="F8">
            <v>1.0416666666666666E-2</v>
          </cell>
          <cell r="M8" t="str">
            <v>F</v>
          </cell>
          <cell r="N8">
            <v>30</v>
          </cell>
        </row>
        <row r="9">
          <cell r="A9" t="str">
            <v>1.7</v>
          </cell>
          <cell r="B9" t="str">
            <v>ย้ายหรือติดตั้งโคมไฟฟ้า / ชุด</v>
          </cell>
          <cell r="C9">
            <v>15</v>
          </cell>
          <cell r="D9" t="str">
            <v>A</v>
          </cell>
          <cell r="E9" t="str">
            <v>หนึ่งจุดเจ็ด</v>
          </cell>
          <cell r="F9">
            <v>1.0416666666666666E-2</v>
          </cell>
          <cell r="M9" t="str">
            <v>-</v>
          </cell>
          <cell r="N9" t="str">
            <v>-</v>
          </cell>
        </row>
        <row r="10">
          <cell r="A10" t="str">
            <v>1.8</v>
          </cell>
          <cell r="B10" t="str">
            <v>ย้ายหรือติดตั้งเต้ารับไฟฟ้า / ชุด</v>
          </cell>
          <cell r="C10">
            <v>15</v>
          </cell>
          <cell r="D10" t="str">
            <v>C</v>
          </cell>
          <cell r="E10" t="str">
            <v>หนึ่งจุดแปด</v>
          </cell>
          <cell r="F10">
            <v>1.0416666666666666E-2</v>
          </cell>
        </row>
        <row r="11">
          <cell r="A11" t="str">
            <v>1.9</v>
          </cell>
          <cell r="B11" t="str">
            <v>เปลี่ยน หางปลา สายไฟฟ้า แม็กเนติก สำหรับชุดคอนโทรล เป็นต้น</v>
          </cell>
          <cell r="C11">
            <v>15</v>
          </cell>
          <cell r="D11" t="str">
            <v>D</v>
          </cell>
          <cell r="E11" t="str">
            <v>หนึ่งจุดเก้า</v>
          </cell>
          <cell r="F11">
            <v>1.0416666666666666E-2</v>
          </cell>
        </row>
        <row r="12">
          <cell r="A12" t="str">
            <v>1.10</v>
          </cell>
          <cell r="B12" t="str">
            <v>เปลี่ยนสายไฟฟ้าในรางเดินสายกรณีสายไฟฟ้าลัดวงจร</v>
          </cell>
          <cell r="C12">
            <v>15</v>
          </cell>
          <cell r="D12" t="str">
            <v>D</v>
          </cell>
          <cell r="E12" t="str">
            <v>หนึ่งจุดหนึ่งศูนย์</v>
          </cell>
          <cell r="F12">
            <v>1.0416666666666666E-2</v>
          </cell>
        </row>
        <row r="13">
          <cell r="A13" t="str">
            <v>1.11</v>
          </cell>
          <cell r="B13" t="str">
            <v>ซ่อมตู้เมนไฟฟ้า, แผงจ่ายไฟฟ้า</v>
          </cell>
          <cell r="C13">
            <v>15</v>
          </cell>
          <cell r="D13" t="str">
            <v>D</v>
          </cell>
          <cell r="E13" t="str">
            <v>หนึ่งจุดหนึ่งหนึ่ง</v>
          </cell>
          <cell r="F13">
            <v>1.0416666666666666E-2</v>
          </cell>
        </row>
        <row r="14">
          <cell r="A14" t="str">
            <v>1.12</v>
          </cell>
          <cell r="B14" t="str">
            <v xml:space="preserve">เครื่องเป่าลมมือ </v>
          </cell>
          <cell r="C14">
            <v>15</v>
          </cell>
          <cell r="D14" t="str">
            <v>D</v>
          </cell>
          <cell r="E14" t="str">
            <v>หนึ่งจุดหนึ่งสอง</v>
          </cell>
          <cell r="F14">
            <v>1.0416666666666666E-2</v>
          </cell>
        </row>
        <row r="15">
          <cell r="A15" t="str">
            <v>1.13</v>
          </cell>
          <cell r="B15" t="str">
            <v>เครื่องทำน้ำอุ่น</v>
          </cell>
          <cell r="C15">
            <v>15</v>
          </cell>
          <cell r="D15" t="str">
            <v>D</v>
          </cell>
          <cell r="E15" t="str">
            <v>หนึ่งจุดหนึ่งสาม</v>
          </cell>
          <cell r="F15">
            <v>1.0416666666666666E-2</v>
          </cell>
        </row>
        <row r="16">
          <cell r="A16" t="str">
            <v>1.14</v>
          </cell>
          <cell r="B16" t="str">
            <v>ระบบขอความช่วยเหลือห้องน้ำคนพิการ</v>
          </cell>
          <cell r="C16">
            <v>15</v>
          </cell>
          <cell r="D16" t="str">
            <v>D</v>
          </cell>
          <cell r="E16" t="str">
            <v>หนึ่งจุดหนึ่งสี่</v>
          </cell>
          <cell r="F16">
            <v>1.0416666666666666E-2</v>
          </cell>
        </row>
        <row r="17">
          <cell r="A17" t="str">
            <v>1.15</v>
          </cell>
          <cell r="B17" t="str">
            <v>ซ่อมอุปกรณ์ไฟอื่นๆ</v>
          </cell>
          <cell r="C17">
            <v>15</v>
          </cell>
          <cell r="D17" t="str">
            <v>E</v>
          </cell>
          <cell r="E17" t="str">
            <v>หนึ่งจุดหนึ่งห้า</v>
          </cell>
          <cell r="F17">
            <v>1.0416666666666666E-2</v>
          </cell>
        </row>
        <row r="18">
          <cell r="A18" t="str">
            <v>1.16</v>
          </cell>
          <cell r="B18" t="str">
            <v>อะไหล่ผู้ว่าจ้างจัดหา</v>
          </cell>
          <cell r="C18" t="str">
            <v>-</v>
          </cell>
          <cell r="D18" t="str">
            <v>F</v>
          </cell>
          <cell r="E18" t="str">
            <v>หนึ่งจุดหนึ่งหก</v>
          </cell>
          <cell r="F18" t="str">
            <v>-</v>
          </cell>
        </row>
        <row r="20">
          <cell r="A20" t="str">
            <v>2.1</v>
          </cell>
          <cell r="B20" t="str">
            <v>การแจ้งเหตุต่อผู้ว่าจ้างกรณีฉุกเฉิน</v>
          </cell>
          <cell r="C20" t="str">
            <v>ทันที</v>
          </cell>
          <cell r="D20" t="str">
            <v>A</v>
          </cell>
          <cell r="E20" t="str">
            <v>สองจุดหนึ่ง</v>
          </cell>
          <cell r="F20">
            <v>6.9444444444444447E-4</v>
          </cell>
        </row>
        <row r="21">
          <cell r="A21" t="str">
            <v>2.2</v>
          </cell>
          <cell r="B21" t="str">
            <v>เปลี่ยนอุปกรณ์ภายในโคมไฟหรือซ่อมแซมหรือทำความสะอาด / โคม (อ้างอิงตาม ภาคผนวก ฌ.)</v>
          </cell>
          <cell r="C21">
            <v>20</v>
          </cell>
          <cell r="D21" t="str">
            <v>A</v>
          </cell>
          <cell r="E21" t="str">
            <v>สองจุดสอง</v>
          </cell>
          <cell r="F21">
            <v>1.3888888888888888E-2</v>
          </cell>
        </row>
        <row r="22">
          <cell r="A22" t="str">
            <v>2.2.1</v>
          </cell>
          <cell r="B22" t="str">
            <v>กลุ่มอาคาร AMF</v>
          </cell>
          <cell r="C22">
            <v>30</v>
          </cell>
          <cell r="D22" t="str">
            <v>A, B</v>
          </cell>
          <cell r="E22" t="str">
            <v>สองจุดสองหนึ่ง</v>
          </cell>
          <cell r="F22">
            <v>2.0833333333333332E-2</v>
          </cell>
        </row>
        <row r="23">
          <cell r="A23" t="str">
            <v>2.2.2</v>
          </cell>
          <cell r="B23" t="str">
            <v>อาคาร Airport Information Management System Building (AIMs)</v>
          </cell>
          <cell r="C23">
            <v>10</v>
          </cell>
          <cell r="D23" t="str">
            <v>A, B</v>
          </cell>
          <cell r="E23" t="str">
            <v>สองจุดสองสอง</v>
          </cell>
          <cell r="F23">
            <v>6.9444444444444441E-3</v>
          </cell>
        </row>
        <row r="24">
          <cell r="A24" t="str">
            <v>2.2.3</v>
          </cell>
          <cell r="B24" t="str">
            <v>อาคาร AOB</v>
          </cell>
          <cell r="C24">
            <v>10</v>
          </cell>
          <cell r="D24" t="str">
            <v>A, B</v>
          </cell>
          <cell r="E24" t="str">
            <v>สองจุดสองสาม</v>
          </cell>
          <cell r="F24">
            <v>6.9444444444444441E-3</v>
          </cell>
        </row>
        <row r="25">
          <cell r="A25" t="str">
            <v>2.2.4</v>
          </cell>
          <cell r="B25" t="str">
            <v>อาคารศูนย์อาหารสุวรรณภูมิ (ด้านหลังอาคาร AOB)</v>
          </cell>
          <cell r="C25">
            <v>10</v>
          </cell>
          <cell r="D25" t="str">
            <v>A</v>
          </cell>
          <cell r="E25" t="str">
            <v>สองจุดสองสี่</v>
          </cell>
          <cell r="F25">
            <v>6.9444444444444441E-3</v>
          </cell>
        </row>
        <row r="26">
          <cell r="A26" t="str">
            <v>2.2.5</v>
          </cell>
          <cell r="B26" t="str">
            <v xml:space="preserve"> อาคารและลานจอดรถ Zone 2 – Zone 8</v>
          </cell>
          <cell r="C26">
            <v>10</v>
          </cell>
          <cell r="D26" t="str">
            <v>A, B</v>
          </cell>
          <cell r="E26" t="str">
            <v>สองจุดสองห้า</v>
          </cell>
          <cell r="F26">
            <v>6.9444444444444441E-3</v>
          </cell>
        </row>
        <row r="27">
          <cell r="A27" t="str">
            <v>2.2.6</v>
          </cell>
          <cell r="B27" t="str">
            <v>อาคารพิพิธภัณฑ์ และอาคารสำนักงานโซน 3 ชั้น 6 (ยกเว้นโคมไฟภายในอาคารที่ติดตั้งสูงเกิน 6 เมตร หรือพื้นที่เข้าถึงยาก)</v>
          </cell>
          <cell r="C27">
            <v>10</v>
          </cell>
          <cell r="D27" t="str">
            <v>A, B</v>
          </cell>
          <cell r="E27" t="str">
            <v>สองจุดสองหก</v>
          </cell>
          <cell r="F27">
            <v>6.9444444444444441E-3</v>
          </cell>
        </row>
        <row r="28">
          <cell r="A28" t="str">
            <v>2.2.7</v>
          </cell>
          <cell r="B28" t="str">
            <v>อาคารศูนย์ขนส่งสาธารณะ</v>
          </cell>
          <cell r="C28">
            <v>30</v>
          </cell>
          <cell r="D28" t="str">
            <v>A, B</v>
          </cell>
          <cell r="E28" t="str">
            <v>สองจุดสองเจ็ด</v>
          </cell>
          <cell r="F28">
            <v>2.0833333333333332E-2</v>
          </cell>
        </row>
        <row r="29">
          <cell r="A29" t="str">
            <v>2.2.8</v>
          </cell>
          <cell r="B29" t="str">
            <v>กลุ่มอาคารสถานีดับเพลิงและกู้ภัย</v>
          </cell>
          <cell r="C29">
            <v>30</v>
          </cell>
          <cell r="D29" t="str">
            <v>A, B</v>
          </cell>
          <cell r="E29" t="str">
            <v>สองจุดสองแปด</v>
          </cell>
          <cell r="F29">
            <v>2.0833333333333332E-2</v>
          </cell>
        </row>
        <row r="30">
          <cell r="A30" t="str">
            <v>2.2.9</v>
          </cell>
          <cell r="B30" t="str">
            <v>สถานีฝึกซ้อมดับเพลิง (Training Ground)</v>
          </cell>
          <cell r="C30">
            <v>40</v>
          </cell>
          <cell r="D30" t="str">
            <v>A, B</v>
          </cell>
          <cell r="E30" t="str">
            <v>สองจุดสองเก้า</v>
          </cell>
          <cell r="F30">
            <v>2.7777777777777776E-2</v>
          </cell>
        </row>
        <row r="31">
          <cell r="A31" t="str">
            <v>2.2.10</v>
          </cell>
          <cell r="B31" t="str">
            <v>สถานีบำบัดน้ำเสีย</v>
          </cell>
          <cell r="C31">
            <v>45</v>
          </cell>
          <cell r="D31" t="str">
            <v>A, B</v>
          </cell>
          <cell r="E31" t="str">
            <v>สองจุดสองหนึ่งศูนย์</v>
          </cell>
          <cell r="F31">
            <v>3.125E-2</v>
          </cell>
        </row>
        <row r="32">
          <cell r="A32" t="str">
            <v>2.2.11</v>
          </cell>
          <cell r="B32" t="str">
            <v>สถานีจ่ายน้ำประปา</v>
          </cell>
          <cell r="C32">
            <v>30</v>
          </cell>
          <cell r="D32" t="str">
            <v>A, B</v>
          </cell>
          <cell r="E32" t="str">
            <v>สองจุดสองหนึ่งหนึ่ง</v>
          </cell>
          <cell r="F32">
            <v>2.0833333333333332E-2</v>
          </cell>
        </row>
        <row r="33">
          <cell r="A33" t="str">
            <v>2.2.12</v>
          </cell>
          <cell r="B33" t="str">
            <v>สถานีสูบน้ำฝั่งตะวันออก</v>
          </cell>
          <cell r="C33">
            <v>60</v>
          </cell>
          <cell r="D33" t="str">
            <v>A, B</v>
          </cell>
          <cell r="E33" t="str">
            <v>สองจุดสองหนึ่งสอง</v>
          </cell>
          <cell r="F33">
            <v>4.1666666666666664E-2</v>
          </cell>
        </row>
        <row r="34">
          <cell r="A34" t="str">
            <v>2.2.13</v>
          </cell>
          <cell r="B34" t="str">
            <v>สถานีสูบน้ำฝั่งตะวันตก</v>
          </cell>
          <cell r="C34">
            <v>75</v>
          </cell>
          <cell r="D34" t="str">
            <v>A, B</v>
          </cell>
          <cell r="E34" t="str">
            <v>สองจุดสองหนึ่งสาม</v>
          </cell>
          <cell r="F34">
            <v>5.2083333333333336E-2</v>
          </cell>
        </row>
        <row r="35">
          <cell r="A35" t="str">
            <v>2.2.14</v>
          </cell>
          <cell r="B35" t="str">
            <v>กลุ่มอาคารสำนักงานโครงการ</v>
          </cell>
          <cell r="C35">
            <v>60</v>
          </cell>
          <cell r="D35" t="str">
            <v>A, B</v>
          </cell>
          <cell r="E35" t="str">
            <v>สองจุดสองหนึ่งสี่</v>
          </cell>
          <cell r="F35">
            <v>4.1666666666666664E-2</v>
          </cell>
        </row>
        <row r="36">
          <cell r="A36" t="str">
            <v>2.2.15</v>
          </cell>
          <cell r="B36" t="str">
            <v>สถานีขนถ่ายขยะ</v>
          </cell>
          <cell r="C36">
            <v>60</v>
          </cell>
          <cell r="D36" t="str">
            <v>A, B</v>
          </cell>
          <cell r="E36" t="str">
            <v>สองจุดสองหนึ่งห้า</v>
          </cell>
          <cell r="F36">
            <v>4.1666666666666664E-2</v>
          </cell>
        </row>
        <row r="37">
          <cell r="A37" t="str">
            <v>2.2.16</v>
          </cell>
          <cell r="B37" t="str">
            <v>อาคาร พักอาศัย ฝ่ายรักษาความปลอดภัย</v>
          </cell>
          <cell r="C37">
            <v>40</v>
          </cell>
          <cell r="D37" t="str">
            <v>A, B</v>
          </cell>
          <cell r="E37" t="str">
            <v>สองจุดสองหนึ่งหก</v>
          </cell>
          <cell r="F37">
            <v>2.7777777777777776E-2</v>
          </cell>
        </row>
        <row r="38">
          <cell r="A38" t="str">
            <v>2.2.17</v>
          </cell>
          <cell r="B38" t="str">
            <v>อาคารจ่ายไฟฟ้าย่อย (Field Substation)</v>
          </cell>
          <cell r="C38">
            <v>40</v>
          </cell>
          <cell r="D38" t="str">
            <v>A</v>
          </cell>
          <cell r="E38" t="str">
            <v>สองจุดสองหนึ่งเจ็ด</v>
          </cell>
          <cell r="F38">
            <v>2.7777777777777776E-2</v>
          </cell>
        </row>
        <row r="39">
          <cell r="A39" t="str">
            <v>2.2.18</v>
          </cell>
          <cell r="B39" t="str">
            <v>สถานีจ่ายไฟฟ้าย่อย (Unit Substation)</v>
          </cell>
          <cell r="C39">
            <v>35</v>
          </cell>
          <cell r="D39" t="str">
            <v>A</v>
          </cell>
          <cell r="E39" t="str">
            <v>สองจุดสองหนึ่งแปด</v>
          </cell>
          <cell r="F39">
            <v>2.4305555555555556E-2</v>
          </cell>
        </row>
        <row r="40">
          <cell r="A40" t="str">
            <v>2.2.19</v>
          </cell>
          <cell r="B40" t="str">
            <v>ช่องทาง Control Post</v>
          </cell>
          <cell r="C40">
            <v>30</v>
          </cell>
          <cell r="D40" t="str">
            <v>A, B</v>
          </cell>
          <cell r="E40" t="str">
            <v>สองจุดสองหนึ่งเก้า</v>
          </cell>
          <cell r="F40">
            <v>2.0833333333333332E-2</v>
          </cell>
        </row>
        <row r="41">
          <cell r="A41" t="str">
            <v>2.2.20</v>
          </cell>
          <cell r="B41" t="str">
            <v xml:space="preserve">ป้อมรักษาการณ์              </v>
          </cell>
          <cell r="C41">
            <v>60</v>
          </cell>
          <cell r="D41" t="str">
            <v>A</v>
          </cell>
          <cell r="E41" t="str">
            <v>สองจุดสองสองศูนย์</v>
          </cell>
          <cell r="F41">
            <v>4.1666666666666664E-2</v>
          </cell>
        </row>
        <row r="42">
          <cell r="A42" t="str">
            <v>2.2.21</v>
          </cell>
          <cell r="B42" t="str">
            <v>สะพานลอยคนข้าม</v>
          </cell>
          <cell r="C42">
            <v>30</v>
          </cell>
          <cell r="D42" t="str">
            <v>A</v>
          </cell>
          <cell r="E42" t="str">
            <v>สองจุดสองสองหนึ่ง</v>
          </cell>
          <cell r="F42">
            <v>2.0833333333333332E-2</v>
          </cell>
        </row>
        <row r="43">
          <cell r="A43" t="str">
            <v>2.2.22</v>
          </cell>
          <cell r="B43" t="str">
            <v>ศาลพญานาค</v>
          </cell>
          <cell r="C43">
            <v>60</v>
          </cell>
          <cell r="D43" t="str">
            <v>A</v>
          </cell>
          <cell r="E43" t="str">
            <v>สองจุดสองสองสอง</v>
          </cell>
          <cell r="F43">
            <v>4.1666666666666664E-2</v>
          </cell>
        </row>
        <row r="44">
          <cell r="A44" t="str">
            <v>2.2.23</v>
          </cell>
          <cell r="B44" t="str">
            <v>กินรีบนทางยกระดับ ขาเข้า-ขาออก อาคารผู้โดยสาร</v>
          </cell>
          <cell r="C44">
            <v>60</v>
          </cell>
          <cell r="D44" t="str">
            <v>A</v>
          </cell>
          <cell r="E44" t="str">
            <v>สองจุดสองสองสาม</v>
          </cell>
          <cell r="F44">
            <v>4.1666666666666664E-2</v>
          </cell>
        </row>
        <row r="45">
          <cell r="A45" t="str">
            <v>2.2.24</v>
          </cell>
          <cell r="B45" t="str">
            <v>ไฟส่องสว่างสนามหญ้าใต้ทางยกระดับ ขาเข้า-ขาออก อาคารผู้โดยสาร</v>
          </cell>
          <cell r="C45">
            <v>30</v>
          </cell>
          <cell r="D45" t="str">
            <v>B</v>
          </cell>
          <cell r="E45" t="str">
            <v>สองจุดสองสองสี่</v>
          </cell>
          <cell r="F45">
            <v>2.0833333333333332E-2</v>
          </cell>
        </row>
        <row r="46">
          <cell r="A46" t="str">
            <v>2.2.25</v>
          </cell>
          <cell r="B46" t="str">
            <v>สัญญาณไฟกะพริบบริเวณหน้าอาคารผู้โดยสารและอาคารเทียบเครื่องบิน</v>
          </cell>
          <cell r="C46">
            <v>20</v>
          </cell>
          <cell r="D46" t="str">
            <v>B</v>
          </cell>
          <cell r="E46" t="str">
            <v>สองจุดสองสองห้า</v>
          </cell>
          <cell r="F46">
            <v>1.3888888888888888E-2</v>
          </cell>
        </row>
        <row r="47">
          <cell r="A47" t="str">
            <v>2.3</v>
          </cell>
          <cell r="B47" t="str">
            <v>การควบคุมการปิด-เปิดไฟแสงสว่างขัดข้อง หรือ เกิด Force Shut Down</v>
          </cell>
          <cell r="C47" t="str">
            <v>ข้อ 2.2.1-2.2.25</v>
          </cell>
          <cell r="D47" t="str">
            <v>A</v>
          </cell>
          <cell r="E47" t="str">
            <v>สองจุดสาม</v>
          </cell>
          <cell r="F47"/>
        </row>
        <row r="48">
          <cell r="A48" t="str">
            <v>2.4</v>
          </cell>
          <cell r="B48" t="str">
            <v>เซอร์กิตเบรกเกอร์ "ทริป" (การตัดวงจรของเซอร์กิตเบรคเกอร์)</v>
          </cell>
          <cell r="C48" t="str">
            <v>ข้อ 2.2.1-2.2.25</v>
          </cell>
          <cell r="D48" t="str">
            <v>A</v>
          </cell>
          <cell r="E48" t="str">
            <v>สองจุดสี่</v>
          </cell>
          <cell r="F48"/>
        </row>
        <row r="49">
          <cell r="A49" t="str">
            <v>2.5</v>
          </cell>
          <cell r="B49" t="str">
            <v>ระบบไฟฟ้าแรงสูงขัดข้อง/กะพริบ</v>
          </cell>
          <cell r="C49" t="str">
            <v>ข้อ 2.2.1-2.2.25</v>
          </cell>
          <cell r="D49" t="str">
            <v>B</v>
          </cell>
          <cell r="E49" t="str">
            <v>สองจุดห้า</v>
          </cell>
          <cell r="F49"/>
        </row>
        <row r="50">
          <cell r="A50" t="str">
            <v>2.6</v>
          </cell>
          <cell r="B50" t="str">
            <v>ซ่อมเต้ารับไฟฟ้า / ชุด</v>
          </cell>
          <cell r="C50" t="str">
            <v>ข้อ 2.2.1-2.2.25</v>
          </cell>
          <cell r="D50" t="str">
            <v>A</v>
          </cell>
          <cell r="E50" t="str">
            <v>สองจุดหก</v>
          </cell>
          <cell r="F50"/>
        </row>
        <row r="51">
          <cell r="A51" t="str">
            <v>2.7</v>
          </cell>
          <cell r="B51" t="str">
            <v>ย้ายหรือติดตั้งโคมไฟฟ้า / ชุด</v>
          </cell>
          <cell r="C51" t="str">
            <v>ข้อ 2.2.1-2.2.25</v>
          </cell>
          <cell r="D51" t="str">
            <v>A</v>
          </cell>
          <cell r="E51" t="str">
            <v>สองจุดเจ็ด</v>
          </cell>
          <cell r="F51"/>
        </row>
        <row r="52">
          <cell r="A52" t="str">
            <v>2.8</v>
          </cell>
          <cell r="B52" t="str">
            <v>ย้ายหรือติดตั้งเต้ารับไฟฟ้า / ชุด</v>
          </cell>
          <cell r="C52" t="str">
            <v>ข้อ 2.2.1-2.2.25</v>
          </cell>
          <cell r="D52" t="str">
            <v>A</v>
          </cell>
          <cell r="E52" t="str">
            <v>สองจุดแปด</v>
          </cell>
          <cell r="F52"/>
        </row>
        <row r="53">
          <cell r="A53" t="str">
            <v>2.9</v>
          </cell>
          <cell r="B53" t="str">
            <v>เปลี่ยน หางปลา สายไฟฟ้า แม็กเนติก  เป็นต้น สำหรับชุดคอนโทรล</v>
          </cell>
          <cell r="C53" t="str">
            <v>ข้อ 2.2.1-2.2.25</v>
          </cell>
          <cell r="D53" t="str">
            <v>C</v>
          </cell>
          <cell r="E53" t="str">
            <v>สองจุดเก้า</v>
          </cell>
          <cell r="F53"/>
        </row>
        <row r="54">
          <cell r="A54" t="str">
            <v>2.10</v>
          </cell>
          <cell r="B54" t="str">
            <v>เปลี่ยนสายไฟฟ้าในรางเดินสายกรณีสายไฟฟ้าลัดวงจร</v>
          </cell>
          <cell r="C54" t="str">
            <v>ข้อ 2.2.1-2.2.25</v>
          </cell>
          <cell r="D54" t="str">
            <v>D</v>
          </cell>
          <cell r="E54" t="str">
            <v>สองจุดหนึ่งศูนย์</v>
          </cell>
          <cell r="F54"/>
        </row>
        <row r="55">
          <cell r="A55" t="str">
            <v>2.11</v>
          </cell>
          <cell r="B55" t="str">
            <v>ซ่อมตู้เมนไฟฟ้า, สายเมนไฟฟ้า, แผงจ่ายไฟฟ้า, สายไฟฟ้าวงจรย่อย</v>
          </cell>
          <cell r="C55" t="str">
            <v>ข้อ 2.2.1-2.2.25</v>
          </cell>
          <cell r="D55" t="str">
            <v>D</v>
          </cell>
          <cell r="E55" t="str">
            <v>สองจุดหนึ่งหนึ่ง</v>
          </cell>
          <cell r="F55"/>
        </row>
        <row r="56">
          <cell r="A56" t="str">
            <v>2.12</v>
          </cell>
          <cell r="B56" t="str">
            <v>ซ่อมเครื่องเป่าลมมือ</v>
          </cell>
          <cell r="C56" t="str">
            <v>ข้อ 2.2.1-2.2.25</v>
          </cell>
          <cell r="D56" t="str">
            <v>D</v>
          </cell>
          <cell r="E56" t="str">
            <v>สองจุดหนึ่งสอง</v>
          </cell>
          <cell r="F56"/>
        </row>
        <row r="57">
          <cell r="A57" t="str">
            <v>2.13</v>
          </cell>
          <cell r="B57" t="str">
            <v>เครื่องทำน้ำอุ่น</v>
          </cell>
          <cell r="C57" t="str">
            <v>ข้อ 2.2.1-2.2.25</v>
          </cell>
          <cell r="D57" t="str">
            <v>D</v>
          </cell>
          <cell r="E57" t="str">
            <v>สองจุดหนึ่งสาม</v>
          </cell>
          <cell r="F57"/>
        </row>
        <row r="58">
          <cell r="A58" t="str">
            <v>2.14</v>
          </cell>
          <cell r="B58" t="str">
            <v>ระบบขอความช่วยเหลือห้องน้ำคนพิการ</v>
          </cell>
          <cell r="C58" t="str">
            <v>ข้อ 2.2.1-2.2.25</v>
          </cell>
          <cell r="D58" t="str">
            <v>D</v>
          </cell>
          <cell r="E58" t="str">
            <v>สองจุดหนึ่งสี่</v>
          </cell>
          <cell r="F58"/>
        </row>
        <row r="59">
          <cell r="A59" t="str">
            <v>2.15</v>
          </cell>
          <cell r="B59" t="str">
            <v xml:space="preserve">ซ่อมอุปกรณ์ไฟอื่นๆ </v>
          </cell>
          <cell r="C59" t="str">
            <v>ข้อ 2.2.1-2.2.25</v>
          </cell>
          <cell r="D59" t="str">
            <v>D</v>
          </cell>
          <cell r="E59" t="str">
            <v>สองจุดหนึ่งห้า</v>
          </cell>
          <cell r="F59"/>
        </row>
        <row r="60">
          <cell r="A60" t="str">
            <v>2.16</v>
          </cell>
          <cell r="B60" t="str">
            <v>อะไหล่ผู้ว่าจ้างจัดหา</v>
          </cell>
          <cell r="C60" t="str">
            <v>-</v>
          </cell>
          <cell r="D60" t="str">
            <v>F</v>
          </cell>
          <cell r="E60" t="str">
            <v>สองจุดหนึ่งหก</v>
          </cell>
          <cell r="F60" t="str">
            <v>-</v>
          </cell>
        </row>
        <row r="62">
          <cell r="A62" t="str">
            <v>3.1</v>
          </cell>
          <cell r="B62" t="str">
            <v>การแจ้งเหตุต่อผู้ว่าจ้างกรณีฉุกเฉิน</v>
          </cell>
          <cell r="C62" t="str">
            <v>ทันที</v>
          </cell>
          <cell r="D62" t="str">
            <v>A</v>
          </cell>
          <cell r="E62" t="str">
            <v>สามจุดหนึ่ง</v>
          </cell>
          <cell r="F62">
            <v>6.9444444444444447E-4</v>
          </cell>
        </row>
        <row r="63">
          <cell r="A63" t="str">
            <v>3.2</v>
          </cell>
          <cell r="B63" t="str">
            <v>เปลี่ยนอุปกรณ์ภายในโคมไฟหรือซ่อมแซมหรือทำความสะอาด / โคม (อ้างอิงตาม ภาคผนวก ฌ.)</v>
          </cell>
          <cell r="C63">
            <v>15</v>
          </cell>
          <cell r="D63"/>
          <cell r="E63" t="str">
            <v>สามจุดสอง</v>
          </cell>
          <cell r="F63">
            <v>1.0416666666666666E-2</v>
          </cell>
        </row>
        <row r="64">
          <cell r="A64" t="str">
            <v>3.2.1</v>
          </cell>
          <cell r="B64" t="str">
            <v>อาคารรักษาการณ์ (Gate House 1-2)</v>
          </cell>
          <cell r="C64">
            <v>15</v>
          </cell>
          <cell r="D64" t="str">
            <v>A</v>
          </cell>
          <cell r="E64" t="str">
            <v>สามจุดสองหนึ่ง</v>
          </cell>
          <cell r="F64">
            <v>1.0416666666666666E-2</v>
          </cell>
        </row>
        <row r="65">
          <cell r="A65" t="str">
            <v>3.2.2</v>
          </cell>
          <cell r="B65" t="str">
            <v>อาคารรักษาการณ์ (Gate House 3-4)</v>
          </cell>
          <cell r="C65">
            <v>15</v>
          </cell>
          <cell r="D65" t="str">
            <v>A</v>
          </cell>
          <cell r="E65" t="str">
            <v>สามจุดสองสอง</v>
          </cell>
          <cell r="F65">
            <v>1.0416666666666666E-2</v>
          </cell>
        </row>
        <row r="66">
          <cell r="A66" t="str">
            <v>3.2.3</v>
          </cell>
          <cell r="B66" t="str">
            <v>อาคารตรวจสินค้าขาออก CE</v>
          </cell>
          <cell r="C66">
            <v>15</v>
          </cell>
          <cell r="D66" t="str">
            <v>A, B</v>
          </cell>
          <cell r="E66" t="str">
            <v>สามจุดสองสาม</v>
          </cell>
          <cell r="F66">
            <v>1.0416666666666666E-2</v>
          </cell>
        </row>
        <row r="67">
          <cell r="A67" t="str">
            <v>3.2.4</v>
          </cell>
          <cell r="B67" t="str">
            <v>อาคารตรวจสินค้าขาเข้า CI</v>
          </cell>
          <cell r="C67">
            <v>15</v>
          </cell>
          <cell r="D67" t="str">
            <v>A, B</v>
          </cell>
          <cell r="E67" t="str">
            <v>สามจุดสองสี่</v>
          </cell>
          <cell r="F67">
            <v>1.0416666666666666E-2</v>
          </cell>
        </row>
        <row r="68">
          <cell r="A68" t="str">
            <v>3.2.5</v>
          </cell>
          <cell r="B68" t="str">
            <v>อาคารตัวแทนขนส่งสินค้าทางอากาศ AO1</v>
          </cell>
          <cell r="C68">
            <v>15</v>
          </cell>
          <cell r="D68" t="str">
            <v>A, B</v>
          </cell>
          <cell r="E68" t="str">
            <v>สามจุดสองห้า</v>
          </cell>
          <cell r="F68">
            <v>1.0416666666666666E-2</v>
          </cell>
        </row>
        <row r="69">
          <cell r="A69" t="str">
            <v>3.2.6</v>
          </cell>
          <cell r="B69" t="str">
            <v>อาคารตัวแทนขนส่งสินค้าทางอากาศ AO2</v>
          </cell>
          <cell r="C69">
            <v>15</v>
          </cell>
          <cell r="D69" t="str">
            <v>A, B</v>
          </cell>
          <cell r="E69" t="str">
            <v>สามจุดสองหก</v>
          </cell>
          <cell r="F69">
            <v>1.0416666666666666E-2</v>
          </cell>
        </row>
        <row r="70">
          <cell r="A70" t="str">
            <v>3.2.7</v>
          </cell>
          <cell r="B70" t="str">
            <v>อาคารตัวแทนขนส่งสินค้าทางอากาศ AO3</v>
          </cell>
          <cell r="C70">
            <v>15</v>
          </cell>
          <cell r="D70" t="str">
            <v>A, B</v>
          </cell>
          <cell r="E70" t="str">
            <v>สามจุดสองเจ็ด</v>
          </cell>
          <cell r="F70">
            <v>1.0416666666666666E-2</v>
          </cell>
        </row>
        <row r="71">
          <cell r="A71" t="str">
            <v>3.2.8</v>
          </cell>
          <cell r="B71" t="str">
            <v>อาคารตัวแทนขนส่งสินค้าทางอากาศ AO4</v>
          </cell>
          <cell r="C71">
            <v>15</v>
          </cell>
          <cell r="D71" t="str">
            <v>A, B</v>
          </cell>
          <cell r="E71" t="str">
            <v>สามจุดสองแปด</v>
          </cell>
          <cell r="F71">
            <v>1.0416666666666666E-2</v>
          </cell>
        </row>
        <row r="72">
          <cell r="A72" t="str">
            <v>3.2.9</v>
          </cell>
          <cell r="B72" t="str">
            <v>อาคารจอดรถยนต์ P1</v>
          </cell>
          <cell r="C72">
            <v>15</v>
          </cell>
          <cell r="D72" t="str">
            <v>A</v>
          </cell>
          <cell r="E72" t="str">
            <v>สามจุดสองเก้า</v>
          </cell>
          <cell r="F72">
            <v>1.0416666666666666E-2</v>
          </cell>
        </row>
        <row r="73">
          <cell r="A73" t="str">
            <v>3.2.10</v>
          </cell>
          <cell r="B73" t="str">
            <v>อาคารจอดรถยนต์ P2 และ BC-2</v>
          </cell>
          <cell r="C73">
            <v>15</v>
          </cell>
          <cell r="D73" t="str">
            <v>A</v>
          </cell>
          <cell r="E73" t="str">
            <v>สามจุดสองหนึ่งศูนย์</v>
          </cell>
          <cell r="F73">
            <v>1.0416666666666666E-2</v>
          </cell>
        </row>
        <row r="74">
          <cell r="A74" t="str">
            <v>3.2.11</v>
          </cell>
          <cell r="B74" t="str">
            <v>อาคารสํานักงานศุลกากรตรวจของผู้โดยสารท่าอากาศยานสุวรรณภูมิ BC-1</v>
          </cell>
          <cell r="C74">
            <v>15</v>
          </cell>
          <cell r="D74" t="str">
            <v>A</v>
          </cell>
          <cell r="E74" t="str">
            <v>สามจุดสองหนึ่งหนึ่ง</v>
          </cell>
          <cell r="F74">
            <v>1.0416666666666666E-2</v>
          </cell>
        </row>
        <row r="75">
          <cell r="A75" t="str">
            <v>3.2.12</v>
          </cell>
          <cell r="B75" t="str">
            <v>อาคารสำนักงานเขตปลอดอากร BFZ</v>
          </cell>
          <cell r="C75">
            <v>15</v>
          </cell>
          <cell r="D75" t="str">
            <v>A</v>
          </cell>
          <cell r="E75" t="str">
            <v>สามจุดสองหนึ่งสอง</v>
          </cell>
          <cell r="F75">
            <v>1.0416666666666666E-2</v>
          </cell>
        </row>
        <row r="76">
          <cell r="A76" t="str">
            <v>3.2.13</v>
          </cell>
          <cell r="B76" t="str">
            <v>ช่องทางผ่านบุคคล AC</v>
          </cell>
          <cell r="C76">
            <v>15</v>
          </cell>
          <cell r="D76" t="str">
            <v>A</v>
          </cell>
          <cell r="E76" t="str">
            <v>สามจุดสองหนึ่งสาม</v>
          </cell>
          <cell r="F76">
            <v>1.0416666666666666E-2</v>
          </cell>
        </row>
        <row r="77">
          <cell r="A77" t="str">
            <v>3.2.14</v>
          </cell>
          <cell r="B77" t="str">
            <v>อาคารคลังสินค้า WH1</v>
          </cell>
          <cell r="C77">
            <v>15</v>
          </cell>
          <cell r="D77" t="str">
            <v>A, B</v>
          </cell>
          <cell r="E77" t="str">
            <v>สามจุดสองหนึ่งสี่</v>
          </cell>
          <cell r="F77">
            <v>1.0416666666666666E-2</v>
          </cell>
        </row>
        <row r="78">
          <cell r="A78" t="str">
            <v>3.2.15</v>
          </cell>
          <cell r="B78" t="str">
            <v>อาคารคลังสินค้า WH2</v>
          </cell>
          <cell r="C78">
            <v>15</v>
          </cell>
          <cell r="D78" t="str">
            <v>A, B</v>
          </cell>
          <cell r="E78" t="str">
            <v>สามจุดสองหนึ่งห้า</v>
          </cell>
          <cell r="F78">
            <v>1.0416666666666666E-2</v>
          </cell>
        </row>
        <row r="79">
          <cell r="A79" t="str">
            <v>3.2.16</v>
          </cell>
          <cell r="B79" t="str">
            <v>อาคารคลังสินค้า WH3</v>
          </cell>
          <cell r="C79">
            <v>15</v>
          </cell>
          <cell r="D79" t="str">
            <v>A, B</v>
          </cell>
          <cell r="E79" t="str">
            <v>สามจุดสองหนึ่งหก</v>
          </cell>
          <cell r="F79">
            <v>1.0416666666666666E-2</v>
          </cell>
        </row>
        <row r="80">
          <cell r="A80" t="str">
            <v>3.2.17</v>
          </cell>
          <cell r="B80" t="str">
            <v>อาคารคลังสินค้า WH4</v>
          </cell>
          <cell r="C80">
            <v>15</v>
          </cell>
          <cell r="D80" t="str">
            <v>A, B</v>
          </cell>
          <cell r="E80" t="str">
            <v>สามจุดสองหนึ่งเจ็ด</v>
          </cell>
          <cell r="F80">
            <v>1.0416666666666666E-2</v>
          </cell>
        </row>
        <row r="81">
          <cell r="A81" t="str">
            <v>3.2.18</v>
          </cell>
          <cell r="B81" t="str">
            <v>ศูนย์บริการเขตปลอดอากร S1</v>
          </cell>
          <cell r="C81">
            <v>15</v>
          </cell>
          <cell r="D81" t="str">
            <v>A, B</v>
          </cell>
          <cell r="E81" t="str">
            <v>สามจุดสองหนึ่งแปด</v>
          </cell>
          <cell r="F81">
            <v>1.0416666666666666E-2</v>
          </cell>
        </row>
        <row r="82">
          <cell r="A82" t="str">
            <v>3.2.19</v>
          </cell>
          <cell r="B82" t="str">
            <v>สถานีตรวจสอบสินค้า CP</v>
          </cell>
          <cell r="C82">
            <v>15</v>
          </cell>
          <cell r="D82" t="str">
            <v>A, B</v>
          </cell>
          <cell r="E82" t="str">
            <v>สามจุดสองหนึ่งเก้า</v>
          </cell>
          <cell r="F82">
            <v>1.0416666666666666E-2</v>
          </cell>
        </row>
        <row r="83">
          <cell r="A83" t="str">
            <v>3.2.20</v>
          </cell>
          <cell r="B83" t="str">
            <v>อาคาร X-RAY IMPORT</v>
          </cell>
          <cell r="C83">
            <v>15</v>
          </cell>
          <cell r="D83" t="str">
            <v>A, B</v>
          </cell>
          <cell r="E83" t="str">
            <v>สามจุดสองสองศูนย์</v>
          </cell>
          <cell r="F83">
            <v>1.0416666666666666E-2</v>
          </cell>
        </row>
        <row r="84">
          <cell r="A84" t="str">
            <v>3.2.21</v>
          </cell>
          <cell r="B84" t="str">
            <v>อาคาร X-RAY EXPORT</v>
          </cell>
          <cell r="C84">
            <v>15</v>
          </cell>
          <cell r="D84" t="str">
            <v>A, B</v>
          </cell>
          <cell r="E84" t="str">
            <v>สามจุดสองสองหนึ่ง</v>
          </cell>
          <cell r="F84">
            <v>1.0416666666666666E-2</v>
          </cell>
        </row>
        <row r="85">
          <cell r="A85" t="str">
            <v>3.2.22</v>
          </cell>
          <cell r="B85" t="str">
            <v>ลานจอดรถบรรทุก และอาคารห้องน้ำ</v>
          </cell>
          <cell r="C85">
            <v>15</v>
          </cell>
          <cell r="D85" t="str">
            <v>A, B</v>
          </cell>
          <cell r="E85" t="str">
            <v>สามจุดสองสองสอง</v>
          </cell>
          <cell r="F85">
            <v>1.0416666666666666E-2</v>
          </cell>
        </row>
        <row r="86">
          <cell r="A86" t="str">
            <v>3.2.23</v>
          </cell>
          <cell r="B86" t="str">
            <v>ลานจอดรถ P4</v>
          </cell>
          <cell r="C86">
            <v>15</v>
          </cell>
          <cell r="D86" t="str">
            <v>B</v>
          </cell>
          <cell r="E86" t="str">
            <v>สามจุดสองสองสาม</v>
          </cell>
          <cell r="F86">
            <v>1.0416666666666666E-2</v>
          </cell>
        </row>
        <row r="87">
          <cell r="A87" t="str">
            <v>3.2.24</v>
          </cell>
          <cell r="B87" t="str">
            <v>ระบบไฟฟ้าป้อมรักษาการณ์ ระบบไฟฟ้าแสงว่างลานจอดรถบริเวณอาคารต่างๆ, ไฟถนนบริเวณรอบอาคาร, สะพานลอย, หลังคาคลุมทางเดิน, ป้ายบอกชื่ออาคารต่างๆ, ป้ายโฆษณา, ป้ายรถ Shuttle Bus, อาคารร้านอาหาร</v>
          </cell>
          <cell r="C87">
            <v>15</v>
          </cell>
          <cell r="D87" t="str">
            <v>A, B</v>
          </cell>
          <cell r="E87" t="str">
            <v>สามจุดสองสองสี่</v>
          </cell>
          <cell r="F87">
            <v>1.0416666666666666E-2</v>
          </cell>
        </row>
        <row r="88">
          <cell r="A88" t="str">
            <v>3.3</v>
          </cell>
          <cell r="B88" t="str">
            <v>การควบคุมการปิด-เปิดไฟแสงสว่างขัดข้อง หรือ เกิด Force Shut down</v>
          </cell>
          <cell r="C88" t="str">
            <v>ข้อ 3.2.1-3.2.24</v>
          </cell>
          <cell r="D88" t="str">
            <v>A</v>
          </cell>
          <cell r="E88" t="str">
            <v>สามจุดสาม</v>
          </cell>
          <cell r="F88"/>
        </row>
        <row r="89">
          <cell r="A89" t="str">
            <v>3.4</v>
          </cell>
          <cell r="B89" t="str">
            <v>เซอร์กิตเบรกเกอร์ "ทริป" (การตัดวงจรของเซอร์กิตเบรคเกอร์)</v>
          </cell>
          <cell r="C89" t="str">
            <v>ข้อ 3.2.1-3.2.24</v>
          </cell>
          <cell r="D89" t="str">
            <v>A</v>
          </cell>
          <cell r="E89" t="str">
            <v>สามจุดสี่</v>
          </cell>
          <cell r="F89"/>
        </row>
        <row r="90">
          <cell r="A90" t="str">
            <v>3.5</v>
          </cell>
          <cell r="B90" t="str">
            <v>ระบบไฟฟ้าแรงสูงขัดข้อง/กะพริบ</v>
          </cell>
          <cell r="C90" t="str">
            <v>ข้อ 3.2.1-3.2.24</v>
          </cell>
          <cell r="D90" t="str">
            <v>B</v>
          </cell>
          <cell r="E90" t="str">
            <v>สามจุดห้า</v>
          </cell>
          <cell r="F90"/>
        </row>
        <row r="91">
          <cell r="A91" t="str">
            <v>3.6</v>
          </cell>
          <cell r="B91" t="str">
            <v>ซ่อมเต้ารับไฟฟ้า / ชุด</v>
          </cell>
          <cell r="C91" t="str">
            <v>ข้อ 3.2.1-3.2.24</v>
          </cell>
          <cell r="D91" t="str">
            <v>A</v>
          </cell>
          <cell r="E91" t="str">
            <v>สามจุดหก</v>
          </cell>
          <cell r="F91"/>
        </row>
        <row r="92">
          <cell r="A92" t="str">
            <v>3.7</v>
          </cell>
          <cell r="B92" t="str">
            <v>ย้ายหรือติดตั้งโคมไฟฟ้า / ชุด</v>
          </cell>
          <cell r="C92" t="str">
            <v>ข้อ 3.2.1-3.2.24</v>
          </cell>
          <cell r="D92" t="str">
            <v>A</v>
          </cell>
          <cell r="E92" t="str">
            <v>สามจุดเจ็ด</v>
          </cell>
          <cell r="F92"/>
        </row>
        <row r="93">
          <cell r="A93" t="str">
            <v>3.8</v>
          </cell>
          <cell r="B93" t="str">
            <v>ย้ายหรือติดตั้งเต้ารับไฟฟ้า / ชุด</v>
          </cell>
          <cell r="C93" t="str">
            <v>ข้อ 3.2.1-3.2.24</v>
          </cell>
          <cell r="D93" t="str">
            <v>A</v>
          </cell>
          <cell r="E93" t="str">
            <v>สามจุดแปด</v>
          </cell>
          <cell r="F93"/>
        </row>
        <row r="94">
          <cell r="A94" t="str">
            <v>3.9</v>
          </cell>
          <cell r="B94" t="str">
            <v>เปลี่ยน หางปลา สายไฟฟ้า แม็กเนติก  เป็นต้น สำหรับชุดคอนโทรล</v>
          </cell>
          <cell r="C94" t="str">
            <v>ข้อ 3.2.1-3.2.24</v>
          </cell>
          <cell r="D94" t="str">
            <v>C</v>
          </cell>
          <cell r="E94" t="str">
            <v>สามจุดเก้า</v>
          </cell>
          <cell r="F94"/>
        </row>
        <row r="95">
          <cell r="A95" t="str">
            <v>3.10</v>
          </cell>
          <cell r="B95" t="str">
            <v>เปลี่ยนสายไฟฟ้าในรางเดินสายกรณีสายไฟฟ้าลัดวงจร</v>
          </cell>
          <cell r="C95" t="str">
            <v>ข้อ 3.2.1-3.2.24</v>
          </cell>
          <cell r="D95" t="str">
            <v>D</v>
          </cell>
          <cell r="E95" t="str">
            <v>สามจุดหนึ่งศูนย์</v>
          </cell>
          <cell r="F95"/>
        </row>
        <row r="96">
          <cell r="A96" t="str">
            <v>3.11</v>
          </cell>
          <cell r="B96" t="str">
            <v>ซ่อมตู้เมนไฟฟ้า, สายเมนไฟฟ้า, แผงจ่ายไฟฟ้า, สายไฟฟ้าวงจรย่อย</v>
          </cell>
          <cell r="C96" t="str">
            <v>ข้อ 3.2.1-3.2.24</v>
          </cell>
          <cell r="D96" t="str">
            <v>D</v>
          </cell>
          <cell r="E96" t="str">
            <v>สามจุดหนึ่งหนึ่ง</v>
          </cell>
          <cell r="F96"/>
        </row>
        <row r="97">
          <cell r="A97" t="str">
            <v>3.12</v>
          </cell>
          <cell r="B97" t="str">
            <v>ซ่อมเครื่องเป่าลมมือ</v>
          </cell>
          <cell r="C97" t="str">
            <v>ข้อ 3.2.1-3.2.24</v>
          </cell>
          <cell r="D97" t="str">
            <v>D</v>
          </cell>
          <cell r="E97" t="str">
            <v>สามจุดหนึ่งสอง</v>
          </cell>
          <cell r="F97"/>
        </row>
        <row r="98">
          <cell r="A98" t="str">
            <v>3.13</v>
          </cell>
          <cell r="B98" t="str">
            <v>เครื่องทำน้ำอุ่น</v>
          </cell>
          <cell r="C98" t="str">
            <v>ข้อ 3.2.1-3.2.24</v>
          </cell>
          <cell r="D98" t="str">
            <v>D</v>
          </cell>
          <cell r="E98" t="str">
            <v>สามจุดหนึ่งสาม</v>
          </cell>
          <cell r="F98"/>
        </row>
        <row r="99">
          <cell r="A99" t="str">
            <v>3.14</v>
          </cell>
          <cell r="B99" t="str">
            <v>ระบบขอความช่วยเหลือห้องน้ำคนพิการ</v>
          </cell>
          <cell r="C99" t="str">
            <v>ข้อ 3.2.1-3.2.24</v>
          </cell>
          <cell r="D99" t="str">
            <v>D</v>
          </cell>
          <cell r="E99" t="str">
            <v>สามจุดหนึ่งสี่</v>
          </cell>
          <cell r="F99"/>
        </row>
        <row r="100">
          <cell r="A100" t="str">
            <v>3.15</v>
          </cell>
          <cell r="B100" t="str">
            <v>ซ่อมอุปกรณ์ไฟอื่นๆ</v>
          </cell>
          <cell r="C100" t="str">
            <v>ข้อ 3.2.1-3.2.24</v>
          </cell>
          <cell r="D100" t="str">
            <v>D</v>
          </cell>
          <cell r="E100" t="str">
            <v>สามจุดหนึ่งห้า</v>
          </cell>
          <cell r="F100"/>
        </row>
        <row r="101">
          <cell r="A101" t="str">
            <v>3.16</v>
          </cell>
          <cell r="B101" t="str">
            <v>อะไหล่ผู้ว่าจ้างจัดหา</v>
          </cell>
          <cell r="C101" t="str">
            <v>-</v>
          </cell>
          <cell r="D101" t="str">
            <v>F</v>
          </cell>
          <cell r="E101" t="str">
            <v>สามจุดหนึ่งหก</v>
          </cell>
          <cell r="F101" t="str">
            <v>-</v>
          </cell>
        </row>
        <row r="103">
          <cell r="A103" t="str">
            <v>4.1</v>
          </cell>
          <cell r="B103" t="str">
            <v>การแจ้งเหตุต่อผู้ว่าจ้างกรณีฉุกเฉิน</v>
          </cell>
          <cell r="C103" t="str">
            <v>ทันที</v>
          </cell>
          <cell r="D103" t="str">
            <v>A</v>
          </cell>
          <cell r="E103" t="str">
            <v>สี่จุดหนึ่ง</v>
          </cell>
          <cell r="F103">
            <v>6.9444444444444447E-4</v>
          </cell>
        </row>
        <row r="104">
          <cell r="A104" t="str">
            <v>4.2</v>
          </cell>
          <cell r="B104" t="str">
            <v>การควบคุมการปิด-เปิดไฟแสงสว่างขัดข้อง</v>
          </cell>
          <cell r="C104">
            <v>15</v>
          </cell>
          <cell r="D104" t="str">
            <v>A</v>
          </cell>
          <cell r="E104" t="str">
            <v>สี่จุดสอง</v>
          </cell>
          <cell r="F104">
            <v>1.0416666666666666E-2</v>
          </cell>
        </row>
        <row r="105">
          <cell r="A105" t="str">
            <v>4.3</v>
          </cell>
          <cell r="B105" t="str">
            <v>เซอร์กิตเบรกเกอร์ "ทริป" (การตัดวงจรของเซอร์กิตเบรคเกอร์)</v>
          </cell>
          <cell r="C105">
            <v>20</v>
          </cell>
          <cell r="D105" t="str">
            <v>A</v>
          </cell>
          <cell r="E105" t="str">
            <v>สี่จุดสาม</v>
          </cell>
          <cell r="F105">
            <v>1.3888888888888888E-2</v>
          </cell>
        </row>
        <row r="106">
          <cell r="A106" t="str">
            <v>4.4</v>
          </cell>
          <cell r="B106" t="str">
            <v>ระบบไฟฟ้าแรงสูงขัดข้อง/กระพริบ</v>
          </cell>
          <cell r="C106">
            <v>20</v>
          </cell>
          <cell r="D106" t="str">
            <v>B</v>
          </cell>
          <cell r="E106" t="str">
            <v>สี่จุดสี่</v>
          </cell>
          <cell r="F106">
            <v>1.3888888888888888E-2</v>
          </cell>
        </row>
        <row r="107">
          <cell r="A107" t="str">
            <v>4.5</v>
          </cell>
          <cell r="B107" t="str">
            <v>สำรวจตรวจสอบโคมไฟ หรือซ่อมแซมหรือทำความสะอาด/โคม (อ้างอิงตาม ภาคผนวก ฌ.)</v>
          </cell>
          <cell r="C107">
            <v>20</v>
          </cell>
          <cell r="D107" t="str">
            <v>A, B, C, D</v>
          </cell>
          <cell r="E107" t="str">
            <v>สี่จุดห้า</v>
          </cell>
          <cell r="F107">
            <v>1.3888888888888888E-2</v>
          </cell>
        </row>
        <row r="108">
          <cell r="A108" t="str">
            <v>4.6</v>
          </cell>
          <cell r="B108" t="str">
            <v>ซ่อมเต้ารับไฟฟ้า / ชุด</v>
          </cell>
          <cell r="C108">
            <v>15</v>
          </cell>
          <cell r="D108" t="str">
            <v>A</v>
          </cell>
          <cell r="E108" t="str">
            <v>สี่จุดหก</v>
          </cell>
          <cell r="F108">
            <v>1.0416666666666666E-2</v>
          </cell>
        </row>
        <row r="109">
          <cell r="A109" t="str">
            <v>4.7</v>
          </cell>
          <cell r="B109" t="str">
            <v>ย้ายหรือติดตั้งโคมไฟฟ้า / ชุด</v>
          </cell>
          <cell r="C109">
            <v>15</v>
          </cell>
          <cell r="D109" t="str">
            <v>A</v>
          </cell>
          <cell r="E109" t="str">
            <v>สี่จุดเจ็ด</v>
          </cell>
          <cell r="F109">
            <v>1.0416666666666666E-2</v>
          </cell>
        </row>
        <row r="110">
          <cell r="A110" t="str">
            <v>4.8</v>
          </cell>
          <cell r="B110" t="str">
            <v>ย้ายหรือติดตั้งเต้ารับไฟฟ้า / ชุด</v>
          </cell>
          <cell r="C110">
            <v>15</v>
          </cell>
          <cell r="D110" t="str">
            <v>C</v>
          </cell>
          <cell r="E110" t="str">
            <v>สี่จุดแปด</v>
          </cell>
          <cell r="F110">
            <v>1.0416666666666666E-2</v>
          </cell>
        </row>
        <row r="111">
          <cell r="A111" t="str">
            <v>4.9</v>
          </cell>
          <cell r="B111" t="str">
            <v>เปลี่ยน หางปลา สายไฟฟ้า แม็กเนติก สำหรับชุดคอนโทรล เป็นต้น</v>
          </cell>
          <cell r="C111">
            <v>15</v>
          </cell>
          <cell r="D111" t="str">
            <v>D</v>
          </cell>
          <cell r="E111" t="str">
            <v>สี่จุดเก้า</v>
          </cell>
          <cell r="F111">
            <v>1.0416666666666666E-2</v>
          </cell>
        </row>
        <row r="112">
          <cell r="A112" t="str">
            <v>4.10</v>
          </cell>
          <cell r="B112" t="str">
            <v>เปลี่ยนสายไฟฟ้าในรางเดินสายกรณีสายไฟฟ้าลัดวงจร</v>
          </cell>
          <cell r="C112">
            <v>15</v>
          </cell>
          <cell r="D112" t="str">
            <v>D</v>
          </cell>
          <cell r="E112" t="str">
            <v>สี่จุดหนึ่งศูนย์</v>
          </cell>
          <cell r="F112">
            <v>1.0416666666666666E-2</v>
          </cell>
        </row>
        <row r="113">
          <cell r="A113" t="str">
            <v>4.11</v>
          </cell>
          <cell r="B113" t="str">
            <v>ซ่อมตู้เมนไฟฟ้า, แผงจ่ายไฟฟ้า</v>
          </cell>
          <cell r="C113">
            <v>15</v>
          </cell>
          <cell r="D113" t="str">
            <v>D</v>
          </cell>
          <cell r="E113" t="str">
            <v>สี่จุดหนึ่งหนึ่ง</v>
          </cell>
          <cell r="F113">
            <v>1.0416666666666666E-2</v>
          </cell>
        </row>
        <row r="114">
          <cell r="A114" t="str">
            <v>4.12</v>
          </cell>
          <cell r="B114" t="str">
            <v xml:space="preserve">เครื่องเป่าลมมือ </v>
          </cell>
          <cell r="C114">
            <v>15</v>
          </cell>
          <cell r="D114" t="str">
            <v>D</v>
          </cell>
          <cell r="E114" t="str">
            <v>สี่จุดหนึ่งสอง</v>
          </cell>
          <cell r="F114">
            <v>1.0416666666666666E-2</v>
          </cell>
        </row>
        <row r="115">
          <cell r="A115" t="str">
            <v>4.13</v>
          </cell>
          <cell r="B115" t="str">
            <v>เครื่องทำน้ำอุ่น</v>
          </cell>
          <cell r="C115">
            <v>15</v>
          </cell>
          <cell r="D115" t="str">
            <v>D</v>
          </cell>
          <cell r="E115" t="str">
            <v>สี่จุดหนึ่งสาม</v>
          </cell>
          <cell r="F115">
            <v>1.0416666666666666E-2</v>
          </cell>
        </row>
        <row r="116">
          <cell r="A116" t="str">
            <v>4.14</v>
          </cell>
          <cell r="B116" t="str">
            <v>ระบบขอความช่วยเหลือห้องน้ำคนพิการ</v>
          </cell>
          <cell r="C116">
            <v>15</v>
          </cell>
          <cell r="D116" t="str">
            <v>D</v>
          </cell>
          <cell r="E116" t="str">
            <v>สี่จุดหนึ่งสี่</v>
          </cell>
          <cell r="F116">
            <v>1.0416666666666666E-2</v>
          </cell>
        </row>
        <row r="117">
          <cell r="A117" t="str">
            <v>4.15</v>
          </cell>
          <cell r="B117" t="str">
            <v>ซ่อมอุปกรณ์ไฟอื่นๆ</v>
          </cell>
          <cell r="C117">
            <v>15</v>
          </cell>
          <cell r="D117" t="str">
            <v>E</v>
          </cell>
          <cell r="E117" t="str">
            <v>สี่จุดหนึ่งห้า</v>
          </cell>
          <cell r="F117">
            <v>1.0416666666666666E-2</v>
          </cell>
        </row>
        <row r="118">
          <cell r="A118" t="str">
            <v>4.16</v>
          </cell>
          <cell r="B118" t="str">
            <v>อะไหล่ผู้ว่าจ้างจัดหา</v>
          </cell>
          <cell r="C118" t="str">
            <v>-</v>
          </cell>
          <cell r="D118" t="str">
            <v>F</v>
          </cell>
          <cell r="E118" t="str">
            <v>สี่จุดหนึ่งหก</v>
          </cell>
          <cell r="F118" t="str">
            <v>-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B00B-1214-44D2-9EC6-DCD0669C27F8}">
  <sheetPr codeName="Sheet1">
    <pageSetUpPr fitToPage="1"/>
  </sheetPr>
  <dimension ref="A1:V48"/>
  <sheetViews>
    <sheetView tabSelected="1" view="pageBreakPreview" zoomScaleNormal="100" zoomScaleSheetLayoutView="100" workbookViewId="0">
      <selection activeCell="E23" sqref="E23"/>
    </sheetView>
  </sheetViews>
  <sheetFormatPr defaultColWidth="10.42578125" defaultRowHeight="21.75" customHeight="1" x14ac:dyDescent="0.3"/>
  <cols>
    <col min="1" max="16" width="6.42578125" style="32" customWidth="1"/>
    <col min="17" max="25" width="6.28515625" style="32" customWidth="1"/>
    <col min="26" max="27" width="5.28515625" style="32" customWidth="1"/>
    <col min="28" max="16384" width="10.42578125" style="32"/>
  </cols>
  <sheetData>
    <row r="1" spans="1:18" s="22" customFormat="1" ht="21" x14ac:dyDescent="0.3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0"/>
      <c r="Q1" s="21"/>
      <c r="R1" s="21"/>
    </row>
    <row r="2" spans="1:18" s="22" customFormat="1" ht="21" x14ac:dyDescent="0.3">
      <c r="A2" s="23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4"/>
      <c r="Q2" s="17"/>
      <c r="R2" s="17"/>
    </row>
    <row r="3" spans="1:18" s="22" customFormat="1" ht="21" x14ac:dyDescent="0.35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6"/>
      <c r="Q3" s="17"/>
      <c r="R3" s="17"/>
    </row>
    <row r="4" spans="1:18" s="22" customFormat="1" ht="21" x14ac:dyDescent="0.35">
      <c r="A4" s="74" t="s">
        <v>36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6"/>
      <c r="Q4" s="17"/>
      <c r="R4" s="17"/>
    </row>
    <row r="5" spans="1:18" s="22" customFormat="1" ht="21" x14ac:dyDescent="0.35">
      <c r="A5" s="74" t="s">
        <v>35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6"/>
      <c r="Q5" s="17"/>
      <c r="R5" s="17"/>
    </row>
    <row r="6" spans="1:18" s="22" customFormat="1" ht="21" x14ac:dyDescent="0.3">
      <c r="A6" s="77" t="s">
        <v>34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78"/>
      <c r="Q6" s="17"/>
      <c r="R6" s="17"/>
    </row>
    <row r="7" spans="1:18" s="22" customFormat="1" ht="21" x14ac:dyDescent="0.3">
      <c r="A7" s="23"/>
      <c r="C7" s="79" t="s">
        <v>20</v>
      </c>
      <c r="D7" s="79"/>
      <c r="E7" s="73"/>
      <c r="F7" s="73"/>
      <c r="G7" s="73"/>
      <c r="H7" s="73"/>
      <c r="I7" s="67" t="s">
        <v>33</v>
      </c>
      <c r="J7" s="67"/>
      <c r="K7" s="67"/>
      <c r="L7" s="67"/>
      <c r="M7" s="67"/>
      <c r="N7" s="67"/>
      <c r="O7" s="21"/>
      <c r="P7" s="24"/>
      <c r="Q7" s="17"/>
    </row>
    <row r="8" spans="1:18" s="22" customFormat="1" ht="9.9499999999999993" customHeight="1" x14ac:dyDescent="0.3">
      <c r="A8" s="23"/>
      <c r="P8" s="25"/>
      <c r="Q8" s="17"/>
      <c r="R8" s="17"/>
    </row>
    <row r="9" spans="1:18" s="22" customFormat="1" ht="21" x14ac:dyDescent="0.3">
      <c r="A9" s="61" t="s">
        <v>32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  <c r="Q9" s="17"/>
      <c r="R9" s="17"/>
    </row>
    <row r="10" spans="1:18" s="22" customFormat="1" ht="21" x14ac:dyDescent="0.3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6"/>
      <c r="Q10" s="21"/>
      <c r="R10" s="21"/>
    </row>
    <row r="11" spans="1:18" s="30" customFormat="1" ht="10.15" customHeight="1" x14ac:dyDescent="0.3">
      <c r="A11" s="26"/>
      <c r="B11" s="27"/>
      <c r="C11" s="27"/>
      <c r="D11" s="27"/>
      <c r="E11" s="27"/>
      <c r="F11" s="27"/>
      <c r="G11" s="27"/>
      <c r="H11" s="28"/>
      <c r="I11" s="28"/>
      <c r="J11" s="28"/>
      <c r="K11" s="28"/>
      <c r="L11" s="28"/>
      <c r="M11" s="27"/>
      <c r="N11" s="27"/>
      <c r="O11" s="28"/>
      <c r="P11" s="29"/>
    </row>
    <row r="12" spans="1:18" s="30" customFormat="1" ht="18.75" x14ac:dyDescent="0.3">
      <c r="A12" s="31"/>
      <c r="B12" s="32" t="s">
        <v>39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</row>
    <row r="13" spans="1:18" s="30" customFormat="1" ht="18.75" x14ac:dyDescent="0.3">
      <c r="A13" s="34"/>
      <c r="B13" s="32"/>
      <c r="C13" s="35" t="s">
        <v>17</v>
      </c>
      <c r="D13" s="32" t="s">
        <v>37</v>
      </c>
      <c r="E13" s="32"/>
      <c r="F13" s="32"/>
      <c r="G13" s="32"/>
      <c r="H13" s="32"/>
      <c r="I13" s="32"/>
      <c r="J13" s="32" t="s">
        <v>38</v>
      </c>
      <c r="K13" s="32"/>
      <c r="L13" s="32"/>
      <c r="M13" s="32"/>
      <c r="N13" s="32"/>
      <c r="O13" s="32"/>
      <c r="P13" s="33"/>
    </row>
    <row r="14" spans="1:18" s="30" customFormat="1" ht="18.75" x14ac:dyDescent="0.3">
      <c r="A14" s="34"/>
      <c r="B14" s="32"/>
      <c r="C14" s="35" t="s">
        <v>17</v>
      </c>
      <c r="D14" s="32" t="s">
        <v>18</v>
      </c>
      <c r="E14" s="32"/>
      <c r="F14" s="32"/>
      <c r="G14" s="32"/>
      <c r="H14" s="32"/>
      <c r="I14" s="32"/>
      <c r="J14" s="32" t="s">
        <v>38</v>
      </c>
      <c r="K14" s="32"/>
      <c r="L14" s="32"/>
      <c r="M14" s="32"/>
      <c r="N14" s="32"/>
      <c r="O14" s="32"/>
      <c r="P14" s="33"/>
    </row>
    <row r="15" spans="1:18" s="30" customFormat="1" ht="18.75" x14ac:dyDescent="0.3">
      <c r="A15" s="34"/>
      <c r="B15" s="32"/>
      <c r="C15" s="35" t="s">
        <v>17</v>
      </c>
      <c r="D15" s="32" t="s">
        <v>19</v>
      </c>
      <c r="E15" s="32"/>
      <c r="F15" s="32"/>
      <c r="G15" s="32"/>
      <c r="H15" s="32"/>
      <c r="I15" s="32"/>
      <c r="J15" s="32" t="s">
        <v>38</v>
      </c>
      <c r="K15" s="32"/>
      <c r="L15" s="32"/>
      <c r="M15" s="32"/>
      <c r="N15" s="32"/>
      <c r="O15" s="32"/>
      <c r="P15" s="33"/>
    </row>
    <row r="16" spans="1:18" s="30" customFormat="1" ht="18.75" x14ac:dyDescent="0.3">
      <c r="A16" s="34"/>
      <c r="B16" s="32" t="s">
        <v>48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</row>
    <row r="17" spans="1:16" s="30" customFormat="1" ht="10.15" customHeight="1" x14ac:dyDescent="0.3">
      <c r="A17" s="34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</row>
    <row r="18" spans="1:16" s="30" customFormat="1" ht="18.75" x14ac:dyDescent="0.3">
      <c r="A18" s="34"/>
      <c r="B18" s="32"/>
      <c r="D18" s="36" t="s">
        <v>40</v>
      </c>
      <c r="E18" s="36"/>
      <c r="F18" s="36"/>
      <c r="G18" s="36"/>
      <c r="H18" s="36"/>
      <c r="I18" s="36"/>
      <c r="J18" s="36"/>
      <c r="K18" s="36"/>
      <c r="L18" s="36"/>
      <c r="M18" s="32"/>
      <c r="N18" s="32"/>
      <c r="O18" s="32"/>
      <c r="P18" s="33"/>
    </row>
    <row r="19" spans="1:16" s="30" customFormat="1" ht="18.75" x14ac:dyDescent="0.3">
      <c r="A19" s="34"/>
      <c r="B19" s="32"/>
      <c r="D19" s="32"/>
      <c r="E19" s="35" t="s">
        <v>17</v>
      </c>
      <c r="F19" s="32" t="s">
        <v>37</v>
      </c>
      <c r="G19" s="32"/>
      <c r="H19" s="32"/>
      <c r="I19" s="32"/>
      <c r="J19" s="32"/>
      <c r="K19" s="32"/>
      <c r="L19" s="32" t="s">
        <v>38</v>
      </c>
      <c r="M19" s="32"/>
      <c r="N19" s="32"/>
      <c r="O19" s="32"/>
      <c r="P19" s="33"/>
    </row>
    <row r="20" spans="1:16" s="30" customFormat="1" ht="18.75" x14ac:dyDescent="0.3">
      <c r="A20" s="34"/>
      <c r="B20" s="32"/>
      <c r="D20" s="32"/>
      <c r="E20" s="35" t="s">
        <v>17</v>
      </c>
      <c r="F20" s="32" t="s">
        <v>18</v>
      </c>
      <c r="G20" s="32"/>
      <c r="H20" s="32"/>
      <c r="I20" s="32"/>
      <c r="J20" s="32"/>
      <c r="K20" s="32"/>
      <c r="L20" s="32" t="s">
        <v>38</v>
      </c>
      <c r="M20" s="32"/>
      <c r="N20" s="32"/>
      <c r="O20" s="32"/>
      <c r="P20" s="33"/>
    </row>
    <row r="21" spans="1:16" s="30" customFormat="1" ht="18.75" x14ac:dyDescent="0.3">
      <c r="A21" s="34"/>
      <c r="B21" s="32"/>
      <c r="D21" s="32"/>
      <c r="E21" s="35" t="s">
        <v>17</v>
      </c>
      <c r="F21" s="32" t="s">
        <v>19</v>
      </c>
      <c r="G21" s="32"/>
      <c r="H21" s="32"/>
      <c r="I21" s="32"/>
      <c r="J21" s="32"/>
      <c r="K21" s="32"/>
      <c r="L21" s="32" t="s">
        <v>38</v>
      </c>
      <c r="P21" s="37"/>
    </row>
    <row r="22" spans="1:16" s="30" customFormat="1" ht="18.75" x14ac:dyDescent="0.3">
      <c r="A22" s="31"/>
      <c r="B22" s="32"/>
      <c r="D22" s="38" t="s">
        <v>41</v>
      </c>
      <c r="E22" s="38"/>
      <c r="F22" s="38"/>
      <c r="G22" s="38"/>
      <c r="H22" s="38"/>
      <c r="I22" s="38"/>
      <c r="J22" s="38"/>
      <c r="K22" s="38"/>
      <c r="L22" s="38"/>
      <c r="M22" s="32"/>
      <c r="N22" s="32"/>
      <c r="O22" s="32"/>
      <c r="P22" s="33"/>
    </row>
    <row r="23" spans="1:16" s="30" customFormat="1" ht="18.75" x14ac:dyDescent="0.3">
      <c r="A23" s="34"/>
      <c r="B23" s="32"/>
      <c r="D23" s="32"/>
      <c r="E23" s="35" t="s">
        <v>17</v>
      </c>
      <c r="F23" s="32" t="s">
        <v>37</v>
      </c>
      <c r="G23" s="32"/>
      <c r="H23" s="32"/>
      <c r="I23" s="32"/>
      <c r="J23" s="32"/>
      <c r="K23" s="32"/>
      <c r="L23" s="32" t="s">
        <v>38</v>
      </c>
      <c r="M23" s="32"/>
      <c r="N23" s="32"/>
      <c r="O23" s="32"/>
      <c r="P23" s="33"/>
    </row>
    <row r="24" spans="1:16" s="30" customFormat="1" ht="18.75" x14ac:dyDescent="0.3">
      <c r="A24" s="34"/>
      <c r="B24" s="32"/>
      <c r="D24" s="32"/>
      <c r="E24" s="35" t="s">
        <v>17</v>
      </c>
      <c r="F24" s="32" t="s">
        <v>18</v>
      </c>
      <c r="G24" s="32"/>
      <c r="H24" s="32"/>
      <c r="I24" s="32"/>
      <c r="J24" s="32"/>
      <c r="K24" s="32"/>
      <c r="L24" s="32" t="s">
        <v>38</v>
      </c>
      <c r="M24" s="32"/>
      <c r="N24" s="32"/>
      <c r="O24" s="32"/>
      <c r="P24" s="33"/>
    </row>
    <row r="25" spans="1:16" s="30" customFormat="1" ht="18.75" x14ac:dyDescent="0.3">
      <c r="A25" s="34"/>
      <c r="B25" s="32"/>
      <c r="D25" s="32"/>
      <c r="E25" s="35" t="s">
        <v>17</v>
      </c>
      <c r="F25" s="32" t="s">
        <v>19</v>
      </c>
      <c r="G25" s="32"/>
      <c r="H25" s="32"/>
      <c r="I25" s="32"/>
      <c r="J25" s="32"/>
      <c r="K25" s="32"/>
      <c r="L25" s="32" t="s">
        <v>38</v>
      </c>
      <c r="M25" s="32"/>
      <c r="N25" s="32"/>
      <c r="O25" s="32"/>
      <c r="P25" s="33"/>
    </row>
    <row r="26" spans="1:16" s="30" customFormat="1" ht="18.75" x14ac:dyDescent="0.3">
      <c r="A26" s="34"/>
      <c r="B26" s="32"/>
      <c r="D26" s="39" t="s">
        <v>42</v>
      </c>
      <c r="E26" s="39"/>
      <c r="F26" s="39"/>
      <c r="G26" s="39"/>
      <c r="H26" s="39"/>
      <c r="I26" s="39"/>
      <c r="J26" s="39"/>
      <c r="K26" s="39"/>
      <c r="L26" s="39"/>
      <c r="M26" s="32"/>
      <c r="N26" s="32"/>
      <c r="O26" s="32"/>
      <c r="P26" s="33"/>
    </row>
    <row r="27" spans="1:16" ht="18.75" x14ac:dyDescent="0.3">
      <c r="A27" s="34"/>
      <c r="E27" s="35" t="s">
        <v>17</v>
      </c>
      <c r="F27" s="32" t="s">
        <v>37</v>
      </c>
      <c r="L27" s="32" t="s">
        <v>38</v>
      </c>
      <c r="P27" s="33"/>
    </row>
    <row r="28" spans="1:16" s="30" customFormat="1" ht="18.75" x14ac:dyDescent="0.3">
      <c r="A28" s="34"/>
      <c r="B28" s="32"/>
      <c r="D28" s="32"/>
      <c r="E28" s="35" t="s">
        <v>17</v>
      </c>
      <c r="F28" s="32" t="s">
        <v>18</v>
      </c>
      <c r="G28" s="32"/>
      <c r="H28" s="32"/>
      <c r="I28" s="32"/>
      <c r="J28" s="32"/>
      <c r="K28" s="32"/>
      <c r="L28" s="32" t="s">
        <v>38</v>
      </c>
      <c r="M28" s="32"/>
      <c r="N28" s="32"/>
      <c r="P28" s="37"/>
    </row>
    <row r="29" spans="1:16" s="30" customFormat="1" ht="18.75" x14ac:dyDescent="0.3">
      <c r="A29" s="31"/>
      <c r="B29" s="32"/>
      <c r="D29" s="32"/>
      <c r="E29" s="35" t="s">
        <v>17</v>
      </c>
      <c r="F29" s="32" t="s">
        <v>19</v>
      </c>
      <c r="G29" s="32"/>
      <c r="H29" s="32"/>
      <c r="I29" s="32"/>
      <c r="J29" s="32"/>
      <c r="K29" s="32"/>
      <c r="L29" s="32" t="s">
        <v>38</v>
      </c>
      <c r="M29" s="32"/>
      <c r="N29" s="32"/>
      <c r="O29" s="32"/>
      <c r="P29" s="33"/>
    </row>
    <row r="30" spans="1:16" s="30" customFormat="1" ht="18.75" x14ac:dyDescent="0.3">
      <c r="A30" s="34"/>
      <c r="B30" s="32"/>
      <c r="D30" s="40" t="s">
        <v>43</v>
      </c>
      <c r="E30" s="40"/>
      <c r="F30" s="40"/>
      <c r="G30" s="40"/>
      <c r="H30" s="40"/>
      <c r="I30" s="40"/>
      <c r="J30" s="40"/>
      <c r="K30" s="40"/>
      <c r="L30" s="40"/>
      <c r="M30" s="32"/>
      <c r="N30" s="32"/>
      <c r="O30" s="32"/>
      <c r="P30" s="33"/>
    </row>
    <row r="31" spans="1:16" ht="18.75" x14ac:dyDescent="0.3">
      <c r="A31" s="34"/>
      <c r="E31" s="35" t="s">
        <v>17</v>
      </c>
      <c r="F31" s="32" t="s">
        <v>37</v>
      </c>
      <c r="L31" s="32" t="s">
        <v>38</v>
      </c>
      <c r="P31" s="33"/>
    </row>
    <row r="32" spans="1:16" s="30" customFormat="1" ht="18.75" x14ac:dyDescent="0.3">
      <c r="A32" s="34"/>
      <c r="B32" s="32"/>
      <c r="D32" s="32"/>
      <c r="E32" s="35" t="s">
        <v>17</v>
      </c>
      <c r="F32" s="32" t="s">
        <v>18</v>
      </c>
      <c r="G32" s="32"/>
      <c r="H32" s="32"/>
      <c r="I32" s="32"/>
      <c r="J32" s="32"/>
      <c r="K32" s="32"/>
      <c r="L32" s="32" t="s">
        <v>38</v>
      </c>
      <c r="M32" s="32"/>
      <c r="N32" s="32"/>
      <c r="O32" s="32"/>
      <c r="P32" s="33"/>
    </row>
    <row r="33" spans="1:22" s="30" customFormat="1" ht="18.75" x14ac:dyDescent="0.3">
      <c r="A33" s="34"/>
      <c r="B33" s="32"/>
      <c r="D33" s="32"/>
      <c r="E33" s="35" t="s">
        <v>17</v>
      </c>
      <c r="F33" s="32" t="s">
        <v>19</v>
      </c>
      <c r="G33" s="32"/>
      <c r="H33" s="32"/>
      <c r="I33" s="32"/>
      <c r="J33" s="32"/>
      <c r="K33" s="32"/>
      <c r="L33" s="32" t="s">
        <v>38</v>
      </c>
      <c r="M33" s="32"/>
      <c r="N33" s="32"/>
      <c r="O33" s="32"/>
      <c r="P33" s="33"/>
    </row>
    <row r="34" spans="1:22" s="30" customFormat="1" ht="10.15" customHeight="1" x14ac:dyDescent="0.3">
      <c r="A34" s="34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</row>
    <row r="35" spans="1:22" s="30" customFormat="1" ht="18.75" x14ac:dyDescent="0.3">
      <c r="A35" s="34"/>
      <c r="B35" s="32" t="s">
        <v>44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/>
    </row>
    <row r="36" spans="1:22" s="30" customFormat="1" ht="18.75" x14ac:dyDescent="0.3">
      <c r="A36" s="34"/>
      <c r="B36" s="32"/>
      <c r="C36" s="41" t="s">
        <v>31</v>
      </c>
      <c r="D36" s="41"/>
      <c r="E36" s="41"/>
      <c r="F36" s="41"/>
      <c r="G36" s="41"/>
      <c r="H36" s="32"/>
      <c r="I36" s="41" t="s">
        <v>30</v>
      </c>
      <c r="J36" s="41"/>
      <c r="K36" s="41"/>
      <c r="L36" s="41"/>
      <c r="M36" s="41"/>
      <c r="N36" s="32"/>
      <c r="O36" s="32"/>
      <c r="P36" s="33"/>
    </row>
    <row r="37" spans="1:22" s="30" customFormat="1" ht="18.75" x14ac:dyDescent="0.3">
      <c r="A37" s="34"/>
      <c r="B37" s="32"/>
      <c r="D37" s="32" t="s">
        <v>45</v>
      </c>
      <c r="E37" s="32"/>
      <c r="F37" s="32"/>
      <c r="G37" s="32"/>
      <c r="H37" s="32"/>
      <c r="I37" s="32"/>
      <c r="J37" s="32" t="s">
        <v>45</v>
      </c>
      <c r="K37" s="32"/>
      <c r="L37" s="32"/>
      <c r="M37" s="32"/>
      <c r="N37" s="32"/>
      <c r="O37" s="32"/>
      <c r="P37" s="33"/>
    </row>
    <row r="38" spans="1:22" s="30" customFormat="1" ht="18.75" x14ac:dyDescent="0.3">
      <c r="A38" s="34"/>
      <c r="B38" s="32"/>
      <c r="C38" s="32"/>
      <c r="D38" s="35"/>
      <c r="E38" s="32" t="s">
        <v>38</v>
      </c>
      <c r="F38" s="42" t="str">
        <f>IFERROR((D38/(D38+D40))*100,"")</f>
        <v/>
      </c>
      <c r="G38" s="32" t="s">
        <v>47</v>
      </c>
      <c r="H38" s="32"/>
      <c r="I38" s="32"/>
      <c r="J38" s="35"/>
      <c r="K38" s="32" t="s">
        <v>38</v>
      </c>
      <c r="L38" s="42" t="str">
        <f>IFERROR((J38/(J38+J40))*100,"")</f>
        <v/>
      </c>
      <c r="M38" s="32" t="s">
        <v>47</v>
      </c>
      <c r="N38" s="32"/>
      <c r="O38" s="32"/>
      <c r="P38" s="33"/>
    </row>
    <row r="39" spans="1:22" s="30" customFormat="1" ht="18.75" x14ac:dyDescent="0.3">
      <c r="A39" s="34"/>
      <c r="B39" s="32"/>
      <c r="C39" s="32"/>
      <c r="D39" s="32" t="s">
        <v>46</v>
      </c>
      <c r="E39" s="32"/>
      <c r="F39" s="32"/>
      <c r="G39" s="32"/>
      <c r="H39" s="32"/>
      <c r="I39" s="32"/>
      <c r="J39" s="32" t="s">
        <v>46</v>
      </c>
      <c r="K39" s="32"/>
      <c r="L39" s="32"/>
      <c r="M39" s="32"/>
      <c r="N39" s="32"/>
      <c r="O39" s="32"/>
      <c r="P39" s="33"/>
    </row>
    <row r="40" spans="1:22" s="30" customFormat="1" ht="18.75" x14ac:dyDescent="0.3">
      <c r="A40" s="34"/>
      <c r="B40" s="32"/>
      <c r="C40" s="32"/>
      <c r="D40" s="35"/>
      <c r="E40" s="32" t="s">
        <v>38</v>
      </c>
      <c r="F40" s="42" t="str">
        <f>IFERROR(100-F38,"")</f>
        <v/>
      </c>
      <c r="G40" s="32" t="s">
        <v>47</v>
      </c>
      <c r="H40" s="32"/>
      <c r="I40" s="32"/>
      <c r="J40" s="35"/>
      <c r="K40" s="32" t="s">
        <v>38</v>
      </c>
      <c r="L40" s="42" t="str">
        <f>IFERROR(100-L38,"")</f>
        <v/>
      </c>
      <c r="M40" s="32" t="s">
        <v>47</v>
      </c>
      <c r="N40" s="32"/>
      <c r="O40" s="32"/>
      <c r="P40" s="33"/>
    </row>
    <row r="41" spans="1:22" s="30" customFormat="1" ht="18.75" x14ac:dyDescent="0.3">
      <c r="A41" s="34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3"/>
    </row>
    <row r="42" spans="1:22" ht="10.15" customHeight="1" x14ac:dyDescent="0.3">
      <c r="A42" s="34"/>
      <c r="B42" s="70"/>
      <c r="C42" s="70"/>
      <c r="D42" s="70"/>
      <c r="E42" s="70"/>
      <c r="F42" s="70"/>
      <c r="G42" s="71"/>
      <c r="H42" s="71"/>
      <c r="I42" s="71"/>
      <c r="J42" s="71"/>
      <c r="K42" s="71"/>
      <c r="L42" s="71"/>
      <c r="M42" s="71"/>
      <c r="N42" s="71"/>
      <c r="O42" s="71"/>
      <c r="P42" s="72"/>
    </row>
    <row r="43" spans="1:22" ht="18.75" x14ac:dyDescent="0.3">
      <c r="A43" s="31"/>
      <c r="B43" s="69" t="s">
        <v>29</v>
      </c>
      <c r="C43" s="69"/>
      <c r="D43" s="69"/>
      <c r="E43" s="69"/>
      <c r="G43" s="69"/>
      <c r="H43" s="69"/>
      <c r="I43" s="69"/>
      <c r="J43" s="69"/>
      <c r="L43" s="69" t="s">
        <v>28</v>
      </c>
      <c r="M43" s="69"/>
      <c r="N43" s="69"/>
      <c r="O43" s="69"/>
      <c r="P43" s="37"/>
    </row>
    <row r="44" spans="1:22" ht="10.15" customHeight="1" x14ac:dyDescent="0.3">
      <c r="A44" s="44"/>
      <c r="B44" s="45"/>
      <c r="C44" s="46"/>
      <c r="D44" s="46"/>
      <c r="E44" s="46"/>
      <c r="F44" s="46"/>
      <c r="G44" s="46"/>
      <c r="H44" s="46"/>
      <c r="I44" s="45"/>
      <c r="J44" s="46"/>
      <c r="K44" s="46"/>
      <c r="L44" s="46"/>
      <c r="M44" s="46"/>
      <c r="N44" s="46"/>
      <c r="O44" s="46"/>
      <c r="P44" s="37"/>
    </row>
    <row r="45" spans="1:22" ht="18.75" x14ac:dyDescent="0.3">
      <c r="A45" s="44" t="s">
        <v>27</v>
      </c>
      <c r="B45" s="68"/>
      <c r="C45" s="68"/>
      <c r="D45" s="68"/>
      <c r="E45" s="68"/>
      <c r="F45" s="45"/>
      <c r="G45" s="69"/>
      <c r="H45" s="69"/>
      <c r="I45" s="69"/>
      <c r="J45" s="69"/>
      <c r="K45" s="45" t="s">
        <v>27</v>
      </c>
      <c r="L45" s="68"/>
      <c r="M45" s="68"/>
      <c r="N45" s="68"/>
      <c r="O45" s="68"/>
      <c r="P45" s="37"/>
    </row>
    <row r="46" spans="1:22" ht="10.15" customHeight="1" x14ac:dyDescent="0.3">
      <c r="A46" s="44"/>
      <c r="B46" s="43"/>
      <c r="C46" s="43"/>
      <c r="D46" s="43"/>
      <c r="E46" s="43"/>
      <c r="F46" s="45"/>
      <c r="G46" s="43"/>
      <c r="H46" s="43"/>
      <c r="I46" s="43"/>
      <c r="J46" s="43"/>
      <c r="K46" s="45"/>
      <c r="L46" s="43"/>
      <c r="M46" s="43"/>
      <c r="N46" s="43"/>
      <c r="O46" s="43"/>
      <c r="P46" s="37"/>
    </row>
    <row r="47" spans="1:22" ht="18.75" x14ac:dyDescent="0.3">
      <c r="A47" s="31"/>
      <c r="B47" s="32" t="s">
        <v>26</v>
      </c>
      <c r="E47" s="45" t="s">
        <v>25</v>
      </c>
      <c r="J47" s="45"/>
      <c r="L47" s="32" t="s">
        <v>26</v>
      </c>
      <c r="O47" s="45" t="s">
        <v>25</v>
      </c>
      <c r="P47" s="37"/>
    </row>
    <row r="48" spans="1:22" ht="9.9499999999999993" customHeight="1" x14ac:dyDescent="0.3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9"/>
      <c r="S48" s="35"/>
      <c r="T48" s="35"/>
      <c r="U48" s="35"/>
      <c r="V48" s="45"/>
    </row>
  </sheetData>
  <mergeCells count="17">
    <mergeCell ref="A3:P3"/>
    <mergeCell ref="A4:P4"/>
    <mergeCell ref="A5:P5"/>
    <mergeCell ref="A6:P6"/>
    <mergeCell ref="C7:D7"/>
    <mergeCell ref="A9:P10"/>
    <mergeCell ref="I7:N7"/>
    <mergeCell ref="B45:E45"/>
    <mergeCell ref="G45:J45"/>
    <mergeCell ref="L45:O45"/>
    <mergeCell ref="B43:E43"/>
    <mergeCell ref="G43:J43"/>
    <mergeCell ref="L43:O43"/>
    <mergeCell ref="B42:F42"/>
    <mergeCell ref="G42:K42"/>
    <mergeCell ref="L42:P42"/>
    <mergeCell ref="E7:H7"/>
  </mergeCells>
  <conditionalFormatting sqref="G14:G15 J14:K15 G16:K17 H18:L18 I20:I21 L20:L21 G34:K36 G37:I40 G41:K41">
    <cfRule type="expression" dxfId="4" priority="6">
      <formula>#N/A</formula>
    </cfRule>
  </conditionalFormatting>
  <conditionalFormatting sqref="H22:L22 I24:I25 L24:L25">
    <cfRule type="expression" dxfId="3" priority="4">
      <formula>#N/A</formula>
    </cfRule>
  </conditionalFormatting>
  <conditionalFormatting sqref="H26:L26 I28:I29 L28:L29">
    <cfRule type="expression" dxfId="2" priority="3">
      <formula>#N/A</formula>
    </cfRule>
  </conditionalFormatting>
  <conditionalFormatting sqref="H30:L30 I32:I33 L32:L33">
    <cfRule type="expression" dxfId="1" priority="2">
      <formula>#N/A</formula>
    </cfRule>
  </conditionalFormatting>
  <conditionalFormatting sqref="M37:M40">
    <cfRule type="expression" dxfId="0" priority="1">
      <formula>#N/A</formula>
    </cfRule>
  </conditionalFormatting>
  <printOptions horizontalCentered="1"/>
  <pageMargins left="0.59055118110236227" right="0.23622047244094491" top="0.39370078740157483" bottom="0.39370078740157483" header="0.15748031496062992" footer="0.15748031496062992"/>
  <pageSetup paperSize="9" fitToHeight="5" orientation="portrait" r:id="rId1"/>
  <headerFooter>
    <oddHeader>&amp;RAPS2567-F-02</oddHeader>
    <oddFooter>&amp;LREV.3-25670903&amp;Rหน้า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4BDC-FEF1-4F9C-B235-AE5052025AAA}">
  <sheetPr codeName="Sheet2">
    <pageSetUpPr fitToPage="1"/>
  </sheetPr>
  <dimension ref="A1:S43"/>
  <sheetViews>
    <sheetView zoomScale="115" zoomScaleNormal="115" workbookViewId="0">
      <selection activeCell="E16" sqref="E16"/>
    </sheetView>
  </sheetViews>
  <sheetFormatPr defaultColWidth="9" defaultRowHeight="18.75" x14ac:dyDescent="0.3"/>
  <cols>
    <col min="1" max="1" width="5.5703125" style="57" customWidth="1"/>
    <col min="2" max="4" width="10.5703125" style="57" customWidth="1"/>
    <col min="5" max="5" width="20.5703125" style="57" customWidth="1"/>
    <col min="6" max="6" width="25.5703125" style="57" customWidth="1"/>
    <col min="7" max="7" width="8.5703125" style="57" customWidth="1"/>
    <col min="8" max="8" width="9.5703125" style="57" customWidth="1"/>
    <col min="9" max="10" width="10.5703125" style="57" customWidth="1"/>
    <col min="11" max="11" width="8.5703125" style="55" customWidth="1"/>
    <col min="12" max="12" width="21.7109375" style="57" bestFit="1" customWidth="1"/>
    <col min="13" max="13" width="8.5703125" style="57" customWidth="1"/>
    <col min="14" max="14" width="9.5703125" style="57" customWidth="1"/>
    <col min="15" max="15" width="10.5703125" style="57" customWidth="1"/>
    <col min="16" max="16" width="8.5703125" style="55" customWidth="1"/>
    <col min="17" max="17" width="21.7109375" style="57" bestFit="1" customWidth="1"/>
    <col min="18" max="16384" width="9" style="57"/>
  </cols>
  <sheetData>
    <row r="1" spans="1:19" s="2" customFormat="1" ht="21" x14ac:dyDescent="0.3">
      <c r="K1" s="3"/>
      <c r="P1" s="3"/>
    </row>
    <row r="2" spans="1:19" s="2" customFormat="1" ht="21" x14ac:dyDescent="0.3">
      <c r="A2" s="82" t="s">
        <v>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9" s="2" customFormat="1" ht="21" x14ac:dyDescent="0.3">
      <c r="A3" s="82" t="s">
        <v>22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9" s="2" customFormat="1" ht="21" x14ac:dyDescent="0.3">
      <c r="B4" s="7"/>
      <c r="C4" s="7"/>
      <c r="E4" s="8" t="s">
        <v>20</v>
      </c>
      <c r="F4" s="86"/>
      <c r="G4" s="86"/>
      <c r="H4" s="7"/>
      <c r="I4" s="7"/>
      <c r="J4" s="8" t="s">
        <v>18</v>
      </c>
      <c r="K4" s="17"/>
      <c r="N4" s="7"/>
      <c r="O4" s="8" t="s">
        <v>19</v>
      </c>
      <c r="P4" s="17"/>
    </row>
    <row r="5" spans="1:19" s="2" customFormat="1" ht="10.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9" s="1" customFormat="1" x14ac:dyDescent="0.3">
      <c r="A6" s="83" t="s">
        <v>2</v>
      </c>
      <c r="B6" s="83" t="s">
        <v>1</v>
      </c>
      <c r="C6" s="83" t="s">
        <v>0</v>
      </c>
      <c r="D6" s="84" t="s">
        <v>8</v>
      </c>
      <c r="E6" s="83" t="s">
        <v>4</v>
      </c>
      <c r="F6" s="85" t="s">
        <v>5</v>
      </c>
      <c r="G6" s="85" t="s">
        <v>12</v>
      </c>
      <c r="H6" s="85"/>
      <c r="I6" s="85"/>
      <c r="J6" s="85"/>
      <c r="K6" s="85"/>
      <c r="L6" s="80" t="s">
        <v>7</v>
      </c>
      <c r="M6" s="80" t="s">
        <v>13</v>
      </c>
      <c r="N6" s="80"/>
      <c r="O6" s="80"/>
      <c r="P6" s="80"/>
      <c r="Q6" s="81" t="s">
        <v>16</v>
      </c>
    </row>
    <row r="7" spans="1:19" s="1" customFormat="1" ht="37.5" x14ac:dyDescent="0.3">
      <c r="A7" s="83"/>
      <c r="B7" s="83"/>
      <c r="C7" s="83"/>
      <c r="D7" s="84"/>
      <c r="E7" s="83"/>
      <c r="F7" s="85"/>
      <c r="G7" s="5" t="s">
        <v>9</v>
      </c>
      <c r="H7" s="5" t="s">
        <v>14</v>
      </c>
      <c r="I7" s="5" t="s">
        <v>10</v>
      </c>
      <c r="J7" s="5" t="s">
        <v>11</v>
      </c>
      <c r="K7" s="5" t="s">
        <v>6</v>
      </c>
      <c r="L7" s="80"/>
      <c r="M7" s="6" t="s">
        <v>9</v>
      </c>
      <c r="N7" s="6" t="s">
        <v>14</v>
      </c>
      <c r="O7" s="6" t="s">
        <v>15</v>
      </c>
      <c r="P7" s="6" t="s">
        <v>6</v>
      </c>
      <c r="Q7" s="81"/>
    </row>
    <row r="8" spans="1:19" s="55" customFormat="1" x14ac:dyDescent="0.3">
      <c r="A8" s="50"/>
      <c r="B8" s="50"/>
      <c r="C8" s="50"/>
      <c r="D8" s="51"/>
      <c r="E8" s="52"/>
      <c r="F8" s="52"/>
      <c r="G8" s="50"/>
      <c r="H8" s="51"/>
      <c r="I8" s="51"/>
      <c r="J8" s="51"/>
      <c r="K8" s="50"/>
      <c r="L8" s="52"/>
      <c r="M8" s="53"/>
      <c r="N8" s="54"/>
      <c r="O8" s="51"/>
      <c r="P8" s="50"/>
      <c r="Q8" s="52"/>
      <c r="S8" s="56"/>
    </row>
    <row r="9" spans="1:19" x14ac:dyDescent="0.3">
      <c r="A9" s="9"/>
      <c r="B9" s="9"/>
      <c r="C9" s="9"/>
      <c r="D9" s="10"/>
      <c r="E9" s="11"/>
      <c r="F9" s="11"/>
      <c r="G9" s="9"/>
      <c r="H9" s="10" t="str">
        <f>IFERROR(VLOOKUP(G9,'[1]List KPI'!$A$3:$F$18,6,0),"")</f>
        <v/>
      </c>
      <c r="I9" s="10"/>
      <c r="J9" s="10"/>
      <c r="K9" s="9" t="str">
        <f>IF(J9="","",IF(J9&gt;#REF!,"O","P"))</f>
        <v/>
      </c>
      <c r="L9" s="11"/>
      <c r="M9" s="9"/>
      <c r="N9" s="12" t="str">
        <f>IFERROR(VLOOKUP(M9,'[1]List KPI'!$M$3:$N$9,2,0),"")</f>
        <v/>
      </c>
      <c r="O9" s="10"/>
      <c r="P9" s="9" t="str">
        <f>IF(O9="","",IF(O9&gt;#REF!,"O","P"))</f>
        <v/>
      </c>
      <c r="Q9" s="11"/>
      <c r="R9" s="55"/>
      <c r="S9" s="56"/>
    </row>
    <row r="10" spans="1:19" x14ac:dyDescent="0.3">
      <c r="A10" s="9"/>
      <c r="B10" s="9"/>
      <c r="C10" s="9"/>
      <c r="D10" s="10"/>
      <c r="E10" s="11"/>
      <c r="F10" s="11"/>
      <c r="G10" s="9"/>
      <c r="H10" s="10" t="str">
        <f>IFERROR(VLOOKUP(G10,'[1]List KPI'!$A$3:$F$18,6,0),"")</f>
        <v/>
      </c>
      <c r="I10" s="10"/>
      <c r="J10" s="10"/>
      <c r="K10" s="9" t="str">
        <f>IF(J10="","",IF(J10&gt;#REF!,"O","P"))</f>
        <v/>
      </c>
      <c r="L10" s="11"/>
      <c r="M10" s="9"/>
      <c r="N10" s="12" t="str">
        <f>IFERROR(VLOOKUP(M10,'[1]List KPI'!$M$3:$N$9,2,0),"")</f>
        <v/>
      </c>
      <c r="O10" s="10"/>
      <c r="P10" s="9" t="str">
        <f>IF(O10="","",IF(O10&gt;#REF!,"O","P"))</f>
        <v/>
      </c>
      <c r="Q10" s="11"/>
      <c r="R10" s="55"/>
      <c r="S10" s="56"/>
    </row>
    <row r="11" spans="1:19" x14ac:dyDescent="0.3">
      <c r="A11" s="9"/>
      <c r="B11" s="9"/>
      <c r="C11" s="9"/>
      <c r="D11" s="10"/>
      <c r="E11" s="11"/>
      <c r="F11" s="11"/>
      <c r="G11" s="9"/>
      <c r="H11" s="10" t="str">
        <f>IFERROR(VLOOKUP(G11,'[1]List KPI'!$A$3:$F$18,6,0),"")</f>
        <v/>
      </c>
      <c r="I11" s="10"/>
      <c r="J11" s="10"/>
      <c r="K11" s="9" t="str">
        <f>IF(J11="","",IF(J11&gt;#REF!,"O","P"))</f>
        <v/>
      </c>
      <c r="L11" s="11"/>
      <c r="M11" s="9"/>
      <c r="N11" s="12" t="str">
        <f>IFERROR(VLOOKUP(M11,'[1]List KPI'!$M$3:$N$9,2,0),"")</f>
        <v/>
      </c>
      <c r="O11" s="10"/>
      <c r="P11" s="9" t="str">
        <f>IF(O11="","",IF(O11&gt;#REF!,"O","P"))</f>
        <v/>
      </c>
      <c r="Q11" s="11"/>
      <c r="R11" s="55"/>
      <c r="S11" s="56"/>
    </row>
    <row r="12" spans="1:19" x14ac:dyDescent="0.3">
      <c r="A12" s="9"/>
      <c r="B12" s="9"/>
      <c r="C12" s="9"/>
      <c r="D12" s="10"/>
      <c r="E12" s="11"/>
      <c r="F12" s="11"/>
      <c r="G12" s="9"/>
      <c r="H12" s="10" t="str">
        <f>IFERROR(VLOOKUP(G12,'[1]List KPI'!$A$3:$F$18,6,0),"")</f>
        <v/>
      </c>
      <c r="I12" s="10"/>
      <c r="J12" s="10"/>
      <c r="K12" s="9" t="str">
        <f>IF(J12="","",IF(J12&gt;#REF!,"O","P"))</f>
        <v/>
      </c>
      <c r="L12" s="11"/>
      <c r="M12" s="9"/>
      <c r="N12" s="12" t="str">
        <f>IFERROR(VLOOKUP(M12,'[1]List KPI'!$M$3:$N$9,2,0),"")</f>
        <v/>
      </c>
      <c r="O12" s="10"/>
      <c r="P12" s="9" t="str">
        <f>IF(O12="","",IF(O12&gt;#REF!,"O","P"))</f>
        <v/>
      </c>
      <c r="Q12" s="11"/>
      <c r="R12" s="55"/>
      <c r="S12" s="56"/>
    </row>
    <row r="13" spans="1:19" ht="24.75" customHeight="1" x14ac:dyDescent="0.3">
      <c r="A13" s="9"/>
      <c r="B13" s="9"/>
      <c r="C13" s="9"/>
      <c r="D13" s="10"/>
      <c r="E13" s="11"/>
      <c r="F13" s="11"/>
      <c r="G13" s="9"/>
      <c r="H13" s="10" t="str">
        <f>IFERROR(VLOOKUP(G13,'[1]List KPI'!$A$3:$F$18,6,0),"")</f>
        <v/>
      </c>
      <c r="I13" s="10"/>
      <c r="J13" s="10"/>
      <c r="K13" s="9" t="str">
        <f>IF(J13="","",IF(J13&gt;#REF!,"O","P"))</f>
        <v/>
      </c>
      <c r="L13" s="11"/>
      <c r="M13" s="9"/>
      <c r="N13" s="12" t="str">
        <f>IFERROR(VLOOKUP(M13,'[1]List KPI'!$M$3:$N$9,2,0),"")</f>
        <v/>
      </c>
      <c r="O13" s="10"/>
      <c r="P13" s="9" t="str">
        <f>IF(O13="","",IF(O13&gt;#REF!,"O","P"))</f>
        <v/>
      </c>
      <c r="Q13" s="11"/>
      <c r="R13" s="55"/>
      <c r="S13" s="56"/>
    </row>
    <row r="14" spans="1:19" ht="27" customHeight="1" x14ac:dyDescent="0.3">
      <c r="A14" s="9"/>
      <c r="B14" s="9"/>
      <c r="C14" s="9"/>
      <c r="D14" s="10"/>
      <c r="E14" s="11"/>
      <c r="F14" s="11"/>
      <c r="G14" s="9"/>
      <c r="H14" s="10" t="str">
        <f>IFERROR(VLOOKUP(G14,'[1]List KPI'!$A$3:$F$18,6,0),"")</f>
        <v/>
      </c>
      <c r="I14" s="10"/>
      <c r="J14" s="10"/>
      <c r="K14" s="9" t="str">
        <f>IF(J14="","",IF(J14&gt;#REF!,"O","P"))</f>
        <v/>
      </c>
      <c r="L14" s="11"/>
      <c r="M14" s="9"/>
      <c r="N14" s="12" t="str">
        <f>IFERROR(VLOOKUP(M14,'[1]List KPI'!$M$3:$N$9,2,0),"")</f>
        <v/>
      </c>
      <c r="O14" s="10"/>
      <c r="P14" s="9" t="str">
        <f>IF(O14="","",IF(O14&gt;#REF!,"O","P"))</f>
        <v/>
      </c>
      <c r="Q14" s="11"/>
    </row>
    <row r="15" spans="1:19" ht="19.5" customHeight="1" x14ac:dyDescent="0.3">
      <c r="A15" s="9"/>
      <c r="B15" s="9"/>
      <c r="C15" s="9"/>
      <c r="D15" s="10"/>
      <c r="E15" s="11"/>
      <c r="F15" s="11"/>
      <c r="G15" s="9"/>
      <c r="H15" s="10" t="str">
        <f>IFERROR(VLOOKUP(G15,'[1]List KPI'!$A$3:$F$18,6,0),"")</f>
        <v/>
      </c>
      <c r="I15" s="10"/>
      <c r="J15" s="10"/>
      <c r="K15" s="9" t="str">
        <f>IF(J15="","",IF(J15&gt;#REF!,"O","P"))</f>
        <v/>
      </c>
      <c r="L15" s="11"/>
      <c r="M15" s="9"/>
      <c r="N15" s="12" t="str">
        <f>IFERROR(VLOOKUP(M15,'[1]List KPI'!$M$3:$N$9,2,0),"")</f>
        <v/>
      </c>
      <c r="O15" s="10"/>
      <c r="P15" s="9" t="str">
        <f>IF(O15="","",IF(O15&gt;#REF!,"O","P"))</f>
        <v/>
      </c>
      <c r="Q15" s="11"/>
    </row>
    <row r="16" spans="1:19" ht="26.25" customHeight="1" x14ac:dyDescent="0.3">
      <c r="A16" s="9"/>
      <c r="B16" s="9"/>
      <c r="C16" s="9"/>
      <c r="D16" s="10"/>
      <c r="E16" s="11"/>
      <c r="F16" s="11"/>
      <c r="G16" s="9"/>
      <c r="H16" s="10" t="str">
        <f>IFERROR(VLOOKUP(G16,'[1]List KPI'!$A$3:$F$18,6,0),"")</f>
        <v/>
      </c>
      <c r="I16" s="10"/>
      <c r="J16" s="10"/>
      <c r="K16" s="9" t="str">
        <f>IF(J16="","",IF(J16&gt;#REF!,"O","P"))</f>
        <v/>
      </c>
      <c r="L16" s="11"/>
      <c r="M16" s="9"/>
      <c r="N16" s="12" t="str">
        <f>IFERROR(VLOOKUP(M16,'[1]List KPI'!$M$3:$N$9,2,0),"")</f>
        <v/>
      </c>
      <c r="O16" s="10"/>
      <c r="P16" s="9" t="str">
        <f>IF(O16="","",IF(O16&gt;#REF!,"O","P"))</f>
        <v/>
      </c>
      <c r="Q16" s="11"/>
    </row>
    <row r="17" spans="1:17" ht="27" customHeight="1" x14ac:dyDescent="0.3">
      <c r="A17" s="9"/>
      <c r="B17" s="9"/>
      <c r="C17" s="9"/>
      <c r="D17" s="10"/>
      <c r="E17" s="11"/>
      <c r="F17" s="11"/>
      <c r="G17" s="9"/>
      <c r="H17" s="10" t="str">
        <f>IFERROR(VLOOKUP(G17,'[1]List KPI'!$A$3:$F$18,6,0),"")</f>
        <v/>
      </c>
      <c r="I17" s="10"/>
      <c r="J17" s="10"/>
      <c r="K17" s="9" t="str">
        <f>IF(J17="","",IF(J17&gt;#REF!,"O","P"))</f>
        <v/>
      </c>
      <c r="L17" s="11"/>
      <c r="M17" s="9"/>
      <c r="N17" s="12" t="str">
        <f>IFERROR(VLOOKUP(M17,'[1]List KPI'!$M$3:$N$9,2,0),"")</f>
        <v/>
      </c>
      <c r="O17" s="10"/>
      <c r="P17" s="9" t="str">
        <f>IF(O17="","",IF(O17&gt;#REF!,"O","P"))</f>
        <v/>
      </c>
      <c r="Q17" s="11"/>
    </row>
    <row r="18" spans="1:17" ht="18" customHeight="1" x14ac:dyDescent="0.3">
      <c r="A18" s="9"/>
      <c r="B18" s="9"/>
      <c r="C18" s="9"/>
      <c r="D18" s="10"/>
      <c r="E18" s="11"/>
      <c r="F18" s="11"/>
      <c r="G18" s="9"/>
      <c r="H18" s="10" t="str">
        <f>IFERROR(VLOOKUP(G18,'[1]List KPI'!$A$3:$F$18,6,0),"")</f>
        <v/>
      </c>
      <c r="I18" s="10"/>
      <c r="J18" s="10"/>
      <c r="K18" s="9" t="str">
        <f>IF(J18="","",IF(J18&gt;#REF!,"O","P"))</f>
        <v/>
      </c>
      <c r="L18" s="11"/>
      <c r="M18" s="9"/>
      <c r="N18" s="12" t="str">
        <f>IFERROR(VLOOKUP(M18,'[1]List KPI'!$M$3:$N$9,2,0),"")</f>
        <v/>
      </c>
      <c r="O18" s="10"/>
      <c r="P18" s="9" t="str">
        <f>IF(O18="","",IF(O18&gt;#REF!,"O","P"))</f>
        <v/>
      </c>
      <c r="Q18" s="11"/>
    </row>
    <row r="19" spans="1:17" ht="22.5" customHeight="1" x14ac:dyDescent="0.3">
      <c r="A19" s="9"/>
      <c r="B19" s="9"/>
      <c r="C19" s="9"/>
      <c r="D19" s="10"/>
      <c r="E19" s="11"/>
      <c r="F19" s="11"/>
      <c r="G19" s="9"/>
      <c r="H19" s="10" t="str">
        <f>IFERROR(VLOOKUP(G19,'[1]List KPI'!$A$3:$F$18,6,0),"")</f>
        <v/>
      </c>
      <c r="I19" s="10"/>
      <c r="J19" s="10"/>
      <c r="K19" s="9" t="str">
        <f>IF(J19="","",IF(J19&gt;#REF!,"O","P"))</f>
        <v/>
      </c>
      <c r="L19" s="11"/>
      <c r="M19" s="9"/>
      <c r="N19" s="12" t="str">
        <f>IFERROR(VLOOKUP(M19,'[1]List KPI'!$M$3:$N$9,2,0),"")</f>
        <v/>
      </c>
      <c r="O19" s="10"/>
      <c r="P19" s="9" t="str">
        <f>IF(O19="","",IF(O19&gt;#REF!,"O","P"))</f>
        <v/>
      </c>
      <c r="Q19" s="11"/>
    </row>
    <row r="20" spans="1:17" x14ac:dyDescent="0.3">
      <c r="A20" s="9"/>
      <c r="B20" s="9"/>
      <c r="C20" s="9"/>
      <c r="D20" s="10"/>
      <c r="E20" s="11"/>
      <c r="F20" s="11"/>
      <c r="G20" s="9"/>
      <c r="H20" s="10" t="str">
        <f>IFERROR(VLOOKUP(G20,'[1]List KPI'!$A$3:$F$18,6,0),"")</f>
        <v/>
      </c>
      <c r="I20" s="10"/>
      <c r="J20" s="10"/>
      <c r="K20" s="9" t="str">
        <f>IF(J20="","",IF(J20&gt;#REF!,"O","P"))</f>
        <v/>
      </c>
      <c r="L20" s="11"/>
      <c r="M20" s="9"/>
      <c r="N20" s="12" t="str">
        <f>IFERROR(VLOOKUP(M20,'[1]List KPI'!$M$3:$N$9,2,0),"")</f>
        <v/>
      </c>
      <c r="O20" s="10"/>
      <c r="P20" s="9" t="str">
        <f>IF(O20="","",IF(O20&gt;#REF!,"O","P"))</f>
        <v/>
      </c>
      <c r="Q20" s="11"/>
    </row>
    <row r="21" spans="1:17" x14ac:dyDescent="0.3">
      <c r="A21" s="9"/>
      <c r="B21" s="9"/>
      <c r="C21" s="9"/>
      <c r="D21" s="10"/>
      <c r="E21" s="11"/>
      <c r="F21" s="11"/>
      <c r="G21" s="9"/>
      <c r="H21" s="10" t="str">
        <f>IFERROR(VLOOKUP(G21,'[1]List KPI'!$A$3:$F$18,6,0),"")</f>
        <v/>
      </c>
      <c r="I21" s="10"/>
      <c r="J21" s="10"/>
      <c r="K21" s="9" t="str">
        <f>IF(J21="","",IF(J21&gt;#REF!,"O","P"))</f>
        <v/>
      </c>
      <c r="L21" s="11"/>
      <c r="M21" s="9"/>
      <c r="N21" s="12" t="str">
        <f>IFERROR(VLOOKUP(M21,'[1]List KPI'!$M$3:$N$9,2,0),"")</f>
        <v/>
      </c>
      <c r="O21" s="10"/>
      <c r="P21" s="9" t="str">
        <f>IF(O21="","",IF(O21&gt;#REF!,"O","P"))</f>
        <v/>
      </c>
      <c r="Q21" s="11"/>
    </row>
    <row r="22" spans="1:17" x14ac:dyDescent="0.3">
      <c r="A22" s="9"/>
      <c r="B22" s="9"/>
      <c r="C22" s="9"/>
      <c r="D22" s="10"/>
      <c r="E22" s="11"/>
      <c r="F22" s="11"/>
      <c r="G22" s="9"/>
      <c r="H22" s="10" t="str">
        <f>IFERROR(VLOOKUP(G22,'[1]List KPI'!$A$3:$F$18,6,0),"")</f>
        <v/>
      </c>
      <c r="I22" s="10"/>
      <c r="J22" s="10"/>
      <c r="K22" s="9" t="str">
        <f>IF(J22="","",IF(J22&gt;#REF!,"O","P"))</f>
        <v/>
      </c>
      <c r="L22" s="11"/>
      <c r="M22" s="9"/>
      <c r="N22" s="12" t="str">
        <f>IFERROR(VLOOKUP(M22,'[1]List KPI'!$M$3:$N$9,2,0),"")</f>
        <v/>
      </c>
      <c r="O22" s="10"/>
      <c r="P22" s="9" t="str">
        <f>IF(O22="","",IF(O22&gt;#REF!,"O","P"))</f>
        <v/>
      </c>
      <c r="Q22" s="11"/>
    </row>
    <row r="23" spans="1:17" x14ac:dyDescent="0.3">
      <c r="A23" s="9"/>
      <c r="B23" s="9"/>
      <c r="C23" s="9"/>
      <c r="D23" s="10"/>
      <c r="E23" s="11"/>
      <c r="F23" s="11"/>
      <c r="G23" s="9"/>
      <c r="H23" s="10" t="str">
        <f>IFERROR(VLOOKUP(G23,'[1]List KPI'!$A$3:$F$18,6,0),"")</f>
        <v/>
      </c>
      <c r="I23" s="10"/>
      <c r="J23" s="10"/>
      <c r="K23" s="9" t="str">
        <f>IF(J23="","",IF(J23&gt;#REF!,"O","P"))</f>
        <v/>
      </c>
      <c r="L23" s="11"/>
      <c r="M23" s="9"/>
      <c r="N23" s="12" t="str">
        <f>IFERROR(VLOOKUP(M23,'[1]List KPI'!$M$3:$N$9,2,0),"")</f>
        <v/>
      </c>
      <c r="O23" s="10"/>
      <c r="P23" s="9" t="str">
        <f>IF(O23="","",IF(O23&gt;#REF!,"O","P"))</f>
        <v/>
      </c>
      <c r="Q23" s="11"/>
    </row>
    <row r="24" spans="1:17" x14ac:dyDescent="0.3">
      <c r="A24" s="9"/>
      <c r="B24" s="9"/>
      <c r="C24" s="9"/>
      <c r="D24" s="10"/>
      <c r="E24" s="11"/>
      <c r="F24" s="11"/>
      <c r="G24" s="9"/>
      <c r="H24" s="10" t="str">
        <f>IFERROR(VLOOKUP(G24,'[1]List KPI'!$A$3:$F$18,6,0),"")</f>
        <v/>
      </c>
      <c r="I24" s="10"/>
      <c r="J24" s="10"/>
      <c r="K24" s="9" t="str">
        <f>IF(J24="","",IF(J24&gt;#REF!,"O","P"))</f>
        <v/>
      </c>
      <c r="L24" s="11"/>
      <c r="M24" s="9"/>
      <c r="N24" s="12" t="str">
        <f>IFERROR(VLOOKUP(M24,'[1]List KPI'!$M$3:$N$9,2,0),"")</f>
        <v/>
      </c>
      <c r="O24" s="10"/>
      <c r="P24" s="9"/>
      <c r="Q24" s="11"/>
    </row>
    <row r="25" spans="1:17" x14ac:dyDescent="0.3">
      <c r="A25" s="9"/>
      <c r="B25" s="9"/>
      <c r="C25" s="9"/>
      <c r="D25" s="10"/>
      <c r="E25" s="11"/>
      <c r="F25" s="11"/>
      <c r="G25" s="9"/>
      <c r="H25" s="10" t="str">
        <f>IFERROR(VLOOKUP(G25,'[1]List KPI'!$A$3:$F$18,6,0),"")</f>
        <v/>
      </c>
      <c r="I25" s="10"/>
      <c r="J25" s="10"/>
      <c r="K25" s="9" t="str">
        <f>IF(J25="","",IF(J25&gt;#REF!,"O","P"))</f>
        <v/>
      </c>
      <c r="L25" s="11"/>
      <c r="M25" s="9"/>
      <c r="N25" s="12" t="str">
        <f>IFERROR(VLOOKUP(M25,'[1]List KPI'!$M$3:$N$9,2,0),"")</f>
        <v/>
      </c>
      <c r="O25" s="10"/>
      <c r="P25" s="9"/>
      <c r="Q25" s="11"/>
    </row>
    <row r="26" spans="1:17" x14ac:dyDescent="0.3">
      <c r="A26" s="9"/>
      <c r="B26" s="9"/>
      <c r="C26" s="9"/>
      <c r="D26" s="10"/>
      <c r="E26" s="11"/>
      <c r="F26" s="11"/>
      <c r="G26" s="9"/>
      <c r="H26" s="10" t="str">
        <f>IFERROR(VLOOKUP(G26,'[1]List KPI'!$A$3:$F$18,6,0),"")</f>
        <v/>
      </c>
      <c r="I26" s="10"/>
      <c r="J26" s="10"/>
      <c r="K26" s="9" t="str">
        <f>IF(J26="","",IF(J26&gt;#REF!,"O","P"))</f>
        <v/>
      </c>
      <c r="L26" s="11"/>
      <c r="M26" s="9"/>
      <c r="N26" s="12" t="str">
        <f>IFERROR(VLOOKUP(M26,'[1]List KPI'!$M$3:$N$9,2,0),"")</f>
        <v/>
      </c>
      <c r="O26" s="10"/>
      <c r="P26" s="9"/>
      <c r="Q26" s="11"/>
    </row>
    <row r="27" spans="1:17" x14ac:dyDescent="0.3">
      <c r="A27" s="9"/>
      <c r="B27" s="9"/>
      <c r="C27" s="9"/>
      <c r="D27" s="10"/>
      <c r="E27" s="11"/>
      <c r="F27" s="11"/>
      <c r="G27" s="9"/>
      <c r="H27" s="10" t="str">
        <f>IFERROR(VLOOKUP(G27,'[1]List KPI'!$A$3:$F$18,6,0),"")</f>
        <v/>
      </c>
      <c r="I27" s="10"/>
      <c r="J27" s="10"/>
      <c r="K27" s="9" t="str">
        <f>IF(J27="","",IF(J27&gt;#REF!,"O","P"))</f>
        <v/>
      </c>
      <c r="L27" s="11"/>
      <c r="M27" s="9"/>
      <c r="N27" s="12" t="str">
        <f>IFERROR(VLOOKUP(M27,'[1]List KPI'!$M$3:$N$9,2,0),"")</f>
        <v/>
      </c>
      <c r="O27" s="10"/>
      <c r="P27" s="9"/>
      <c r="Q27" s="11"/>
    </row>
    <row r="28" spans="1:17" x14ac:dyDescent="0.3">
      <c r="A28" s="9"/>
      <c r="B28" s="9"/>
      <c r="C28" s="9"/>
      <c r="D28" s="10"/>
      <c r="E28" s="11"/>
      <c r="F28" s="11"/>
      <c r="G28" s="9"/>
      <c r="H28" s="10" t="str">
        <f>IFERROR(VLOOKUP(G28,'[1]List KPI'!$A$3:$F$18,6,0),"")</f>
        <v/>
      </c>
      <c r="I28" s="10"/>
      <c r="J28" s="10"/>
      <c r="K28" s="9" t="str">
        <f>IF(J28="","",IF(J28&gt;#REF!,"O","P"))</f>
        <v/>
      </c>
      <c r="L28" s="11"/>
      <c r="M28" s="9"/>
      <c r="N28" s="12" t="str">
        <f>IFERROR(VLOOKUP(M28,'[1]List KPI'!$M$3:$N$9,2,0),"")</f>
        <v/>
      </c>
      <c r="O28" s="10"/>
      <c r="P28" s="9" t="str">
        <f>IF(O28="","",IF(O28&gt;#REF!,"O","P"))</f>
        <v/>
      </c>
      <c r="Q28" s="11"/>
    </row>
    <row r="29" spans="1:17" x14ac:dyDescent="0.3">
      <c r="A29" s="9"/>
      <c r="B29" s="9"/>
      <c r="C29" s="9"/>
      <c r="D29" s="10"/>
      <c r="E29" s="11"/>
      <c r="F29" s="11"/>
      <c r="G29" s="9"/>
      <c r="H29" s="10" t="str">
        <f>IFERROR(VLOOKUP(G29,'[1]List KPI'!$A$3:$F$18,6,0),"")</f>
        <v/>
      </c>
      <c r="I29" s="10"/>
      <c r="J29" s="10"/>
      <c r="K29" s="9" t="str">
        <f>IF(J29="","",IF(J29&gt;#REF!,"O","P"))</f>
        <v/>
      </c>
      <c r="L29" s="11"/>
      <c r="M29" s="9"/>
      <c r="N29" s="12" t="str">
        <f>IFERROR(VLOOKUP(M29,'[1]List KPI'!$M$3:$N$9,2,0),"")</f>
        <v/>
      </c>
      <c r="O29" s="10"/>
      <c r="P29" s="9" t="str">
        <f>IF(O29="","",IF(O29&gt;#REF!,"O","P"))</f>
        <v/>
      </c>
      <c r="Q29" s="11"/>
    </row>
    <row r="30" spans="1:17" x14ac:dyDescent="0.3">
      <c r="A30" s="9"/>
      <c r="B30" s="9"/>
      <c r="C30" s="9"/>
      <c r="D30" s="10"/>
      <c r="E30" s="11"/>
      <c r="F30" s="11"/>
      <c r="G30" s="9"/>
      <c r="H30" s="10" t="str">
        <f>IFERROR(VLOOKUP(G30,'[1]List KPI'!$A$3:$F$18,6,0),"")</f>
        <v/>
      </c>
      <c r="I30" s="10"/>
      <c r="J30" s="10"/>
      <c r="K30" s="9" t="str">
        <f>IF(J30="","",IF(J30&gt;#REF!,"O","P"))</f>
        <v/>
      </c>
      <c r="L30" s="11"/>
      <c r="M30" s="9"/>
      <c r="N30" s="12" t="str">
        <f>IFERROR(VLOOKUP(M30,'[1]List KPI'!$M$3:$N$9,2,0),"")</f>
        <v/>
      </c>
      <c r="O30" s="10"/>
      <c r="P30" s="9" t="str">
        <f>IF(O30="","",IF(O30&gt;#REF!,"O","P"))</f>
        <v/>
      </c>
      <c r="Q30" s="11"/>
    </row>
    <row r="31" spans="1:17" x14ac:dyDescent="0.3">
      <c r="A31" s="9"/>
      <c r="B31" s="9"/>
      <c r="C31" s="9"/>
      <c r="D31" s="10"/>
      <c r="E31" s="11"/>
      <c r="F31" s="11"/>
      <c r="G31" s="9"/>
      <c r="H31" s="10" t="str">
        <f>IFERROR(VLOOKUP(G31,'[1]List KPI'!$A$3:$F$18,6,0),"")</f>
        <v/>
      </c>
      <c r="I31" s="10"/>
      <c r="J31" s="10"/>
      <c r="K31" s="9" t="str">
        <f>IF(J31="","",IF(J31&gt;#REF!,"O","P"))</f>
        <v/>
      </c>
      <c r="L31" s="11"/>
      <c r="M31" s="9"/>
      <c r="N31" s="12" t="str">
        <f>IFERROR(VLOOKUP(M31,'[1]List KPI'!$M$3:$N$9,2,0),"")</f>
        <v/>
      </c>
      <c r="O31" s="10"/>
      <c r="P31" s="9" t="str">
        <f>IF(O31="","",IF(O31&gt;#REF!,"O","P"))</f>
        <v/>
      </c>
      <c r="Q31" s="11"/>
    </row>
    <row r="32" spans="1:17" x14ac:dyDescent="0.3">
      <c r="A32" s="9"/>
      <c r="B32" s="9"/>
      <c r="C32" s="9"/>
      <c r="D32" s="10"/>
      <c r="E32" s="11"/>
      <c r="F32" s="11"/>
      <c r="G32" s="9"/>
      <c r="H32" s="10" t="str">
        <f>IFERROR(VLOOKUP(G32,'[1]List KPI'!$A$3:$F$18,6,0),"")</f>
        <v/>
      </c>
      <c r="I32" s="10"/>
      <c r="J32" s="10"/>
      <c r="K32" s="9" t="str">
        <f>IF(J32="","",IF(J32&gt;#REF!,"O","P"))</f>
        <v/>
      </c>
      <c r="L32" s="11"/>
      <c r="M32" s="9"/>
      <c r="N32" s="12" t="str">
        <f>IFERROR(VLOOKUP(M32,'[1]List KPI'!$M$3:$N$9,2,0),"")</f>
        <v/>
      </c>
      <c r="O32" s="10"/>
      <c r="P32" s="9" t="str">
        <f>IF(O32="","",IF(O32&gt;#REF!,"O","P"))</f>
        <v/>
      </c>
      <c r="Q32" s="11"/>
    </row>
    <row r="33" spans="1:17" x14ac:dyDescent="0.3">
      <c r="A33" s="9"/>
      <c r="B33" s="9"/>
      <c r="C33" s="9"/>
      <c r="D33" s="10"/>
      <c r="E33" s="11"/>
      <c r="F33" s="11"/>
      <c r="G33" s="9"/>
      <c r="H33" s="10" t="str">
        <f>IFERROR(VLOOKUP(G33,'[1]List KPI'!$A$3:$F$18,6,0),"")</f>
        <v/>
      </c>
      <c r="I33" s="10"/>
      <c r="J33" s="10"/>
      <c r="K33" s="9" t="str">
        <f>IF(J33="","",IF(J33&gt;#REF!,"O","P"))</f>
        <v/>
      </c>
      <c r="L33" s="11"/>
      <c r="M33" s="9"/>
      <c r="N33" s="12" t="str">
        <f>IFERROR(VLOOKUP(M33,'[1]List KPI'!$M$3:$N$9,2,0),"")</f>
        <v/>
      </c>
      <c r="O33" s="10"/>
      <c r="P33" s="9" t="str">
        <f>IF(O33="","",IF(O33&gt;#REF!,"O","P"))</f>
        <v/>
      </c>
      <c r="Q33" s="11"/>
    </row>
    <row r="34" spans="1:17" x14ac:dyDescent="0.3">
      <c r="A34" s="9"/>
      <c r="B34" s="9"/>
      <c r="C34" s="9"/>
      <c r="D34" s="10"/>
      <c r="E34" s="11"/>
      <c r="F34" s="11"/>
      <c r="G34" s="9"/>
      <c r="H34" s="10" t="str">
        <f>IFERROR(VLOOKUP(G34,'[1]List KPI'!$A$3:$F$18,6,0),"")</f>
        <v/>
      </c>
      <c r="I34" s="10"/>
      <c r="J34" s="10"/>
      <c r="K34" s="9" t="str">
        <f>IF(J34="","",IF(J34&gt;#REF!,"O","P"))</f>
        <v/>
      </c>
      <c r="L34" s="11"/>
      <c r="M34" s="9"/>
      <c r="N34" s="12" t="str">
        <f>IFERROR(VLOOKUP(M34,'[1]List KPI'!$M$3:$N$9,2,0),"")</f>
        <v/>
      </c>
      <c r="O34" s="10"/>
      <c r="P34" s="9" t="str">
        <f>IF(O34="","",IF(O34&gt;#REF!,"O","P"))</f>
        <v/>
      </c>
      <c r="Q34" s="11"/>
    </row>
    <row r="35" spans="1:17" x14ac:dyDescent="0.3">
      <c r="A35" s="9"/>
      <c r="B35" s="9"/>
      <c r="C35" s="9"/>
      <c r="D35" s="10"/>
      <c r="E35" s="11"/>
      <c r="F35" s="11"/>
      <c r="G35" s="9"/>
      <c r="H35" s="10" t="str">
        <f>IFERROR(VLOOKUP(G35,'[1]List KPI'!$A$3:$F$18,6,0),"")</f>
        <v/>
      </c>
      <c r="I35" s="10"/>
      <c r="J35" s="10"/>
      <c r="K35" s="9" t="str">
        <f>IF(J35="","",IF(J35&gt;#REF!,"O","P"))</f>
        <v/>
      </c>
      <c r="L35" s="11"/>
      <c r="M35" s="9"/>
      <c r="N35" s="12" t="str">
        <f>IFERROR(VLOOKUP(M35,'[1]List KPI'!$M$3:$N$9,2,0),"")</f>
        <v/>
      </c>
      <c r="O35" s="10"/>
      <c r="P35" s="9" t="str">
        <f>IF(O35="","",IF(O35&gt;#REF!,"O","P"))</f>
        <v/>
      </c>
      <c r="Q35" s="11"/>
    </row>
    <row r="36" spans="1:17" x14ac:dyDescent="0.3">
      <c r="A36" s="9"/>
      <c r="B36" s="9"/>
      <c r="C36" s="9"/>
      <c r="D36" s="10"/>
      <c r="E36" s="11"/>
      <c r="F36" s="11"/>
      <c r="G36" s="9"/>
      <c r="H36" s="10" t="str">
        <f>IFERROR(VLOOKUP(G36,'[1]List KPI'!$A$3:$F$18,6,0),"")</f>
        <v/>
      </c>
      <c r="I36" s="10"/>
      <c r="J36" s="10"/>
      <c r="K36" s="9" t="str">
        <f>IF(J36="","",IF(J36&gt;#REF!,"O","P"))</f>
        <v/>
      </c>
      <c r="L36" s="11"/>
      <c r="M36" s="9"/>
      <c r="N36" s="12" t="str">
        <f>IFERROR(VLOOKUP(M36,'[1]List KPI'!$M$3:$N$9,2,0),"")</f>
        <v/>
      </c>
      <c r="O36" s="10"/>
      <c r="P36" s="9" t="str">
        <f>IF(O36="","",IF(O36&gt;#REF!,"O","P"))</f>
        <v/>
      </c>
      <c r="Q36" s="11"/>
    </row>
    <row r="37" spans="1:17" x14ac:dyDescent="0.3">
      <c r="A37" s="9"/>
      <c r="B37" s="9"/>
      <c r="C37" s="9"/>
      <c r="D37" s="10"/>
      <c r="E37" s="11"/>
      <c r="F37" s="11"/>
      <c r="G37" s="9"/>
      <c r="H37" s="10" t="str">
        <f>IFERROR(VLOOKUP(G37,'[1]List KPI'!$A$3:$F$18,6,0),"")</f>
        <v/>
      </c>
      <c r="I37" s="10"/>
      <c r="J37" s="10"/>
      <c r="K37" s="9" t="str">
        <f>IF(J37="","",IF(J37&gt;#REF!,"O","P"))</f>
        <v/>
      </c>
      <c r="L37" s="11"/>
      <c r="M37" s="9"/>
      <c r="N37" s="12" t="str">
        <f>IFERROR(VLOOKUP(M37,'[1]List KPI'!$M$3:$N$9,2,0),"")</f>
        <v/>
      </c>
      <c r="O37" s="10"/>
      <c r="P37" s="9" t="str">
        <f>IF(O37="","",IF(O37&gt;#REF!,"O","P"))</f>
        <v/>
      </c>
      <c r="Q37" s="11"/>
    </row>
    <row r="38" spans="1:17" x14ac:dyDescent="0.3">
      <c r="A38" s="9"/>
      <c r="B38" s="9"/>
      <c r="C38" s="9"/>
      <c r="D38" s="10"/>
      <c r="E38" s="11"/>
      <c r="F38" s="11"/>
      <c r="G38" s="9"/>
      <c r="H38" s="10" t="str">
        <f>IFERROR(VLOOKUP(G38,'[1]List KPI'!$A$3:$F$18,6,0),"")</f>
        <v/>
      </c>
      <c r="I38" s="10"/>
      <c r="J38" s="10"/>
      <c r="K38" s="9" t="str">
        <f>IF(J38="","",IF(J38&gt;#REF!,"O","P"))</f>
        <v/>
      </c>
      <c r="L38" s="11"/>
      <c r="M38" s="9"/>
      <c r="N38" s="12" t="str">
        <f>IFERROR(VLOOKUP(M38,'[1]List KPI'!$M$3:$N$9,2,0),"")</f>
        <v/>
      </c>
      <c r="O38" s="10"/>
      <c r="P38" s="9" t="str">
        <f>IF(O38="","",IF(O38&gt;#REF!,"O","P"))</f>
        <v/>
      </c>
      <c r="Q38" s="11"/>
    </row>
    <row r="39" spans="1:17" x14ac:dyDescent="0.3">
      <c r="A39" s="9"/>
      <c r="B39" s="9"/>
      <c r="C39" s="9"/>
      <c r="D39" s="10"/>
      <c r="E39" s="11"/>
      <c r="F39" s="11"/>
      <c r="G39" s="9"/>
      <c r="H39" s="10" t="str">
        <f>IFERROR(VLOOKUP(G39,'[1]List KPI'!$A$3:$F$18,6,0),"")</f>
        <v/>
      </c>
      <c r="I39" s="10"/>
      <c r="J39" s="10"/>
      <c r="K39" s="9" t="str">
        <f>IF(J39="","",IF(J39&gt;#REF!,"O","P"))</f>
        <v/>
      </c>
      <c r="L39" s="11"/>
      <c r="M39" s="9"/>
      <c r="N39" s="12" t="str">
        <f>IFERROR(VLOOKUP(M39,'[1]List KPI'!$M$3:$N$9,2,0),"")</f>
        <v/>
      </c>
      <c r="O39" s="10"/>
      <c r="P39" s="9" t="str">
        <f>IF(O39="","",IF(O39&gt;#REF!,"O","P"))</f>
        <v/>
      </c>
      <c r="Q39" s="11"/>
    </row>
    <row r="40" spans="1:17" x14ac:dyDescent="0.3">
      <c r="A40" s="9"/>
      <c r="B40" s="9"/>
      <c r="C40" s="9"/>
      <c r="D40" s="10"/>
      <c r="E40" s="11"/>
      <c r="F40" s="11"/>
      <c r="G40" s="9"/>
      <c r="H40" s="10" t="str">
        <f>IFERROR(VLOOKUP(G40,'[1]List KPI'!$A$3:$F$18,6,0),"")</f>
        <v/>
      </c>
      <c r="I40" s="10"/>
      <c r="J40" s="10"/>
      <c r="K40" s="9" t="str">
        <f>IF(J40="","",IF(J40&gt;#REF!,"O","P"))</f>
        <v/>
      </c>
      <c r="L40" s="11"/>
      <c r="M40" s="9"/>
      <c r="N40" s="12" t="str">
        <f>IFERROR(VLOOKUP(M40,'[1]List KPI'!$M$3:$N$9,2,0),"")</f>
        <v/>
      </c>
      <c r="O40" s="10"/>
      <c r="P40" s="9" t="str">
        <f>IF(O40="","",IF(O40&gt;#REF!,"O","P"))</f>
        <v/>
      </c>
      <c r="Q40" s="11"/>
    </row>
    <row r="41" spans="1:17" x14ac:dyDescent="0.3">
      <c r="A41" s="13"/>
      <c r="B41" s="58"/>
      <c r="C41" s="58"/>
      <c r="D41" s="58"/>
      <c r="E41" s="59"/>
      <c r="F41" s="59"/>
      <c r="G41" s="13"/>
      <c r="H41" s="14" t="str">
        <f>IFERROR(VLOOKUP(G41,'[1]List KPI'!$A$3:$F$18,6,0),"")</f>
        <v/>
      </c>
      <c r="I41" s="14"/>
      <c r="J41" s="14"/>
      <c r="K41" s="13" t="str">
        <f>IF(J41="","",IF(J41&gt;#REF!,"O","P"))</f>
        <v/>
      </c>
      <c r="L41" s="15"/>
      <c r="M41" s="13"/>
      <c r="N41" s="16" t="str">
        <f>IFERROR(VLOOKUP(M41,'[1]List KPI'!$M$3:$N$9,2,0),"")</f>
        <v/>
      </c>
      <c r="O41" s="14"/>
      <c r="P41" s="13" t="str">
        <f>IF(O41="","",IF(O41&gt;#REF!,"O","P"))</f>
        <v/>
      </c>
      <c r="Q41" s="58"/>
    </row>
    <row r="42" spans="1:17" x14ac:dyDescent="0.3">
      <c r="J42" s="60"/>
      <c r="O42" s="60"/>
    </row>
    <row r="43" spans="1:17" x14ac:dyDescent="0.3">
      <c r="J43" s="60"/>
      <c r="O43" s="60"/>
    </row>
  </sheetData>
  <mergeCells count="13">
    <mergeCell ref="L6:L7"/>
    <mergeCell ref="M6:P6"/>
    <mergeCell ref="Q6:Q7"/>
    <mergeCell ref="A2:Q2"/>
    <mergeCell ref="A3:Q3"/>
    <mergeCell ref="A6:A7"/>
    <mergeCell ref="B6:B7"/>
    <mergeCell ref="C6:C7"/>
    <mergeCell ref="D6:D7"/>
    <mergeCell ref="E6:E7"/>
    <mergeCell ref="F6:F7"/>
    <mergeCell ref="G6:K6"/>
    <mergeCell ref="F4:G4"/>
  </mergeCells>
  <phoneticPr fontId="3" type="noConversion"/>
  <dataValidations count="2">
    <dataValidation type="list" allowBlank="1" showInputMessage="1" showErrorMessage="1" sqref="M9:M41" xr:uid="{88D50C29-D707-4A59-B33D-FEC4773D5192}">
      <formula1>INDIRECT(#REF!)</formula1>
    </dataValidation>
    <dataValidation type="list" allowBlank="1" showInputMessage="1" showErrorMessage="1" sqref="G8:G41" xr:uid="{C1D1EF4B-7E3F-45AB-9F50-CA7C50CA83D2}">
      <formula1>#REF!</formula1>
    </dataValidation>
  </dataValidations>
  <printOptions horizontalCentered="1"/>
  <pageMargins left="0.39370078740157483" right="0.39370078740157483" top="0.59055118110236227" bottom="0.23622047244094491" header="0.15748031496062992" footer="0.15748031496062992"/>
  <pageSetup paperSize="9" scale="73" fitToHeight="5" orientation="landscape" horizontalDpi="0" verticalDpi="0" r:id="rId1"/>
  <headerFooter>
    <oddHeader>&amp;RAPS2567-F-02</oddHeader>
    <oddFooter>&amp;LREV.3-25670903&amp;Rหน้า 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CDD3-8E63-4367-8185-E448A42197F1}">
  <sheetPr codeName="Sheet3">
    <pageSetUpPr fitToPage="1"/>
  </sheetPr>
  <dimension ref="A1:Q44"/>
  <sheetViews>
    <sheetView zoomScaleNormal="100" workbookViewId="0">
      <selection activeCell="E18" sqref="E18"/>
    </sheetView>
  </sheetViews>
  <sheetFormatPr defaultColWidth="9" defaultRowHeight="18.75" x14ac:dyDescent="0.3"/>
  <cols>
    <col min="1" max="1" width="5.5703125" style="57" customWidth="1"/>
    <col min="2" max="4" width="10.5703125" style="57" customWidth="1"/>
    <col min="5" max="5" width="20.5703125" style="57" customWidth="1"/>
    <col min="6" max="6" width="25.5703125" style="57" customWidth="1"/>
    <col min="7" max="7" width="8.5703125" style="57" customWidth="1"/>
    <col min="8" max="8" width="9.5703125" style="57" customWidth="1"/>
    <col min="9" max="10" width="10.5703125" style="57" customWidth="1"/>
    <col min="11" max="11" width="8.5703125" style="57" customWidth="1"/>
    <col min="12" max="12" width="21.7109375" style="57" bestFit="1" customWidth="1"/>
    <col min="13" max="13" width="8.5703125" style="57" customWidth="1"/>
    <col min="14" max="14" width="9.5703125" style="57" customWidth="1"/>
    <col min="15" max="15" width="10.5703125" style="57" customWidth="1"/>
    <col min="16" max="16" width="8.5703125" style="57" customWidth="1"/>
    <col min="17" max="17" width="21.7109375" style="57" bestFit="1" customWidth="1"/>
    <col min="18" max="16384" width="9" style="57"/>
  </cols>
  <sheetData>
    <row r="1" spans="1:17" s="2" customFormat="1" ht="21" x14ac:dyDescent="0.3"/>
    <row r="2" spans="1:17" s="2" customFormat="1" ht="21" x14ac:dyDescent="0.3">
      <c r="A2" s="82" t="s">
        <v>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s="2" customFormat="1" ht="21" x14ac:dyDescent="0.3">
      <c r="A3" s="82" t="s">
        <v>21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s="2" customFormat="1" ht="21" x14ac:dyDescent="0.3">
      <c r="B4" s="7"/>
      <c r="C4" s="7"/>
      <c r="E4" s="8" t="s">
        <v>20</v>
      </c>
      <c r="F4" s="87"/>
      <c r="G4" s="87"/>
      <c r="H4" s="7"/>
      <c r="I4" s="7"/>
      <c r="J4" s="8" t="s">
        <v>18</v>
      </c>
      <c r="K4" s="3"/>
      <c r="N4" s="7"/>
      <c r="O4" s="8" t="s">
        <v>19</v>
      </c>
      <c r="P4" s="17"/>
    </row>
    <row r="5" spans="1:17" s="2" customFormat="1" ht="10.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1" customFormat="1" x14ac:dyDescent="0.3">
      <c r="A6" s="83" t="s">
        <v>2</v>
      </c>
      <c r="B6" s="83" t="s">
        <v>1</v>
      </c>
      <c r="C6" s="83" t="s">
        <v>0</v>
      </c>
      <c r="D6" s="84" t="s">
        <v>8</v>
      </c>
      <c r="E6" s="83" t="s">
        <v>4</v>
      </c>
      <c r="F6" s="85" t="s">
        <v>5</v>
      </c>
      <c r="G6" s="85" t="s">
        <v>12</v>
      </c>
      <c r="H6" s="85"/>
      <c r="I6" s="85"/>
      <c r="J6" s="85"/>
      <c r="K6" s="85"/>
      <c r="L6" s="80" t="s">
        <v>7</v>
      </c>
      <c r="M6" s="80" t="s">
        <v>13</v>
      </c>
      <c r="N6" s="80"/>
      <c r="O6" s="80"/>
      <c r="P6" s="80"/>
      <c r="Q6" s="81" t="s">
        <v>16</v>
      </c>
    </row>
    <row r="7" spans="1:17" s="1" customFormat="1" ht="37.5" x14ac:dyDescent="0.3">
      <c r="A7" s="83"/>
      <c r="B7" s="83"/>
      <c r="C7" s="83"/>
      <c r="D7" s="84"/>
      <c r="E7" s="83"/>
      <c r="F7" s="85"/>
      <c r="G7" s="5" t="s">
        <v>9</v>
      </c>
      <c r="H7" s="5" t="s">
        <v>14</v>
      </c>
      <c r="I7" s="5" t="s">
        <v>10</v>
      </c>
      <c r="J7" s="5" t="s">
        <v>11</v>
      </c>
      <c r="K7" s="5" t="s">
        <v>6</v>
      </c>
      <c r="L7" s="80"/>
      <c r="M7" s="6" t="s">
        <v>9</v>
      </c>
      <c r="N7" s="6" t="s">
        <v>14</v>
      </c>
      <c r="O7" s="6" t="s">
        <v>15</v>
      </c>
      <c r="P7" s="6" t="s">
        <v>6</v>
      </c>
      <c r="Q7" s="81"/>
    </row>
    <row r="8" spans="1:17" s="55" customFormat="1" x14ac:dyDescent="0.3">
      <c r="A8" s="50"/>
      <c r="B8" s="50"/>
      <c r="C8" s="50"/>
      <c r="D8" s="51"/>
      <c r="E8" s="52"/>
      <c r="F8" s="52"/>
      <c r="G8" s="50"/>
      <c r="H8" s="51"/>
      <c r="I8" s="51"/>
      <c r="J8" s="51"/>
      <c r="K8" s="50"/>
      <c r="L8" s="52"/>
      <c r="M8" s="53"/>
      <c r="N8" s="54"/>
      <c r="O8" s="51"/>
      <c r="P8" s="50"/>
      <c r="Q8" s="52"/>
    </row>
    <row r="9" spans="1:17" ht="16.5" customHeight="1" x14ac:dyDescent="0.3">
      <c r="A9" s="9"/>
      <c r="B9" s="9"/>
      <c r="C9" s="9"/>
      <c r="D9" s="10"/>
      <c r="E9" s="11"/>
      <c r="F9" s="11"/>
      <c r="G9" s="9"/>
      <c r="H9" s="10" t="str">
        <f>IFERROR(VLOOKUP(G9,'[1]List KPI'!$A$20:$F$60,6,0),"")</f>
        <v/>
      </c>
      <c r="I9" s="10"/>
      <c r="J9" s="10"/>
      <c r="K9" s="9" t="str">
        <f>IF(J9="","",IF(J9&gt;#REF!,"O","P"))</f>
        <v/>
      </c>
      <c r="L9" s="11"/>
      <c r="M9" s="9"/>
      <c r="N9" s="12" t="str">
        <f>IFERROR(VLOOKUP(M9,'[1]List KPI'!$M$3:$N$8,2,0),"")</f>
        <v/>
      </c>
      <c r="O9" s="10"/>
      <c r="P9" s="9" t="str">
        <f>IF(O9="","",IF(O9&gt;#REF!,"O","P"))</f>
        <v/>
      </c>
      <c r="Q9" s="11"/>
    </row>
    <row r="10" spans="1:17" ht="29.25" customHeight="1" x14ac:dyDescent="0.3">
      <c r="A10" s="9"/>
      <c r="B10" s="9"/>
      <c r="C10" s="9"/>
      <c r="D10" s="10"/>
      <c r="E10" s="11"/>
      <c r="F10" s="11"/>
      <c r="G10" s="9"/>
      <c r="H10" s="10" t="str">
        <f>IFERROR(VLOOKUP(G10,'[1]List KPI'!$A$20:$F$60,6,0),"")</f>
        <v/>
      </c>
      <c r="I10" s="10"/>
      <c r="J10" s="10"/>
      <c r="K10" s="9" t="str">
        <f>IF(J10="","",IF(J10&gt;#REF!,"O","P"))</f>
        <v/>
      </c>
      <c r="L10" s="11"/>
      <c r="M10" s="9"/>
      <c r="N10" s="12" t="str">
        <f>IFERROR(VLOOKUP(M10,'[1]List KPI'!$M$3:$N$8,2,0),"")</f>
        <v/>
      </c>
      <c r="O10" s="10"/>
      <c r="P10" s="9" t="str">
        <f>IF(O10="","",IF(O10&gt;#REF!,"O","P"))</f>
        <v/>
      </c>
      <c r="Q10" s="11"/>
    </row>
    <row r="11" spans="1:17" x14ac:dyDescent="0.3">
      <c r="A11" s="9"/>
      <c r="B11" s="9"/>
      <c r="C11" s="9"/>
      <c r="D11" s="10"/>
      <c r="E11" s="11"/>
      <c r="F11" s="11"/>
      <c r="G11" s="9"/>
      <c r="H11" s="10" t="str">
        <f>IFERROR(VLOOKUP(G11,'[1]List KPI'!$A$20:$F$60,6,0),"")</f>
        <v/>
      </c>
      <c r="I11" s="10"/>
      <c r="J11" s="10"/>
      <c r="K11" s="9" t="str">
        <f>IF(J11="","",IF(J11&gt;#REF!,"O","P"))</f>
        <v/>
      </c>
      <c r="L11" s="11"/>
      <c r="M11" s="9"/>
      <c r="N11" s="12" t="str">
        <f>IFERROR(VLOOKUP(M11,'[1]List KPI'!$M$3:$N$8,2,0),"")</f>
        <v/>
      </c>
      <c r="O11" s="10"/>
      <c r="P11" s="9" t="str">
        <f>IF(O11="","",IF(O11&gt;#REF!,"O","P"))</f>
        <v/>
      </c>
      <c r="Q11" s="11"/>
    </row>
    <row r="12" spans="1:17" x14ac:dyDescent="0.3">
      <c r="A12" s="9"/>
      <c r="B12" s="9"/>
      <c r="C12" s="9"/>
      <c r="D12" s="10"/>
      <c r="E12" s="11"/>
      <c r="F12" s="11"/>
      <c r="G12" s="9"/>
      <c r="H12" s="10" t="str">
        <f>IFERROR(VLOOKUP(G12,'[1]List KPI'!$A$20:$F$60,6,0),"")</f>
        <v/>
      </c>
      <c r="I12" s="10"/>
      <c r="J12" s="10"/>
      <c r="K12" s="9" t="str">
        <f>IF(J12="","",IF(J12&gt;#REF!,"O","P"))</f>
        <v/>
      </c>
      <c r="L12" s="11"/>
      <c r="M12" s="9"/>
      <c r="N12" s="12" t="str">
        <f>IFERROR(VLOOKUP(M12,'[1]List KPI'!$M$3:$N$8,2,0),"")</f>
        <v/>
      </c>
      <c r="O12" s="10"/>
      <c r="P12" s="9" t="str">
        <f>IF(O12="","",IF(O12&gt;#REF!,"O","P"))</f>
        <v/>
      </c>
      <c r="Q12" s="11"/>
    </row>
    <row r="13" spans="1:17" x14ac:dyDescent="0.3">
      <c r="A13" s="9"/>
      <c r="B13" s="9"/>
      <c r="C13" s="9"/>
      <c r="D13" s="10"/>
      <c r="E13" s="11"/>
      <c r="F13" s="11"/>
      <c r="G13" s="9"/>
      <c r="H13" s="10" t="str">
        <f>IFERROR(VLOOKUP(G13,'[1]List KPI'!$A$20:$F$60,6,0),"")</f>
        <v/>
      </c>
      <c r="I13" s="10"/>
      <c r="J13" s="10"/>
      <c r="K13" s="9" t="str">
        <f>IF(J13="","",IF(J13&gt;#REF!,"O","P"))</f>
        <v/>
      </c>
      <c r="L13" s="11"/>
      <c r="M13" s="9"/>
      <c r="N13" s="12" t="str">
        <f>IFERROR(VLOOKUP(M13,'[1]List KPI'!$M$3:$N$8,2,0),"")</f>
        <v/>
      </c>
      <c r="O13" s="10"/>
      <c r="P13" s="9" t="str">
        <f>IF(O13="","",IF(O13&gt;#REF!,"O","P"))</f>
        <v/>
      </c>
      <c r="Q13" s="11"/>
    </row>
    <row r="14" spans="1:17" x14ac:dyDescent="0.3">
      <c r="A14" s="9"/>
      <c r="B14" s="9"/>
      <c r="C14" s="9"/>
      <c r="D14" s="10"/>
      <c r="E14" s="11"/>
      <c r="F14" s="11"/>
      <c r="G14" s="9"/>
      <c r="H14" s="10" t="str">
        <f>IFERROR(VLOOKUP(G14,'[1]List KPI'!$A$20:$F$60,6,0),"")</f>
        <v/>
      </c>
      <c r="I14" s="10"/>
      <c r="J14" s="10"/>
      <c r="K14" s="9" t="str">
        <f>IF(J14="","",IF(J14&gt;#REF!,"O","P"))</f>
        <v/>
      </c>
      <c r="L14" s="11"/>
      <c r="M14" s="9"/>
      <c r="N14" s="12" t="str">
        <f>IFERROR(VLOOKUP(M14,'[1]List KPI'!$M$3:$N$8,2,0),"")</f>
        <v/>
      </c>
      <c r="O14" s="10"/>
      <c r="P14" s="9" t="str">
        <f>IF(O14="","",IF(O14&gt;#REF!,"O","P"))</f>
        <v/>
      </c>
      <c r="Q14" s="11"/>
    </row>
    <row r="15" spans="1:17" x14ac:dyDescent="0.3">
      <c r="A15" s="9"/>
      <c r="B15" s="9"/>
      <c r="C15" s="9"/>
      <c r="D15" s="10"/>
      <c r="E15" s="11"/>
      <c r="F15" s="11"/>
      <c r="G15" s="9"/>
      <c r="H15" s="10" t="str">
        <f>IFERROR(VLOOKUP(G15,'[1]List KPI'!$A$20:$F$60,6,0),"")</f>
        <v/>
      </c>
      <c r="I15" s="10"/>
      <c r="J15" s="10"/>
      <c r="K15" s="9" t="str">
        <f>IF(J15="","",IF(J15&gt;#REF!,"O","P"))</f>
        <v/>
      </c>
      <c r="L15" s="11"/>
      <c r="M15" s="9"/>
      <c r="N15" s="12" t="str">
        <f>IFERROR(VLOOKUP(M15,'[1]List KPI'!$M$3:$N$8,2,0),"")</f>
        <v/>
      </c>
      <c r="O15" s="10"/>
      <c r="P15" s="9" t="str">
        <f>IF(O15="","",IF(O15&gt;#REF!,"O","P"))</f>
        <v/>
      </c>
      <c r="Q15" s="11"/>
    </row>
    <row r="16" spans="1:17" ht="16.5" customHeight="1" x14ac:dyDescent="0.3">
      <c r="A16" s="9"/>
      <c r="B16" s="9"/>
      <c r="C16" s="9"/>
      <c r="D16" s="10"/>
      <c r="E16" s="11"/>
      <c r="F16" s="11"/>
      <c r="G16" s="9"/>
      <c r="H16" s="10" t="str">
        <f>IFERROR(VLOOKUP(G16,'[1]List KPI'!$A$20:$F$60,6,0),"")</f>
        <v/>
      </c>
      <c r="I16" s="10"/>
      <c r="J16" s="10"/>
      <c r="K16" s="9" t="str">
        <f>IF(J16="","",IF(J16&gt;#REF!,"O","P"))</f>
        <v/>
      </c>
      <c r="L16" s="11"/>
      <c r="M16" s="9"/>
      <c r="N16" s="12" t="str">
        <f>IFERROR(VLOOKUP(M16,'[1]List KPI'!$M$3:$N$8,2,0),"")</f>
        <v/>
      </c>
      <c r="O16" s="10"/>
      <c r="P16" s="9" t="str">
        <f>IF(O16="","",IF(O16&gt;#REF!,"O","P"))</f>
        <v/>
      </c>
      <c r="Q16" s="11"/>
    </row>
    <row r="17" spans="1:17" x14ac:dyDescent="0.3">
      <c r="A17" s="9"/>
      <c r="B17" s="9"/>
      <c r="C17" s="9"/>
      <c r="D17" s="10"/>
      <c r="E17" s="11"/>
      <c r="F17" s="11"/>
      <c r="G17" s="9"/>
      <c r="H17" s="10" t="str">
        <f>IFERROR(VLOOKUP(G17,'[1]List KPI'!$A$20:$F$60,6,0),"")</f>
        <v/>
      </c>
      <c r="I17" s="10"/>
      <c r="J17" s="10"/>
      <c r="K17" s="9" t="str">
        <f>IF(J17="","",IF(J17&gt;#REF!,"O","P"))</f>
        <v/>
      </c>
      <c r="L17" s="11"/>
      <c r="M17" s="9"/>
      <c r="N17" s="12" t="str">
        <f>IFERROR(VLOOKUP(M17,'[1]List KPI'!$M$3:$N$8,2,0),"")</f>
        <v/>
      </c>
      <c r="O17" s="10"/>
      <c r="P17" s="9" t="str">
        <f>IF(O17="","",IF(O17&gt;#REF!,"O","P"))</f>
        <v/>
      </c>
      <c r="Q17" s="11"/>
    </row>
    <row r="18" spans="1:17" x14ac:dyDescent="0.3">
      <c r="A18" s="9"/>
      <c r="B18" s="9"/>
      <c r="C18" s="9"/>
      <c r="D18" s="10"/>
      <c r="E18" s="11"/>
      <c r="F18" s="11"/>
      <c r="G18" s="9"/>
      <c r="H18" s="10" t="str">
        <f>IFERROR(VLOOKUP(G18,'[1]List KPI'!$A$20:$F$60,6,0),"")</f>
        <v/>
      </c>
      <c r="I18" s="10"/>
      <c r="J18" s="10"/>
      <c r="K18" s="9" t="str">
        <f>IF(J18="","",IF(J18&gt;#REF!,"O","P"))</f>
        <v/>
      </c>
      <c r="L18" s="11"/>
      <c r="M18" s="9"/>
      <c r="N18" s="12" t="str">
        <f>IFERROR(VLOOKUP(M18,'[1]List KPI'!$M$3:$N$8,2,0),"")</f>
        <v/>
      </c>
      <c r="O18" s="10"/>
      <c r="P18" s="9" t="str">
        <f>IF(O18="","",IF(O18&gt;#REF!,"O","P"))</f>
        <v/>
      </c>
      <c r="Q18" s="11"/>
    </row>
    <row r="19" spans="1:17" x14ac:dyDescent="0.3">
      <c r="A19" s="9"/>
      <c r="B19" s="9"/>
      <c r="C19" s="9"/>
      <c r="D19" s="10"/>
      <c r="E19" s="11"/>
      <c r="F19" s="11"/>
      <c r="G19" s="9"/>
      <c r="H19" s="10" t="str">
        <f>IFERROR(VLOOKUP(G19,'[1]List KPI'!$A$20:$F$60,6,0),"")</f>
        <v/>
      </c>
      <c r="I19" s="10"/>
      <c r="J19" s="10"/>
      <c r="K19" s="9" t="str">
        <f>IF(J19="","",IF(J19&gt;#REF!,"O","P"))</f>
        <v/>
      </c>
      <c r="L19" s="11"/>
      <c r="M19" s="9"/>
      <c r="N19" s="12" t="str">
        <f>IFERROR(VLOOKUP(M19,'[1]List KPI'!$M$3:$N$8,2,0),"")</f>
        <v/>
      </c>
      <c r="O19" s="10"/>
      <c r="P19" s="9" t="str">
        <f>IF(O19="","",IF(O19&gt;#REF!,"O","P"))</f>
        <v/>
      </c>
      <c r="Q19" s="11"/>
    </row>
    <row r="20" spans="1:17" x14ac:dyDescent="0.3">
      <c r="A20" s="9"/>
      <c r="B20" s="9"/>
      <c r="C20" s="9"/>
      <c r="D20" s="10"/>
      <c r="E20" s="11"/>
      <c r="F20" s="11"/>
      <c r="G20" s="9"/>
      <c r="H20" s="10" t="str">
        <f>IFERROR(VLOOKUP(G20,'[1]List KPI'!$A$20:$F$60,6,0),"")</f>
        <v/>
      </c>
      <c r="I20" s="10"/>
      <c r="J20" s="10"/>
      <c r="K20" s="9" t="str">
        <f>IF(J20="","",IF(J20&gt;#REF!,"O","P"))</f>
        <v/>
      </c>
      <c r="L20" s="11"/>
      <c r="M20" s="9"/>
      <c r="N20" s="12" t="str">
        <f>IFERROR(VLOOKUP(M20,'[1]List KPI'!$M$3:$N$8,2,0),"")</f>
        <v/>
      </c>
      <c r="O20" s="10"/>
      <c r="P20" s="9" t="str">
        <f>IF(O20="","",IF(O20&gt;#REF!,"O","P"))</f>
        <v/>
      </c>
      <c r="Q20" s="11"/>
    </row>
    <row r="21" spans="1:17" x14ac:dyDescent="0.3">
      <c r="A21" s="9"/>
      <c r="B21" s="9"/>
      <c r="C21" s="9"/>
      <c r="D21" s="10"/>
      <c r="E21" s="11"/>
      <c r="F21" s="11"/>
      <c r="G21" s="9"/>
      <c r="H21" s="10" t="str">
        <f>IFERROR(VLOOKUP(G21,'[1]List KPI'!$A$20:$F$60,6,0),"")</f>
        <v/>
      </c>
      <c r="I21" s="10"/>
      <c r="J21" s="10"/>
      <c r="K21" s="9" t="str">
        <f>IF(J21="","",IF(J21&gt;#REF!,"O","P"))</f>
        <v/>
      </c>
      <c r="L21" s="11"/>
      <c r="M21" s="9"/>
      <c r="N21" s="12" t="str">
        <f>IFERROR(VLOOKUP(M21,'[1]List KPI'!$M$3:$N$8,2,0),"")</f>
        <v/>
      </c>
      <c r="O21" s="10"/>
      <c r="P21" s="9" t="str">
        <f>IF(O21="","",IF(O21&gt;#REF!,"O","P"))</f>
        <v/>
      </c>
      <c r="Q21" s="11"/>
    </row>
    <row r="22" spans="1:17" x14ac:dyDescent="0.3">
      <c r="A22" s="9"/>
      <c r="B22" s="9"/>
      <c r="C22" s="9"/>
      <c r="D22" s="10"/>
      <c r="E22" s="11"/>
      <c r="F22" s="11"/>
      <c r="G22" s="9"/>
      <c r="H22" s="10" t="str">
        <f>IFERROR(VLOOKUP(G22,'[1]List KPI'!$A$20:$F$60,6,0),"")</f>
        <v/>
      </c>
      <c r="I22" s="10"/>
      <c r="J22" s="10"/>
      <c r="K22" s="9" t="str">
        <f>IF(J22="","",IF(J22&gt;#REF!,"O","P"))</f>
        <v/>
      </c>
      <c r="L22" s="11"/>
      <c r="M22" s="9"/>
      <c r="N22" s="12" t="str">
        <f>IFERROR(VLOOKUP(M22,'[1]List KPI'!$M$3:$N$8,2,0),"")</f>
        <v/>
      </c>
      <c r="O22" s="10"/>
      <c r="P22" s="9" t="str">
        <f>IF(O22="","",IF(O22&gt;#REF!,"O","P"))</f>
        <v/>
      </c>
      <c r="Q22" s="11"/>
    </row>
    <row r="23" spans="1:17" x14ac:dyDescent="0.3">
      <c r="A23" s="9"/>
      <c r="B23" s="9"/>
      <c r="C23" s="9"/>
      <c r="D23" s="10"/>
      <c r="E23" s="11"/>
      <c r="F23" s="11"/>
      <c r="G23" s="9"/>
      <c r="H23" s="10" t="str">
        <f>IFERROR(VLOOKUP(G23,'[1]List KPI'!$A$20:$F$60,6,0),"")</f>
        <v/>
      </c>
      <c r="I23" s="10"/>
      <c r="J23" s="10"/>
      <c r="K23" s="9" t="str">
        <f>IF(J23="","",IF(J23&gt;#REF!,"O","P"))</f>
        <v/>
      </c>
      <c r="L23" s="11"/>
      <c r="M23" s="9"/>
      <c r="N23" s="12" t="str">
        <f>IFERROR(VLOOKUP(M23,'[1]List KPI'!$M$3:$N$8,2,0),"")</f>
        <v/>
      </c>
      <c r="O23" s="10"/>
      <c r="P23" s="9" t="str">
        <f>IF(O23="","",IF(O23&gt;#REF!,"O","P"))</f>
        <v/>
      </c>
      <c r="Q23" s="11"/>
    </row>
    <row r="24" spans="1:17" x14ac:dyDescent="0.3">
      <c r="A24" s="9"/>
      <c r="B24" s="9"/>
      <c r="C24" s="9"/>
      <c r="D24" s="10"/>
      <c r="E24" s="11"/>
      <c r="F24" s="11"/>
      <c r="G24" s="9"/>
      <c r="H24" s="10" t="str">
        <f>IFERROR(VLOOKUP(G24,'[1]List KPI'!$A$20:$F$60,6,0),"")</f>
        <v/>
      </c>
      <c r="I24" s="10"/>
      <c r="J24" s="10"/>
      <c r="K24" s="9" t="str">
        <f>IF(J24="","",IF(J24&gt;#REF!,"O","P"))</f>
        <v/>
      </c>
      <c r="L24" s="11"/>
      <c r="M24" s="9"/>
      <c r="N24" s="12" t="str">
        <f>IFERROR(VLOOKUP(M24,'[1]List KPI'!$M$3:$N$8,2,0),"")</f>
        <v/>
      </c>
      <c r="O24" s="10"/>
      <c r="P24" s="9" t="str">
        <f>IF(O24="","",IF(O24&gt;#REF!,"O","P"))</f>
        <v/>
      </c>
      <c r="Q24" s="11"/>
    </row>
    <row r="25" spans="1:17" x14ac:dyDescent="0.3">
      <c r="A25" s="9"/>
      <c r="B25" s="9"/>
      <c r="C25" s="9"/>
      <c r="D25" s="10"/>
      <c r="E25" s="11"/>
      <c r="F25" s="11"/>
      <c r="G25" s="9"/>
      <c r="H25" s="10" t="str">
        <f>IFERROR(VLOOKUP(G25,'[1]List KPI'!$A$20:$F$60,6,0),"")</f>
        <v/>
      </c>
      <c r="I25" s="10"/>
      <c r="J25" s="10"/>
      <c r="K25" s="9" t="str">
        <f>IF(J25="","",IF(J25&gt;#REF!,"O","P"))</f>
        <v/>
      </c>
      <c r="L25" s="11"/>
      <c r="M25" s="9"/>
      <c r="N25" s="12" t="str">
        <f>IFERROR(VLOOKUP(M25,'[1]List KPI'!$M$3:$N$8,2,0),"")</f>
        <v/>
      </c>
      <c r="O25" s="10"/>
      <c r="P25" s="9" t="str">
        <f>IF(O25="","",IF(O25&gt;#REF!,"O","P"))</f>
        <v/>
      </c>
      <c r="Q25" s="11"/>
    </row>
    <row r="26" spans="1:17" x14ac:dyDescent="0.3">
      <c r="A26" s="9"/>
      <c r="B26" s="9"/>
      <c r="C26" s="9"/>
      <c r="D26" s="10"/>
      <c r="E26" s="11"/>
      <c r="F26" s="11"/>
      <c r="G26" s="9"/>
      <c r="H26" s="10" t="str">
        <f>IFERROR(VLOOKUP(G26,'[1]List KPI'!$A$20:$F$60,6,0),"")</f>
        <v/>
      </c>
      <c r="I26" s="10"/>
      <c r="J26" s="10"/>
      <c r="K26" s="9" t="str">
        <f>IF(J26="","",IF(J26&gt;#REF!,"O","P"))</f>
        <v/>
      </c>
      <c r="L26" s="11"/>
      <c r="M26" s="9"/>
      <c r="N26" s="12" t="str">
        <f>IFERROR(VLOOKUP(M26,'[1]List KPI'!$M$3:$N$8,2,0),"")</f>
        <v/>
      </c>
      <c r="O26" s="10"/>
      <c r="P26" s="9" t="str">
        <f>IF(O26="","",IF(O26&gt;#REF!,"O","P"))</f>
        <v/>
      </c>
      <c r="Q26" s="11"/>
    </row>
    <row r="27" spans="1:17" x14ac:dyDescent="0.3">
      <c r="A27" s="9"/>
      <c r="B27" s="9"/>
      <c r="C27" s="9"/>
      <c r="D27" s="10"/>
      <c r="E27" s="11"/>
      <c r="F27" s="11"/>
      <c r="G27" s="9"/>
      <c r="H27" s="10" t="str">
        <f>IFERROR(VLOOKUP(G27,'[1]List KPI'!$A$20:$F$60,6,0),"")</f>
        <v/>
      </c>
      <c r="I27" s="10"/>
      <c r="J27" s="10"/>
      <c r="K27" s="9" t="str">
        <f>IF(J27="","",IF(J27&gt;#REF!,"O","P"))</f>
        <v/>
      </c>
      <c r="L27" s="11"/>
      <c r="M27" s="9"/>
      <c r="N27" s="12" t="str">
        <f>IFERROR(VLOOKUP(M27,'[1]List KPI'!$M$3:$N$8,2,0),"")</f>
        <v/>
      </c>
      <c r="O27" s="10"/>
      <c r="P27" s="9" t="str">
        <f>IF(O27="","",IF(O27&gt;#REF!,"O","P"))</f>
        <v/>
      </c>
      <c r="Q27" s="11"/>
    </row>
    <row r="28" spans="1:17" x14ac:dyDescent="0.3">
      <c r="A28" s="9"/>
      <c r="B28" s="9"/>
      <c r="C28" s="9"/>
      <c r="D28" s="10"/>
      <c r="E28" s="11"/>
      <c r="F28" s="11"/>
      <c r="G28" s="9"/>
      <c r="H28" s="10" t="str">
        <f>IFERROR(VLOOKUP(G28,'[1]List KPI'!$A$20:$F$60,6,0),"")</f>
        <v/>
      </c>
      <c r="I28" s="10"/>
      <c r="J28" s="10"/>
      <c r="K28" s="9" t="str">
        <f>IF(J28="","",IF(J28&gt;#REF!,"O","P"))</f>
        <v/>
      </c>
      <c r="L28" s="11"/>
      <c r="M28" s="9"/>
      <c r="N28" s="12" t="str">
        <f>IFERROR(VLOOKUP(M28,'[1]List KPI'!$M$3:$N$8,2,0),"")</f>
        <v/>
      </c>
      <c r="O28" s="10"/>
      <c r="P28" s="9" t="str">
        <f>IF(O28="","",IF(O28&gt;#REF!,"O","P"))</f>
        <v/>
      </c>
      <c r="Q28" s="11"/>
    </row>
    <row r="29" spans="1:17" x14ac:dyDescent="0.3">
      <c r="A29" s="13"/>
      <c r="B29" s="13"/>
      <c r="C29" s="13"/>
      <c r="D29" s="14"/>
      <c r="E29" s="15"/>
      <c r="F29" s="15"/>
      <c r="G29" s="13"/>
      <c r="H29" s="14" t="str">
        <f>IFERROR(VLOOKUP(G29,'[1]List KPI'!$A$20:$F$60,6,0),"")</f>
        <v/>
      </c>
      <c r="I29" s="14"/>
      <c r="J29" s="14"/>
      <c r="K29" s="13" t="str">
        <f>IF(J29="","",IF(J29&gt;#REF!,"O","P"))</f>
        <v/>
      </c>
      <c r="L29" s="15"/>
      <c r="M29" s="13"/>
      <c r="N29" s="16" t="str">
        <f>IFERROR(VLOOKUP(M29,'[1]List KPI'!$M$3:$N$8,2,0),"")</f>
        <v/>
      </c>
      <c r="O29" s="14"/>
      <c r="P29" s="13" t="str">
        <f>IF(O29="","",IF(O29&gt;#REF!,"O","P"))</f>
        <v/>
      </c>
      <c r="Q29" s="15"/>
    </row>
    <row r="30" spans="1:17" x14ac:dyDescent="0.3">
      <c r="A30" s="13"/>
      <c r="B30" s="13"/>
      <c r="C30" s="13"/>
      <c r="D30" s="14"/>
      <c r="E30" s="15"/>
      <c r="F30" s="15"/>
      <c r="G30" s="13"/>
      <c r="H30" s="14" t="str">
        <f>IFERROR(VLOOKUP(G30,'[1]List KPI'!$A$20:$F$60,6,0),"")</f>
        <v/>
      </c>
      <c r="I30" s="14"/>
      <c r="J30" s="14"/>
      <c r="K30" s="13" t="str">
        <f>IF(J30="","",IF(J30&gt;#REF!,"O","P"))</f>
        <v/>
      </c>
      <c r="L30" s="15"/>
      <c r="M30" s="13"/>
      <c r="N30" s="16" t="str">
        <f>IFERROR(VLOOKUP(M30,'[1]List KPI'!$M$3:$N$8,2,0),"")</f>
        <v/>
      </c>
      <c r="O30" s="14"/>
      <c r="P30" s="13" t="str">
        <f>IF(O30="","",IF(O30&gt;#REF!,"O","P"))</f>
        <v/>
      </c>
      <c r="Q30" s="15"/>
    </row>
    <row r="31" spans="1:17" x14ac:dyDescent="0.3">
      <c r="A31" s="13"/>
      <c r="B31" s="13"/>
      <c r="C31" s="13"/>
      <c r="D31" s="14"/>
      <c r="E31" s="15"/>
      <c r="F31" s="15"/>
      <c r="G31" s="13"/>
      <c r="H31" s="14" t="str">
        <f>IFERROR(VLOOKUP(G31,'[1]List KPI'!$A$20:$F$60,6,0),"")</f>
        <v/>
      </c>
      <c r="I31" s="14"/>
      <c r="J31" s="14"/>
      <c r="K31" s="13" t="str">
        <f>IF(J31="","",IF(J31&gt;#REF!,"O","P"))</f>
        <v/>
      </c>
      <c r="L31" s="15"/>
      <c r="M31" s="13"/>
      <c r="N31" s="16" t="str">
        <f>IFERROR(VLOOKUP(M31,'[1]List KPI'!$M$3:$N$8,2,0),"")</f>
        <v/>
      </c>
      <c r="O31" s="14"/>
      <c r="P31" s="13" t="str">
        <f>IF(O31="","",IF(O31&gt;#REF!,"O","P"))</f>
        <v/>
      </c>
      <c r="Q31" s="15"/>
    </row>
    <row r="32" spans="1:17" x14ac:dyDescent="0.3">
      <c r="A32" s="13"/>
      <c r="B32" s="13"/>
      <c r="C32" s="13"/>
      <c r="D32" s="14"/>
      <c r="E32" s="15"/>
      <c r="F32" s="15"/>
      <c r="G32" s="13"/>
      <c r="H32" s="14" t="str">
        <f>IFERROR(VLOOKUP(G32,'[1]List KPI'!$A$20:$F$60,6,0),"")</f>
        <v/>
      </c>
      <c r="I32" s="14"/>
      <c r="J32" s="14"/>
      <c r="K32" s="13" t="str">
        <f>IF(J32="","",IF(J32&gt;#REF!,"O","P"))</f>
        <v/>
      </c>
      <c r="L32" s="15"/>
      <c r="M32" s="13"/>
      <c r="N32" s="16" t="str">
        <f>IFERROR(VLOOKUP(M32,'[1]List KPI'!$M$3:$N$8,2,0),"")</f>
        <v/>
      </c>
      <c r="O32" s="14"/>
      <c r="P32" s="13" t="str">
        <f>IF(O32="","",IF(O32&gt;#REF!,"O","P"))</f>
        <v/>
      </c>
      <c r="Q32" s="15"/>
    </row>
    <row r="33" spans="1:17" x14ac:dyDescent="0.3">
      <c r="A33" s="13"/>
      <c r="B33" s="13"/>
      <c r="C33" s="13"/>
      <c r="D33" s="14"/>
      <c r="E33" s="15"/>
      <c r="F33" s="15"/>
      <c r="G33" s="13"/>
      <c r="H33" s="14" t="str">
        <f>IFERROR(VLOOKUP(G33,'[1]List KPI'!$A$20:$F$60,6,0),"")</f>
        <v/>
      </c>
      <c r="I33" s="14"/>
      <c r="J33" s="14"/>
      <c r="K33" s="13" t="str">
        <f>IF(J33="","",IF(J33&gt;#REF!,"O","P"))</f>
        <v/>
      </c>
      <c r="L33" s="15"/>
      <c r="M33" s="13"/>
      <c r="N33" s="16" t="str">
        <f>IFERROR(VLOOKUP(M33,'[1]List KPI'!$M$3:$N$8,2,0),"")</f>
        <v/>
      </c>
      <c r="O33" s="14"/>
      <c r="P33" s="13" t="str">
        <f>IF(O33="","",IF(O33&gt;#REF!,"O","P"))</f>
        <v/>
      </c>
      <c r="Q33" s="15"/>
    </row>
    <row r="34" spans="1:17" x14ac:dyDescent="0.3">
      <c r="A34" s="13"/>
      <c r="B34" s="13"/>
      <c r="C34" s="13"/>
      <c r="D34" s="14"/>
      <c r="E34" s="15"/>
      <c r="F34" s="15"/>
      <c r="G34" s="13"/>
      <c r="H34" s="14" t="str">
        <f>IFERROR(VLOOKUP(G34,'[1]List KPI'!$A$20:$F$60,6,0),"")</f>
        <v/>
      </c>
      <c r="I34" s="14"/>
      <c r="J34" s="14"/>
      <c r="K34" s="13" t="str">
        <f>IF(J34="","",IF(J34&gt;#REF!,"O","P"))</f>
        <v/>
      </c>
      <c r="L34" s="15"/>
      <c r="M34" s="13"/>
      <c r="N34" s="16" t="str">
        <f>IFERROR(VLOOKUP(M34,'[1]List KPI'!$M$3:$N$8,2,0),"")</f>
        <v/>
      </c>
      <c r="O34" s="14"/>
      <c r="P34" s="13" t="str">
        <f>IF(O34="","",IF(O34&gt;#REF!,"O","P"))</f>
        <v/>
      </c>
      <c r="Q34" s="15"/>
    </row>
    <row r="35" spans="1:17" x14ac:dyDescent="0.3">
      <c r="A35" s="13"/>
      <c r="B35" s="13"/>
      <c r="C35" s="13"/>
      <c r="D35" s="14"/>
      <c r="E35" s="15"/>
      <c r="F35" s="15"/>
      <c r="G35" s="13"/>
      <c r="H35" s="14" t="str">
        <f>IFERROR(VLOOKUP(G35,'[1]List KPI'!$A$20:$F$60,6,0),"")</f>
        <v/>
      </c>
      <c r="I35" s="14"/>
      <c r="J35" s="14"/>
      <c r="K35" s="13" t="str">
        <f>IF(J35="","",IF(J35&gt;#REF!,"O","P"))</f>
        <v/>
      </c>
      <c r="L35" s="15"/>
      <c r="M35" s="13"/>
      <c r="N35" s="16" t="str">
        <f>IFERROR(VLOOKUP(M35,'[1]List KPI'!$M$3:$N$8,2,0),"")</f>
        <v/>
      </c>
      <c r="O35" s="14"/>
      <c r="P35" s="13" t="str">
        <f>IF(O35="","",IF(O35&gt;#REF!,"O","P"))</f>
        <v/>
      </c>
      <c r="Q35" s="15"/>
    </row>
    <row r="36" spans="1:17" x14ac:dyDescent="0.3">
      <c r="A36" s="13"/>
      <c r="B36" s="13"/>
      <c r="C36" s="13"/>
      <c r="D36" s="14"/>
      <c r="E36" s="15"/>
      <c r="F36" s="15"/>
      <c r="G36" s="13"/>
      <c r="H36" s="14" t="str">
        <f>IFERROR(VLOOKUP(G36,'[1]List KPI'!$A$20:$F$60,6,0),"")</f>
        <v/>
      </c>
      <c r="I36" s="14"/>
      <c r="J36" s="14"/>
      <c r="K36" s="13" t="str">
        <f>IF(J36="","",IF(J36&gt;#REF!,"O","P"))</f>
        <v/>
      </c>
      <c r="L36" s="15"/>
      <c r="M36" s="13"/>
      <c r="N36" s="16" t="str">
        <f>IFERROR(VLOOKUP(M36,'[1]List KPI'!$M$3:$N$8,2,0),"")</f>
        <v/>
      </c>
      <c r="O36" s="14"/>
      <c r="P36" s="13" t="str">
        <f>IF(O36="","",IF(O36&gt;#REF!,"O","P"))</f>
        <v/>
      </c>
      <c r="Q36" s="15"/>
    </row>
    <row r="37" spans="1:17" x14ac:dyDescent="0.3">
      <c r="A37" s="13"/>
      <c r="B37" s="13"/>
      <c r="C37" s="13"/>
      <c r="D37" s="14"/>
      <c r="E37" s="15"/>
      <c r="F37" s="15"/>
      <c r="G37" s="13"/>
      <c r="H37" s="14" t="str">
        <f>IFERROR(VLOOKUP(G37,'[1]List KPI'!$A$20:$F$60,6,0),"")</f>
        <v/>
      </c>
      <c r="I37" s="14"/>
      <c r="J37" s="14"/>
      <c r="K37" s="13" t="str">
        <f>IF(J37="","",IF(J37&gt;#REF!,"O","P"))</f>
        <v/>
      </c>
      <c r="L37" s="15"/>
      <c r="M37" s="13"/>
      <c r="N37" s="16" t="str">
        <f>IFERROR(VLOOKUP(M37,'[1]List KPI'!$M$3:$N$8,2,0),"")</f>
        <v/>
      </c>
      <c r="O37" s="14"/>
      <c r="P37" s="13" t="str">
        <f>IF(O37="","",IF(O37&gt;#REF!,"O","P"))</f>
        <v/>
      </c>
      <c r="Q37" s="15"/>
    </row>
    <row r="38" spans="1:17" x14ac:dyDescent="0.3">
      <c r="A38" s="13"/>
      <c r="B38" s="13"/>
      <c r="C38" s="13"/>
      <c r="D38" s="14"/>
      <c r="E38" s="15"/>
      <c r="F38" s="15"/>
      <c r="G38" s="13"/>
      <c r="H38" s="14" t="str">
        <f>IFERROR(VLOOKUP(G38,'[1]List KPI'!$A$20:$F$60,6,0),"")</f>
        <v/>
      </c>
      <c r="I38" s="14"/>
      <c r="J38" s="14"/>
      <c r="K38" s="13" t="str">
        <f>IF(J38="","",IF(J38&gt;#REF!,"O","P"))</f>
        <v/>
      </c>
      <c r="L38" s="15"/>
      <c r="M38" s="13"/>
      <c r="N38" s="16" t="str">
        <f>IFERROR(VLOOKUP(M38,'[1]List KPI'!$M$3:$N$8,2,0),"")</f>
        <v/>
      </c>
      <c r="O38" s="14"/>
      <c r="P38" s="13" t="str">
        <f>IF(O38="","",IF(O38&gt;#REF!,"O","P"))</f>
        <v/>
      </c>
      <c r="Q38" s="15"/>
    </row>
    <row r="39" spans="1:17" x14ac:dyDescent="0.3">
      <c r="A39" s="13"/>
      <c r="B39" s="13"/>
      <c r="C39" s="13"/>
      <c r="D39" s="14"/>
      <c r="E39" s="15"/>
      <c r="F39" s="15"/>
      <c r="G39" s="13"/>
      <c r="H39" s="14" t="str">
        <f>IFERROR(VLOOKUP(G39,'[1]List KPI'!$A$20:$F$60,6,0),"")</f>
        <v/>
      </c>
      <c r="I39" s="14"/>
      <c r="J39" s="14"/>
      <c r="K39" s="13" t="str">
        <f>IF(J39="","",IF(J39&gt;#REF!,"O","P"))</f>
        <v/>
      </c>
      <c r="L39" s="15"/>
      <c r="M39" s="13"/>
      <c r="N39" s="16" t="str">
        <f>IFERROR(VLOOKUP(M39,'[1]List KPI'!$M$3:$N$8,2,0),"")</f>
        <v/>
      </c>
      <c r="O39" s="14"/>
      <c r="P39" s="13" t="str">
        <f>IF(O39="","",IF(O39&gt;#REF!,"O","P"))</f>
        <v/>
      </c>
      <c r="Q39" s="15"/>
    </row>
    <row r="40" spans="1:17" x14ac:dyDescent="0.3">
      <c r="A40" s="13"/>
      <c r="B40" s="13"/>
      <c r="C40" s="13"/>
      <c r="D40" s="14"/>
      <c r="E40" s="15"/>
      <c r="F40" s="15"/>
      <c r="G40" s="13"/>
      <c r="H40" s="14" t="str">
        <f>IFERROR(VLOOKUP(G40,'[1]List KPI'!$A$20:$F$60,6,0),"")</f>
        <v/>
      </c>
      <c r="I40" s="14"/>
      <c r="J40" s="14"/>
      <c r="K40" s="13" t="str">
        <f>IF(J40="","",IF(J40&gt;#REF!,"O","P"))</f>
        <v/>
      </c>
      <c r="L40" s="15"/>
      <c r="M40" s="13"/>
      <c r="N40" s="16" t="str">
        <f>IFERROR(VLOOKUP(M40,'[1]List KPI'!$M$3:$N$8,2,0),"")</f>
        <v/>
      </c>
      <c r="O40" s="14"/>
      <c r="P40" s="13" t="str">
        <f>IF(O40="","",IF(O40&gt;#REF!,"O","P"))</f>
        <v/>
      </c>
      <c r="Q40" s="15"/>
    </row>
    <row r="41" spans="1:17" x14ac:dyDescent="0.3">
      <c r="A41" s="13"/>
      <c r="B41" s="58"/>
      <c r="C41" s="58"/>
      <c r="D41" s="58"/>
      <c r="E41" s="59"/>
      <c r="F41" s="59"/>
      <c r="G41" s="13"/>
      <c r="H41" s="14" t="str">
        <f>IFERROR(VLOOKUP(G41,'[1]List KPI'!$A$20:$F$60,6,0),"")</f>
        <v/>
      </c>
      <c r="I41" s="14"/>
      <c r="J41" s="14"/>
      <c r="K41" s="13" t="str">
        <f>IF(J41="","",IF(J41&gt;#REF!,"O","P"))</f>
        <v/>
      </c>
      <c r="L41" s="15"/>
      <c r="M41" s="13"/>
      <c r="N41" s="16" t="str">
        <f>IFERROR(VLOOKUP(M41,'[1]List KPI'!$M$3:$N$8,2,0),"")</f>
        <v/>
      </c>
      <c r="O41" s="14"/>
      <c r="P41" s="13" t="str">
        <f>IF(O41="","",IF(O41&gt;#REF!,"O","P"))</f>
        <v/>
      </c>
      <c r="Q41" s="15"/>
    </row>
    <row r="43" spans="1:17" x14ac:dyDescent="0.3">
      <c r="J43" s="60"/>
      <c r="K43" s="55"/>
      <c r="O43" s="60"/>
      <c r="P43" s="55"/>
    </row>
    <row r="44" spans="1:17" x14ac:dyDescent="0.3">
      <c r="K44" s="55"/>
      <c r="P44" s="55"/>
    </row>
  </sheetData>
  <mergeCells count="13">
    <mergeCell ref="L6:L7"/>
    <mergeCell ref="M6:P6"/>
    <mergeCell ref="Q6:Q7"/>
    <mergeCell ref="A2:Q2"/>
    <mergeCell ref="A3:Q3"/>
    <mergeCell ref="A6:A7"/>
    <mergeCell ref="B6:B7"/>
    <mergeCell ref="C6:C7"/>
    <mergeCell ref="D6:D7"/>
    <mergeCell ref="E6:E7"/>
    <mergeCell ref="F6:F7"/>
    <mergeCell ref="G6:K6"/>
    <mergeCell ref="F4:G4"/>
  </mergeCells>
  <phoneticPr fontId="3" type="noConversion"/>
  <dataValidations count="2">
    <dataValidation type="list" allowBlank="1" showInputMessage="1" showErrorMessage="1" sqref="M9:M41" xr:uid="{7057D36B-4F61-4669-9D56-5F0E89E2EE52}">
      <formula1>INDIRECT(#REF!)</formula1>
    </dataValidation>
    <dataValidation type="list" allowBlank="1" showInputMessage="1" showErrorMessage="1" sqref="G8:G41" xr:uid="{8FA1F29E-FCBE-4481-A46F-D35B8B922E05}">
      <formula1>#REF!</formula1>
    </dataValidation>
  </dataValidations>
  <printOptions horizontalCentered="1"/>
  <pageMargins left="0.39370078740157483" right="0.39370078740157483" top="0.59055118110236227" bottom="0.23622047244094491" header="0.15748031496062992" footer="0.15748031496062992"/>
  <pageSetup paperSize="9" scale="73" fitToHeight="5" orientation="landscape" horizontalDpi="0" verticalDpi="0" r:id="rId1"/>
  <headerFooter>
    <oddHeader>&amp;RAPS2567-F-02</oddHeader>
    <oddFooter>&amp;LREV.3-25670903&amp;Rหน้า &amp;P/&amp;N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2ADD-4242-4C2D-BEE7-209CBCED63D6}">
  <sheetPr codeName="Sheet4">
    <pageSetUpPr fitToPage="1"/>
  </sheetPr>
  <dimension ref="A1:Q44"/>
  <sheetViews>
    <sheetView zoomScale="93" zoomScaleNormal="93" workbookViewId="0">
      <selection activeCell="E26" sqref="E26"/>
    </sheetView>
  </sheetViews>
  <sheetFormatPr defaultColWidth="9" defaultRowHeight="18.75" x14ac:dyDescent="0.3"/>
  <cols>
    <col min="1" max="1" width="5.5703125" style="57" customWidth="1"/>
    <col min="2" max="4" width="10.5703125" style="57" customWidth="1"/>
    <col min="5" max="5" width="20.5703125" style="57" customWidth="1"/>
    <col min="6" max="6" width="25.5703125" style="57" customWidth="1"/>
    <col min="7" max="7" width="8.5703125" style="57" customWidth="1"/>
    <col min="8" max="8" width="9.5703125" style="57" customWidth="1"/>
    <col min="9" max="10" width="10.5703125" style="57" customWidth="1"/>
    <col min="11" max="11" width="8.5703125" style="57" customWidth="1"/>
    <col min="12" max="12" width="21.7109375" style="57" bestFit="1" customWidth="1"/>
    <col min="13" max="13" width="8.5703125" style="57" customWidth="1"/>
    <col min="14" max="14" width="9.5703125" style="57" customWidth="1"/>
    <col min="15" max="15" width="10.5703125" style="57" customWidth="1"/>
    <col min="16" max="16" width="8.5703125" style="57" customWidth="1"/>
    <col min="17" max="17" width="21.7109375" style="57" bestFit="1" customWidth="1"/>
    <col min="18" max="16384" width="9" style="57"/>
  </cols>
  <sheetData>
    <row r="1" spans="1:17" s="2" customFormat="1" ht="21" x14ac:dyDescent="0.3"/>
    <row r="2" spans="1:17" s="2" customFormat="1" ht="21" x14ac:dyDescent="0.3">
      <c r="A2" s="82" t="s">
        <v>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s="2" customFormat="1" ht="21" x14ac:dyDescent="0.3">
      <c r="A3" s="82" t="s">
        <v>23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s="2" customFormat="1" ht="21" x14ac:dyDescent="0.3">
      <c r="B4" s="7"/>
      <c r="C4" s="7"/>
      <c r="E4" s="8" t="s">
        <v>20</v>
      </c>
      <c r="F4" s="87"/>
      <c r="G4" s="87"/>
      <c r="H4" s="7"/>
      <c r="I4" s="7"/>
      <c r="J4" s="8" t="s">
        <v>18</v>
      </c>
      <c r="K4" s="3"/>
      <c r="N4" s="7"/>
      <c r="O4" s="8" t="s">
        <v>19</v>
      </c>
      <c r="P4" s="17"/>
    </row>
    <row r="5" spans="1:17" s="2" customFormat="1" ht="10.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1" customFormat="1" x14ac:dyDescent="0.3">
      <c r="A6" s="83" t="s">
        <v>2</v>
      </c>
      <c r="B6" s="83" t="s">
        <v>1</v>
      </c>
      <c r="C6" s="83" t="s">
        <v>0</v>
      </c>
      <c r="D6" s="84" t="s">
        <v>8</v>
      </c>
      <c r="E6" s="83" t="s">
        <v>4</v>
      </c>
      <c r="F6" s="85" t="s">
        <v>5</v>
      </c>
      <c r="G6" s="85" t="s">
        <v>12</v>
      </c>
      <c r="H6" s="85"/>
      <c r="I6" s="85"/>
      <c r="J6" s="85"/>
      <c r="K6" s="85"/>
      <c r="L6" s="80" t="s">
        <v>7</v>
      </c>
      <c r="M6" s="80" t="s">
        <v>13</v>
      </c>
      <c r="N6" s="80"/>
      <c r="O6" s="80"/>
      <c r="P6" s="80"/>
      <c r="Q6" s="81" t="s">
        <v>16</v>
      </c>
    </row>
    <row r="7" spans="1:17" s="1" customFormat="1" ht="37.5" x14ac:dyDescent="0.3">
      <c r="A7" s="83"/>
      <c r="B7" s="83"/>
      <c r="C7" s="83"/>
      <c r="D7" s="84"/>
      <c r="E7" s="83"/>
      <c r="F7" s="85"/>
      <c r="G7" s="5" t="s">
        <v>9</v>
      </c>
      <c r="H7" s="5" t="s">
        <v>14</v>
      </c>
      <c r="I7" s="5" t="s">
        <v>10</v>
      </c>
      <c r="J7" s="5" t="s">
        <v>11</v>
      </c>
      <c r="K7" s="5" t="s">
        <v>6</v>
      </c>
      <c r="L7" s="80"/>
      <c r="M7" s="6" t="s">
        <v>9</v>
      </c>
      <c r="N7" s="6" t="s">
        <v>14</v>
      </c>
      <c r="O7" s="6" t="s">
        <v>15</v>
      </c>
      <c r="P7" s="6" t="s">
        <v>6</v>
      </c>
      <c r="Q7" s="81"/>
    </row>
    <row r="8" spans="1:17" s="55" customFormat="1" ht="21" customHeight="1" x14ac:dyDescent="0.3">
      <c r="A8" s="50"/>
      <c r="B8" s="50"/>
      <c r="C8" s="50"/>
      <c r="D8" s="51"/>
      <c r="E8" s="52"/>
      <c r="F8" s="52"/>
      <c r="G8" s="50"/>
      <c r="H8" s="51"/>
      <c r="I8" s="51"/>
      <c r="J8" s="51"/>
      <c r="K8" s="50"/>
      <c r="L8" s="52"/>
      <c r="M8" s="53"/>
      <c r="N8" s="54"/>
      <c r="O8" s="51"/>
      <c r="P8" s="50"/>
      <c r="Q8" s="52"/>
    </row>
    <row r="9" spans="1:17" ht="24" customHeight="1" x14ac:dyDescent="0.3">
      <c r="A9" s="9"/>
      <c r="B9" s="9"/>
      <c r="C9" s="9"/>
      <c r="D9" s="10"/>
      <c r="E9" s="11"/>
      <c r="F9" s="11"/>
      <c r="G9" s="9"/>
      <c r="H9" s="10" t="str">
        <f>IFERROR(VLOOKUP(G9,'[1]List KPI'!$A$62:$F$101,6,0),"")</f>
        <v/>
      </c>
      <c r="I9" s="10"/>
      <c r="J9" s="10"/>
      <c r="K9" s="9" t="str">
        <f>IF(J9="","",IF(J9&gt;#REF!,"O","P"))</f>
        <v/>
      </c>
      <c r="L9" s="11"/>
      <c r="M9" s="9"/>
      <c r="N9" s="12" t="str">
        <f>IFERROR(VLOOKUP(M9,'[1]List KPI'!$M$3:$N$8,2,0),"")</f>
        <v/>
      </c>
      <c r="O9" s="10"/>
      <c r="P9" s="9" t="str">
        <f>IF(O9="","",IF(O9&gt;#REF!,"O","P"))</f>
        <v/>
      </c>
      <c r="Q9" s="11"/>
    </row>
    <row r="10" spans="1:17" x14ac:dyDescent="0.3">
      <c r="A10" s="9"/>
      <c r="B10" s="9"/>
      <c r="C10" s="9"/>
      <c r="D10" s="10"/>
      <c r="E10" s="11"/>
      <c r="F10" s="11"/>
      <c r="G10" s="9"/>
      <c r="H10" s="10" t="str">
        <f>IFERROR(VLOOKUP(G10,'[1]List KPI'!$A$62:$F$101,6,0),"")</f>
        <v/>
      </c>
      <c r="I10" s="10"/>
      <c r="J10" s="10"/>
      <c r="K10" s="9" t="str">
        <f>IF(J10="","",IF(J10&gt;#REF!,"O","P"))</f>
        <v/>
      </c>
      <c r="L10" s="11"/>
      <c r="M10" s="9"/>
      <c r="N10" s="12" t="str">
        <f>IFERROR(VLOOKUP(M10,'[1]List KPI'!$M$3:$N$8,2,0),"")</f>
        <v/>
      </c>
      <c r="O10" s="10"/>
      <c r="P10" s="9" t="str">
        <f>IF(O10="","",IF(O10&gt;#REF!,"O","P"))</f>
        <v/>
      </c>
      <c r="Q10" s="11"/>
    </row>
    <row r="11" spans="1:17" x14ac:dyDescent="0.3">
      <c r="A11" s="9"/>
      <c r="B11" s="9"/>
      <c r="C11" s="9"/>
      <c r="D11" s="10"/>
      <c r="E11" s="11"/>
      <c r="F11" s="11"/>
      <c r="G11" s="9"/>
      <c r="H11" s="10" t="str">
        <f>IFERROR(VLOOKUP(G11,'[1]List KPI'!$A$62:$F$101,6,0),"")</f>
        <v/>
      </c>
      <c r="I11" s="10"/>
      <c r="J11" s="10"/>
      <c r="K11" s="9" t="str">
        <f>IF(J11="","",IF(J11&gt;#REF!,"O","P"))</f>
        <v/>
      </c>
      <c r="L11" s="11"/>
      <c r="M11" s="9"/>
      <c r="N11" s="12" t="str">
        <f>IFERROR(VLOOKUP(M11,'[1]List KPI'!$M$3:$N$8,2,0),"")</f>
        <v/>
      </c>
      <c r="O11" s="10"/>
      <c r="P11" s="9" t="str">
        <f>IF(O11="","",IF(O11&gt;#REF!,"O","P"))</f>
        <v/>
      </c>
      <c r="Q11" s="11"/>
    </row>
    <row r="12" spans="1:17" x14ac:dyDescent="0.3">
      <c r="A12" s="9"/>
      <c r="B12" s="9"/>
      <c r="C12" s="9"/>
      <c r="D12" s="10"/>
      <c r="E12" s="11"/>
      <c r="F12" s="11"/>
      <c r="G12" s="9"/>
      <c r="H12" s="10" t="str">
        <f>IFERROR(VLOOKUP(G12,'[1]List KPI'!$A$62:$F$101,6,0),"")</f>
        <v/>
      </c>
      <c r="I12" s="10"/>
      <c r="J12" s="10"/>
      <c r="K12" s="9" t="str">
        <f>IF(J12="","",IF(J12&gt;#REF!,"O","P"))</f>
        <v/>
      </c>
      <c r="L12" s="11"/>
      <c r="M12" s="9"/>
      <c r="N12" s="12" t="str">
        <f>IFERROR(VLOOKUP(M12,'[1]List KPI'!$M$3:$N$8,2,0),"")</f>
        <v/>
      </c>
      <c r="O12" s="10"/>
      <c r="P12" s="9" t="str">
        <f>IF(O12="","",IF(O12&gt;#REF!,"O","P"))</f>
        <v/>
      </c>
      <c r="Q12" s="11"/>
    </row>
    <row r="13" spans="1:17" x14ac:dyDescent="0.3">
      <c r="A13" s="9"/>
      <c r="B13" s="9"/>
      <c r="C13" s="9"/>
      <c r="D13" s="10"/>
      <c r="E13" s="11"/>
      <c r="F13" s="11"/>
      <c r="G13" s="9"/>
      <c r="H13" s="10" t="str">
        <f>IFERROR(VLOOKUP(G13,'[1]List KPI'!$A$62:$F$101,6,0),"")</f>
        <v/>
      </c>
      <c r="I13" s="10"/>
      <c r="J13" s="10"/>
      <c r="K13" s="9" t="str">
        <f>IF(J13="","",IF(J13&gt;#REF!,"O","P"))</f>
        <v/>
      </c>
      <c r="L13" s="11"/>
      <c r="M13" s="9"/>
      <c r="N13" s="12" t="str">
        <f>IFERROR(VLOOKUP(M13,'[1]List KPI'!$M$3:$N$8,2,0),"")</f>
        <v/>
      </c>
      <c r="O13" s="10"/>
      <c r="P13" s="9" t="str">
        <f>IF(O13="","",IF(O13&gt;#REF!,"O","P"))</f>
        <v/>
      </c>
      <c r="Q13" s="11"/>
    </row>
    <row r="14" spans="1:17" x14ac:dyDescent="0.3">
      <c r="A14" s="9"/>
      <c r="B14" s="9"/>
      <c r="C14" s="9"/>
      <c r="D14" s="10"/>
      <c r="E14" s="11"/>
      <c r="F14" s="11"/>
      <c r="G14" s="9"/>
      <c r="H14" s="10" t="str">
        <f>IFERROR(VLOOKUP(G14,'[1]List KPI'!$A$62:$F$101,6,0),"")</f>
        <v/>
      </c>
      <c r="I14" s="10"/>
      <c r="J14" s="10"/>
      <c r="K14" s="9" t="str">
        <f>IF(J14="","",IF(J14&gt;#REF!,"O","P"))</f>
        <v/>
      </c>
      <c r="L14" s="11"/>
      <c r="M14" s="9"/>
      <c r="N14" s="12" t="str">
        <f>IFERROR(VLOOKUP(M14,'[1]List KPI'!$M$3:$N$8,2,0),"")</f>
        <v/>
      </c>
      <c r="O14" s="10"/>
      <c r="P14" s="9" t="str">
        <f>IF(O14="","",IF(O14&gt;#REF!,"O","P"))</f>
        <v/>
      </c>
      <c r="Q14" s="11"/>
    </row>
    <row r="15" spans="1:17" x14ac:dyDescent="0.3">
      <c r="A15" s="9"/>
      <c r="B15" s="9"/>
      <c r="C15" s="9"/>
      <c r="D15" s="10"/>
      <c r="E15" s="11"/>
      <c r="F15" s="11"/>
      <c r="G15" s="9"/>
      <c r="H15" s="10" t="str">
        <f>IFERROR(VLOOKUP(G15,'[1]List KPI'!$A$62:$F$101,6,0),"")</f>
        <v/>
      </c>
      <c r="I15" s="10"/>
      <c r="J15" s="10"/>
      <c r="K15" s="9" t="str">
        <f>IF(J15="","",IF(J15&gt;#REF!,"O","P"))</f>
        <v/>
      </c>
      <c r="L15" s="11"/>
      <c r="M15" s="9"/>
      <c r="N15" s="12" t="str">
        <f>IFERROR(VLOOKUP(M15,'[1]List KPI'!$M$3:$N$8,2,0),"")</f>
        <v/>
      </c>
      <c r="O15" s="10"/>
      <c r="P15" s="9" t="str">
        <f>IF(O15="","",IF(O15&gt;#REF!,"O","P"))</f>
        <v/>
      </c>
      <c r="Q15" s="11"/>
    </row>
    <row r="16" spans="1:17" x14ac:dyDescent="0.3">
      <c r="A16" s="9"/>
      <c r="B16" s="9"/>
      <c r="C16" s="9"/>
      <c r="D16" s="10"/>
      <c r="E16" s="11"/>
      <c r="F16" s="11"/>
      <c r="G16" s="9"/>
      <c r="H16" s="10" t="str">
        <f>IFERROR(VLOOKUP(G16,'[1]List KPI'!$A$62:$F$101,6,0),"")</f>
        <v/>
      </c>
      <c r="I16" s="10"/>
      <c r="J16" s="10"/>
      <c r="K16" s="9" t="str">
        <f>IF(J16="","",IF(J16&gt;#REF!,"O","P"))</f>
        <v/>
      </c>
      <c r="L16" s="11"/>
      <c r="M16" s="9"/>
      <c r="N16" s="12" t="str">
        <f>IFERROR(VLOOKUP(M16,'[1]List KPI'!$M$3:$N$8,2,0),"")</f>
        <v/>
      </c>
      <c r="O16" s="10"/>
      <c r="P16" s="9" t="str">
        <f>IF(O16="","",IF(O16&gt;#REF!,"O","P"))</f>
        <v/>
      </c>
      <c r="Q16" s="11"/>
    </row>
    <row r="17" spans="1:17" x14ac:dyDescent="0.3">
      <c r="A17" s="9"/>
      <c r="B17" s="9"/>
      <c r="C17" s="9"/>
      <c r="D17" s="10"/>
      <c r="E17" s="11"/>
      <c r="F17" s="11"/>
      <c r="G17" s="9"/>
      <c r="H17" s="10" t="str">
        <f>IFERROR(VLOOKUP(G17,'[1]List KPI'!$A$62:$F$101,6,0),"")</f>
        <v/>
      </c>
      <c r="I17" s="10"/>
      <c r="J17" s="10"/>
      <c r="K17" s="9" t="str">
        <f>IF(J17="","",IF(J17&gt;#REF!,"O","P"))</f>
        <v/>
      </c>
      <c r="L17" s="11"/>
      <c r="M17" s="9"/>
      <c r="N17" s="12" t="str">
        <f>IFERROR(VLOOKUP(M17,'[1]List KPI'!$M$3:$N$8,2,0),"")</f>
        <v/>
      </c>
      <c r="O17" s="10"/>
      <c r="P17" s="9" t="str">
        <f>IF(O17="","",IF(O17&gt;#REF!,"O","P"))</f>
        <v/>
      </c>
      <c r="Q17" s="11"/>
    </row>
    <row r="18" spans="1:17" x14ac:dyDescent="0.3">
      <c r="A18" s="9"/>
      <c r="B18" s="9"/>
      <c r="C18" s="9"/>
      <c r="D18" s="10"/>
      <c r="E18" s="11"/>
      <c r="F18" s="11"/>
      <c r="G18" s="9"/>
      <c r="H18" s="10" t="str">
        <f>IFERROR(VLOOKUP(G18,'[1]List KPI'!$A$62:$F$101,6,0),"")</f>
        <v/>
      </c>
      <c r="I18" s="10"/>
      <c r="J18" s="10"/>
      <c r="K18" s="9" t="str">
        <f>IF(J18="","",IF(J18&gt;#REF!,"O","P"))</f>
        <v/>
      </c>
      <c r="L18" s="11"/>
      <c r="M18" s="9"/>
      <c r="N18" s="12" t="str">
        <f>IFERROR(VLOOKUP(M18,'[1]List KPI'!$M$3:$N$8,2,0),"")</f>
        <v/>
      </c>
      <c r="O18" s="10"/>
      <c r="P18" s="9" t="str">
        <f>IF(O18="","",IF(O18&gt;#REF!,"O","P"))</f>
        <v/>
      </c>
      <c r="Q18" s="11"/>
    </row>
    <row r="19" spans="1:17" x14ac:dyDescent="0.3">
      <c r="A19" s="9"/>
      <c r="B19" s="9"/>
      <c r="C19" s="9"/>
      <c r="D19" s="10"/>
      <c r="E19" s="11"/>
      <c r="F19" s="11"/>
      <c r="G19" s="9"/>
      <c r="H19" s="10" t="str">
        <f>IFERROR(VLOOKUP(G19,'[1]List KPI'!$A$62:$F$101,6,0),"")</f>
        <v/>
      </c>
      <c r="I19" s="10"/>
      <c r="J19" s="10"/>
      <c r="K19" s="9" t="str">
        <f>IF(J19="","",IF(J19&gt;#REF!,"O","P"))</f>
        <v/>
      </c>
      <c r="L19" s="11"/>
      <c r="M19" s="9"/>
      <c r="N19" s="12" t="str">
        <f>IFERROR(VLOOKUP(M19,'[1]List KPI'!$M$3:$N$8,2,0),"")</f>
        <v/>
      </c>
      <c r="O19" s="10"/>
      <c r="P19" s="9" t="str">
        <f>IF(O19="","",IF(O19&gt;#REF!,"O","P"))</f>
        <v/>
      </c>
      <c r="Q19" s="11"/>
    </row>
    <row r="20" spans="1:17" x14ac:dyDescent="0.3">
      <c r="A20" s="9"/>
      <c r="B20" s="9"/>
      <c r="C20" s="9"/>
      <c r="D20" s="10"/>
      <c r="E20" s="11"/>
      <c r="F20" s="11"/>
      <c r="G20" s="9"/>
      <c r="H20" s="10" t="str">
        <f>IFERROR(VLOOKUP(G20,'[1]List KPI'!$A$62:$F$101,6,0),"")</f>
        <v/>
      </c>
      <c r="I20" s="10"/>
      <c r="J20" s="10"/>
      <c r="K20" s="9" t="str">
        <f>IF(J20="","",IF(J20&gt;#REF!,"O","P"))</f>
        <v/>
      </c>
      <c r="L20" s="11"/>
      <c r="M20" s="9"/>
      <c r="N20" s="12" t="str">
        <f>IFERROR(VLOOKUP(M20,'[1]List KPI'!$M$3:$N$8,2,0),"")</f>
        <v/>
      </c>
      <c r="O20" s="10"/>
      <c r="P20" s="9" t="str">
        <f>IF(O20="","",IF(O20&gt;#REF!,"O","P"))</f>
        <v/>
      </c>
      <c r="Q20" s="11"/>
    </row>
    <row r="21" spans="1:17" x14ac:dyDescent="0.3">
      <c r="A21" s="9"/>
      <c r="B21" s="9"/>
      <c r="C21" s="9"/>
      <c r="D21" s="10"/>
      <c r="E21" s="11"/>
      <c r="F21" s="11"/>
      <c r="G21" s="9"/>
      <c r="H21" s="10" t="str">
        <f>IFERROR(VLOOKUP(G21,'[1]List KPI'!$A$62:$F$101,6,0),"")</f>
        <v/>
      </c>
      <c r="I21" s="10"/>
      <c r="J21" s="10"/>
      <c r="K21" s="9" t="str">
        <f>IF(J21="","",IF(J21&gt;#REF!,"O","P"))</f>
        <v/>
      </c>
      <c r="L21" s="11"/>
      <c r="M21" s="9"/>
      <c r="N21" s="12" t="str">
        <f>IFERROR(VLOOKUP(M21,'[1]List KPI'!$M$3:$N$8,2,0),"")</f>
        <v/>
      </c>
      <c r="O21" s="10"/>
      <c r="P21" s="9" t="str">
        <f>IF(O21="","",IF(O21&gt;#REF!,"O","P"))</f>
        <v/>
      </c>
      <c r="Q21" s="11"/>
    </row>
    <row r="22" spans="1:17" x14ac:dyDescent="0.3">
      <c r="A22" s="9"/>
      <c r="B22" s="9"/>
      <c r="C22" s="9"/>
      <c r="D22" s="10"/>
      <c r="E22" s="11"/>
      <c r="F22" s="11"/>
      <c r="G22" s="9"/>
      <c r="H22" s="10" t="str">
        <f>IFERROR(VLOOKUP(G22,'[1]List KPI'!$A$62:$F$101,6,0),"")</f>
        <v/>
      </c>
      <c r="I22" s="10"/>
      <c r="J22" s="10"/>
      <c r="K22" s="9" t="str">
        <f>IF(J22="","",IF(J22&gt;#REF!,"O","P"))</f>
        <v/>
      </c>
      <c r="L22" s="11"/>
      <c r="M22" s="9"/>
      <c r="N22" s="12" t="str">
        <f>IFERROR(VLOOKUP(M22,'[1]List KPI'!$M$3:$N$8,2,0),"")</f>
        <v/>
      </c>
      <c r="O22" s="10"/>
      <c r="P22" s="9" t="str">
        <f>IF(O22="","",IF(O22&gt;#REF!,"O","P"))</f>
        <v/>
      </c>
      <c r="Q22" s="11"/>
    </row>
    <row r="23" spans="1:17" x14ac:dyDescent="0.3">
      <c r="A23" s="9"/>
      <c r="B23" s="9"/>
      <c r="C23" s="9"/>
      <c r="D23" s="10"/>
      <c r="E23" s="11"/>
      <c r="F23" s="11"/>
      <c r="G23" s="9"/>
      <c r="H23" s="10" t="str">
        <f>IFERROR(VLOOKUP(G23,'[1]List KPI'!$A$62:$F$101,6,0),"")</f>
        <v/>
      </c>
      <c r="I23" s="10"/>
      <c r="J23" s="10"/>
      <c r="K23" s="9" t="str">
        <f>IF(J23="","",IF(J23&gt;#REF!,"O","P"))</f>
        <v/>
      </c>
      <c r="L23" s="11"/>
      <c r="M23" s="9"/>
      <c r="N23" s="12" t="str">
        <f>IFERROR(VLOOKUP(M23,'[1]List KPI'!$M$3:$N$8,2,0),"")</f>
        <v/>
      </c>
      <c r="O23" s="10"/>
      <c r="P23" s="9" t="str">
        <f>IF(O23="","",IF(O23&gt;#REF!,"O","P"))</f>
        <v/>
      </c>
      <c r="Q23" s="11"/>
    </row>
    <row r="24" spans="1:17" x14ac:dyDescent="0.3">
      <c r="A24" s="9"/>
      <c r="B24" s="9"/>
      <c r="C24" s="9"/>
      <c r="D24" s="10"/>
      <c r="E24" s="11"/>
      <c r="F24" s="11"/>
      <c r="G24" s="9"/>
      <c r="H24" s="10" t="str">
        <f>IFERROR(VLOOKUP(G24,'[1]List KPI'!$A$62:$F$101,6,0),"")</f>
        <v/>
      </c>
      <c r="I24" s="10"/>
      <c r="J24" s="10"/>
      <c r="K24" s="9" t="str">
        <f>IF(J24="","",IF(J24&gt;#REF!,"O","P"))</f>
        <v/>
      </c>
      <c r="L24" s="11"/>
      <c r="M24" s="9"/>
      <c r="N24" s="12" t="str">
        <f>IFERROR(VLOOKUP(M24,'[1]List KPI'!$M$3:$N$8,2,0),"")</f>
        <v/>
      </c>
      <c r="O24" s="10"/>
      <c r="P24" s="9" t="str">
        <f>IF(O24="","",IF(O24&gt;#REF!,"O","P"))</f>
        <v/>
      </c>
      <c r="Q24" s="11"/>
    </row>
    <row r="25" spans="1:17" x14ac:dyDescent="0.3">
      <c r="A25" s="9"/>
      <c r="B25" s="9"/>
      <c r="C25" s="9"/>
      <c r="D25" s="10"/>
      <c r="E25" s="11"/>
      <c r="F25" s="11"/>
      <c r="G25" s="9"/>
      <c r="H25" s="10" t="str">
        <f>IFERROR(VLOOKUP(G25,'[1]List KPI'!$A$62:$F$101,6,0),"")</f>
        <v/>
      </c>
      <c r="I25" s="10"/>
      <c r="J25" s="10"/>
      <c r="K25" s="9" t="str">
        <f>IF(J25="","",IF(J25&gt;#REF!,"O","P"))</f>
        <v/>
      </c>
      <c r="L25" s="11"/>
      <c r="M25" s="9"/>
      <c r="N25" s="12" t="str">
        <f>IFERROR(VLOOKUP(M25,'[1]List KPI'!$M$3:$N$8,2,0),"")</f>
        <v/>
      </c>
      <c r="O25" s="10"/>
      <c r="P25" s="9" t="str">
        <f>IF(O25="","",IF(O25&gt;#REF!,"O","P"))</f>
        <v/>
      </c>
      <c r="Q25" s="11"/>
    </row>
    <row r="26" spans="1:17" x14ac:dyDescent="0.3">
      <c r="A26" s="9"/>
      <c r="B26" s="9"/>
      <c r="C26" s="9"/>
      <c r="D26" s="10"/>
      <c r="E26" s="11"/>
      <c r="F26" s="11"/>
      <c r="G26" s="9"/>
      <c r="H26" s="10" t="str">
        <f>IFERROR(VLOOKUP(G26,'[1]List KPI'!$A$62:$F$101,6,0),"")</f>
        <v/>
      </c>
      <c r="I26" s="10"/>
      <c r="J26" s="10"/>
      <c r="K26" s="9" t="str">
        <f>IF(J26="","",IF(J26&gt;#REF!,"O","P"))</f>
        <v/>
      </c>
      <c r="L26" s="11"/>
      <c r="M26" s="9"/>
      <c r="N26" s="12" t="str">
        <f>IFERROR(VLOOKUP(M26,'[1]List KPI'!$M$3:$N$8,2,0),"")</f>
        <v/>
      </c>
      <c r="O26" s="10"/>
      <c r="P26" s="9" t="str">
        <f>IF(O26="","",IF(O26&gt;#REF!,"O","P"))</f>
        <v/>
      </c>
      <c r="Q26" s="11"/>
    </row>
    <row r="27" spans="1:17" x14ac:dyDescent="0.3">
      <c r="A27" s="9"/>
      <c r="B27" s="9"/>
      <c r="C27" s="9"/>
      <c r="D27" s="10"/>
      <c r="E27" s="11"/>
      <c r="F27" s="11"/>
      <c r="G27" s="9"/>
      <c r="H27" s="10" t="str">
        <f>IFERROR(VLOOKUP(G27,'[1]List KPI'!$A$62:$F$101,6,0),"")</f>
        <v/>
      </c>
      <c r="I27" s="10"/>
      <c r="J27" s="10"/>
      <c r="K27" s="9" t="str">
        <f>IF(J27="","",IF(J27&gt;#REF!,"O","P"))</f>
        <v/>
      </c>
      <c r="L27" s="11"/>
      <c r="M27" s="9"/>
      <c r="N27" s="12" t="str">
        <f>IFERROR(VLOOKUP(M27,'[1]List KPI'!$M$3:$N$8,2,0),"")</f>
        <v/>
      </c>
      <c r="O27" s="10"/>
      <c r="P27" s="9" t="str">
        <f>IF(O27="","",IF(O27&gt;#REF!,"O","P"))</f>
        <v/>
      </c>
      <c r="Q27" s="11"/>
    </row>
    <row r="28" spans="1:17" x14ac:dyDescent="0.3">
      <c r="A28" s="9"/>
      <c r="B28" s="9"/>
      <c r="C28" s="9"/>
      <c r="D28" s="10"/>
      <c r="E28" s="11"/>
      <c r="F28" s="11"/>
      <c r="G28" s="9"/>
      <c r="H28" s="10" t="str">
        <f>IFERROR(VLOOKUP(G28,'[1]List KPI'!$A$62:$F$101,6,0),"")</f>
        <v/>
      </c>
      <c r="I28" s="10"/>
      <c r="J28" s="10"/>
      <c r="K28" s="9" t="str">
        <f>IF(J28="","",IF(J28&gt;#REF!,"O","P"))</f>
        <v/>
      </c>
      <c r="L28" s="11"/>
      <c r="M28" s="9"/>
      <c r="N28" s="12" t="str">
        <f>IFERROR(VLOOKUP(M28,'[1]List KPI'!$M$3:$N$8,2,0),"")</f>
        <v/>
      </c>
      <c r="O28" s="10"/>
      <c r="P28" s="9" t="str">
        <f>IF(O28="","",IF(O28&gt;#REF!,"O","P"))</f>
        <v/>
      </c>
      <c r="Q28" s="11"/>
    </row>
    <row r="29" spans="1:17" x14ac:dyDescent="0.3">
      <c r="A29" s="9"/>
      <c r="B29" s="9"/>
      <c r="C29" s="9"/>
      <c r="D29" s="10"/>
      <c r="E29" s="11"/>
      <c r="F29" s="11"/>
      <c r="G29" s="9"/>
      <c r="H29" s="10" t="str">
        <f>IFERROR(VLOOKUP(G29,'[1]List KPI'!$A$62:$F$101,6,0),"")</f>
        <v/>
      </c>
      <c r="I29" s="10"/>
      <c r="J29" s="10"/>
      <c r="K29" s="9" t="str">
        <f>IF(J29="","",IF(J29&gt;#REF!,"O","P"))</f>
        <v/>
      </c>
      <c r="L29" s="11"/>
      <c r="M29" s="9"/>
      <c r="N29" s="12" t="str">
        <f>IFERROR(VLOOKUP(M29,'[1]List KPI'!$M$3:$N$8,2,0),"")</f>
        <v/>
      </c>
      <c r="O29" s="10"/>
      <c r="P29" s="9" t="str">
        <f>IF(O29="","",IF(O29&gt;#REF!,"O","P"))</f>
        <v/>
      </c>
      <c r="Q29" s="11"/>
    </row>
    <row r="30" spans="1:17" x14ac:dyDescent="0.3">
      <c r="A30" s="9"/>
      <c r="B30" s="9"/>
      <c r="C30" s="9"/>
      <c r="D30" s="10"/>
      <c r="E30" s="11"/>
      <c r="F30" s="11"/>
      <c r="G30" s="9"/>
      <c r="H30" s="10" t="str">
        <f>IFERROR(VLOOKUP(G30,'[1]List KPI'!$A$62:$F$101,6,0),"")</f>
        <v/>
      </c>
      <c r="I30" s="10"/>
      <c r="J30" s="10"/>
      <c r="K30" s="9" t="str">
        <f>IF(J30="","",IF(J30&gt;#REF!,"O","P"))</f>
        <v/>
      </c>
      <c r="L30" s="11"/>
      <c r="M30" s="9"/>
      <c r="N30" s="12" t="str">
        <f>IFERROR(VLOOKUP(M30,'[1]List KPI'!$M$3:$N$8,2,0),"")</f>
        <v/>
      </c>
      <c r="O30" s="10"/>
      <c r="P30" s="9" t="str">
        <f>IF(O30="","",IF(O30&gt;#REF!,"O","P"))</f>
        <v/>
      </c>
      <c r="Q30" s="11"/>
    </row>
    <row r="31" spans="1:17" x14ac:dyDescent="0.3">
      <c r="A31" s="13"/>
      <c r="B31" s="13"/>
      <c r="C31" s="13"/>
      <c r="D31" s="14"/>
      <c r="E31" s="15"/>
      <c r="F31" s="15"/>
      <c r="G31" s="13"/>
      <c r="H31" s="14" t="str">
        <f>IFERROR(VLOOKUP(G31,'[1]List KPI'!$A$62:$F$101,6,0),"")</f>
        <v/>
      </c>
      <c r="I31" s="14"/>
      <c r="J31" s="14"/>
      <c r="K31" s="13" t="str">
        <f>IF(J31="","",IF(J31&gt;#REF!,"O","P"))</f>
        <v/>
      </c>
      <c r="L31" s="15"/>
      <c r="M31" s="13"/>
      <c r="N31" s="16" t="str">
        <f>IFERROR(VLOOKUP(M31,'[1]List KPI'!$M$3:$N$8,2,0),"")</f>
        <v/>
      </c>
      <c r="O31" s="14"/>
      <c r="P31" s="13" t="str">
        <f>IF(O31="","",IF(O31&gt;#REF!,"O","P"))</f>
        <v/>
      </c>
      <c r="Q31" s="15"/>
    </row>
    <row r="32" spans="1:17" x14ac:dyDescent="0.3">
      <c r="A32" s="13"/>
      <c r="B32" s="13"/>
      <c r="C32" s="13"/>
      <c r="D32" s="14"/>
      <c r="E32" s="15"/>
      <c r="F32" s="15"/>
      <c r="G32" s="13"/>
      <c r="H32" s="14" t="str">
        <f>IFERROR(VLOOKUP(G32,'[1]List KPI'!$A$62:$F$101,6,0),"")</f>
        <v/>
      </c>
      <c r="I32" s="14"/>
      <c r="J32" s="14"/>
      <c r="K32" s="13" t="str">
        <f>IF(J32="","",IF(J32&gt;#REF!,"O","P"))</f>
        <v/>
      </c>
      <c r="L32" s="15"/>
      <c r="M32" s="13"/>
      <c r="N32" s="16" t="str">
        <f>IFERROR(VLOOKUP(M32,'[1]List KPI'!$M$3:$N$8,2,0),"")</f>
        <v/>
      </c>
      <c r="O32" s="14"/>
      <c r="P32" s="13" t="str">
        <f>IF(O32="","",IF(O32&gt;#REF!,"O","P"))</f>
        <v/>
      </c>
      <c r="Q32" s="15"/>
    </row>
    <row r="33" spans="1:17" x14ac:dyDescent="0.3">
      <c r="A33" s="13"/>
      <c r="B33" s="13"/>
      <c r="C33" s="13"/>
      <c r="D33" s="14"/>
      <c r="E33" s="15"/>
      <c r="F33" s="15"/>
      <c r="G33" s="13"/>
      <c r="H33" s="14" t="str">
        <f>IFERROR(VLOOKUP(G33,'[1]List KPI'!$A$62:$F$101,6,0),"")</f>
        <v/>
      </c>
      <c r="I33" s="14"/>
      <c r="J33" s="14"/>
      <c r="K33" s="13" t="str">
        <f>IF(J33="","",IF(J33&gt;#REF!,"O","P"))</f>
        <v/>
      </c>
      <c r="L33" s="15"/>
      <c r="M33" s="13"/>
      <c r="N33" s="16" t="str">
        <f>IFERROR(VLOOKUP(M33,'[1]List KPI'!$M$3:$N$8,2,0),"")</f>
        <v/>
      </c>
      <c r="O33" s="14"/>
      <c r="P33" s="13" t="str">
        <f>IF(O33="","",IF(O33&gt;#REF!,"O","P"))</f>
        <v/>
      </c>
      <c r="Q33" s="15"/>
    </row>
    <row r="34" spans="1:17" x14ac:dyDescent="0.3">
      <c r="A34" s="13"/>
      <c r="B34" s="13"/>
      <c r="C34" s="13"/>
      <c r="D34" s="14"/>
      <c r="E34" s="15"/>
      <c r="F34" s="15"/>
      <c r="G34" s="13"/>
      <c r="H34" s="14" t="str">
        <f>IFERROR(VLOOKUP(G34,'[1]List KPI'!$A$62:$F$101,6,0),"")</f>
        <v/>
      </c>
      <c r="I34" s="14"/>
      <c r="J34" s="14"/>
      <c r="K34" s="13" t="str">
        <f>IF(J34="","",IF(J34&gt;#REF!,"O","P"))</f>
        <v/>
      </c>
      <c r="L34" s="15"/>
      <c r="M34" s="13"/>
      <c r="N34" s="16" t="str">
        <f>IFERROR(VLOOKUP(M34,'[1]List KPI'!$M$3:$N$8,2,0),"")</f>
        <v/>
      </c>
      <c r="O34" s="14"/>
      <c r="P34" s="13" t="str">
        <f>IF(O34="","",IF(O34&gt;#REF!,"O","P"))</f>
        <v/>
      </c>
      <c r="Q34" s="15"/>
    </row>
    <row r="35" spans="1:17" x14ac:dyDescent="0.3">
      <c r="A35" s="13"/>
      <c r="B35" s="13"/>
      <c r="C35" s="13"/>
      <c r="D35" s="14"/>
      <c r="E35" s="15"/>
      <c r="F35" s="15"/>
      <c r="G35" s="13"/>
      <c r="H35" s="14" t="str">
        <f>IFERROR(VLOOKUP(G35,'[1]List KPI'!$A$62:$F$101,6,0),"")</f>
        <v/>
      </c>
      <c r="I35" s="14"/>
      <c r="J35" s="14"/>
      <c r="K35" s="13" t="str">
        <f>IF(J35="","",IF(J35&gt;#REF!,"O","P"))</f>
        <v/>
      </c>
      <c r="L35" s="15"/>
      <c r="M35" s="13"/>
      <c r="N35" s="16" t="str">
        <f>IFERROR(VLOOKUP(M35,'[1]List KPI'!$M$3:$N$8,2,0),"")</f>
        <v/>
      </c>
      <c r="O35" s="14"/>
      <c r="P35" s="13" t="str">
        <f>IF(O35="","",IF(O35&gt;#REF!,"O","P"))</f>
        <v/>
      </c>
      <c r="Q35" s="15"/>
    </row>
    <row r="36" spans="1:17" x14ac:dyDescent="0.3">
      <c r="A36" s="13"/>
      <c r="B36" s="13"/>
      <c r="C36" s="13"/>
      <c r="D36" s="14"/>
      <c r="E36" s="15"/>
      <c r="F36" s="15"/>
      <c r="G36" s="13"/>
      <c r="H36" s="14" t="str">
        <f>IFERROR(VLOOKUP(G36,'[1]List KPI'!$A$62:$F$101,6,0),"")</f>
        <v/>
      </c>
      <c r="I36" s="14"/>
      <c r="J36" s="14"/>
      <c r="K36" s="13" t="str">
        <f>IF(J36="","",IF(J36&gt;#REF!,"O","P"))</f>
        <v/>
      </c>
      <c r="L36" s="15"/>
      <c r="M36" s="13"/>
      <c r="N36" s="16" t="str">
        <f>IFERROR(VLOOKUP(M36,'[1]List KPI'!$M$3:$N$8,2,0),"")</f>
        <v/>
      </c>
      <c r="O36" s="14"/>
      <c r="P36" s="13" t="str">
        <f>IF(O36="","",IF(O36&gt;#REF!,"O","P"))</f>
        <v/>
      </c>
      <c r="Q36" s="15"/>
    </row>
    <row r="37" spans="1:17" x14ac:dyDescent="0.3">
      <c r="A37" s="13"/>
      <c r="B37" s="13"/>
      <c r="C37" s="13"/>
      <c r="D37" s="14"/>
      <c r="E37" s="15"/>
      <c r="F37" s="15"/>
      <c r="G37" s="13"/>
      <c r="H37" s="14" t="str">
        <f>IFERROR(VLOOKUP(G37,'[1]List KPI'!$A$62:$F$101,6,0),"")</f>
        <v/>
      </c>
      <c r="I37" s="14"/>
      <c r="J37" s="14"/>
      <c r="K37" s="13" t="str">
        <f>IF(J37="","",IF(J37&gt;#REF!,"O","P"))</f>
        <v/>
      </c>
      <c r="L37" s="15"/>
      <c r="M37" s="13"/>
      <c r="N37" s="16" t="str">
        <f>IFERROR(VLOOKUP(M37,'[1]List KPI'!$M$3:$N$8,2,0),"")</f>
        <v/>
      </c>
      <c r="O37" s="14"/>
      <c r="P37" s="13" t="str">
        <f>IF(O37="","",IF(O37&gt;#REF!,"O","P"))</f>
        <v/>
      </c>
      <c r="Q37" s="15"/>
    </row>
    <row r="38" spans="1:17" x14ac:dyDescent="0.3">
      <c r="A38" s="13"/>
      <c r="B38" s="13"/>
      <c r="C38" s="13"/>
      <c r="D38" s="14"/>
      <c r="E38" s="15"/>
      <c r="F38" s="15"/>
      <c r="G38" s="13"/>
      <c r="H38" s="14" t="str">
        <f>IFERROR(VLOOKUP(G38,'[1]List KPI'!$A$62:$F$101,6,0),"")</f>
        <v/>
      </c>
      <c r="I38" s="14"/>
      <c r="J38" s="14"/>
      <c r="K38" s="13" t="str">
        <f>IF(J38="","",IF(J38&gt;#REF!,"O","P"))</f>
        <v/>
      </c>
      <c r="L38" s="15"/>
      <c r="M38" s="13"/>
      <c r="N38" s="16" t="str">
        <f>IFERROR(VLOOKUP(M38,'[1]List KPI'!$M$3:$N$8,2,0),"")</f>
        <v/>
      </c>
      <c r="O38" s="14"/>
      <c r="P38" s="13" t="str">
        <f>IF(O38="","",IF(O38&gt;#REF!,"O","P"))</f>
        <v/>
      </c>
      <c r="Q38" s="15"/>
    </row>
    <row r="39" spans="1:17" x14ac:dyDescent="0.3">
      <c r="A39" s="13"/>
      <c r="B39" s="13"/>
      <c r="C39" s="13"/>
      <c r="D39" s="14"/>
      <c r="E39" s="15"/>
      <c r="F39" s="15"/>
      <c r="G39" s="13"/>
      <c r="H39" s="14" t="str">
        <f>IFERROR(VLOOKUP(G39,'[1]List KPI'!$A$62:$F$101,6,0),"")</f>
        <v/>
      </c>
      <c r="I39" s="14"/>
      <c r="J39" s="14"/>
      <c r="K39" s="13" t="str">
        <f>IF(J39="","",IF(J39&gt;#REF!,"O","P"))</f>
        <v/>
      </c>
      <c r="L39" s="15"/>
      <c r="M39" s="13"/>
      <c r="N39" s="16" t="str">
        <f>IFERROR(VLOOKUP(M39,'[1]List KPI'!$M$3:$N$8,2,0),"")</f>
        <v/>
      </c>
      <c r="O39" s="14"/>
      <c r="P39" s="13" t="str">
        <f>IF(O39="","",IF(O39&gt;#REF!,"O","P"))</f>
        <v/>
      </c>
      <c r="Q39" s="15"/>
    </row>
    <row r="40" spans="1:17" x14ac:dyDescent="0.3">
      <c r="A40" s="13"/>
      <c r="B40" s="13"/>
      <c r="C40" s="13"/>
      <c r="D40" s="14"/>
      <c r="E40" s="15"/>
      <c r="F40" s="15"/>
      <c r="G40" s="13"/>
      <c r="H40" s="14" t="str">
        <f>IFERROR(VLOOKUP(G40,'[1]List KPI'!$A$62:$F$101,6,0),"")</f>
        <v/>
      </c>
      <c r="I40" s="14"/>
      <c r="J40" s="14"/>
      <c r="K40" s="13" t="str">
        <f>IF(J40="","",IF(J40&gt;#REF!,"O","P"))</f>
        <v/>
      </c>
      <c r="L40" s="15"/>
      <c r="M40" s="13"/>
      <c r="N40" s="16" t="str">
        <f>IFERROR(VLOOKUP(M40,'[1]List KPI'!$M$3:$N$8,2,0),"")</f>
        <v/>
      </c>
      <c r="O40" s="14"/>
      <c r="P40" s="13" t="str">
        <f>IF(O40="","",IF(O40&gt;#REF!,"O","P"))</f>
        <v/>
      </c>
      <c r="Q40" s="15"/>
    </row>
    <row r="41" spans="1:17" x14ac:dyDescent="0.3">
      <c r="A41" s="13"/>
      <c r="B41" s="58"/>
      <c r="C41" s="58"/>
      <c r="D41" s="58"/>
      <c r="E41" s="59"/>
      <c r="F41" s="59"/>
      <c r="G41" s="13"/>
      <c r="H41" s="14" t="str">
        <f>IFERROR(VLOOKUP(G41,'[1]List KPI'!$A$62:$F$101,6,0),"")</f>
        <v/>
      </c>
      <c r="I41" s="14"/>
      <c r="J41" s="14"/>
      <c r="K41" s="13" t="str">
        <f>IF(J41="","",IF(J41&gt;#REF!,"O","P"))</f>
        <v/>
      </c>
      <c r="L41" s="15"/>
      <c r="M41" s="13"/>
      <c r="N41" s="16" t="str">
        <f>IFERROR(VLOOKUP(M41,'[1]List KPI'!$M$3:$N$8,2,0),"")</f>
        <v/>
      </c>
      <c r="O41" s="14"/>
      <c r="P41" s="13" t="str">
        <f>IF(O41="","",IF(O41&gt;#REF!,"O","P"))</f>
        <v/>
      </c>
      <c r="Q41" s="15"/>
    </row>
    <row r="43" spans="1:17" x14ac:dyDescent="0.3">
      <c r="J43" s="60"/>
      <c r="K43" s="55"/>
      <c r="O43" s="60"/>
      <c r="P43" s="55"/>
    </row>
    <row r="44" spans="1:17" x14ac:dyDescent="0.3">
      <c r="K44" s="55"/>
      <c r="P44" s="55"/>
    </row>
  </sheetData>
  <mergeCells count="13">
    <mergeCell ref="L6:L7"/>
    <mergeCell ref="M6:P6"/>
    <mergeCell ref="Q6:Q7"/>
    <mergeCell ref="A2:Q2"/>
    <mergeCell ref="A3:Q3"/>
    <mergeCell ref="A6:A7"/>
    <mergeCell ref="B6:B7"/>
    <mergeCell ref="C6:C7"/>
    <mergeCell ref="D6:D7"/>
    <mergeCell ref="E6:E7"/>
    <mergeCell ref="F6:F7"/>
    <mergeCell ref="G6:K6"/>
    <mergeCell ref="F4:G4"/>
  </mergeCells>
  <dataValidations count="2">
    <dataValidation type="list" allowBlank="1" showInputMessage="1" showErrorMessage="1" sqref="M9:M41" xr:uid="{5B5570DC-4787-45A0-B1B9-66E3C6FA4DCC}">
      <formula1>INDIRECT(#REF!)</formula1>
    </dataValidation>
    <dataValidation type="list" allowBlank="1" showInputMessage="1" showErrorMessage="1" sqref="G8:G41" xr:uid="{4998275B-8DDD-41DC-977F-4B9CC859C52B}">
      <formula1>#REF!</formula1>
    </dataValidation>
  </dataValidations>
  <printOptions horizontalCentered="1"/>
  <pageMargins left="0.39370078740157483" right="0.39370078740157483" top="0.59055118110236227" bottom="0.23622047244094491" header="0.15748031496062992" footer="0.15748031496062992"/>
  <pageSetup paperSize="9" scale="73" fitToHeight="5" orientation="landscape" horizontalDpi="0" verticalDpi="0" r:id="rId1"/>
  <headerFooter>
    <oddHeader>&amp;RAPS2567-F-02</oddHeader>
    <oddFooter>&amp;LREV.3-25670903&amp;Rหน้า &amp;P/&amp;N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8746-BB69-4655-BD05-AB0B9540C1A0}">
  <sheetPr codeName="Sheet5">
    <pageSetUpPr fitToPage="1"/>
  </sheetPr>
  <dimension ref="A1:Q44"/>
  <sheetViews>
    <sheetView zoomScaleNormal="100" workbookViewId="0">
      <selection activeCell="U12" sqref="U12"/>
    </sheetView>
  </sheetViews>
  <sheetFormatPr defaultColWidth="9" defaultRowHeight="18.75" x14ac:dyDescent="0.3"/>
  <cols>
    <col min="1" max="1" width="5.5703125" style="57" customWidth="1"/>
    <col min="2" max="4" width="10.5703125" style="57" customWidth="1"/>
    <col min="5" max="5" width="20.5703125" style="57" customWidth="1"/>
    <col min="6" max="6" width="25.5703125" style="57" customWidth="1"/>
    <col min="7" max="7" width="8.5703125" style="57" customWidth="1"/>
    <col min="8" max="8" width="9.5703125" style="57" customWidth="1"/>
    <col min="9" max="10" width="10.5703125" style="57" customWidth="1"/>
    <col min="11" max="11" width="8.5703125" style="57" customWidth="1"/>
    <col min="12" max="12" width="21.7109375" style="57" bestFit="1" customWidth="1"/>
    <col min="13" max="13" width="8.5703125" style="57" customWidth="1"/>
    <col min="14" max="14" width="9.5703125" style="57" customWidth="1"/>
    <col min="15" max="15" width="10.5703125" style="57" customWidth="1"/>
    <col min="16" max="16" width="8.5703125" style="57" customWidth="1"/>
    <col min="17" max="17" width="21.7109375" style="57" bestFit="1" customWidth="1"/>
    <col min="18" max="16384" width="9" style="57"/>
  </cols>
  <sheetData>
    <row r="1" spans="1:17" s="2" customFormat="1" ht="21" x14ac:dyDescent="0.3"/>
    <row r="2" spans="1:17" s="2" customFormat="1" ht="21" x14ac:dyDescent="0.3">
      <c r="A2" s="82" t="s">
        <v>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s="2" customFormat="1" ht="21" x14ac:dyDescent="0.3">
      <c r="A3" s="82" t="s">
        <v>24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s="2" customFormat="1" ht="21" x14ac:dyDescent="0.3">
      <c r="B4" s="7"/>
      <c r="C4" s="7"/>
      <c r="E4" s="8" t="s">
        <v>20</v>
      </c>
      <c r="F4" s="87"/>
      <c r="G4" s="87"/>
      <c r="H4" s="7"/>
      <c r="I4" s="7"/>
      <c r="J4" s="8" t="s">
        <v>18</v>
      </c>
      <c r="K4" s="3"/>
      <c r="N4" s="7"/>
      <c r="O4" s="8" t="s">
        <v>19</v>
      </c>
      <c r="P4" s="17"/>
    </row>
    <row r="5" spans="1:17" s="2" customFormat="1" ht="10.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1" customFormat="1" x14ac:dyDescent="0.3">
      <c r="A6" s="83" t="s">
        <v>2</v>
      </c>
      <c r="B6" s="83" t="s">
        <v>1</v>
      </c>
      <c r="C6" s="83" t="s">
        <v>0</v>
      </c>
      <c r="D6" s="84" t="s">
        <v>8</v>
      </c>
      <c r="E6" s="83" t="s">
        <v>4</v>
      </c>
      <c r="F6" s="85" t="s">
        <v>5</v>
      </c>
      <c r="G6" s="85" t="s">
        <v>12</v>
      </c>
      <c r="H6" s="85"/>
      <c r="I6" s="85"/>
      <c r="J6" s="85"/>
      <c r="K6" s="85"/>
      <c r="L6" s="80" t="s">
        <v>7</v>
      </c>
      <c r="M6" s="80" t="s">
        <v>13</v>
      </c>
      <c r="N6" s="80"/>
      <c r="O6" s="80"/>
      <c r="P6" s="80"/>
      <c r="Q6" s="81" t="s">
        <v>16</v>
      </c>
    </row>
    <row r="7" spans="1:17" s="1" customFormat="1" ht="37.5" x14ac:dyDescent="0.3">
      <c r="A7" s="83"/>
      <c r="B7" s="83"/>
      <c r="C7" s="83"/>
      <c r="D7" s="84"/>
      <c r="E7" s="83"/>
      <c r="F7" s="85"/>
      <c r="G7" s="5" t="s">
        <v>9</v>
      </c>
      <c r="H7" s="5" t="s">
        <v>14</v>
      </c>
      <c r="I7" s="5" t="s">
        <v>10</v>
      </c>
      <c r="J7" s="5" t="s">
        <v>11</v>
      </c>
      <c r="K7" s="5" t="s">
        <v>6</v>
      </c>
      <c r="L7" s="80"/>
      <c r="M7" s="6" t="s">
        <v>9</v>
      </c>
      <c r="N7" s="6" t="s">
        <v>14</v>
      </c>
      <c r="O7" s="6" t="s">
        <v>15</v>
      </c>
      <c r="P7" s="6" t="s">
        <v>6</v>
      </c>
      <c r="Q7" s="81"/>
    </row>
    <row r="8" spans="1:17" s="55" customFormat="1" x14ac:dyDescent="0.3">
      <c r="A8" s="50"/>
      <c r="B8" s="50"/>
      <c r="C8" s="50"/>
      <c r="D8" s="51"/>
      <c r="E8" s="52"/>
      <c r="F8" s="52"/>
      <c r="G8" s="50"/>
      <c r="H8" s="51"/>
      <c r="I8" s="51"/>
      <c r="J8" s="51"/>
      <c r="K8" s="50"/>
      <c r="L8" s="52"/>
      <c r="M8" s="53"/>
      <c r="N8" s="54"/>
      <c r="O8" s="51"/>
      <c r="P8" s="50"/>
      <c r="Q8" s="52"/>
    </row>
    <row r="9" spans="1:17" x14ac:dyDescent="0.3">
      <c r="A9" s="9"/>
      <c r="B9" s="9"/>
      <c r="C9" s="9"/>
      <c r="D9" s="10"/>
      <c r="E9" s="11"/>
      <c r="F9" s="11"/>
      <c r="G9" s="9"/>
      <c r="H9" s="10" t="str">
        <f>IFERROR(VLOOKUP(G9,'[1]List KPI'!$A$103:$F$118,6,0),"")</f>
        <v/>
      </c>
      <c r="I9" s="10"/>
      <c r="J9" s="10"/>
      <c r="K9" s="9" t="str">
        <f>IF(J9="","",IF(J9&gt;#REF!,"O","P"))</f>
        <v/>
      </c>
      <c r="L9" s="11"/>
      <c r="M9" s="9"/>
      <c r="N9" s="12" t="str">
        <f>IFERROR(VLOOKUP(M9,'[1]List KPI'!$M$3:$N$8,2,0),"")</f>
        <v/>
      </c>
      <c r="O9" s="10"/>
      <c r="P9" s="9" t="str">
        <f>IF(O9="","",IF(O9&gt;#REF!,"O","P"))</f>
        <v/>
      </c>
      <c r="Q9" s="11"/>
    </row>
    <row r="10" spans="1:17" x14ac:dyDescent="0.3">
      <c r="A10" s="9"/>
      <c r="B10" s="9"/>
      <c r="C10" s="9"/>
      <c r="D10" s="10"/>
      <c r="E10" s="11"/>
      <c r="F10" s="11"/>
      <c r="G10" s="9"/>
      <c r="H10" s="10" t="str">
        <f>IFERROR(VLOOKUP(G10,'[1]List KPI'!$A$103:$F$118,6,0),"")</f>
        <v/>
      </c>
      <c r="I10" s="10"/>
      <c r="J10" s="10"/>
      <c r="K10" s="9" t="str">
        <f>IF(J10="","",IF(J10&gt;#REF!,"O","P"))</f>
        <v/>
      </c>
      <c r="L10" s="11"/>
      <c r="M10" s="9"/>
      <c r="N10" s="12" t="str">
        <f>IFERROR(VLOOKUP(M10,'[1]List KPI'!$M$3:$N$8,2,0),"")</f>
        <v/>
      </c>
      <c r="O10" s="10"/>
      <c r="P10" s="9" t="str">
        <f>IF(O10="","",IF(O10&gt;#REF!,"O","P"))</f>
        <v/>
      </c>
      <c r="Q10" s="11"/>
    </row>
    <row r="11" spans="1:17" x14ac:dyDescent="0.3">
      <c r="A11" s="9"/>
      <c r="B11" s="9"/>
      <c r="C11" s="9"/>
      <c r="D11" s="10"/>
      <c r="E11" s="11"/>
      <c r="F11" s="11"/>
      <c r="G11" s="9"/>
      <c r="H11" s="10" t="str">
        <f>IFERROR(VLOOKUP(G11,'[1]List KPI'!$A$103:$F$118,6,0),"")</f>
        <v/>
      </c>
      <c r="I11" s="10"/>
      <c r="J11" s="10"/>
      <c r="K11" s="9" t="str">
        <f>IF(J11="","",IF(J11&gt;#REF!,"O","P"))</f>
        <v/>
      </c>
      <c r="L11" s="11"/>
      <c r="M11" s="9"/>
      <c r="N11" s="12" t="str">
        <f>IFERROR(VLOOKUP(M11,'[1]List KPI'!$M$3:$N$8,2,0),"")</f>
        <v/>
      </c>
      <c r="O11" s="10"/>
      <c r="P11" s="9" t="str">
        <f>IF(O11="","",IF(O11&gt;#REF!,"O","P"))</f>
        <v/>
      </c>
      <c r="Q11" s="11"/>
    </row>
    <row r="12" spans="1:17" x14ac:dyDescent="0.3">
      <c r="A12" s="9"/>
      <c r="B12" s="9"/>
      <c r="C12" s="9"/>
      <c r="D12" s="10"/>
      <c r="E12" s="11"/>
      <c r="F12" s="11"/>
      <c r="G12" s="9"/>
      <c r="H12" s="10" t="str">
        <f>IFERROR(VLOOKUP(G12,'[1]List KPI'!$A$103:$F$118,6,0),"")</f>
        <v/>
      </c>
      <c r="I12" s="10"/>
      <c r="J12" s="10"/>
      <c r="K12" s="9" t="str">
        <f>IF(J12="","",IF(J12&gt;#REF!,"O","P"))</f>
        <v/>
      </c>
      <c r="L12" s="11"/>
      <c r="M12" s="9"/>
      <c r="N12" s="12" t="str">
        <f>IFERROR(VLOOKUP(M12,'[1]List KPI'!$M$3:$N$8,2,0),"")</f>
        <v/>
      </c>
      <c r="O12" s="10"/>
      <c r="P12" s="9" t="str">
        <f>IF(O12="","",IF(O12&gt;#REF!,"O","P"))</f>
        <v/>
      </c>
      <c r="Q12" s="11"/>
    </row>
    <row r="13" spans="1:17" x14ac:dyDescent="0.3">
      <c r="A13" s="9"/>
      <c r="B13" s="9"/>
      <c r="C13" s="9"/>
      <c r="D13" s="10"/>
      <c r="E13" s="11"/>
      <c r="F13" s="11"/>
      <c r="G13" s="9"/>
      <c r="H13" s="10" t="str">
        <f>IFERROR(VLOOKUP(G13,'[1]List KPI'!$A$103:$F$118,6,0),"")</f>
        <v/>
      </c>
      <c r="I13" s="10"/>
      <c r="J13" s="10"/>
      <c r="K13" s="9" t="str">
        <f>IF(J13="","",IF(J13&gt;#REF!,"O","P"))</f>
        <v/>
      </c>
      <c r="L13" s="11"/>
      <c r="M13" s="9"/>
      <c r="N13" s="12" t="str">
        <f>IFERROR(VLOOKUP(M13,'[1]List KPI'!$M$3:$N$8,2,0),"")</f>
        <v/>
      </c>
      <c r="O13" s="10"/>
      <c r="P13" s="9" t="str">
        <f>IF(O13="","",IF(O13&gt;#REF!,"O","P"))</f>
        <v/>
      </c>
      <c r="Q13" s="11"/>
    </row>
    <row r="14" spans="1:17" x14ac:dyDescent="0.3">
      <c r="A14" s="9"/>
      <c r="B14" s="9"/>
      <c r="C14" s="9"/>
      <c r="D14" s="10"/>
      <c r="E14" s="11"/>
      <c r="F14" s="11"/>
      <c r="G14" s="9"/>
      <c r="H14" s="10" t="str">
        <f>IFERROR(VLOOKUP(G14,'[1]List KPI'!$A$103:$F$118,6,0),"")</f>
        <v/>
      </c>
      <c r="I14" s="10"/>
      <c r="J14" s="10"/>
      <c r="K14" s="9" t="str">
        <f>IF(J14="","",IF(J14&gt;#REF!,"O","P"))</f>
        <v/>
      </c>
      <c r="L14" s="11"/>
      <c r="M14" s="9"/>
      <c r="N14" s="12" t="str">
        <f>IFERROR(VLOOKUP(M14,'[1]List KPI'!$M$3:$N$8,2,0),"")</f>
        <v/>
      </c>
      <c r="O14" s="10"/>
      <c r="P14" s="9" t="str">
        <f>IF(O14="","",IF(O14&gt;#REF!,"O","P"))</f>
        <v/>
      </c>
      <c r="Q14" s="11"/>
    </row>
    <row r="15" spans="1:17" x14ac:dyDescent="0.3">
      <c r="A15" s="9"/>
      <c r="B15" s="9"/>
      <c r="C15" s="9"/>
      <c r="D15" s="10"/>
      <c r="E15" s="11"/>
      <c r="F15" s="11"/>
      <c r="G15" s="9"/>
      <c r="H15" s="10" t="str">
        <f>IFERROR(VLOOKUP(G15,'[1]List KPI'!$A$103:$F$118,6,0),"")</f>
        <v/>
      </c>
      <c r="I15" s="10"/>
      <c r="J15" s="10"/>
      <c r="K15" s="9" t="str">
        <f>IF(J15="","",IF(J15&gt;#REF!,"O","P"))</f>
        <v/>
      </c>
      <c r="L15" s="11"/>
      <c r="M15" s="9"/>
      <c r="N15" s="12" t="str">
        <f>IFERROR(VLOOKUP(M15,'[1]List KPI'!$M$3:$N$8,2,0),"")</f>
        <v/>
      </c>
      <c r="O15" s="10"/>
      <c r="P15" s="9" t="str">
        <f>IF(O15="","",IF(O15&gt;#REF!,"O","P"))</f>
        <v/>
      </c>
      <c r="Q15" s="11"/>
    </row>
    <row r="16" spans="1:17" x14ac:dyDescent="0.3">
      <c r="A16" s="9"/>
      <c r="B16" s="9"/>
      <c r="C16" s="9"/>
      <c r="D16" s="10"/>
      <c r="E16" s="11"/>
      <c r="F16" s="11"/>
      <c r="G16" s="9"/>
      <c r="H16" s="10" t="str">
        <f>IFERROR(VLOOKUP(G16,'[1]List KPI'!$A$103:$F$118,6,0),"")</f>
        <v/>
      </c>
      <c r="I16" s="10"/>
      <c r="J16" s="10"/>
      <c r="K16" s="9" t="str">
        <f>IF(J16="","",IF(J16&gt;#REF!,"O","P"))</f>
        <v/>
      </c>
      <c r="L16" s="11"/>
      <c r="M16" s="9"/>
      <c r="N16" s="12" t="str">
        <f>IFERROR(VLOOKUP(M16,'[1]List KPI'!$M$3:$N$8,2,0),"")</f>
        <v/>
      </c>
      <c r="O16" s="10"/>
      <c r="P16" s="9" t="str">
        <f>IF(O16="","",IF(O16&gt;#REF!,"O","P"))</f>
        <v/>
      </c>
      <c r="Q16" s="11"/>
    </row>
    <row r="17" spans="1:17" x14ac:dyDescent="0.3">
      <c r="A17" s="9"/>
      <c r="B17" s="9"/>
      <c r="C17" s="9"/>
      <c r="D17" s="10"/>
      <c r="E17" s="11"/>
      <c r="F17" s="11"/>
      <c r="G17" s="9"/>
      <c r="H17" s="10" t="str">
        <f>IFERROR(VLOOKUP(G17,'[1]List KPI'!$A$103:$F$118,6,0),"")</f>
        <v/>
      </c>
      <c r="I17" s="10"/>
      <c r="J17" s="10"/>
      <c r="K17" s="9" t="str">
        <f>IF(J17="","",IF(J17&gt;#REF!,"O","P"))</f>
        <v/>
      </c>
      <c r="L17" s="11"/>
      <c r="M17" s="9"/>
      <c r="N17" s="12" t="str">
        <f>IFERROR(VLOOKUP(M17,'[1]List KPI'!$M$3:$N$8,2,0),"")</f>
        <v/>
      </c>
      <c r="O17" s="10"/>
      <c r="P17" s="9" t="str">
        <f>IF(O17="","",IF(O17&gt;#REF!,"O","P"))</f>
        <v/>
      </c>
      <c r="Q17" s="11"/>
    </row>
    <row r="18" spans="1:17" x14ac:dyDescent="0.3">
      <c r="A18" s="9"/>
      <c r="B18" s="9"/>
      <c r="C18" s="9"/>
      <c r="D18" s="10"/>
      <c r="E18" s="11"/>
      <c r="F18" s="11"/>
      <c r="G18" s="9"/>
      <c r="H18" s="10" t="str">
        <f>IFERROR(VLOOKUP(G18,'[1]List KPI'!$A$103:$F$118,6,0),"")</f>
        <v/>
      </c>
      <c r="I18" s="10"/>
      <c r="J18" s="10"/>
      <c r="K18" s="9" t="str">
        <f>IF(J18="","",IF(J18&gt;#REF!,"O","P"))</f>
        <v/>
      </c>
      <c r="L18" s="11"/>
      <c r="M18" s="9"/>
      <c r="N18" s="12" t="str">
        <f>IFERROR(VLOOKUP(M18,'[1]List KPI'!$M$3:$N$8,2,0),"")</f>
        <v/>
      </c>
      <c r="O18" s="10"/>
      <c r="P18" s="9" t="str">
        <f>IF(O18="","",IF(O18&gt;#REF!,"O","P"))</f>
        <v/>
      </c>
      <c r="Q18" s="11"/>
    </row>
    <row r="19" spans="1:17" x14ac:dyDescent="0.3">
      <c r="A19" s="9"/>
      <c r="B19" s="9"/>
      <c r="C19" s="9"/>
      <c r="D19" s="10"/>
      <c r="E19" s="11"/>
      <c r="F19" s="11"/>
      <c r="G19" s="9"/>
      <c r="H19" s="10" t="str">
        <f>IFERROR(VLOOKUP(G19,'[1]List KPI'!$A$103:$F$118,6,0),"")</f>
        <v/>
      </c>
      <c r="I19" s="10"/>
      <c r="J19" s="10"/>
      <c r="K19" s="9" t="str">
        <f>IF(J19="","",IF(J19&gt;#REF!,"O","P"))</f>
        <v/>
      </c>
      <c r="L19" s="11"/>
      <c r="M19" s="9"/>
      <c r="N19" s="12" t="str">
        <f>IFERROR(VLOOKUP(M19,'[1]List KPI'!$M$3:$N$8,2,0),"")</f>
        <v/>
      </c>
      <c r="O19" s="10"/>
      <c r="P19" s="9" t="str">
        <f>IF(O19="","",IF(O19&gt;#REF!,"O","P"))</f>
        <v/>
      </c>
      <c r="Q19" s="11"/>
    </row>
    <row r="20" spans="1:17" x14ac:dyDescent="0.3">
      <c r="A20" s="9"/>
      <c r="B20" s="9"/>
      <c r="C20" s="9"/>
      <c r="D20" s="10"/>
      <c r="E20" s="11"/>
      <c r="F20" s="11"/>
      <c r="G20" s="9"/>
      <c r="H20" s="10" t="str">
        <f>IFERROR(VLOOKUP(G20,'[1]List KPI'!$A$103:$F$118,6,0),"")</f>
        <v/>
      </c>
      <c r="I20" s="10"/>
      <c r="J20" s="10"/>
      <c r="K20" s="9" t="str">
        <f>IF(J20="","",IF(J20&gt;#REF!,"O","P"))</f>
        <v/>
      </c>
      <c r="L20" s="11"/>
      <c r="M20" s="9"/>
      <c r="N20" s="12" t="str">
        <f>IFERROR(VLOOKUP(M20,'[1]List KPI'!$M$3:$N$8,2,0),"")</f>
        <v/>
      </c>
      <c r="O20" s="10"/>
      <c r="P20" s="9" t="str">
        <f>IF(O20="","",IF(O20&gt;#REF!,"O","P"))</f>
        <v/>
      </c>
      <c r="Q20" s="11"/>
    </row>
    <row r="21" spans="1:17" x14ac:dyDescent="0.3">
      <c r="A21" s="9"/>
      <c r="B21" s="9"/>
      <c r="C21" s="9"/>
      <c r="D21" s="10"/>
      <c r="E21" s="11"/>
      <c r="F21" s="11"/>
      <c r="G21" s="9"/>
      <c r="H21" s="10" t="str">
        <f>IFERROR(VLOOKUP(G21,'[1]List KPI'!$A$103:$F$118,6,0),"")</f>
        <v/>
      </c>
      <c r="I21" s="10"/>
      <c r="J21" s="10"/>
      <c r="K21" s="9" t="str">
        <f>IF(J21="","",IF(J21&gt;#REF!,"O","P"))</f>
        <v/>
      </c>
      <c r="L21" s="11"/>
      <c r="M21" s="9"/>
      <c r="N21" s="12" t="str">
        <f>IFERROR(VLOOKUP(M21,'[1]List KPI'!$M$3:$N$8,2,0),"")</f>
        <v/>
      </c>
      <c r="O21" s="10"/>
      <c r="P21" s="9" t="str">
        <f>IF(O21="","",IF(O21&gt;#REF!,"O","P"))</f>
        <v/>
      </c>
      <c r="Q21" s="11"/>
    </row>
    <row r="22" spans="1:17" x14ac:dyDescent="0.3">
      <c r="A22" s="9"/>
      <c r="B22" s="9"/>
      <c r="C22" s="9"/>
      <c r="D22" s="10"/>
      <c r="E22" s="11"/>
      <c r="F22" s="11"/>
      <c r="G22" s="9"/>
      <c r="H22" s="10" t="str">
        <f>IFERROR(VLOOKUP(G22,'[1]List KPI'!$A$103:$F$118,6,0),"")</f>
        <v/>
      </c>
      <c r="I22" s="10"/>
      <c r="J22" s="10"/>
      <c r="K22" s="9" t="str">
        <f>IF(J22="","",IF(J22&gt;#REF!,"O","P"))</f>
        <v/>
      </c>
      <c r="L22" s="11"/>
      <c r="M22" s="9"/>
      <c r="N22" s="12" t="str">
        <f>IFERROR(VLOOKUP(M22,'[1]List KPI'!$M$3:$N$8,2,0),"")</f>
        <v/>
      </c>
      <c r="O22" s="10"/>
      <c r="P22" s="9" t="str">
        <f>IF(O22="","",IF(O22&gt;#REF!,"O","P"))</f>
        <v/>
      </c>
      <c r="Q22" s="11"/>
    </row>
    <row r="23" spans="1:17" x14ac:dyDescent="0.3">
      <c r="A23" s="9"/>
      <c r="B23" s="9"/>
      <c r="C23" s="9"/>
      <c r="D23" s="10"/>
      <c r="E23" s="11"/>
      <c r="F23" s="11"/>
      <c r="G23" s="9"/>
      <c r="H23" s="10" t="str">
        <f>IFERROR(VLOOKUP(G23,'[1]List KPI'!$A$103:$F$118,6,0),"")</f>
        <v/>
      </c>
      <c r="I23" s="10"/>
      <c r="J23" s="10"/>
      <c r="K23" s="9" t="str">
        <f>IF(J23="","",IF(J23&gt;#REF!,"O","P"))</f>
        <v/>
      </c>
      <c r="L23" s="11"/>
      <c r="M23" s="9"/>
      <c r="N23" s="12" t="str">
        <f>IFERROR(VLOOKUP(M23,'[1]List KPI'!$M$3:$N$8,2,0),"")</f>
        <v/>
      </c>
      <c r="O23" s="10"/>
      <c r="P23" s="9" t="str">
        <f>IF(O23="","",IF(O23&gt;#REF!,"O","P"))</f>
        <v/>
      </c>
      <c r="Q23" s="11"/>
    </row>
    <row r="24" spans="1:17" x14ac:dyDescent="0.3">
      <c r="A24" s="9"/>
      <c r="B24" s="9"/>
      <c r="C24" s="9"/>
      <c r="D24" s="10"/>
      <c r="E24" s="11"/>
      <c r="F24" s="11"/>
      <c r="G24" s="9"/>
      <c r="H24" s="10" t="str">
        <f>IFERROR(VLOOKUP(G24,'[1]List KPI'!$A$103:$F$118,6,0),"")</f>
        <v/>
      </c>
      <c r="I24" s="10"/>
      <c r="J24" s="10"/>
      <c r="K24" s="9" t="str">
        <f>IF(J24="","",IF(J24&gt;#REF!,"O","P"))</f>
        <v/>
      </c>
      <c r="L24" s="11"/>
      <c r="M24" s="9"/>
      <c r="N24" s="12" t="str">
        <f>IFERROR(VLOOKUP(M24,'[1]List KPI'!$M$3:$N$8,2,0),"")</f>
        <v/>
      </c>
      <c r="O24" s="10"/>
      <c r="P24" s="9" t="str">
        <f>IF(O24="","",IF(O24&gt;#REF!,"O","P"))</f>
        <v/>
      </c>
      <c r="Q24" s="11"/>
    </row>
    <row r="25" spans="1:17" x14ac:dyDescent="0.3">
      <c r="A25" s="9"/>
      <c r="B25" s="9"/>
      <c r="C25" s="9"/>
      <c r="D25" s="10"/>
      <c r="E25" s="11"/>
      <c r="F25" s="11"/>
      <c r="G25" s="9"/>
      <c r="H25" s="10" t="str">
        <f>IFERROR(VLOOKUP(G25,'[1]List KPI'!$A$103:$F$118,6,0),"")</f>
        <v/>
      </c>
      <c r="I25" s="10"/>
      <c r="J25" s="10"/>
      <c r="K25" s="9" t="str">
        <f>IF(J25="","",IF(J25&gt;#REF!,"O","P"))</f>
        <v/>
      </c>
      <c r="L25" s="11"/>
      <c r="M25" s="9"/>
      <c r="N25" s="12" t="str">
        <f>IFERROR(VLOOKUP(M25,'[1]List KPI'!$M$3:$N$8,2,0),"")</f>
        <v/>
      </c>
      <c r="O25" s="10"/>
      <c r="P25" s="9" t="str">
        <f>IF(O25="","",IF(O25&gt;#REF!,"O","P"))</f>
        <v/>
      </c>
      <c r="Q25" s="11"/>
    </row>
    <row r="26" spans="1:17" x14ac:dyDescent="0.3">
      <c r="A26" s="9"/>
      <c r="B26" s="9"/>
      <c r="C26" s="9"/>
      <c r="D26" s="10"/>
      <c r="E26" s="11"/>
      <c r="F26" s="11"/>
      <c r="G26" s="9"/>
      <c r="H26" s="10" t="str">
        <f>IFERROR(VLOOKUP(G26,'[1]List KPI'!$A$103:$F$118,6,0),"")</f>
        <v/>
      </c>
      <c r="I26" s="10"/>
      <c r="J26" s="10"/>
      <c r="K26" s="9" t="str">
        <f>IF(J26="","",IF(J26&gt;#REF!,"O","P"))</f>
        <v/>
      </c>
      <c r="L26" s="11"/>
      <c r="M26" s="9"/>
      <c r="N26" s="12" t="str">
        <f>IFERROR(VLOOKUP(M26,'[1]List KPI'!$M$3:$N$8,2,0),"")</f>
        <v/>
      </c>
      <c r="O26" s="10"/>
      <c r="P26" s="9" t="str">
        <f>IF(O26="","",IF(O26&gt;#REF!,"O","P"))</f>
        <v/>
      </c>
      <c r="Q26" s="11"/>
    </row>
    <row r="27" spans="1:17" x14ac:dyDescent="0.3">
      <c r="A27" s="9"/>
      <c r="B27" s="9"/>
      <c r="C27" s="9"/>
      <c r="D27" s="10"/>
      <c r="E27" s="11"/>
      <c r="F27" s="11"/>
      <c r="G27" s="9"/>
      <c r="H27" s="10" t="str">
        <f>IFERROR(VLOOKUP(G27,'[1]List KPI'!$A$103:$F$118,6,0),"")</f>
        <v/>
      </c>
      <c r="I27" s="10"/>
      <c r="J27" s="10"/>
      <c r="K27" s="9" t="str">
        <f>IF(J27="","",IF(J27&gt;#REF!,"O","P"))</f>
        <v/>
      </c>
      <c r="L27" s="11"/>
      <c r="M27" s="9"/>
      <c r="N27" s="12" t="str">
        <f>IFERROR(VLOOKUP(M27,'[1]List KPI'!$M$3:$N$8,2,0),"")</f>
        <v/>
      </c>
      <c r="O27" s="10"/>
      <c r="P27" s="9" t="str">
        <f>IF(O27="","",IF(O27&gt;#REF!,"O","P"))</f>
        <v/>
      </c>
      <c r="Q27" s="11"/>
    </row>
    <row r="28" spans="1:17" x14ac:dyDescent="0.3">
      <c r="A28" s="9"/>
      <c r="B28" s="9"/>
      <c r="C28" s="9"/>
      <c r="D28" s="10"/>
      <c r="E28" s="11"/>
      <c r="F28" s="11"/>
      <c r="G28" s="9"/>
      <c r="H28" s="10" t="str">
        <f>IFERROR(VLOOKUP(G28,'[1]List KPI'!$A$103:$F$118,6,0),"")</f>
        <v/>
      </c>
      <c r="I28" s="10"/>
      <c r="J28" s="10"/>
      <c r="K28" s="9" t="str">
        <f>IF(J28="","",IF(J28&gt;#REF!,"O","P"))</f>
        <v/>
      </c>
      <c r="L28" s="11"/>
      <c r="M28" s="9"/>
      <c r="N28" s="12" t="str">
        <f>IFERROR(VLOOKUP(M28,'[1]List KPI'!$M$3:$N$8,2,0),"")</f>
        <v/>
      </c>
      <c r="O28" s="10"/>
      <c r="P28" s="9" t="str">
        <f>IF(O28="","",IF(O28&gt;#REF!,"O","P"))</f>
        <v/>
      </c>
      <c r="Q28" s="11"/>
    </row>
    <row r="29" spans="1:17" x14ac:dyDescent="0.3">
      <c r="A29" s="9"/>
      <c r="B29" s="9"/>
      <c r="C29" s="9"/>
      <c r="D29" s="10"/>
      <c r="E29" s="11"/>
      <c r="F29" s="11"/>
      <c r="G29" s="9"/>
      <c r="H29" s="10" t="str">
        <f>IFERROR(VLOOKUP(G29,'[1]List KPI'!$A$103:$F$118,6,0),"")</f>
        <v/>
      </c>
      <c r="I29" s="10"/>
      <c r="J29" s="10"/>
      <c r="K29" s="9" t="str">
        <f>IF(J29="","",IF(J29&gt;#REF!,"O","P"))</f>
        <v/>
      </c>
      <c r="L29" s="11"/>
      <c r="M29" s="9"/>
      <c r="N29" s="12" t="str">
        <f>IFERROR(VLOOKUP(M29,'[1]List KPI'!$M$3:$N$8,2,0),"")</f>
        <v/>
      </c>
      <c r="O29" s="10"/>
      <c r="P29" s="9" t="str">
        <f>IF(O29="","",IF(O29&gt;#REF!,"O","P"))</f>
        <v/>
      </c>
      <c r="Q29" s="11"/>
    </row>
    <row r="30" spans="1:17" x14ac:dyDescent="0.3">
      <c r="A30" s="9"/>
      <c r="B30" s="9"/>
      <c r="C30" s="9"/>
      <c r="D30" s="10"/>
      <c r="E30" s="11"/>
      <c r="F30" s="11"/>
      <c r="G30" s="9"/>
      <c r="H30" s="10" t="str">
        <f>IFERROR(VLOOKUP(G30,'[1]List KPI'!$A$103:$F$118,6,0),"")</f>
        <v/>
      </c>
      <c r="I30" s="10"/>
      <c r="J30" s="10"/>
      <c r="K30" s="9" t="str">
        <f>IF(J30="","",IF(J30&gt;#REF!,"O","P"))</f>
        <v/>
      </c>
      <c r="L30" s="11"/>
      <c r="M30" s="9"/>
      <c r="N30" s="12" t="str">
        <f>IFERROR(VLOOKUP(M30,'[1]List KPI'!$M$3:$N$8,2,0),"")</f>
        <v/>
      </c>
      <c r="O30" s="10"/>
      <c r="P30" s="9" t="str">
        <f>IF(O30="","",IF(O30&gt;#REF!,"O","P"))</f>
        <v/>
      </c>
      <c r="Q30" s="11"/>
    </row>
    <row r="31" spans="1:17" x14ac:dyDescent="0.3">
      <c r="A31" s="9"/>
      <c r="B31" s="9"/>
      <c r="C31" s="9"/>
      <c r="D31" s="10"/>
      <c r="E31" s="11"/>
      <c r="F31" s="11"/>
      <c r="G31" s="9"/>
      <c r="H31" s="10" t="str">
        <f>IFERROR(VLOOKUP(G31,'[1]List KPI'!$A$103:$F$118,6,0),"")</f>
        <v/>
      </c>
      <c r="I31" s="10"/>
      <c r="J31" s="10"/>
      <c r="K31" s="9" t="str">
        <f>IF(J31="","",IF(J31&gt;#REF!,"O","P"))</f>
        <v/>
      </c>
      <c r="L31" s="11"/>
      <c r="M31" s="9"/>
      <c r="N31" s="12" t="str">
        <f>IFERROR(VLOOKUP(M31,'[1]List KPI'!$M$3:$N$8,2,0),"")</f>
        <v/>
      </c>
      <c r="O31" s="10"/>
      <c r="P31" s="9" t="str">
        <f>IF(O31="","",IF(O31&gt;#REF!,"O","P"))</f>
        <v/>
      </c>
      <c r="Q31" s="11"/>
    </row>
    <row r="32" spans="1:17" x14ac:dyDescent="0.3">
      <c r="A32" s="9"/>
      <c r="B32" s="9"/>
      <c r="C32" s="9"/>
      <c r="D32" s="10"/>
      <c r="E32" s="11"/>
      <c r="F32" s="11"/>
      <c r="G32" s="9"/>
      <c r="H32" s="10" t="str">
        <f>IFERROR(VLOOKUP(G32,'[1]List KPI'!$A$103:$F$118,6,0),"")</f>
        <v/>
      </c>
      <c r="I32" s="10"/>
      <c r="J32" s="10"/>
      <c r="K32" s="9" t="str">
        <f>IF(J32="","",IF(J32&gt;#REF!,"O","P"))</f>
        <v/>
      </c>
      <c r="L32" s="11"/>
      <c r="M32" s="9"/>
      <c r="N32" s="12" t="str">
        <f>IFERROR(VLOOKUP(M32,'[1]List KPI'!$M$3:$N$8,2,0),"")</f>
        <v/>
      </c>
      <c r="O32" s="10"/>
      <c r="P32" s="9" t="str">
        <f>IF(O32="","",IF(O32&gt;#REF!,"O","P"))</f>
        <v/>
      </c>
      <c r="Q32" s="11"/>
    </row>
    <row r="33" spans="1:17" x14ac:dyDescent="0.3">
      <c r="A33" s="9"/>
      <c r="B33" s="9"/>
      <c r="C33" s="9"/>
      <c r="D33" s="10"/>
      <c r="E33" s="11"/>
      <c r="F33" s="11"/>
      <c r="G33" s="9"/>
      <c r="H33" s="10" t="str">
        <f>IFERROR(VLOOKUP(G33,'[1]List KPI'!$A$103:$F$118,6,0),"")</f>
        <v/>
      </c>
      <c r="I33" s="10"/>
      <c r="J33" s="10"/>
      <c r="K33" s="9" t="str">
        <f>IF(J33="","",IF(J33&gt;#REF!,"O","P"))</f>
        <v/>
      </c>
      <c r="L33" s="11"/>
      <c r="M33" s="9"/>
      <c r="N33" s="12" t="str">
        <f>IFERROR(VLOOKUP(M33,'[1]List KPI'!$M$3:$N$8,2,0),"")</f>
        <v/>
      </c>
      <c r="O33" s="10"/>
      <c r="P33" s="9" t="str">
        <f>IF(O33="","",IF(O33&gt;#REF!,"O","P"))</f>
        <v/>
      </c>
      <c r="Q33" s="11"/>
    </row>
    <row r="34" spans="1:17" x14ac:dyDescent="0.3">
      <c r="A34" s="9"/>
      <c r="B34" s="9"/>
      <c r="C34" s="9"/>
      <c r="D34" s="10"/>
      <c r="E34" s="11"/>
      <c r="F34" s="11"/>
      <c r="G34" s="9"/>
      <c r="H34" s="10" t="str">
        <f>IFERROR(VLOOKUP(G34,'[1]List KPI'!$A$103:$F$118,6,0),"")</f>
        <v/>
      </c>
      <c r="I34" s="10"/>
      <c r="J34" s="10"/>
      <c r="K34" s="9" t="str">
        <f>IF(J34="","",IF(J34&gt;#REF!,"O","P"))</f>
        <v/>
      </c>
      <c r="L34" s="11"/>
      <c r="M34" s="9"/>
      <c r="N34" s="12" t="str">
        <f>IFERROR(VLOOKUP(M34,'[1]List KPI'!$M$3:$N$8,2,0),"")</f>
        <v/>
      </c>
      <c r="O34" s="10"/>
      <c r="P34" s="9" t="str">
        <f>IF(O34="","",IF(O34&gt;#REF!,"O","P"))</f>
        <v/>
      </c>
      <c r="Q34" s="11"/>
    </row>
    <row r="35" spans="1:17" x14ac:dyDescent="0.3">
      <c r="A35" s="9"/>
      <c r="B35" s="9"/>
      <c r="C35" s="9"/>
      <c r="D35" s="10"/>
      <c r="E35" s="11"/>
      <c r="F35" s="11"/>
      <c r="G35" s="9"/>
      <c r="H35" s="10" t="str">
        <f>IFERROR(VLOOKUP(G35,'[1]List KPI'!$A$103:$F$118,6,0),"")</f>
        <v/>
      </c>
      <c r="I35" s="10"/>
      <c r="J35" s="10"/>
      <c r="K35" s="9" t="str">
        <f>IF(J35="","",IF(J35&gt;#REF!,"O","P"))</f>
        <v/>
      </c>
      <c r="L35" s="11"/>
      <c r="M35" s="9"/>
      <c r="N35" s="12" t="str">
        <f>IFERROR(VLOOKUP(M35,'[1]List KPI'!$M$3:$N$8,2,0),"")</f>
        <v/>
      </c>
      <c r="O35" s="10"/>
      <c r="P35" s="9" t="str">
        <f>IF(O35="","",IF(O35&gt;#REF!,"O","P"))</f>
        <v/>
      </c>
      <c r="Q35" s="11"/>
    </row>
    <row r="36" spans="1:17" x14ac:dyDescent="0.3">
      <c r="A36" s="9"/>
      <c r="B36" s="9"/>
      <c r="C36" s="9"/>
      <c r="D36" s="10"/>
      <c r="E36" s="11"/>
      <c r="F36" s="11"/>
      <c r="G36" s="9"/>
      <c r="H36" s="10" t="str">
        <f>IFERROR(VLOOKUP(G36,'[1]List KPI'!$A$103:$F$118,6,0),"")</f>
        <v/>
      </c>
      <c r="I36" s="10"/>
      <c r="J36" s="10"/>
      <c r="K36" s="9" t="str">
        <f>IF(J36="","",IF(J36&gt;#REF!,"O","P"))</f>
        <v/>
      </c>
      <c r="L36" s="11"/>
      <c r="M36" s="9"/>
      <c r="N36" s="12" t="str">
        <f>IFERROR(VLOOKUP(M36,'[1]List KPI'!$M$3:$N$8,2,0),"")</f>
        <v/>
      </c>
      <c r="O36" s="10"/>
      <c r="P36" s="9" t="str">
        <f>IF(O36="","",IF(O36&gt;#REF!,"O","P"))</f>
        <v/>
      </c>
      <c r="Q36" s="11"/>
    </row>
    <row r="37" spans="1:17" x14ac:dyDescent="0.3">
      <c r="A37" s="9"/>
      <c r="B37" s="9"/>
      <c r="C37" s="9"/>
      <c r="D37" s="10"/>
      <c r="E37" s="11"/>
      <c r="F37" s="11"/>
      <c r="G37" s="9"/>
      <c r="H37" s="10" t="str">
        <f>IFERROR(VLOOKUP(G37,'[1]List KPI'!$A$103:$F$118,6,0),"")</f>
        <v/>
      </c>
      <c r="I37" s="10"/>
      <c r="J37" s="10"/>
      <c r="K37" s="9" t="str">
        <f>IF(J37="","",IF(J37&gt;#REF!,"O","P"))</f>
        <v/>
      </c>
      <c r="L37" s="11"/>
      <c r="M37" s="9"/>
      <c r="N37" s="12" t="str">
        <f>IFERROR(VLOOKUP(M37,'[1]List KPI'!$M$3:$N$8,2,0),"")</f>
        <v/>
      </c>
      <c r="O37" s="10"/>
      <c r="P37" s="9" t="str">
        <f>IF(O37="","",IF(O37&gt;#REF!,"O","P"))</f>
        <v/>
      </c>
      <c r="Q37" s="11"/>
    </row>
    <row r="38" spans="1:17" x14ac:dyDescent="0.3">
      <c r="A38" s="9"/>
      <c r="B38" s="9"/>
      <c r="C38" s="9"/>
      <c r="D38" s="10"/>
      <c r="E38" s="11"/>
      <c r="F38" s="11"/>
      <c r="G38" s="9"/>
      <c r="H38" s="10" t="str">
        <f>IFERROR(VLOOKUP(G38,'[1]List KPI'!$A$103:$F$118,6,0),"")</f>
        <v/>
      </c>
      <c r="I38" s="10"/>
      <c r="J38" s="10"/>
      <c r="K38" s="9" t="str">
        <f>IF(J38="","",IF(J38&gt;#REF!,"O","P"))</f>
        <v/>
      </c>
      <c r="L38" s="11"/>
      <c r="M38" s="9"/>
      <c r="N38" s="12" t="str">
        <f>IFERROR(VLOOKUP(M38,'[1]List KPI'!$M$3:$N$8,2,0),"")</f>
        <v/>
      </c>
      <c r="O38" s="10"/>
      <c r="P38" s="9" t="str">
        <f>IF(O38="","",IF(O38&gt;#REF!,"O","P"))</f>
        <v/>
      </c>
      <c r="Q38" s="11"/>
    </row>
    <row r="39" spans="1:17" x14ac:dyDescent="0.3">
      <c r="A39" s="9"/>
      <c r="B39" s="9"/>
      <c r="C39" s="9"/>
      <c r="D39" s="10"/>
      <c r="E39" s="11"/>
      <c r="F39" s="11"/>
      <c r="G39" s="9"/>
      <c r="H39" s="10" t="str">
        <f>IFERROR(VLOOKUP(G39,'[1]List KPI'!$A$103:$F$118,6,0),"")</f>
        <v/>
      </c>
      <c r="I39" s="10"/>
      <c r="J39" s="10"/>
      <c r="K39" s="9" t="str">
        <f>IF(J39="","",IF(J39&gt;#REF!,"O","P"))</f>
        <v/>
      </c>
      <c r="L39" s="11"/>
      <c r="M39" s="9"/>
      <c r="N39" s="12" t="str">
        <f>IFERROR(VLOOKUP(M39,'[1]List KPI'!$M$3:$N$8,2,0),"")</f>
        <v/>
      </c>
      <c r="O39" s="10"/>
      <c r="P39" s="9" t="str">
        <f>IF(O39="","",IF(O39&gt;#REF!,"O","P"))</f>
        <v/>
      </c>
      <c r="Q39" s="11"/>
    </row>
    <row r="40" spans="1:17" x14ac:dyDescent="0.3">
      <c r="A40" s="9"/>
      <c r="B40" s="9"/>
      <c r="C40" s="9"/>
      <c r="D40" s="10"/>
      <c r="E40" s="11"/>
      <c r="F40" s="11"/>
      <c r="G40" s="9"/>
      <c r="H40" s="10" t="str">
        <f>IFERROR(VLOOKUP(G40,'[1]List KPI'!$A$103:$F$118,6,0),"")</f>
        <v/>
      </c>
      <c r="I40" s="10"/>
      <c r="J40" s="10"/>
      <c r="K40" s="9" t="str">
        <f>IF(J40="","",IF(J40&gt;#REF!,"O","P"))</f>
        <v/>
      </c>
      <c r="L40" s="11"/>
      <c r="M40" s="9"/>
      <c r="N40" s="12" t="str">
        <f>IFERROR(VLOOKUP(M40,'[1]List KPI'!$M$3:$N$8,2,0),"")</f>
        <v/>
      </c>
      <c r="O40" s="10"/>
      <c r="P40" s="9" t="str">
        <f>IF(O40="","",IF(O40&gt;#REF!,"O","P"))</f>
        <v/>
      </c>
      <c r="Q40" s="11"/>
    </row>
    <row r="41" spans="1:17" x14ac:dyDescent="0.3">
      <c r="A41" s="13"/>
      <c r="B41" s="58"/>
      <c r="C41" s="58"/>
      <c r="D41" s="58"/>
      <c r="E41" s="59"/>
      <c r="F41" s="59"/>
      <c r="G41" s="13"/>
      <c r="H41" s="14" t="str">
        <f>IFERROR(VLOOKUP(G41,'[1]List KPI'!$A$103:$F$118,6,0),"")</f>
        <v/>
      </c>
      <c r="I41" s="14"/>
      <c r="J41" s="14"/>
      <c r="K41" s="13" t="str">
        <f>IF(J41="","",IF(J41&gt;#REF!,"O","P"))</f>
        <v/>
      </c>
      <c r="L41" s="15"/>
      <c r="M41" s="13"/>
      <c r="N41" s="16" t="str">
        <f>IFERROR(VLOOKUP(M41,'[1]List KPI'!$M$3:$N$8,2,0),"")</f>
        <v/>
      </c>
      <c r="O41" s="14"/>
      <c r="P41" s="13" t="str">
        <f>IF(O41="","",IF(O41&gt;#REF!,"O","P"))</f>
        <v/>
      </c>
      <c r="Q41" s="15"/>
    </row>
    <row r="43" spans="1:17" x14ac:dyDescent="0.3">
      <c r="J43" s="60"/>
      <c r="K43" s="55"/>
      <c r="O43" s="60"/>
      <c r="P43" s="55"/>
    </row>
    <row r="44" spans="1:17" x14ac:dyDescent="0.3">
      <c r="K44" s="55"/>
      <c r="P44" s="55"/>
    </row>
  </sheetData>
  <mergeCells count="13">
    <mergeCell ref="L6:L7"/>
    <mergeCell ref="M6:P6"/>
    <mergeCell ref="Q6:Q7"/>
    <mergeCell ref="A2:Q2"/>
    <mergeCell ref="A3:Q3"/>
    <mergeCell ref="A6:A7"/>
    <mergeCell ref="B6:B7"/>
    <mergeCell ref="C6:C7"/>
    <mergeCell ref="D6:D7"/>
    <mergeCell ref="E6:E7"/>
    <mergeCell ref="F6:F7"/>
    <mergeCell ref="G6:K6"/>
    <mergeCell ref="F4:G4"/>
  </mergeCells>
  <dataValidations count="2">
    <dataValidation type="list" allowBlank="1" showInputMessage="1" showErrorMessage="1" sqref="M9:M41" xr:uid="{DEB07160-C9DC-430D-9471-1D2F5A3ADDD9}">
      <formula1>INDIRECT(#REF!)</formula1>
    </dataValidation>
    <dataValidation type="list" allowBlank="1" showInputMessage="1" showErrorMessage="1" sqref="G8:G41" xr:uid="{F9666530-A0DD-4B65-86AA-D8DE7AE60293}">
      <formula1>#REF!</formula1>
    </dataValidation>
  </dataValidations>
  <printOptions horizontalCentered="1"/>
  <pageMargins left="0.39370078740157483" right="0.39370078740157483" top="0.59055118110236227" bottom="0.23622047244094491" header="0.15748031496062992" footer="0.15748031496062992"/>
  <pageSetup paperSize="9" scale="73" fitToHeight="5" orientation="landscape" horizontalDpi="0" verticalDpi="0" r:id="rId1"/>
  <headerFooter>
    <oddHeader>&amp;RAPS2567-F-02</oddHeader>
    <oddFooter>&amp;LREV.3-25670903&amp;Rหน้า 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Daily CM</vt:lpstr>
      <vt:lpstr>MTB</vt:lpstr>
      <vt:lpstr>Z2</vt:lpstr>
      <vt:lpstr>FZ</vt:lpstr>
      <vt:lpstr>SAT1</vt:lpstr>
      <vt:lpstr>'Daily CM'!Print_Area</vt:lpstr>
      <vt:lpstr>FZ!Print_Area</vt:lpstr>
      <vt:lpstr>MTB!Print_Area</vt:lpstr>
      <vt:lpstr>'SAT1'!Print_Area</vt:lpstr>
      <vt:lpstr>'Z2'!Print_Area</vt:lpstr>
      <vt:lpstr>'Daily CM'!Print_Titles</vt:lpstr>
      <vt:lpstr>FZ!Print_Titles</vt:lpstr>
      <vt:lpstr>MTB!Print_Titles</vt:lpstr>
      <vt:lpstr>'SAT1'!Print_Titles</vt:lpstr>
      <vt:lpstr>'Z2'!Print_Titles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Worachai K.</dc:creator>
  <cp:keywords>Amplo</cp:keywords>
  <cp:lastModifiedBy>ANAN-NB</cp:lastModifiedBy>
  <cp:lastPrinted>2026-08-04T08:09:10Z</cp:lastPrinted>
  <dcterms:created xsi:type="dcterms:W3CDTF">2024-07-31T03:35:41Z</dcterms:created>
  <dcterms:modified xsi:type="dcterms:W3CDTF">2026-08-10T15:32:53Z</dcterms:modified>
</cp:coreProperties>
</file>