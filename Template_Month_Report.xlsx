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NAN-NB\Desktop\Claude\Cm_app\Template\v2\"/>
    </mc:Choice>
  </mc:AlternateContent>
  <xr:revisionPtr revIDLastSave="0" documentId="13_ncr:1_{D1BF140A-94E1-467D-8A2F-C1B4D8366DEC}" xr6:coauthVersionLast="47" xr6:coauthVersionMax="47" xr10:uidLastSave="{00000000-0000-0000-0000-000000000000}"/>
  <bookViews>
    <workbookView xWindow="-120" yWindow="-120" windowWidth="29040" windowHeight="15720" activeTab="1" xr2:uid="{3533483A-3DDF-4850-9041-B6D66A517557}"/>
  </bookViews>
  <sheets>
    <sheet name="Month CM" sheetId="10" r:id="rId1"/>
    <sheet name="ALL_ZONE" sheetId="2" r:id="rId2"/>
    <sheet name="MTB" sheetId="3" r:id="rId3"/>
    <sheet name="Z2" sheetId="4" r:id="rId4"/>
    <sheet name="FZ" sheetId="5" r:id="rId5"/>
    <sheet name="SAT1" sheetId="6" r:id="rId6"/>
  </sheets>
  <externalReferences>
    <externalReference r:id="rId7"/>
  </externalReferences>
  <definedNames>
    <definedName name="_xlnm._FilterDatabase" localSheetId="1" hidden="1">ALL_ZONE!$A$1:$T$777</definedName>
    <definedName name="_xlnm.Print_Area" localSheetId="1">ALL_ZONE!$A$1:$T$748</definedName>
    <definedName name="_xlnm.Print_Area" localSheetId="0">'Month CM'!$A$1:$P$49</definedName>
    <definedName name="_xlnm.Print_Titles" localSheetId="1">ALL_ZONE!$1:$2</definedName>
    <definedName name="_xlnm.Print_Titles" localSheetId="0">'Month CM'!$1:$8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61" i="6" l="1"/>
  <c r="Y160" i="6"/>
  <c r="Y159" i="6"/>
  <c r="Y158" i="6"/>
  <c r="Y157" i="6"/>
  <c r="Y156" i="6"/>
  <c r="XFC91" i="6" l="1"/>
  <c r="XFA91" i="6"/>
  <c r="XEX91" i="6"/>
  <c r="XEU91" i="6"/>
  <c r="XEM91" i="6"/>
  <c r="XEK91" i="6"/>
  <c r="XEH91" i="6"/>
  <c r="XEE91" i="6"/>
  <c r="XDW91" i="6"/>
  <c r="XDU91" i="6"/>
  <c r="XDR91" i="6"/>
  <c r="XDO91" i="6"/>
  <c r="XDG91" i="6"/>
  <c r="XDE91" i="6"/>
  <c r="XDB91" i="6"/>
  <c r="XCY91" i="6"/>
  <c r="XCQ91" i="6"/>
  <c r="XCO91" i="6"/>
  <c r="XCL91" i="6"/>
  <c r="XCI91" i="6"/>
  <c r="XCA91" i="6"/>
  <c r="XBY91" i="6"/>
  <c r="XBV91" i="6"/>
  <c r="XBS91" i="6"/>
  <c r="XBK91" i="6"/>
  <c r="XBI91" i="6"/>
  <c r="XBF91" i="6"/>
  <c r="XBC91" i="6"/>
  <c r="XAU91" i="6"/>
  <c r="XAS91" i="6"/>
  <c r="XAP91" i="6"/>
  <c r="XAM91" i="6"/>
  <c r="XAE91" i="6"/>
  <c r="XAC91" i="6"/>
  <c r="WZZ91" i="6"/>
  <c r="WZW91" i="6"/>
  <c r="WZO91" i="6"/>
  <c r="WZM91" i="6"/>
  <c r="WZJ91" i="6"/>
  <c r="WZG91" i="6"/>
  <c r="WYY91" i="6"/>
  <c r="WYW91" i="6"/>
  <c r="WYT91" i="6"/>
  <c r="WYQ91" i="6"/>
  <c r="WYI91" i="6"/>
  <c r="WYG91" i="6"/>
  <c r="WYD91" i="6"/>
  <c r="WYA91" i="6"/>
  <c r="WXS91" i="6"/>
  <c r="WXQ91" i="6"/>
  <c r="WXN91" i="6"/>
  <c r="WXK91" i="6"/>
  <c r="WXC91" i="6"/>
  <c r="WXA91" i="6"/>
  <c r="WWX91" i="6"/>
  <c r="WWU91" i="6"/>
  <c r="WWM91" i="6"/>
  <c r="WWK91" i="6"/>
  <c r="WWH91" i="6"/>
  <c r="WWE91" i="6"/>
  <c r="WVW91" i="6"/>
  <c r="WVU91" i="6"/>
  <c r="WVR91" i="6"/>
  <c r="WVO91" i="6"/>
  <c r="WVG91" i="6"/>
  <c r="WVE91" i="6"/>
  <c r="WVB91" i="6"/>
  <c r="WUY91" i="6"/>
  <c r="WUQ91" i="6"/>
  <c r="WUO91" i="6"/>
  <c r="WUL91" i="6"/>
  <c r="WUI91" i="6"/>
  <c r="WUA91" i="6"/>
  <c r="WTY91" i="6"/>
  <c r="WTV91" i="6"/>
  <c r="WTS91" i="6"/>
  <c r="WTK91" i="6"/>
  <c r="WTI91" i="6"/>
  <c r="WTF91" i="6"/>
  <c r="WTC91" i="6"/>
  <c r="WSU91" i="6"/>
  <c r="WSS91" i="6"/>
  <c r="WSP91" i="6"/>
  <c r="WSM91" i="6"/>
  <c r="WSE91" i="6"/>
  <c r="WSC91" i="6"/>
  <c r="WRZ91" i="6"/>
  <c r="WRW91" i="6"/>
  <c r="WRO91" i="6"/>
  <c r="WRM91" i="6"/>
  <c r="WRJ91" i="6"/>
  <c r="WRG91" i="6"/>
  <c r="WQY91" i="6"/>
  <c r="WQW91" i="6"/>
  <c r="WQT91" i="6"/>
  <c r="WQQ91" i="6"/>
  <c r="WQI91" i="6"/>
  <c r="WQG91" i="6"/>
  <c r="WQD91" i="6"/>
  <c r="WQA91" i="6"/>
  <c r="WPS91" i="6"/>
  <c r="WPQ91" i="6"/>
  <c r="WPN91" i="6"/>
  <c r="WPK91" i="6"/>
  <c r="WPC91" i="6"/>
  <c r="WPA91" i="6"/>
  <c r="WOX91" i="6"/>
  <c r="WOU91" i="6"/>
  <c r="WOM91" i="6"/>
  <c r="WOK91" i="6"/>
  <c r="WOH91" i="6"/>
  <c r="WOE91" i="6"/>
  <c r="WNW91" i="6"/>
  <c r="WNU91" i="6"/>
  <c r="WNR91" i="6"/>
  <c r="WNO91" i="6"/>
  <c r="WNG91" i="6"/>
  <c r="WNE91" i="6"/>
  <c r="WNB91" i="6"/>
  <c r="WMY91" i="6"/>
  <c r="WMQ91" i="6"/>
  <c r="WMO91" i="6"/>
  <c r="WML91" i="6"/>
  <c r="WMI91" i="6"/>
  <c r="WMA91" i="6"/>
  <c r="WLY91" i="6"/>
  <c r="WLV91" i="6"/>
  <c r="WLS91" i="6"/>
  <c r="WLK91" i="6"/>
  <c r="WLI91" i="6"/>
  <c r="WLF91" i="6"/>
  <c r="WLC91" i="6"/>
  <c r="WKU91" i="6"/>
  <c r="WKS91" i="6"/>
  <c r="WKP91" i="6"/>
  <c r="WKM91" i="6"/>
  <c r="WKE91" i="6"/>
  <c r="WKC91" i="6"/>
  <c r="WJZ91" i="6"/>
  <c r="WJW91" i="6"/>
  <c r="WJO91" i="6"/>
  <c r="WJM91" i="6"/>
  <c r="WJJ91" i="6"/>
  <c r="WJG91" i="6"/>
  <c r="WIY91" i="6"/>
  <c r="WIW91" i="6"/>
  <c r="WIT91" i="6"/>
  <c r="WIQ91" i="6"/>
  <c r="WII91" i="6"/>
  <c r="WIG91" i="6"/>
  <c r="WID91" i="6"/>
  <c r="WIA91" i="6"/>
  <c r="WHS91" i="6"/>
  <c r="WHQ91" i="6"/>
  <c r="WHN91" i="6"/>
  <c r="WHK91" i="6"/>
  <c r="WHC91" i="6"/>
  <c r="WHA91" i="6"/>
  <c r="WGX91" i="6"/>
  <c r="WGU91" i="6"/>
  <c r="WGM91" i="6"/>
  <c r="WGK91" i="6"/>
  <c r="WGH91" i="6"/>
  <c r="WGE91" i="6"/>
  <c r="WFW91" i="6"/>
  <c r="WFU91" i="6"/>
  <c r="WFR91" i="6"/>
  <c r="WFO91" i="6"/>
  <c r="WFG91" i="6"/>
  <c r="WFE91" i="6"/>
  <c r="WFB91" i="6"/>
  <c r="WEY91" i="6"/>
  <c r="WEQ91" i="6"/>
  <c r="WEO91" i="6"/>
  <c r="WEL91" i="6"/>
  <c r="WEI91" i="6"/>
  <c r="WEA91" i="6"/>
  <c r="WDY91" i="6"/>
  <c r="WDV91" i="6"/>
  <c r="WDS91" i="6"/>
  <c r="WDK91" i="6"/>
  <c r="WDI91" i="6"/>
  <c r="WDF91" i="6"/>
  <c r="WDC91" i="6"/>
  <c r="WCU91" i="6"/>
  <c r="WCS91" i="6"/>
  <c r="WCP91" i="6"/>
  <c r="WCM91" i="6"/>
  <c r="WCE91" i="6"/>
  <c r="WCC91" i="6"/>
  <c r="WBZ91" i="6"/>
  <c r="WBW91" i="6"/>
  <c r="WBO91" i="6"/>
  <c r="WBM91" i="6"/>
  <c r="WBJ91" i="6"/>
  <c r="WBG91" i="6"/>
  <c r="WAY91" i="6"/>
  <c r="WAW91" i="6"/>
  <c r="WAT91" i="6"/>
  <c r="WAQ91" i="6"/>
  <c r="WAI91" i="6"/>
  <c r="WAG91" i="6"/>
  <c r="WAD91" i="6"/>
  <c r="WAA91" i="6"/>
  <c r="VZS91" i="6"/>
  <c r="VZQ91" i="6"/>
  <c r="VZN91" i="6"/>
  <c r="VZK91" i="6"/>
  <c r="VZC91" i="6"/>
  <c r="VZA91" i="6"/>
  <c r="VYX91" i="6"/>
  <c r="VYU91" i="6"/>
  <c r="VYM91" i="6"/>
  <c r="VYK91" i="6"/>
  <c r="VYH91" i="6"/>
  <c r="VYE91" i="6"/>
  <c r="VXW91" i="6"/>
  <c r="VXU91" i="6"/>
  <c r="VXR91" i="6"/>
  <c r="VXO91" i="6"/>
  <c r="VXG91" i="6"/>
  <c r="VXE91" i="6"/>
  <c r="VXB91" i="6"/>
  <c r="VWY91" i="6"/>
  <c r="VWQ91" i="6"/>
  <c r="VWO91" i="6"/>
  <c r="VWL91" i="6"/>
  <c r="VWI91" i="6"/>
  <c r="VWA91" i="6"/>
  <c r="VVY91" i="6"/>
  <c r="VVV91" i="6"/>
  <c r="VVS91" i="6"/>
  <c r="VVK91" i="6"/>
  <c r="VVI91" i="6"/>
  <c r="VVF91" i="6"/>
  <c r="VVC91" i="6"/>
  <c r="VUU91" i="6"/>
  <c r="VUS91" i="6"/>
  <c r="VUP91" i="6"/>
  <c r="VUM91" i="6"/>
  <c r="VUE91" i="6"/>
  <c r="VUC91" i="6"/>
  <c r="VTZ91" i="6"/>
  <c r="VTW91" i="6"/>
  <c r="VTO91" i="6"/>
  <c r="VTM91" i="6"/>
  <c r="VTJ91" i="6"/>
  <c r="VTG91" i="6"/>
  <c r="VSY91" i="6"/>
  <c r="VSW91" i="6"/>
  <c r="VST91" i="6"/>
  <c r="VSQ91" i="6"/>
  <c r="VSI91" i="6"/>
  <c r="VSG91" i="6"/>
  <c r="VSD91" i="6"/>
  <c r="VSA91" i="6"/>
  <c r="VRS91" i="6"/>
  <c r="VRQ91" i="6"/>
  <c r="VRN91" i="6"/>
  <c r="VRK91" i="6"/>
  <c r="VRC91" i="6"/>
  <c r="VRA91" i="6"/>
  <c r="VQX91" i="6"/>
  <c r="VQU91" i="6"/>
  <c r="VQM91" i="6"/>
  <c r="VQK91" i="6"/>
  <c r="VQH91" i="6"/>
  <c r="VQE91" i="6"/>
  <c r="VPW91" i="6"/>
  <c r="VPU91" i="6"/>
  <c r="VPR91" i="6"/>
  <c r="VPO91" i="6"/>
  <c r="VPG91" i="6"/>
  <c r="VPE91" i="6"/>
  <c r="VPB91" i="6"/>
  <c r="VOY91" i="6"/>
  <c r="VOQ91" i="6"/>
  <c r="VOO91" i="6"/>
  <c r="VOL91" i="6"/>
  <c r="VOI91" i="6"/>
  <c r="VOA91" i="6"/>
  <c r="VNY91" i="6"/>
  <c r="VNV91" i="6"/>
  <c r="VNS91" i="6"/>
  <c r="VNK91" i="6"/>
  <c r="VNI91" i="6"/>
  <c r="VNF91" i="6"/>
  <c r="VNC91" i="6"/>
  <c r="VMU91" i="6"/>
  <c r="VMS91" i="6"/>
  <c r="VMP91" i="6"/>
  <c r="VMM91" i="6"/>
  <c r="VME91" i="6"/>
  <c r="VMC91" i="6"/>
  <c r="VLZ91" i="6"/>
  <c r="VLW91" i="6"/>
  <c r="VLO91" i="6"/>
  <c r="VLM91" i="6"/>
  <c r="VLJ91" i="6"/>
  <c r="VLG91" i="6"/>
  <c r="VKY91" i="6"/>
  <c r="VKW91" i="6"/>
  <c r="VKT91" i="6"/>
  <c r="VKQ91" i="6"/>
  <c r="VKI91" i="6"/>
  <c r="VKG91" i="6"/>
  <c r="VKD91" i="6"/>
  <c r="VKA91" i="6"/>
  <c r="VJS91" i="6"/>
  <c r="VJQ91" i="6"/>
  <c r="VJN91" i="6"/>
  <c r="VJK91" i="6"/>
  <c r="VJC91" i="6"/>
  <c r="VJA91" i="6"/>
  <c r="VIX91" i="6"/>
  <c r="VIU91" i="6"/>
  <c r="VIM91" i="6"/>
  <c r="VIK91" i="6"/>
  <c r="VIH91" i="6"/>
  <c r="VIE91" i="6"/>
  <c r="VHW91" i="6"/>
  <c r="VHU91" i="6"/>
  <c r="VHR91" i="6"/>
  <c r="VHO91" i="6"/>
  <c r="VHG91" i="6"/>
  <c r="VHE91" i="6"/>
  <c r="VHB91" i="6"/>
  <c r="VGY91" i="6"/>
  <c r="VGQ91" i="6"/>
  <c r="VGO91" i="6"/>
  <c r="VGL91" i="6"/>
  <c r="VGI91" i="6"/>
  <c r="VGA91" i="6"/>
  <c r="VFY91" i="6"/>
  <c r="VFV91" i="6"/>
  <c r="VFS91" i="6"/>
  <c r="VFK91" i="6"/>
  <c r="VFI91" i="6"/>
  <c r="VFF91" i="6"/>
  <c r="VFC91" i="6"/>
  <c r="VEU91" i="6"/>
  <c r="VES91" i="6"/>
  <c r="VEP91" i="6"/>
  <c r="VEM91" i="6"/>
  <c r="VEE91" i="6"/>
  <c r="VEC91" i="6"/>
  <c r="VDZ91" i="6"/>
  <c r="VDW91" i="6"/>
  <c r="VDO91" i="6"/>
  <c r="VDM91" i="6"/>
  <c r="VDJ91" i="6"/>
  <c r="VDG91" i="6"/>
  <c r="VCY91" i="6"/>
  <c r="VCW91" i="6"/>
  <c r="VCT91" i="6"/>
  <c r="VCQ91" i="6"/>
  <c r="VCI91" i="6"/>
  <c r="VCG91" i="6"/>
  <c r="VCD91" i="6"/>
  <c r="VCA91" i="6"/>
  <c r="VBS91" i="6"/>
  <c r="VBQ91" i="6"/>
  <c r="VBN91" i="6"/>
  <c r="VBK91" i="6"/>
  <c r="VBC91" i="6"/>
  <c r="VBA91" i="6"/>
  <c r="VAX91" i="6"/>
  <c r="VAU91" i="6"/>
  <c r="VAM91" i="6"/>
  <c r="VAK91" i="6"/>
  <c r="VAH91" i="6"/>
  <c r="VAE91" i="6"/>
  <c r="UZW91" i="6"/>
  <c r="UZU91" i="6"/>
  <c r="UZR91" i="6"/>
  <c r="UZO91" i="6"/>
  <c r="UZG91" i="6"/>
  <c r="UZE91" i="6"/>
  <c r="UZB91" i="6"/>
  <c r="UYY91" i="6"/>
  <c r="UYQ91" i="6"/>
  <c r="UYO91" i="6"/>
  <c r="UYL91" i="6"/>
  <c r="UYI91" i="6"/>
  <c r="UYA91" i="6"/>
  <c r="UXY91" i="6"/>
  <c r="UXV91" i="6"/>
  <c r="UXS91" i="6"/>
  <c r="UXK91" i="6"/>
  <c r="UXI91" i="6"/>
  <c r="UXF91" i="6"/>
  <c r="UXC91" i="6"/>
  <c r="UWU91" i="6"/>
  <c r="UWS91" i="6"/>
  <c r="UWP91" i="6"/>
  <c r="UWM91" i="6"/>
  <c r="UWE91" i="6"/>
  <c r="UWC91" i="6"/>
  <c r="UVZ91" i="6"/>
  <c r="UVW91" i="6"/>
  <c r="UVO91" i="6"/>
  <c r="UVM91" i="6"/>
  <c r="UVJ91" i="6"/>
  <c r="UVG91" i="6"/>
  <c r="UUY91" i="6"/>
  <c r="UUW91" i="6"/>
  <c r="UUT91" i="6"/>
  <c r="UUQ91" i="6"/>
  <c r="UUI91" i="6"/>
  <c r="UUG91" i="6"/>
  <c r="UUD91" i="6"/>
  <c r="UUA91" i="6"/>
  <c r="UTS91" i="6"/>
  <c r="UTQ91" i="6"/>
  <c r="UTN91" i="6"/>
  <c r="UTK91" i="6"/>
  <c r="UTC91" i="6"/>
  <c r="UTA91" i="6"/>
  <c r="USX91" i="6"/>
  <c r="USU91" i="6"/>
  <c r="USM91" i="6"/>
  <c r="USK91" i="6"/>
  <c r="USH91" i="6"/>
  <c r="USE91" i="6"/>
  <c r="URW91" i="6"/>
  <c r="URU91" i="6"/>
  <c r="URR91" i="6"/>
  <c r="URO91" i="6"/>
  <c r="URG91" i="6"/>
  <c r="URE91" i="6"/>
  <c r="URB91" i="6"/>
  <c r="UQY91" i="6"/>
  <c r="UQQ91" i="6"/>
  <c r="UQO91" i="6"/>
  <c r="UQL91" i="6"/>
  <c r="UQI91" i="6"/>
  <c r="UQA91" i="6"/>
  <c r="UPY91" i="6"/>
  <c r="UPV91" i="6"/>
  <c r="UPS91" i="6"/>
  <c r="UPK91" i="6"/>
  <c r="UPI91" i="6"/>
  <c r="UPF91" i="6"/>
  <c r="UPC91" i="6"/>
  <c r="UOU91" i="6"/>
  <c r="UOS91" i="6"/>
  <c r="UOP91" i="6"/>
  <c r="UOM91" i="6"/>
  <c r="UOE91" i="6"/>
  <c r="UOC91" i="6"/>
  <c r="UNZ91" i="6"/>
  <c r="UNW91" i="6"/>
  <c r="UNO91" i="6"/>
  <c r="UNM91" i="6"/>
  <c r="UNJ91" i="6"/>
  <c r="UNG91" i="6"/>
  <c r="UMY91" i="6"/>
  <c r="UMW91" i="6"/>
  <c r="UMT91" i="6"/>
  <c r="UMQ91" i="6"/>
  <c r="UMI91" i="6"/>
  <c r="UMG91" i="6"/>
  <c r="UMD91" i="6"/>
  <c r="UMA91" i="6"/>
  <c r="ULS91" i="6"/>
  <c r="ULQ91" i="6"/>
  <c r="ULN91" i="6"/>
  <c r="ULK91" i="6"/>
  <c r="ULC91" i="6"/>
  <c r="ULA91" i="6"/>
  <c r="UKX91" i="6"/>
  <c r="UKU91" i="6"/>
  <c r="UKM91" i="6"/>
  <c r="UKK91" i="6"/>
  <c r="UKH91" i="6"/>
  <c r="UKE91" i="6"/>
  <c r="UJW91" i="6"/>
  <c r="UJU91" i="6"/>
  <c r="UJR91" i="6"/>
  <c r="UJO91" i="6"/>
  <c r="UJG91" i="6"/>
  <c r="UJE91" i="6"/>
  <c r="UJB91" i="6"/>
  <c r="UIY91" i="6"/>
  <c r="UIQ91" i="6"/>
  <c r="UIO91" i="6"/>
  <c r="UIL91" i="6"/>
  <c r="UII91" i="6"/>
  <c r="UIA91" i="6"/>
  <c r="UHY91" i="6"/>
  <c r="UHV91" i="6"/>
  <c r="UHS91" i="6"/>
  <c r="UHK91" i="6"/>
  <c r="UHI91" i="6"/>
  <c r="UHF91" i="6"/>
  <c r="UHC91" i="6"/>
  <c r="UGU91" i="6"/>
  <c r="UGS91" i="6"/>
  <c r="UGP91" i="6"/>
  <c r="UGM91" i="6"/>
  <c r="UGE91" i="6"/>
  <c r="UGC91" i="6"/>
  <c r="UFZ91" i="6"/>
  <c r="UFW91" i="6"/>
  <c r="UFO91" i="6"/>
  <c r="UFM91" i="6"/>
  <c r="UFJ91" i="6"/>
  <c r="UFG91" i="6"/>
  <c r="UEY91" i="6"/>
  <c r="UEW91" i="6"/>
  <c r="UET91" i="6"/>
  <c r="UEQ91" i="6"/>
  <c r="UEI91" i="6"/>
  <c r="UEG91" i="6"/>
  <c r="UED91" i="6"/>
  <c r="UEA91" i="6"/>
  <c r="UDS91" i="6"/>
  <c r="UDQ91" i="6"/>
  <c r="UDN91" i="6"/>
  <c r="UDK91" i="6"/>
  <c r="UDC91" i="6"/>
  <c r="UDA91" i="6"/>
  <c r="UCX91" i="6"/>
  <c r="UCU91" i="6"/>
  <c r="UCM91" i="6"/>
  <c r="UCK91" i="6"/>
  <c r="UCH91" i="6"/>
  <c r="UCE91" i="6"/>
  <c r="UBW91" i="6"/>
  <c r="UBU91" i="6"/>
  <c r="UBR91" i="6"/>
  <c r="UBO91" i="6"/>
  <c r="UBG91" i="6"/>
  <c r="UBE91" i="6"/>
  <c r="UBB91" i="6"/>
  <c r="UAY91" i="6"/>
  <c r="UAQ91" i="6"/>
  <c r="UAO91" i="6"/>
  <c r="UAL91" i="6"/>
  <c r="UAI91" i="6"/>
  <c r="UAA91" i="6"/>
  <c r="TZY91" i="6"/>
  <c r="TZV91" i="6"/>
  <c r="TZS91" i="6"/>
  <c r="TZK91" i="6"/>
  <c r="TZI91" i="6"/>
  <c r="TZF91" i="6"/>
  <c r="TZC91" i="6"/>
  <c r="TYU91" i="6"/>
  <c r="TYS91" i="6"/>
  <c r="TYP91" i="6"/>
  <c r="TYM91" i="6"/>
  <c r="TYE91" i="6"/>
  <c r="TYC91" i="6"/>
  <c r="TXZ91" i="6"/>
  <c r="TXW91" i="6"/>
  <c r="TXO91" i="6"/>
  <c r="TXM91" i="6"/>
  <c r="TXJ91" i="6"/>
  <c r="TXG91" i="6"/>
  <c r="TWY91" i="6"/>
  <c r="TWW91" i="6"/>
  <c r="TWT91" i="6"/>
  <c r="TWQ91" i="6"/>
  <c r="TWI91" i="6"/>
  <c r="TWG91" i="6"/>
  <c r="TWD91" i="6"/>
  <c r="TWA91" i="6"/>
  <c r="TVS91" i="6"/>
  <c r="TVQ91" i="6"/>
  <c r="TVN91" i="6"/>
  <c r="TVK91" i="6"/>
  <c r="TVC91" i="6"/>
  <c r="TVA91" i="6"/>
  <c r="TUX91" i="6"/>
  <c r="TUU91" i="6"/>
  <c r="TUM91" i="6"/>
  <c r="TUK91" i="6"/>
  <c r="TUH91" i="6"/>
  <c r="TUE91" i="6"/>
  <c r="TTW91" i="6"/>
  <c r="TTU91" i="6"/>
  <c r="TTR91" i="6"/>
  <c r="TTO91" i="6"/>
  <c r="TTG91" i="6"/>
  <c r="TTE91" i="6"/>
  <c r="TTB91" i="6"/>
  <c r="TSY91" i="6"/>
  <c r="TSQ91" i="6"/>
  <c r="TSO91" i="6"/>
  <c r="TSL91" i="6"/>
  <c r="TSI91" i="6"/>
  <c r="TSA91" i="6"/>
  <c r="TRY91" i="6"/>
  <c r="TRV91" i="6"/>
  <c r="TRS91" i="6"/>
  <c r="TRK91" i="6"/>
  <c r="TRI91" i="6"/>
  <c r="TRF91" i="6"/>
  <c r="TRC91" i="6"/>
  <c r="TQU91" i="6"/>
  <c r="TQS91" i="6"/>
  <c r="TQP91" i="6"/>
  <c r="TQM91" i="6"/>
  <c r="TQE91" i="6"/>
  <c r="TQC91" i="6"/>
  <c r="TPZ91" i="6"/>
  <c r="TPW91" i="6"/>
  <c r="TPO91" i="6"/>
  <c r="TPM91" i="6"/>
  <c r="TPJ91" i="6"/>
  <c r="TPG91" i="6"/>
  <c r="TOY91" i="6"/>
  <c r="TOW91" i="6"/>
  <c r="TOT91" i="6"/>
  <c r="TOQ91" i="6"/>
  <c r="TOI91" i="6"/>
  <c r="TOG91" i="6"/>
  <c r="TOD91" i="6"/>
  <c r="TOA91" i="6"/>
  <c r="TNS91" i="6"/>
  <c r="TNQ91" i="6"/>
  <c r="TNN91" i="6"/>
  <c r="TNK91" i="6"/>
  <c r="TNC91" i="6"/>
  <c r="TNA91" i="6"/>
  <c r="TMX91" i="6"/>
  <c r="TMU91" i="6"/>
  <c r="TMM91" i="6"/>
  <c r="TMK91" i="6"/>
  <c r="TMH91" i="6"/>
  <c r="TME91" i="6"/>
  <c r="TLW91" i="6"/>
  <c r="TLU91" i="6"/>
  <c r="TLR91" i="6"/>
  <c r="TLO91" i="6"/>
  <c r="TLG91" i="6"/>
  <c r="TLE91" i="6"/>
  <c r="TLB91" i="6"/>
  <c r="TKY91" i="6"/>
  <c r="TKQ91" i="6"/>
  <c r="TKO91" i="6"/>
  <c r="TKL91" i="6"/>
  <c r="TKI91" i="6"/>
  <c r="TKA91" i="6"/>
  <c r="TJY91" i="6"/>
  <c r="TJV91" i="6"/>
  <c r="TJS91" i="6"/>
  <c r="TJK91" i="6"/>
  <c r="TJI91" i="6"/>
  <c r="TJF91" i="6"/>
  <c r="TJC91" i="6"/>
  <c r="TIU91" i="6"/>
  <c r="TIS91" i="6"/>
  <c r="TIP91" i="6"/>
  <c r="TIM91" i="6"/>
  <c r="TIE91" i="6"/>
  <c r="TIC91" i="6"/>
  <c r="THZ91" i="6"/>
  <c r="THW91" i="6"/>
  <c r="THO91" i="6"/>
  <c r="THM91" i="6"/>
  <c r="THJ91" i="6"/>
  <c r="THG91" i="6"/>
  <c r="TGY91" i="6"/>
  <c r="TGW91" i="6"/>
  <c r="TGT91" i="6"/>
  <c r="TGQ91" i="6"/>
  <c r="TGI91" i="6"/>
  <c r="TGG91" i="6"/>
  <c r="TGD91" i="6"/>
  <c r="TGA91" i="6"/>
  <c r="TFS91" i="6"/>
  <c r="TFQ91" i="6"/>
  <c r="TFN91" i="6"/>
  <c r="TFK91" i="6"/>
  <c r="TFC91" i="6"/>
  <c r="TFA91" i="6"/>
  <c r="TEX91" i="6"/>
  <c r="TEU91" i="6"/>
  <c r="TEM91" i="6"/>
  <c r="TEK91" i="6"/>
  <c r="TEH91" i="6"/>
  <c r="TEE91" i="6"/>
  <c r="TDW91" i="6"/>
  <c r="TDU91" i="6"/>
  <c r="TDR91" i="6"/>
  <c r="TDO91" i="6"/>
  <c r="TDG91" i="6"/>
  <c r="TDE91" i="6"/>
  <c r="TDB91" i="6"/>
  <c r="TCY91" i="6"/>
  <c r="TCQ91" i="6"/>
  <c r="TCO91" i="6"/>
  <c r="TCL91" i="6"/>
  <c r="TCI91" i="6"/>
  <c r="TCA91" i="6"/>
  <c r="TBY91" i="6"/>
  <c r="TBV91" i="6"/>
  <c r="TBS91" i="6"/>
  <c r="TBK91" i="6"/>
  <c r="TBI91" i="6"/>
  <c r="TBF91" i="6"/>
  <c r="TBC91" i="6"/>
  <c r="TAU91" i="6"/>
  <c r="TAS91" i="6"/>
  <c r="TAP91" i="6"/>
  <c r="TAM91" i="6"/>
  <c r="TAE91" i="6"/>
  <c r="TAC91" i="6"/>
  <c r="SZZ91" i="6"/>
  <c r="SZW91" i="6"/>
  <c r="SZO91" i="6"/>
  <c r="SZM91" i="6"/>
  <c r="SZJ91" i="6"/>
  <c r="SZG91" i="6"/>
  <c r="SYY91" i="6"/>
  <c r="SYW91" i="6"/>
  <c r="SYT91" i="6"/>
  <c r="SYQ91" i="6"/>
  <c r="SYI91" i="6"/>
  <c r="SYG91" i="6"/>
  <c r="SYD91" i="6"/>
  <c r="SYA91" i="6"/>
  <c r="SXS91" i="6"/>
  <c r="SXQ91" i="6"/>
  <c r="SXN91" i="6"/>
  <c r="SXK91" i="6"/>
  <c r="SXC91" i="6"/>
  <c r="SXA91" i="6"/>
  <c r="SWX91" i="6"/>
  <c r="SWU91" i="6"/>
  <c r="SWM91" i="6"/>
  <c r="SWK91" i="6"/>
  <c r="SWH91" i="6"/>
  <c r="SWE91" i="6"/>
  <c r="SVW91" i="6"/>
  <c r="SVU91" i="6"/>
  <c r="SVR91" i="6"/>
  <c r="SVO91" i="6"/>
  <c r="SVG91" i="6"/>
  <c r="SVE91" i="6"/>
  <c r="SVB91" i="6"/>
  <c r="SUY91" i="6"/>
  <c r="SUQ91" i="6"/>
  <c r="SUO91" i="6"/>
  <c r="SUL91" i="6"/>
  <c r="SUI91" i="6"/>
  <c r="SUA91" i="6"/>
  <c r="STY91" i="6"/>
  <c r="STV91" i="6"/>
  <c r="STS91" i="6"/>
  <c r="STK91" i="6"/>
  <c r="STI91" i="6"/>
  <c r="STF91" i="6"/>
  <c r="STC91" i="6"/>
  <c r="SSU91" i="6"/>
  <c r="SSS91" i="6"/>
  <c r="SSP91" i="6"/>
  <c r="SSM91" i="6"/>
  <c r="SSE91" i="6"/>
  <c r="SSC91" i="6"/>
  <c r="SRZ91" i="6"/>
  <c r="SRW91" i="6"/>
  <c r="SRO91" i="6"/>
  <c r="SRM91" i="6"/>
  <c r="SRJ91" i="6"/>
  <c r="SRG91" i="6"/>
  <c r="SQY91" i="6"/>
  <c r="SQW91" i="6"/>
  <c r="SQT91" i="6"/>
  <c r="SQQ91" i="6"/>
  <c r="SQI91" i="6"/>
  <c r="SQG91" i="6"/>
  <c r="SQD91" i="6"/>
  <c r="SQA91" i="6"/>
  <c r="SPS91" i="6"/>
  <c r="SPQ91" i="6"/>
  <c r="SPN91" i="6"/>
  <c r="SPK91" i="6"/>
  <c r="SPC91" i="6"/>
  <c r="SPA91" i="6"/>
  <c r="SOX91" i="6"/>
  <c r="SOU91" i="6"/>
  <c r="SOM91" i="6"/>
  <c r="SOK91" i="6"/>
  <c r="SOH91" i="6"/>
  <c r="SOE91" i="6"/>
  <c r="SNW91" i="6"/>
  <c r="SNU91" i="6"/>
  <c r="SNR91" i="6"/>
  <c r="SNO91" i="6"/>
  <c r="SNG91" i="6"/>
  <c r="SNE91" i="6"/>
  <c r="SNB91" i="6"/>
  <c r="SMY91" i="6"/>
  <c r="SMQ91" i="6"/>
  <c r="SMO91" i="6"/>
  <c r="SML91" i="6"/>
  <c r="SMI91" i="6"/>
  <c r="SMA91" i="6"/>
  <c r="SLY91" i="6"/>
  <c r="SLV91" i="6"/>
  <c r="SLS91" i="6"/>
  <c r="SLK91" i="6"/>
  <c r="SLI91" i="6"/>
  <c r="SLF91" i="6"/>
  <c r="SLC91" i="6"/>
  <c r="SKU91" i="6"/>
  <c r="SKS91" i="6"/>
  <c r="SKP91" i="6"/>
  <c r="SKM91" i="6"/>
  <c r="SKE91" i="6"/>
  <c r="SKC91" i="6"/>
  <c r="SJZ91" i="6"/>
  <c r="SJW91" i="6"/>
  <c r="SJO91" i="6"/>
  <c r="SJM91" i="6"/>
  <c r="SJJ91" i="6"/>
  <c r="SJG91" i="6"/>
  <c r="SIY91" i="6"/>
  <c r="SIW91" i="6"/>
  <c r="SIT91" i="6"/>
  <c r="SIQ91" i="6"/>
  <c r="SII91" i="6"/>
  <c r="SIG91" i="6"/>
  <c r="SID91" i="6"/>
  <c r="SIA91" i="6"/>
  <c r="SHS91" i="6"/>
  <c r="SHQ91" i="6"/>
  <c r="SHN91" i="6"/>
  <c r="SHK91" i="6"/>
  <c r="SHC91" i="6"/>
  <c r="SHA91" i="6"/>
  <c r="SGX91" i="6"/>
  <c r="SGU91" i="6"/>
  <c r="SGM91" i="6"/>
  <c r="SGK91" i="6"/>
  <c r="SGH91" i="6"/>
  <c r="SGE91" i="6"/>
  <c r="SFW91" i="6"/>
  <c r="SFU91" i="6"/>
  <c r="SFR91" i="6"/>
  <c r="SFO91" i="6"/>
  <c r="SFG91" i="6"/>
  <c r="SFE91" i="6"/>
  <c r="SFB91" i="6"/>
  <c r="SEY91" i="6"/>
  <c r="SEQ91" i="6"/>
  <c r="SEO91" i="6"/>
  <c r="SEL91" i="6"/>
  <c r="SEI91" i="6"/>
  <c r="SEA91" i="6"/>
  <c r="SDY91" i="6"/>
  <c r="SDV91" i="6"/>
  <c r="SDS91" i="6"/>
  <c r="SDK91" i="6"/>
  <c r="SDI91" i="6"/>
  <c r="SDF91" i="6"/>
  <c r="SDC91" i="6"/>
  <c r="SCU91" i="6"/>
  <c r="SCS91" i="6"/>
  <c r="SCP91" i="6"/>
  <c r="SCM91" i="6"/>
  <c r="SCE91" i="6"/>
  <c r="SCC91" i="6"/>
  <c r="SBZ91" i="6"/>
  <c r="SBW91" i="6"/>
  <c r="SBO91" i="6"/>
  <c r="SBM91" i="6"/>
  <c r="SBJ91" i="6"/>
  <c r="SBG91" i="6"/>
  <c r="SAY91" i="6"/>
  <c r="SAW91" i="6"/>
  <c r="SAT91" i="6"/>
  <c r="SAQ91" i="6"/>
  <c r="SAI91" i="6"/>
  <c r="SAG91" i="6"/>
  <c r="SAD91" i="6"/>
  <c r="SAA91" i="6"/>
  <c r="RZS91" i="6"/>
  <c r="RZQ91" i="6"/>
  <c r="RZN91" i="6"/>
  <c r="RZK91" i="6"/>
  <c r="RZC91" i="6"/>
  <c r="RZA91" i="6"/>
  <c r="RYX91" i="6"/>
  <c r="RYU91" i="6"/>
  <c r="RYM91" i="6"/>
  <c r="RYK91" i="6"/>
  <c r="RYH91" i="6"/>
  <c r="RYE91" i="6"/>
  <c r="RXW91" i="6"/>
  <c r="RXU91" i="6"/>
  <c r="RXR91" i="6"/>
  <c r="RXO91" i="6"/>
  <c r="RXG91" i="6"/>
  <c r="RXE91" i="6"/>
  <c r="RXB91" i="6"/>
  <c r="RWY91" i="6"/>
  <c r="RWQ91" i="6"/>
  <c r="RWO91" i="6"/>
  <c r="RWL91" i="6"/>
  <c r="RWI91" i="6"/>
  <c r="RWA91" i="6"/>
  <c r="RVY91" i="6"/>
  <c r="RVV91" i="6"/>
  <c r="RVS91" i="6"/>
  <c r="RVK91" i="6"/>
  <c r="RVI91" i="6"/>
  <c r="RVF91" i="6"/>
  <c r="RVC91" i="6"/>
  <c r="RUU91" i="6"/>
  <c r="RUS91" i="6"/>
  <c r="RUP91" i="6"/>
  <c r="RUM91" i="6"/>
  <c r="RUE91" i="6"/>
  <c r="RUC91" i="6"/>
  <c r="RTZ91" i="6"/>
  <c r="RTW91" i="6"/>
  <c r="RTO91" i="6"/>
  <c r="RTM91" i="6"/>
  <c r="RTJ91" i="6"/>
  <c r="RTG91" i="6"/>
  <c r="RSY91" i="6"/>
  <c r="RSW91" i="6"/>
  <c r="RST91" i="6"/>
  <c r="RSQ91" i="6"/>
  <c r="RSI91" i="6"/>
  <c r="RSG91" i="6"/>
  <c r="RSD91" i="6"/>
  <c r="RSA91" i="6"/>
  <c r="RRS91" i="6"/>
  <c r="RRQ91" i="6"/>
  <c r="RRN91" i="6"/>
  <c r="RRK91" i="6"/>
  <c r="RRC91" i="6"/>
  <c r="RRA91" i="6"/>
  <c r="RQX91" i="6"/>
  <c r="RQU91" i="6"/>
  <c r="RQM91" i="6"/>
  <c r="RQK91" i="6"/>
  <c r="RQH91" i="6"/>
  <c r="RQE91" i="6"/>
  <c r="RPW91" i="6"/>
  <c r="RPU91" i="6"/>
  <c r="RPR91" i="6"/>
  <c r="RPO91" i="6"/>
  <c r="RPG91" i="6"/>
  <c r="RPE91" i="6"/>
  <c r="RPB91" i="6"/>
  <c r="ROY91" i="6"/>
  <c r="ROQ91" i="6"/>
  <c r="ROO91" i="6"/>
  <c r="ROL91" i="6"/>
  <c r="ROI91" i="6"/>
  <c r="ROA91" i="6"/>
  <c r="RNY91" i="6"/>
  <c r="RNV91" i="6"/>
  <c r="RNS91" i="6"/>
  <c r="RNK91" i="6"/>
  <c r="RNI91" i="6"/>
  <c r="RNF91" i="6"/>
  <c r="RNC91" i="6"/>
  <c r="RMU91" i="6"/>
  <c r="RMS91" i="6"/>
  <c r="RMP91" i="6"/>
  <c r="RMM91" i="6"/>
  <c r="RME91" i="6"/>
  <c r="RMC91" i="6"/>
  <c r="RLZ91" i="6"/>
  <c r="RLW91" i="6"/>
  <c r="RLO91" i="6"/>
  <c r="RLM91" i="6"/>
  <c r="RLJ91" i="6"/>
  <c r="RLG91" i="6"/>
  <c r="RKY91" i="6"/>
  <c r="RKW91" i="6"/>
  <c r="RKT91" i="6"/>
  <c r="RKQ91" i="6"/>
  <c r="RKI91" i="6"/>
  <c r="RKG91" i="6"/>
  <c r="RKD91" i="6"/>
  <c r="RKA91" i="6"/>
  <c r="RJS91" i="6"/>
  <c r="RJQ91" i="6"/>
  <c r="RJN91" i="6"/>
  <c r="RJK91" i="6"/>
  <c r="RJC91" i="6"/>
  <c r="RJA91" i="6"/>
  <c r="RIX91" i="6"/>
  <c r="RIU91" i="6"/>
  <c r="RIM91" i="6"/>
  <c r="RIK91" i="6"/>
  <c r="RIH91" i="6"/>
  <c r="RIE91" i="6"/>
  <c r="RHW91" i="6"/>
  <c r="RHU91" i="6"/>
  <c r="RHR91" i="6"/>
  <c r="RHO91" i="6"/>
  <c r="RHG91" i="6"/>
  <c r="RHE91" i="6"/>
  <c r="RHB91" i="6"/>
  <c r="RGY91" i="6"/>
  <c r="RGQ91" i="6"/>
  <c r="RGO91" i="6"/>
  <c r="RGL91" i="6"/>
  <c r="RGI91" i="6"/>
  <c r="RGA91" i="6"/>
  <c r="RFY91" i="6"/>
  <c r="RFV91" i="6"/>
  <c r="RFS91" i="6"/>
  <c r="RFK91" i="6"/>
  <c r="RFI91" i="6"/>
  <c r="RFF91" i="6"/>
  <c r="RFC91" i="6"/>
  <c r="REU91" i="6"/>
  <c r="RES91" i="6"/>
  <c r="REP91" i="6"/>
  <c r="REM91" i="6"/>
  <c r="REE91" i="6"/>
  <c r="REC91" i="6"/>
  <c r="RDZ91" i="6"/>
  <c r="RDW91" i="6"/>
  <c r="RDO91" i="6"/>
  <c r="RDM91" i="6"/>
  <c r="RDJ91" i="6"/>
  <c r="RDG91" i="6"/>
  <c r="RCY91" i="6"/>
  <c r="RCW91" i="6"/>
  <c r="RCT91" i="6"/>
  <c r="RCQ91" i="6"/>
  <c r="RCI91" i="6"/>
  <c r="RCG91" i="6"/>
  <c r="RCD91" i="6"/>
  <c r="RCA91" i="6"/>
  <c r="RBS91" i="6"/>
  <c r="RBQ91" i="6"/>
  <c r="RBN91" i="6"/>
  <c r="RBK91" i="6"/>
  <c r="RBC91" i="6"/>
  <c r="RBA91" i="6"/>
  <c r="RAX91" i="6"/>
  <c r="RAU91" i="6"/>
  <c r="RAM91" i="6"/>
  <c r="RAK91" i="6"/>
  <c r="RAH91" i="6"/>
  <c r="RAE91" i="6"/>
  <c r="QZW91" i="6"/>
  <c r="QZU91" i="6"/>
  <c r="QZR91" i="6"/>
  <c r="QZO91" i="6"/>
  <c r="QZG91" i="6"/>
  <c r="QZE91" i="6"/>
  <c r="QZB91" i="6"/>
  <c r="QYY91" i="6"/>
  <c r="QYQ91" i="6"/>
  <c r="QYO91" i="6"/>
  <c r="QYL91" i="6"/>
  <c r="QYI91" i="6"/>
  <c r="QYA91" i="6"/>
  <c r="QXY91" i="6"/>
  <c r="QXV91" i="6"/>
  <c r="QXS91" i="6"/>
  <c r="QXK91" i="6"/>
  <c r="QXI91" i="6"/>
  <c r="QXF91" i="6"/>
  <c r="QXC91" i="6"/>
  <c r="QWU91" i="6"/>
  <c r="QWS91" i="6"/>
  <c r="QWP91" i="6"/>
  <c r="QWM91" i="6"/>
  <c r="QWE91" i="6"/>
  <c r="QWC91" i="6"/>
  <c r="QVZ91" i="6"/>
  <c r="QVW91" i="6"/>
  <c r="QVO91" i="6"/>
  <c r="QVM91" i="6"/>
  <c r="QVJ91" i="6"/>
  <c r="QVG91" i="6"/>
  <c r="QUY91" i="6"/>
  <c r="QUW91" i="6"/>
  <c r="QUT91" i="6"/>
  <c r="QUQ91" i="6"/>
  <c r="QUI91" i="6"/>
  <c r="QUG91" i="6"/>
  <c r="QUD91" i="6"/>
  <c r="QUA91" i="6"/>
  <c r="QTS91" i="6"/>
  <c r="QTQ91" i="6"/>
  <c r="QTN91" i="6"/>
  <c r="QTK91" i="6"/>
  <c r="QTC91" i="6"/>
  <c r="QTA91" i="6"/>
  <c r="QSX91" i="6"/>
  <c r="QSU91" i="6"/>
  <c r="QSM91" i="6"/>
  <c r="QSK91" i="6"/>
  <c r="QSH91" i="6"/>
  <c r="QSE91" i="6"/>
  <c r="QRW91" i="6"/>
  <c r="QRU91" i="6"/>
  <c r="QRR91" i="6"/>
  <c r="QRO91" i="6"/>
  <c r="QRG91" i="6"/>
  <c r="QRE91" i="6"/>
  <c r="QRB91" i="6"/>
  <c r="QQY91" i="6"/>
  <c r="QQQ91" i="6"/>
  <c r="QQO91" i="6"/>
  <c r="QQL91" i="6"/>
  <c r="QQI91" i="6"/>
  <c r="QQA91" i="6"/>
  <c r="QPY91" i="6"/>
  <c r="QPV91" i="6"/>
  <c r="QPS91" i="6"/>
  <c r="QPK91" i="6"/>
  <c r="QPI91" i="6"/>
  <c r="QPF91" i="6"/>
  <c r="QPC91" i="6"/>
  <c r="QOU91" i="6"/>
  <c r="QOS91" i="6"/>
  <c r="QOP91" i="6"/>
  <c r="QOM91" i="6"/>
  <c r="QOE91" i="6"/>
  <c r="QOC91" i="6"/>
  <c r="QNZ91" i="6"/>
  <c r="QNW91" i="6"/>
  <c r="QNO91" i="6"/>
  <c r="QNM91" i="6"/>
  <c r="QNJ91" i="6"/>
  <c r="QNG91" i="6"/>
  <c r="QMY91" i="6"/>
  <c r="QMW91" i="6"/>
  <c r="QMT91" i="6"/>
  <c r="QMQ91" i="6"/>
  <c r="QMI91" i="6"/>
  <c r="QMG91" i="6"/>
  <c r="QMD91" i="6"/>
  <c r="QMA91" i="6"/>
  <c r="QLS91" i="6"/>
  <c r="QLQ91" i="6"/>
  <c r="QLN91" i="6"/>
  <c r="QLK91" i="6"/>
  <c r="QLC91" i="6"/>
  <c r="QLA91" i="6"/>
  <c r="QKX91" i="6"/>
  <c r="QKU91" i="6"/>
  <c r="QKM91" i="6"/>
  <c r="QKK91" i="6"/>
  <c r="QKH91" i="6"/>
  <c r="QKE91" i="6"/>
  <c r="QJW91" i="6"/>
  <c r="QJU91" i="6"/>
  <c r="QJR91" i="6"/>
  <c r="QJO91" i="6"/>
  <c r="QJG91" i="6"/>
  <c r="QJE91" i="6"/>
  <c r="QJB91" i="6"/>
  <c r="QIY91" i="6"/>
  <c r="QIQ91" i="6"/>
  <c r="QIO91" i="6"/>
  <c r="QIL91" i="6"/>
  <c r="QII91" i="6"/>
  <c r="QIA91" i="6"/>
  <c r="QHY91" i="6"/>
  <c r="QHV91" i="6"/>
  <c r="QHS91" i="6"/>
  <c r="QHK91" i="6"/>
  <c r="QHI91" i="6"/>
  <c r="QHF91" i="6"/>
  <c r="QHC91" i="6"/>
  <c r="QGU91" i="6"/>
  <c r="QGS91" i="6"/>
  <c r="QGP91" i="6"/>
  <c r="QGM91" i="6"/>
  <c r="QGE91" i="6"/>
  <c r="QGC91" i="6"/>
  <c r="QFZ91" i="6"/>
  <c r="QFW91" i="6"/>
  <c r="QFO91" i="6"/>
  <c r="QFM91" i="6"/>
  <c r="QFJ91" i="6"/>
  <c r="QFG91" i="6"/>
  <c r="QEY91" i="6"/>
  <c r="QEW91" i="6"/>
  <c r="QET91" i="6"/>
  <c r="QEQ91" i="6"/>
  <c r="QEI91" i="6"/>
  <c r="QEG91" i="6"/>
  <c r="QED91" i="6"/>
  <c r="QEA91" i="6"/>
  <c r="QDS91" i="6"/>
  <c r="QDQ91" i="6"/>
  <c r="QDN91" i="6"/>
  <c r="QDK91" i="6"/>
  <c r="QDC91" i="6"/>
  <c r="QDA91" i="6"/>
  <c r="QCX91" i="6"/>
  <c r="QCU91" i="6"/>
  <c r="QCM91" i="6"/>
  <c r="QCK91" i="6"/>
  <c r="QCH91" i="6"/>
  <c r="QCE91" i="6"/>
  <c r="QBW91" i="6"/>
  <c r="QBU91" i="6"/>
  <c r="QBR91" i="6"/>
  <c r="QBO91" i="6"/>
  <c r="QBG91" i="6"/>
  <c r="QBE91" i="6"/>
  <c r="QBB91" i="6"/>
  <c r="QAY91" i="6"/>
  <c r="QAQ91" i="6"/>
  <c r="QAO91" i="6"/>
  <c r="QAL91" i="6"/>
  <c r="QAI91" i="6"/>
  <c r="QAA91" i="6"/>
  <c r="PZY91" i="6"/>
  <c r="PZV91" i="6"/>
  <c r="PZS91" i="6"/>
  <c r="PZK91" i="6"/>
  <c r="PZI91" i="6"/>
  <c r="PZF91" i="6"/>
  <c r="PZC91" i="6"/>
  <c r="PYU91" i="6"/>
  <c r="PYS91" i="6"/>
  <c r="PYP91" i="6"/>
  <c r="PYM91" i="6"/>
  <c r="PYE91" i="6"/>
  <c r="PYC91" i="6"/>
  <c r="PXZ91" i="6"/>
  <c r="PXW91" i="6"/>
  <c r="PXO91" i="6"/>
  <c r="PXM91" i="6"/>
  <c r="PXJ91" i="6"/>
  <c r="PXG91" i="6"/>
  <c r="PWY91" i="6"/>
  <c r="PWW91" i="6"/>
  <c r="PWT91" i="6"/>
  <c r="PWQ91" i="6"/>
  <c r="PWI91" i="6"/>
  <c r="PWG91" i="6"/>
  <c r="PWD91" i="6"/>
  <c r="PWA91" i="6"/>
  <c r="PVS91" i="6"/>
  <c r="PVQ91" i="6"/>
  <c r="PVN91" i="6"/>
  <c r="PVK91" i="6"/>
  <c r="PVC91" i="6"/>
  <c r="PVA91" i="6"/>
  <c r="PUX91" i="6"/>
  <c r="PUU91" i="6"/>
  <c r="PUM91" i="6"/>
  <c r="PUK91" i="6"/>
  <c r="PUH91" i="6"/>
  <c r="PUE91" i="6"/>
  <c r="PTW91" i="6"/>
  <c r="PTU91" i="6"/>
  <c r="PTR91" i="6"/>
  <c r="PTO91" i="6"/>
  <c r="PTG91" i="6"/>
  <c r="PTE91" i="6"/>
  <c r="PTB91" i="6"/>
  <c r="PSY91" i="6"/>
  <c r="PSQ91" i="6"/>
  <c r="PSO91" i="6"/>
  <c r="PSL91" i="6"/>
  <c r="PSI91" i="6"/>
  <c r="PSA91" i="6"/>
  <c r="PRY91" i="6"/>
  <c r="PRV91" i="6"/>
  <c r="PRS91" i="6"/>
  <c r="PRK91" i="6"/>
  <c r="PRI91" i="6"/>
  <c r="PRF91" i="6"/>
  <c r="PRC91" i="6"/>
  <c r="PQU91" i="6"/>
  <c r="PQS91" i="6"/>
  <c r="PQP91" i="6"/>
  <c r="PQM91" i="6"/>
  <c r="PQE91" i="6"/>
  <c r="PQC91" i="6"/>
  <c r="PPZ91" i="6"/>
  <c r="PPW91" i="6"/>
  <c r="PPO91" i="6"/>
  <c r="PPM91" i="6"/>
  <c r="PPJ91" i="6"/>
  <c r="PPG91" i="6"/>
  <c r="POY91" i="6"/>
  <c r="POW91" i="6"/>
  <c r="POT91" i="6"/>
  <c r="POQ91" i="6"/>
  <c r="POI91" i="6"/>
  <c r="POG91" i="6"/>
  <c r="POD91" i="6"/>
  <c r="POA91" i="6"/>
  <c r="PNS91" i="6"/>
  <c r="PNQ91" i="6"/>
  <c r="PNN91" i="6"/>
  <c r="PNK91" i="6"/>
  <c r="PNC91" i="6"/>
  <c r="PNA91" i="6"/>
  <c r="PMX91" i="6"/>
  <c r="PMU91" i="6"/>
  <c r="PMM91" i="6"/>
  <c r="PMK91" i="6"/>
  <c r="PMH91" i="6"/>
  <c r="PME91" i="6"/>
  <c r="PLW91" i="6"/>
  <c r="PLU91" i="6"/>
  <c r="PLR91" i="6"/>
  <c r="PLO91" i="6"/>
  <c r="PLG91" i="6"/>
  <c r="PLE91" i="6"/>
  <c r="PLB91" i="6"/>
  <c r="PKY91" i="6"/>
  <c r="PKQ91" i="6"/>
  <c r="PKO91" i="6"/>
  <c r="PKL91" i="6"/>
  <c r="PKI91" i="6"/>
  <c r="PKA91" i="6"/>
  <c r="PJY91" i="6"/>
  <c r="PJV91" i="6"/>
  <c r="PJS91" i="6"/>
  <c r="PJK91" i="6"/>
  <c r="PJI91" i="6"/>
  <c r="PJF91" i="6"/>
  <c r="PJC91" i="6"/>
  <c r="PIU91" i="6"/>
  <c r="PIS91" i="6"/>
  <c r="PIP91" i="6"/>
  <c r="PIM91" i="6"/>
  <c r="PIE91" i="6"/>
  <c r="PIC91" i="6"/>
  <c r="PHZ91" i="6"/>
  <c r="PHW91" i="6"/>
  <c r="PHO91" i="6"/>
  <c r="PHM91" i="6"/>
  <c r="PHJ91" i="6"/>
  <c r="PHG91" i="6"/>
  <c r="PGY91" i="6"/>
  <c r="PGW91" i="6"/>
  <c r="PGT91" i="6"/>
  <c r="PGQ91" i="6"/>
  <c r="PGI91" i="6"/>
  <c r="PGG91" i="6"/>
  <c r="PGD91" i="6"/>
  <c r="PGA91" i="6"/>
  <c r="PFS91" i="6"/>
  <c r="PFQ91" i="6"/>
  <c r="PFN91" i="6"/>
  <c r="PFK91" i="6"/>
  <c r="PFC91" i="6"/>
  <c r="PFA91" i="6"/>
  <c r="PEX91" i="6"/>
  <c r="PEU91" i="6"/>
  <c r="PEM91" i="6"/>
  <c r="PEK91" i="6"/>
  <c r="PEH91" i="6"/>
  <c r="PEE91" i="6"/>
  <c r="PDW91" i="6"/>
  <c r="PDU91" i="6"/>
  <c r="PDR91" i="6"/>
  <c r="PDO91" i="6"/>
  <c r="PDG91" i="6"/>
  <c r="PDE91" i="6"/>
  <c r="PDB91" i="6"/>
  <c r="PCY91" i="6"/>
  <c r="PCQ91" i="6"/>
  <c r="PCO91" i="6"/>
  <c r="PCL91" i="6"/>
  <c r="PCI91" i="6"/>
  <c r="PCA91" i="6"/>
  <c r="PBY91" i="6"/>
  <c r="PBV91" i="6"/>
  <c r="PBS91" i="6"/>
  <c r="PBK91" i="6"/>
  <c r="PBI91" i="6"/>
  <c r="PBF91" i="6"/>
  <c r="PBC91" i="6"/>
  <c r="PAU91" i="6"/>
  <c r="PAS91" i="6"/>
  <c r="PAP91" i="6"/>
  <c r="PAM91" i="6"/>
  <c r="PAE91" i="6"/>
  <c r="PAC91" i="6"/>
  <c r="OZZ91" i="6"/>
  <c r="OZW91" i="6"/>
  <c r="OZO91" i="6"/>
  <c r="OZM91" i="6"/>
  <c r="OZJ91" i="6"/>
  <c r="OZG91" i="6"/>
  <c r="OYY91" i="6"/>
  <c r="OYW91" i="6"/>
  <c r="OYT91" i="6"/>
  <c r="OYQ91" i="6"/>
  <c r="OYI91" i="6"/>
  <c r="OYG91" i="6"/>
  <c r="OYD91" i="6"/>
  <c r="OYA91" i="6"/>
  <c r="OXS91" i="6"/>
  <c r="OXQ91" i="6"/>
  <c r="OXN91" i="6"/>
  <c r="OXK91" i="6"/>
  <c r="OXC91" i="6"/>
  <c r="OXA91" i="6"/>
  <c r="OWX91" i="6"/>
  <c r="OWU91" i="6"/>
  <c r="OWM91" i="6"/>
  <c r="OWK91" i="6"/>
  <c r="OWH91" i="6"/>
  <c r="OWE91" i="6"/>
  <c r="OVW91" i="6"/>
  <c r="OVU91" i="6"/>
  <c r="OVR91" i="6"/>
  <c r="OVO91" i="6"/>
  <c r="OVG91" i="6"/>
  <c r="OVE91" i="6"/>
  <c r="OVB91" i="6"/>
  <c r="OUY91" i="6"/>
  <c r="OUQ91" i="6"/>
  <c r="OUO91" i="6"/>
  <c r="OUL91" i="6"/>
  <c r="OUI91" i="6"/>
  <c r="OUA91" i="6"/>
  <c r="OTY91" i="6"/>
  <c r="OTV91" i="6"/>
  <c r="OTS91" i="6"/>
  <c r="OTK91" i="6"/>
  <c r="OTI91" i="6"/>
  <c r="OTF91" i="6"/>
  <c r="OTC91" i="6"/>
  <c r="OSU91" i="6"/>
  <c r="OSS91" i="6"/>
  <c r="OSP91" i="6"/>
  <c r="OSM91" i="6"/>
  <c r="OSE91" i="6"/>
  <c r="OSC91" i="6"/>
  <c r="ORZ91" i="6"/>
  <c r="ORW91" i="6"/>
  <c r="ORO91" i="6"/>
  <c r="ORM91" i="6"/>
  <c r="ORJ91" i="6"/>
  <c r="ORG91" i="6"/>
  <c r="OQY91" i="6"/>
  <c r="OQW91" i="6"/>
  <c r="OQT91" i="6"/>
  <c r="OQQ91" i="6"/>
  <c r="OQI91" i="6"/>
  <c r="OQG91" i="6"/>
  <c r="OQD91" i="6"/>
  <c r="OQA91" i="6"/>
  <c r="OPS91" i="6"/>
  <c r="OPQ91" i="6"/>
  <c r="OPN91" i="6"/>
  <c r="OPK91" i="6"/>
  <c r="OPC91" i="6"/>
  <c r="OPA91" i="6"/>
  <c r="OOX91" i="6"/>
  <c r="OOU91" i="6"/>
  <c r="OOM91" i="6"/>
  <c r="OOK91" i="6"/>
  <c r="OOH91" i="6"/>
  <c r="OOE91" i="6"/>
  <c r="ONW91" i="6"/>
  <c r="ONU91" i="6"/>
  <c r="ONR91" i="6"/>
  <c r="ONO91" i="6"/>
  <c r="ONG91" i="6"/>
  <c r="ONE91" i="6"/>
  <c r="ONB91" i="6"/>
  <c r="OMY91" i="6"/>
  <c r="OMQ91" i="6"/>
  <c r="OMO91" i="6"/>
  <c r="OML91" i="6"/>
  <c r="OMI91" i="6"/>
  <c r="OMA91" i="6"/>
  <c r="OLY91" i="6"/>
  <c r="OLV91" i="6"/>
  <c r="OLS91" i="6"/>
  <c r="OLK91" i="6"/>
  <c r="OLI91" i="6"/>
  <c r="OLF91" i="6"/>
  <c r="OLC91" i="6"/>
  <c r="OKU91" i="6"/>
  <c r="OKS91" i="6"/>
  <c r="OKP91" i="6"/>
  <c r="OKM91" i="6"/>
  <c r="OKE91" i="6"/>
  <c r="OKC91" i="6"/>
  <c r="OJZ91" i="6"/>
  <c r="OJW91" i="6"/>
  <c r="OJO91" i="6"/>
  <c r="OJM91" i="6"/>
  <c r="OJJ91" i="6"/>
  <c r="OJG91" i="6"/>
  <c r="OIY91" i="6"/>
  <c r="OIW91" i="6"/>
  <c r="OIT91" i="6"/>
  <c r="OIQ91" i="6"/>
  <c r="OII91" i="6"/>
  <c r="OIG91" i="6"/>
  <c r="OID91" i="6"/>
  <c r="OIA91" i="6"/>
  <c r="OHS91" i="6"/>
  <c r="OHQ91" i="6"/>
  <c r="OHN91" i="6"/>
  <c r="OHK91" i="6"/>
  <c r="OHC91" i="6"/>
  <c r="OHA91" i="6"/>
  <c r="OGX91" i="6"/>
  <c r="OGU91" i="6"/>
  <c r="OGM91" i="6"/>
  <c r="OGK91" i="6"/>
  <c r="OGH91" i="6"/>
  <c r="OGE91" i="6"/>
  <c r="OFW91" i="6"/>
  <c r="OFU91" i="6"/>
  <c r="OFR91" i="6"/>
  <c r="OFO91" i="6"/>
  <c r="OFG91" i="6"/>
  <c r="OFE91" i="6"/>
  <c r="OFB91" i="6"/>
  <c r="OEY91" i="6"/>
  <c r="OEQ91" i="6"/>
  <c r="OEO91" i="6"/>
  <c r="OEL91" i="6"/>
  <c r="OEI91" i="6"/>
  <c r="OEA91" i="6"/>
  <c r="ODY91" i="6"/>
  <c r="ODV91" i="6"/>
  <c r="ODS91" i="6"/>
  <c r="ODK91" i="6"/>
  <c r="ODI91" i="6"/>
  <c r="ODF91" i="6"/>
  <c r="ODC91" i="6"/>
  <c r="OCU91" i="6"/>
  <c r="OCS91" i="6"/>
  <c r="OCP91" i="6"/>
  <c r="OCM91" i="6"/>
  <c r="OCE91" i="6"/>
  <c r="OCC91" i="6"/>
  <c r="OBZ91" i="6"/>
  <c r="OBW91" i="6"/>
  <c r="OBO91" i="6"/>
  <c r="OBM91" i="6"/>
  <c r="OBJ91" i="6"/>
  <c r="OBG91" i="6"/>
  <c r="OAY91" i="6"/>
  <c r="OAW91" i="6"/>
  <c r="OAT91" i="6"/>
  <c r="OAQ91" i="6"/>
  <c r="OAI91" i="6"/>
  <c r="OAG91" i="6"/>
  <c r="OAD91" i="6"/>
  <c r="OAA91" i="6"/>
  <c r="NZS91" i="6"/>
  <c r="NZQ91" i="6"/>
  <c r="NZN91" i="6"/>
  <c r="NZK91" i="6"/>
  <c r="NZC91" i="6"/>
  <c r="NZA91" i="6"/>
  <c r="NYX91" i="6"/>
  <c r="NYU91" i="6"/>
  <c r="NYM91" i="6"/>
  <c r="NYK91" i="6"/>
  <c r="NYH91" i="6"/>
  <c r="NYE91" i="6"/>
  <c r="NXW91" i="6"/>
  <c r="NXU91" i="6"/>
  <c r="NXR91" i="6"/>
  <c r="NXO91" i="6"/>
  <c r="NXG91" i="6"/>
  <c r="NXE91" i="6"/>
  <c r="NXB91" i="6"/>
  <c r="NWY91" i="6"/>
  <c r="NWQ91" i="6"/>
  <c r="NWO91" i="6"/>
  <c r="NWL91" i="6"/>
  <c r="NWI91" i="6"/>
  <c r="NWA91" i="6"/>
  <c r="NVY91" i="6"/>
  <c r="NVV91" i="6"/>
  <c r="NVS91" i="6"/>
  <c r="NVK91" i="6"/>
  <c r="NVI91" i="6"/>
  <c r="NVF91" i="6"/>
  <c r="NVC91" i="6"/>
  <c r="NUU91" i="6"/>
  <c r="NUS91" i="6"/>
  <c r="NUP91" i="6"/>
  <c r="NUM91" i="6"/>
  <c r="NUE91" i="6"/>
  <c r="NUC91" i="6"/>
  <c r="NTZ91" i="6"/>
  <c r="NTW91" i="6"/>
  <c r="NTO91" i="6"/>
  <c r="NTM91" i="6"/>
  <c r="NTJ91" i="6"/>
  <c r="NTG91" i="6"/>
  <c r="NSY91" i="6"/>
  <c r="NSW91" i="6"/>
  <c r="NST91" i="6"/>
  <c r="NSQ91" i="6"/>
  <c r="NSI91" i="6"/>
  <c r="NSG91" i="6"/>
  <c r="NSD91" i="6"/>
  <c r="NSA91" i="6"/>
  <c r="NRS91" i="6"/>
  <c r="NRQ91" i="6"/>
  <c r="NRN91" i="6"/>
  <c r="NRK91" i="6"/>
  <c r="NRC91" i="6"/>
  <c r="NRA91" i="6"/>
  <c r="NQX91" i="6"/>
  <c r="NQU91" i="6"/>
  <c r="NQM91" i="6"/>
  <c r="NQK91" i="6"/>
  <c r="NQH91" i="6"/>
  <c r="NQE91" i="6"/>
  <c r="NPW91" i="6"/>
  <c r="NPU91" i="6"/>
  <c r="NPR91" i="6"/>
  <c r="NPO91" i="6"/>
  <c r="NPG91" i="6"/>
  <c r="NPE91" i="6"/>
  <c r="NPB91" i="6"/>
  <c r="NOY91" i="6"/>
  <c r="NOQ91" i="6"/>
  <c r="NOO91" i="6"/>
  <c r="NOL91" i="6"/>
  <c r="NOI91" i="6"/>
  <c r="NOA91" i="6"/>
  <c r="NNY91" i="6"/>
  <c r="NNV91" i="6"/>
  <c r="NNS91" i="6"/>
  <c r="NNK91" i="6"/>
  <c r="NNI91" i="6"/>
  <c r="NNF91" i="6"/>
  <c r="NNC91" i="6"/>
  <c r="NMU91" i="6"/>
  <c r="NMS91" i="6"/>
  <c r="NMP91" i="6"/>
  <c r="NMM91" i="6"/>
  <c r="NME91" i="6"/>
  <c r="NMC91" i="6"/>
  <c r="NLZ91" i="6"/>
  <c r="NLW91" i="6"/>
  <c r="NLO91" i="6"/>
  <c r="NLM91" i="6"/>
  <c r="NLJ91" i="6"/>
  <c r="NLG91" i="6"/>
  <c r="NKY91" i="6"/>
  <c r="NKW91" i="6"/>
  <c r="NKT91" i="6"/>
  <c r="NKQ91" i="6"/>
  <c r="NKI91" i="6"/>
  <c r="NKG91" i="6"/>
  <c r="NKD91" i="6"/>
  <c r="NKA91" i="6"/>
  <c r="NJS91" i="6"/>
  <c r="NJQ91" i="6"/>
  <c r="NJN91" i="6"/>
  <c r="NJK91" i="6"/>
  <c r="NJC91" i="6"/>
  <c r="NJA91" i="6"/>
  <c r="NIX91" i="6"/>
  <c r="NIU91" i="6"/>
  <c r="NIM91" i="6"/>
  <c r="NIK91" i="6"/>
  <c r="NIH91" i="6"/>
  <c r="NIE91" i="6"/>
  <c r="NHW91" i="6"/>
  <c r="NHU91" i="6"/>
  <c r="NHR91" i="6"/>
  <c r="NHO91" i="6"/>
  <c r="NHG91" i="6"/>
  <c r="NHE91" i="6"/>
  <c r="NHB91" i="6"/>
  <c r="NGY91" i="6"/>
  <c r="NGQ91" i="6"/>
  <c r="NGO91" i="6"/>
  <c r="NGL91" i="6"/>
  <c r="NGI91" i="6"/>
  <c r="NGA91" i="6"/>
  <c r="NFY91" i="6"/>
  <c r="NFV91" i="6"/>
  <c r="NFS91" i="6"/>
  <c r="NFK91" i="6"/>
  <c r="NFI91" i="6"/>
  <c r="NFF91" i="6"/>
  <c r="NFC91" i="6"/>
  <c r="NEU91" i="6"/>
  <c r="NES91" i="6"/>
  <c r="NEP91" i="6"/>
  <c r="NEM91" i="6"/>
  <c r="NEE91" i="6"/>
  <c r="NEC91" i="6"/>
  <c r="NDZ91" i="6"/>
  <c r="NDW91" i="6"/>
  <c r="NDO91" i="6"/>
  <c r="NDM91" i="6"/>
  <c r="NDJ91" i="6"/>
  <c r="NDG91" i="6"/>
  <c r="NCY91" i="6"/>
  <c r="NCW91" i="6"/>
  <c r="NCT91" i="6"/>
  <c r="NCQ91" i="6"/>
  <c r="NCI91" i="6"/>
  <c r="NCG91" i="6"/>
  <c r="NCD91" i="6"/>
  <c r="NCA91" i="6"/>
  <c r="NBS91" i="6"/>
  <c r="NBQ91" i="6"/>
  <c r="NBN91" i="6"/>
  <c r="NBK91" i="6"/>
  <c r="NBC91" i="6"/>
  <c r="NBA91" i="6"/>
  <c r="NAX91" i="6"/>
  <c r="NAU91" i="6"/>
  <c r="NAM91" i="6"/>
  <c r="NAK91" i="6"/>
  <c r="NAH91" i="6"/>
  <c r="NAE91" i="6"/>
  <c r="MZW91" i="6"/>
  <c r="MZU91" i="6"/>
  <c r="MZR91" i="6"/>
  <c r="MZO91" i="6"/>
  <c r="MZG91" i="6"/>
  <c r="MZE91" i="6"/>
  <c r="MZB91" i="6"/>
  <c r="MYY91" i="6"/>
  <c r="MYQ91" i="6"/>
  <c r="MYO91" i="6"/>
  <c r="MYL91" i="6"/>
  <c r="MYI91" i="6"/>
  <c r="MYA91" i="6"/>
  <c r="MXY91" i="6"/>
  <c r="MXV91" i="6"/>
  <c r="MXS91" i="6"/>
  <c r="MXK91" i="6"/>
  <c r="MXI91" i="6"/>
  <c r="MXF91" i="6"/>
  <c r="MXC91" i="6"/>
  <c r="MWU91" i="6"/>
  <c r="MWS91" i="6"/>
  <c r="MWP91" i="6"/>
  <c r="MWM91" i="6"/>
  <c r="MWE91" i="6"/>
  <c r="MWC91" i="6"/>
  <c r="MVZ91" i="6"/>
  <c r="MVW91" i="6"/>
  <c r="MVO91" i="6"/>
  <c r="MVM91" i="6"/>
  <c r="MVJ91" i="6"/>
  <c r="MVG91" i="6"/>
  <c r="MUY91" i="6"/>
  <c r="MUW91" i="6"/>
  <c r="MUT91" i="6"/>
  <c r="MUQ91" i="6"/>
  <c r="MUI91" i="6"/>
  <c r="MUG91" i="6"/>
  <c r="MUD91" i="6"/>
  <c r="MUA91" i="6"/>
  <c r="MTS91" i="6"/>
  <c r="MTQ91" i="6"/>
  <c r="MTN91" i="6"/>
  <c r="MTK91" i="6"/>
  <c r="MTC91" i="6"/>
  <c r="MTA91" i="6"/>
  <c r="MSX91" i="6"/>
  <c r="MSU91" i="6"/>
  <c r="MSM91" i="6"/>
  <c r="MSK91" i="6"/>
  <c r="MSH91" i="6"/>
  <c r="MSE91" i="6"/>
  <c r="MRW91" i="6"/>
  <c r="MRU91" i="6"/>
  <c r="MRR91" i="6"/>
  <c r="MRO91" i="6"/>
  <c r="MRG91" i="6"/>
  <c r="MRE91" i="6"/>
  <c r="MRB91" i="6"/>
  <c r="MQY91" i="6"/>
  <c r="MQQ91" i="6"/>
  <c r="MQO91" i="6"/>
  <c r="MQL91" i="6"/>
  <c r="MQI91" i="6"/>
  <c r="MQA91" i="6"/>
  <c r="MPY91" i="6"/>
  <c r="MPV91" i="6"/>
  <c r="MPS91" i="6"/>
  <c r="MPK91" i="6"/>
  <c r="MPI91" i="6"/>
  <c r="MPF91" i="6"/>
  <c r="MPC91" i="6"/>
  <c r="MOU91" i="6"/>
  <c r="MOS91" i="6"/>
  <c r="MOP91" i="6"/>
  <c r="MOM91" i="6"/>
  <c r="MOE91" i="6"/>
  <c r="MOC91" i="6"/>
  <c r="MNZ91" i="6"/>
  <c r="MNW91" i="6"/>
  <c r="MNO91" i="6"/>
  <c r="MNM91" i="6"/>
  <c r="MNJ91" i="6"/>
  <c r="MNG91" i="6"/>
  <c r="MMY91" i="6"/>
  <c r="MMW91" i="6"/>
  <c r="MMT91" i="6"/>
  <c r="MMQ91" i="6"/>
  <c r="MMI91" i="6"/>
  <c r="MMG91" i="6"/>
  <c r="MMD91" i="6"/>
  <c r="MMA91" i="6"/>
  <c r="MLS91" i="6"/>
  <c r="MLQ91" i="6"/>
  <c r="MLN91" i="6"/>
  <c r="MLK91" i="6"/>
  <c r="MLC91" i="6"/>
  <c r="MLA91" i="6"/>
  <c r="MKX91" i="6"/>
  <c r="MKU91" i="6"/>
  <c r="MKM91" i="6"/>
  <c r="MKK91" i="6"/>
  <c r="MKH91" i="6"/>
  <c r="MKE91" i="6"/>
  <c r="MJW91" i="6"/>
  <c r="MJU91" i="6"/>
  <c r="MJR91" i="6"/>
  <c r="MJO91" i="6"/>
  <c r="MJG91" i="6"/>
  <c r="MJE91" i="6"/>
  <c r="MJB91" i="6"/>
  <c r="MIY91" i="6"/>
  <c r="MIQ91" i="6"/>
  <c r="MIO91" i="6"/>
  <c r="MIL91" i="6"/>
  <c r="MII91" i="6"/>
  <c r="MIA91" i="6"/>
  <c r="MHY91" i="6"/>
  <c r="MHV91" i="6"/>
  <c r="MHS91" i="6"/>
  <c r="MHK91" i="6"/>
  <c r="MHI91" i="6"/>
  <c r="MHF91" i="6"/>
  <c r="MHC91" i="6"/>
  <c r="MGU91" i="6"/>
  <c r="MGS91" i="6"/>
  <c r="MGP91" i="6"/>
  <c r="MGM91" i="6"/>
  <c r="MGE91" i="6"/>
  <c r="MGC91" i="6"/>
  <c r="MFZ91" i="6"/>
  <c r="MFW91" i="6"/>
  <c r="MFO91" i="6"/>
  <c r="MFM91" i="6"/>
  <c r="MFJ91" i="6"/>
  <c r="MFG91" i="6"/>
  <c r="MEY91" i="6"/>
  <c r="MEW91" i="6"/>
  <c r="MET91" i="6"/>
  <c r="MEQ91" i="6"/>
  <c r="MEI91" i="6"/>
  <c r="MEG91" i="6"/>
  <c r="MED91" i="6"/>
  <c r="MEA91" i="6"/>
  <c r="MDS91" i="6"/>
  <c r="MDQ91" i="6"/>
  <c r="MDN91" i="6"/>
  <c r="MDK91" i="6"/>
  <c r="MDC91" i="6"/>
  <c r="MDA91" i="6"/>
  <c r="MCX91" i="6"/>
  <c r="MCU91" i="6"/>
  <c r="MCM91" i="6"/>
  <c r="MCK91" i="6"/>
  <c r="MCH91" i="6"/>
  <c r="MCE91" i="6"/>
  <c r="MBW91" i="6"/>
  <c r="MBU91" i="6"/>
  <c r="MBR91" i="6"/>
  <c r="MBO91" i="6"/>
  <c r="MBG91" i="6"/>
  <c r="MBE91" i="6"/>
  <c r="MBB91" i="6"/>
  <c r="MAY91" i="6"/>
  <c r="MAQ91" i="6"/>
  <c r="MAO91" i="6"/>
  <c r="MAL91" i="6"/>
  <c r="MAI91" i="6"/>
  <c r="MAA91" i="6"/>
  <c r="LZY91" i="6"/>
  <c r="LZV91" i="6"/>
  <c r="LZS91" i="6"/>
  <c r="LZK91" i="6"/>
  <c r="LZI91" i="6"/>
  <c r="LZF91" i="6"/>
  <c r="LZC91" i="6"/>
  <c r="LYU91" i="6"/>
  <c r="LYS91" i="6"/>
  <c r="LYP91" i="6"/>
  <c r="LYM91" i="6"/>
  <c r="LYE91" i="6"/>
  <c r="LYC91" i="6"/>
  <c r="LXZ91" i="6"/>
  <c r="LXW91" i="6"/>
  <c r="LXO91" i="6"/>
  <c r="LXM91" i="6"/>
  <c r="LXJ91" i="6"/>
  <c r="LXG91" i="6"/>
  <c r="LWY91" i="6"/>
  <c r="LWW91" i="6"/>
  <c r="LWT91" i="6"/>
  <c r="LWQ91" i="6"/>
  <c r="LWI91" i="6"/>
  <c r="LWG91" i="6"/>
  <c r="LWD91" i="6"/>
  <c r="LWA91" i="6"/>
  <c r="LVS91" i="6"/>
  <c r="LVQ91" i="6"/>
  <c r="LVN91" i="6"/>
  <c r="LVK91" i="6"/>
  <c r="LVC91" i="6"/>
  <c r="LVA91" i="6"/>
  <c r="LUX91" i="6"/>
  <c r="LUU91" i="6"/>
  <c r="LUM91" i="6"/>
  <c r="LUK91" i="6"/>
  <c r="LUH91" i="6"/>
  <c r="LUE91" i="6"/>
  <c r="LTW91" i="6"/>
  <c r="LTU91" i="6"/>
  <c r="LTR91" i="6"/>
  <c r="LTO91" i="6"/>
  <c r="LTG91" i="6"/>
  <c r="LTE91" i="6"/>
  <c r="LTB91" i="6"/>
  <c r="LSY91" i="6"/>
  <c r="LSQ91" i="6"/>
  <c r="LSO91" i="6"/>
  <c r="LSL91" i="6"/>
  <c r="LSI91" i="6"/>
  <c r="LSA91" i="6"/>
  <c r="LRY91" i="6"/>
  <c r="LRV91" i="6"/>
  <c r="LRS91" i="6"/>
  <c r="LRK91" i="6"/>
  <c r="LRI91" i="6"/>
  <c r="LRF91" i="6"/>
  <c r="LRC91" i="6"/>
  <c r="LQU91" i="6"/>
  <c r="LQS91" i="6"/>
  <c r="LQP91" i="6"/>
  <c r="LQM91" i="6"/>
  <c r="LQE91" i="6"/>
  <c r="LQC91" i="6"/>
  <c r="LPZ91" i="6"/>
  <c r="LPW91" i="6"/>
  <c r="LPO91" i="6"/>
  <c r="LPM91" i="6"/>
  <c r="LPJ91" i="6"/>
  <c r="LPG91" i="6"/>
  <c r="LOY91" i="6"/>
  <c r="LOW91" i="6"/>
  <c r="LOT91" i="6"/>
  <c r="LOQ91" i="6"/>
  <c r="LOI91" i="6"/>
  <c r="LOG91" i="6"/>
  <c r="LOD91" i="6"/>
  <c r="LOA91" i="6"/>
  <c r="LNS91" i="6"/>
  <c r="LNQ91" i="6"/>
  <c r="LNN91" i="6"/>
  <c r="LNK91" i="6"/>
  <c r="LNC91" i="6"/>
  <c r="LNA91" i="6"/>
  <c r="LMX91" i="6"/>
  <c r="LMU91" i="6"/>
  <c r="LMM91" i="6"/>
  <c r="LMK91" i="6"/>
  <c r="LMH91" i="6"/>
  <c r="LME91" i="6"/>
  <c r="LLW91" i="6"/>
  <c r="LLU91" i="6"/>
  <c r="LLR91" i="6"/>
  <c r="LLO91" i="6"/>
  <c r="LLG91" i="6"/>
  <c r="LLE91" i="6"/>
  <c r="LLB91" i="6"/>
  <c r="LKY91" i="6"/>
  <c r="LKQ91" i="6"/>
  <c r="LKO91" i="6"/>
  <c r="LKL91" i="6"/>
  <c r="LKI91" i="6"/>
  <c r="LKA91" i="6"/>
  <c r="LJY91" i="6"/>
  <c r="LJV91" i="6"/>
  <c r="LJS91" i="6"/>
  <c r="LJK91" i="6"/>
  <c r="LJI91" i="6"/>
  <c r="LJF91" i="6"/>
  <c r="LJC91" i="6"/>
  <c r="LIU91" i="6"/>
  <c r="LIS91" i="6"/>
  <c r="LIP91" i="6"/>
  <c r="LIM91" i="6"/>
  <c r="LIE91" i="6"/>
  <c r="LIC91" i="6"/>
  <c r="LHZ91" i="6"/>
  <c r="LHW91" i="6"/>
  <c r="LHO91" i="6"/>
  <c r="LHM91" i="6"/>
  <c r="LHJ91" i="6"/>
  <c r="LHG91" i="6"/>
  <c r="LGY91" i="6"/>
  <c r="LGW91" i="6"/>
  <c r="LGT91" i="6"/>
  <c r="LGQ91" i="6"/>
  <c r="LGI91" i="6"/>
  <c r="LGG91" i="6"/>
  <c r="LGD91" i="6"/>
  <c r="LGA91" i="6"/>
  <c r="LFS91" i="6"/>
  <c r="LFQ91" i="6"/>
  <c r="LFN91" i="6"/>
  <c r="LFK91" i="6"/>
  <c r="LFC91" i="6"/>
  <c r="LFA91" i="6"/>
  <c r="LEX91" i="6"/>
  <c r="LEU91" i="6"/>
  <c r="LEM91" i="6"/>
  <c r="LEK91" i="6"/>
  <c r="LEH91" i="6"/>
  <c r="LEE91" i="6"/>
  <c r="LDW91" i="6"/>
  <c r="LDU91" i="6"/>
  <c r="LDR91" i="6"/>
  <c r="LDO91" i="6"/>
  <c r="LDG91" i="6"/>
  <c r="LDE91" i="6"/>
  <c r="LDB91" i="6"/>
  <c r="LCY91" i="6"/>
  <c r="LCQ91" i="6"/>
  <c r="LCO91" i="6"/>
  <c r="LCL91" i="6"/>
  <c r="LCI91" i="6"/>
  <c r="LCA91" i="6"/>
  <c r="LBY91" i="6"/>
  <c r="LBV91" i="6"/>
  <c r="LBS91" i="6"/>
  <c r="LBK91" i="6"/>
  <c r="LBI91" i="6"/>
  <c r="LBF91" i="6"/>
  <c r="LBC91" i="6"/>
  <c r="LAU91" i="6"/>
  <c r="LAS91" i="6"/>
  <c r="LAP91" i="6"/>
  <c r="LAM91" i="6"/>
  <c r="LAE91" i="6"/>
  <c r="LAC91" i="6"/>
  <c r="KZZ91" i="6"/>
  <c r="KZW91" i="6"/>
  <c r="KZO91" i="6"/>
  <c r="KZM91" i="6"/>
  <c r="KZJ91" i="6"/>
  <c r="KZG91" i="6"/>
  <c r="KYY91" i="6"/>
  <c r="KYW91" i="6"/>
  <c r="KYT91" i="6"/>
  <c r="KYQ91" i="6"/>
  <c r="KYI91" i="6"/>
  <c r="KYG91" i="6"/>
  <c r="KYD91" i="6"/>
  <c r="KYA91" i="6"/>
  <c r="KXS91" i="6"/>
  <c r="KXQ91" i="6"/>
  <c r="KXN91" i="6"/>
  <c r="KXK91" i="6"/>
  <c r="KXC91" i="6"/>
  <c r="KXA91" i="6"/>
  <c r="KWX91" i="6"/>
  <c r="KWU91" i="6"/>
  <c r="KWM91" i="6"/>
  <c r="KWK91" i="6"/>
  <c r="KWH91" i="6"/>
  <c r="KWE91" i="6"/>
  <c r="KVW91" i="6"/>
  <c r="KVU91" i="6"/>
  <c r="KVR91" i="6"/>
  <c r="KVO91" i="6"/>
  <c r="KVG91" i="6"/>
  <c r="KVE91" i="6"/>
  <c r="KVB91" i="6"/>
  <c r="KUY91" i="6"/>
  <c r="KUQ91" i="6"/>
  <c r="KUO91" i="6"/>
  <c r="KUL91" i="6"/>
  <c r="KUI91" i="6"/>
  <c r="KUA91" i="6"/>
  <c r="KTY91" i="6"/>
  <c r="KTV91" i="6"/>
  <c r="KTS91" i="6"/>
  <c r="KTK91" i="6"/>
  <c r="KTI91" i="6"/>
  <c r="KTF91" i="6"/>
  <c r="KTC91" i="6"/>
  <c r="KSU91" i="6"/>
  <c r="KSS91" i="6"/>
  <c r="KSP91" i="6"/>
  <c r="KSM91" i="6"/>
  <c r="KSE91" i="6"/>
  <c r="KSC91" i="6"/>
  <c r="KRZ91" i="6"/>
  <c r="KRW91" i="6"/>
  <c r="KRO91" i="6"/>
  <c r="KRM91" i="6"/>
  <c r="KRJ91" i="6"/>
  <c r="KRG91" i="6"/>
  <c r="KQY91" i="6"/>
  <c r="KQW91" i="6"/>
  <c r="KQT91" i="6"/>
  <c r="KQQ91" i="6"/>
  <c r="KQI91" i="6"/>
  <c r="KQG91" i="6"/>
  <c r="KQD91" i="6"/>
  <c r="KQA91" i="6"/>
  <c r="KPS91" i="6"/>
  <c r="KPQ91" i="6"/>
  <c r="KPN91" i="6"/>
  <c r="KPK91" i="6"/>
  <c r="KPC91" i="6"/>
  <c r="KPA91" i="6"/>
  <c r="KOX91" i="6"/>
  <c r="KOU91" i="6"/>
  <c r="KOM91" i="6"/>
  <c r="KOK91" i="6"/>
  <c r="KOH91" i="6"/>
  <c r="KOE91" i="6"/>
  <c r="KNW91" i="6"/>
  <c r="KNU91" i="6"/>
  <c r="KNR91" i="6"/>
  <c r="KNO91" i="6"/>
  <c r="KNG91" i="6"/>
  <c r="KNE91" i="6"/>
  <c r="KNB91" i="6"/>
  <c r="KMY91" i="6"/>
  <c r="KMQ91" i="6"/>
  <c r="KMO91" i="6"/>
  <c r="KML91" i="6"/>
  <c r="KMI91" i="6"/>
  <c r="KMA91" i="6"/>
  <c r="KLY91" i="6"/>
  <c r="KLV91" i="6"/>
  <c r="KLS91" i="6"/>
  <c r="KLK91" i="6"/>
  <c r="KLI91" i="6"/>
  <c r="KLF91" i="6"/>
  <c r="KLC91" i="6"/>
  <c r="KKU91" i="6"/>
  <c r="KKS91" i="6"/>
  <c r="KKP91" i="6"/>
  <c r="KKM91" i="6"/>
  <c r="KKE91" i="6"/>
  <c r="KKC91" i="6"/>
  <c r="KJZ91" i="6"/>
  <c r="KJW91" i="6"/>
  <c r="KJO91" i="6"/>
  <c r="KJM91" i="6"/>
  <c r="KJJ91" i="6"/>
  <c r="KJG91" i="6"/>
  <c r="KIY91" i="6"/>
  <c r="KIW91" i="6"/>
  <c r="KIT91" i="6"/>
  <c r="KIQ91" i="6"/>
  <c r="KII91" i="6"/>
  <c r="KIG91" i="6"/>
  <c r="KID91" i="6"/>
  <c r="KIA91" i="6"/>
  <c r="KHS91" i="6"/>
  <c r="KHQ91" i="6"/>
  <c r="KHN91" i="6"/>
  <c r="KHK91" i="6"/>
  <c r="KHC91" i="6"/>
  <c r="KHA91" i="6"/>
  <c r="KGX91" i="6"/>
  <c r="KGU91" i="6"/>
  <c r="KGM91" i="6"/>
  <c r="KGK91" i="6"/>
  <c r="KGH91" i="6"/>
  <c r="KGE91" i="6"/>
  <c r="KFW91" i="6"/>
  <c r="KFU91" i="6"/>
  <c r="KFR91" i="6"/>
  <c r="KFO91" i="6"/>
  <c r="KFG91" i="6"/>
  <c r="KFE91" i="6"/>
  <c r="KFB91" i="6"/>
  <c r="KEY91" i="6"/>
  <c r="KEQ91" i="6"/>
  <c r="KEO91" i="6"/>
  <c r="KEL91" i="6"/>
  <c r="KEI91" i="6"/>
  <c r="KEA91" i="6"/>
  <c r="KDY91" i="6"/>
  <c r="KDV91" i="6"/>
  <c r="KDS91" i="6"/>
  <c r="KDK91" i="6"/>
  <c r="KDI91" i="6"/>
  <c r="KDF91" i="6"/>
  <c r="KDC91" i="6"/>
  <c r="KCU91" i="6"/>
  <c r="KCS91" i="6"/>
  <c r="KCP91" i="6"/>
  <c r="KCM91" i="6"/>
  <c r="KCE91" i="6"/>
  <c r="KCC91" i="6"/>
  <c r="KBZ91" i="6"/>
  <c r="KBW91" i="6"/>
  <c r="KBO91" i="6"/>
  <c r="KBM91" i="6"/>
  <c r="KBJ91" i="6"/>
  <c r="KBG91" i="6"/>
  <c r="KAY91" i="6"/>
  <c r="KAW91" i="6"/>
  <c r="KAT91" i="6"/>
  <c r="KAQ91" i="6"/>
  <c r="KAI91" i="6"/>
  <c r="KAG91" i="6"/>
  <c r="KAD91" i="6"/>
  <c r="KAA91" i="6"/>
  <c r="JZS91" i="6"/>
  <c r="JZQ91" i="6"/>
  <c r="JZN91" i="6"/>
  <c r="JZK91" i="6"/>
  <c r="JZC91" i="6"/>
  <c r="JZA91" i="6"/>
  <c r="JYX91" i="6"/>
  <c r="JYU91" i="6"/>
  <c r="JYM91" i="6"/>
  <c r="JYK91" i="6"/>
  <c r="JYH91" i="6"/>
  <c r="JYE91" i="6"/>
  <c r="JXW91" i="6"/>
  <c r="JXU91" i="6"/>
  <c r="JXR91" i="6"/>
  <c r="JXO91" i="6"/>
  <c r="JXG91" i="6"/>
  <c r="JXE91" i="6"/>
  <c r="JXB91" i="6"/>
  <c r="JWY91" i="6"/>
  <c r="JWQ91" i="6"/>
  <c r="JWO91" i="6"/>
  <c r="JWL91" i="6"/>
  <c r="JWI91" i="6"/>
  <c r="JWA91" i="6"/>
  <c r="JVY91" i="6"/>
  <c r="JVV91" i="6"/>
  <c r="JVS91" i="6"/>
  <c r="JVK91" i="6"/>
  <c r="JVI91" i="6"/>
  <c r="JVF91" i="6"/>
  <c r="JVC91" i="6"/>
  <c r="JUU91" i="6"/>
  <c r="JUS91" i="6"/>
  <c r="JUP91" i="6"/>
  <c r="JUM91" i="6"/>
  <c r="JUE91" i="6"/>
  <c r="JUC91" i="6"/>
  <c r="JTZ91" i="6"/>
  <c r="JTW91" i="6"/>
  <c r="JTO91" i="6"/>
  <c r="JTM91" i="6"/>
  <c r="JTJ91" i="6"/>
  <c r="JTG91" i="6"/>
  <c r="JSY91" i="6"/>
  <c r="JSW91" i="6"/>
  <c r="JST91" i="6"/>
  <c r="JSQ91" i="6"/>
  <c r="JSI91" i="6"/>
  <c r="JSG91" i="6"/>
  <c r="JSD91" i="6"/>
  <c r="JSA91" i="6"/>
  <c r="JRS91" i="6"/>
  <c r="JRQ91" i="6"/>
  <c r="JRN91" i="6"/>
  <c r="JRK91" i="6"/>
  <c r="JRC91" i="6"/>
  <c r="JRA91" i="6"/>
  <c r="JQX91" i="6"/>
  <c r="JQU91" i="6"/>
  <c r="JQM91" i="6"/>
  <c r="JQK91" i="6"/>
  <c r="JQH91" i="6"/>
  <c r="JQE91" i="6"/>
  <c r="JPW91" i="6"/>
  <c r="JPU91" i="6"/>
  <c r="JPR91" i="6"/>
  <c r="JPO91" i="6"/>
  <c r="JPG91" i="6"/>
  <c r="JPE91" i="6"/>
  <c r="JPB91" i="6"/>
  <c r="JOY91" i="6"/>
  <c r="JOQ91" i="6"/>
  <c r="JOO91" i="6"/>
  <c r="JOL91" i="6"/>
  <c r="JOI91" i="6"/>
  <c r="JOA91" i="6"/>
  <c r="JNY91" i="6"/>
  <c r="JNV91" i="6"/>
  <c r="JNS91" i="6"/>
  <c r="JNK91" i="6"/>
  <c r="JNI91" i="6"/>
  <c r="JNF91" i="6"/>
  <c r="JNC91" i="6"/>
  <c r="JMU91" i="6"/>
  <c r="JMS91" i="6"/>
  <c r="JMP91" i="6"/>
  <c r="JMM91" i="6"/>
  <c r="JME91" i="6"/>
  <c r="JMC91" i="6"/>
  <c r="JLZ91" i="6"/>
  <c r="JLW91" i="6"/>
  <c r="JLO91" i="6"/>
  <c r="JLM91" i="6"/>
  <c r="JLJ91" i="6"/>
  <c r="JLG91" i="6"/>
  <c r="JKY91" i="6"/>
  <c r="JKW91" i="6"/>
  <c r="JKT91" i="6"/>
  <c r="JKQ91" i="6"/>
  <c r="JKI91" i="6"/>
  <c r="JKG91" i="6"/>
  <c r="JKD91" i="6"/>
  <c r="JKA91" i="6"/>
  <c r="JJS91" i="6"/>
  <c r="JJQ91" i="6"/>
  <c r="JJN91" i="6"/>
  <c r="JJK91" i="6"/>
  <c r="JJC91" i="6"/>
  <c r="JJA91" i="6"/>
  <c r="JIX91" i="6"/>
  <c r="JIU91" i="6"/>
  <c r="JIM91" i="6"/>
  <c r="JIK91" i="6"/>
  <c r="JIH91" i="6"/>
  <c r="JIE91" i="6"/>
  <c r="JHW91" i="6"/>
  <c r="JHU91" i="6"/>
  <c r="JHR91" i="6"/>
  <c r="JHO91" i="6"/>
  <c r="JHG91" i="6"/>
  <c r="JHE91" i="6"/>
  <c r="JHB91" i="6"/>
  <c r="JGY91" i="6"/>
  <c r="JGQ91" i="6"/>
  <c r="JGO91" i="6"/>
  <c r="JGL91" i="6"/>
  <c r="JGI91" i="6"/>
  <c r="JGA91" i="6"/>
  <c r="JFY91" i="6"/>
  <c r="JFV91" i="6"/>
  <c r="JFS91" i="6"/>
  <c r="JFK91" i="6"/>
  <c r="JFI91" i="6"/>
  <c r="JFF91" i="6"/>
  <c r="JFC91" i="6"/>
  <c r="JEU91" i="6"/>
  <c r="JES91" i="6"/>
  <c r="JEP91" i="6"/>
  <c r="JEM91" i="6"/>
  <c r="JEE91" i="6"/>
  <c r="JEC91" i="6"/>
  <c r="JDZ91" i="6"/>
  <c r="JDW91" i="6"/>
  <c r="JDO91" i="6"/>
  <c r="JDM91" i="6"/>
  <c r="JDJ91" i="6"/>
  <c r="JDG91" i="6"/>
  <c r="JCY91" i="6"/>
  <c r="JCW91" i="6"/>
  <c r="JCT91" i="6"/>
  <c r="JCQ91" i="6"/>
  <c r="JCI91" i="6"/>
  <c r="JCG91" i="6"/>
  <c r="JCD91" i="6"/>
  <c r="JCA91" i="6"/>
  <c r="JBS91" i="6"/>
  <c r="JBQ91" i="6"/>
  <c r="JBN91" i="6"/>
  <c r="JBK91" i="6"/>
  <c r="JBC91" i="6"/>
  <c r="JBA91" i="6"/>
  <c r="JAX91" i="6"/>
  <c r="JAU91" i="6"/>
  <c r="JAM91" i="6"/>
  <c r="JAK91" i="6"/>
  <c r="JAH91" i="6"/>
  <c r="JAE91" i="6"/>
  <c r="IZW91" i="6"/>
  <c r="IZU91" i="6"/>
  <c r="IZR91" i="6"/>
  <c r="IZO91" i="6"/>
  <c r="IZG91" i="6"/>
  <c r="IZE91" i="6"/>
  <c r="IZB91" i="6"/>
  <c r="IYY91" i="6"/>
  <c r="IYQ91" i="6"/>
  <c r="IYO91" i="6"/>
  <c r="IYL91" i="6"/>
  <c r="IYI91" i="6"/>
  <c r="IYA91" i="6"/>
  <c r="IXY91" i="6"/>
  <c r="IXV91" i="6"/>
  <c r="IXS91" i="6"/>
  <c r="IXK91" i="6"/>
  <c r="IXI91" i="6"/>
  <c r="IXF91" i="6"/>
  <c r="IXC91" i="6"/>
  <c r="IWU91" i="6"/>
  <c r="IWS91" i="6"/>
  <c r="IWP91" i="6"/>
  <c r="IWM91" i="6"/>
  <c r="IWE91" i="6"/>
  <c r="IWC91" i="6"/>
  <c r="IVZ91" i="6"/>
  <c r="IVW91" i="6"/>
  <c r="IVO91" i="6"/>
  <c r="IVM91" i="6"/>
  <c r="IVJ91" i="6"/>
  <c r="IVG91" i="6"/>
  <c r="IUY91" i="6"/>
  <c r="IUW91" i="6"/>
  <c r="IUT91" i="6"/>
  <c r="IUQ91" i="6"/>
  <c r="IUI91" i="6"/>
  <c r="IUG91" i="6"/>
  <c r="IUD91" i="6"/>
  <c r="IUA91" i="6"/>
  <c r="ITS91" i="6"/>
  <c r="ITQ91" i="6"/>
  <c r="ITN91" i="6"/>
  <c r="ITK91" i="6"/>
  <c r="ITC91" i="6"/>
  <c r="ITA91" i="6"/>
  <c r="ISX91" i="6"/>
  <c r="ISU91" i="6"/>
  <c r="ISM91" i="6"/>
  <c r="ISK91" i="6"/>
  <c r="ISH91" i="6"/>
  <c r="ISE91" i="6"/>
  <c r="IRW91" i="6"/>
  <c r="IRU91" i="6"/>
  <c r="IRR91" i="6"/>
  <c r="IRO91" i="6"/>
  <c r="IRG91" i="6"/>
  <c r="IRE91" i="6"/>
  <c r="IRB91" i="6"/>
  <c r="IQY91" i="6"/>
  <c r="IQQ91" i="6"/>
  <c r="IQO91" i="6"/>
  <c r="IQL91" i="6"/>
  <c r="IQI91" i="6"/>
  <c r="IQA91" i="6"/>
  <c r="IPY91" i="6"/>
  <c r="IPV91" i="6"/>
  <c r="IPS91" i="6"/>
  <c r="IPK91" i="6"/>
  <c r="IPI91" i="6"/>
  <c r="IPF91" i="6"/>
  <c r="IPC91" i="6"/>
  <c r="IOU91" i="6"/>
  <c r="IOS91" i="6"/>
  <c r="IOP91" i="6"/>
  <c r="IOM91" i="6"/>
  <c r="IOE91" i="6"/>
  <c r="IOC91" i="6"/>
  <c r="INZ91" i="6"/>
  <c r="INW91" i="6"/>
  <c r="INO91" i="6"/>
  <c r="INM91" i="6"/>
  <c r="INJ91" i="6"/>
  <c r="ING91" i="6"/>
  <c r="IMY91" i="6"/>
  <c r="IMW91" i="6"/>
  <c r="IMT91" i="6"/>
  <c r="IMQ91" i="6"/>
  <c r="IMI91" i="6"/>
  <c r="IMG91" i="6"/>
  <c r="IMD91" i="6"/>
  <c r="IMA91" i="6"/>
  <c r="ILS91" i="6"/>
  <c r="ILQ91" i="6"/>
  <c r="ILN91" i="6"/>
  <c r="ILK91" i="6"/>
  <c r="ILC91" i="6"/>
  <c r="ILA91" i="6"/>
  <c r="IKX91" i="6"/>
  <c r="IKU91" i="6"/>
  <c r="IKM91" i="6"/>
  <c r="IKK91" i="6"/>
  <c r="IKH91" i="6"/>
  <c r="IKE91" i="6"/>
  <c r="IJW91" i="6"/>
  <c r="IJU91" i="6"/>
  <c r="IJR91" i="6"/>
  <c r="IJO91" i="6"/>
  <c r="IJG91" i="6"/>
  <c r="IJE91" i="6"/>
  <c r="IJB91" i="6"/>
  <c r="IIY91" i="6"/>
  <c r="IIQ91" i="6"/>
  <c r="IIO91" i="6"/>
  <c r="IIL91" i="6"/>
  <c r="III91" i="6"/>
  <c r="IIA91" i="6"/>
  <c r="IHY91" i="6"/>
  <c r="IHV91" i="6"/>
  <c r="IHS91" i="6"/>
  <c r="IHK91" i="6"/>
  <c r="IHI91" i="6"/>
  <c r="IHF91" i="6"/>
  <c r="IHC91" i="6"/>
  <c r="IGU91" i="6"/>
  <c r="IGS91" i="6"/>
  <c r="IGP91" i="6"/>
  <c r="IGM91" i="6"/>
  <c r="IGE91" i="6"/>
  <c r="IGC91" i="6"/>
  <c r="IFZ91" i="6"/>
  <c r="IFW91" i="6"/>
  <c r="IFO91" i="6"/>
  <c r="IFM91" i="6"/>
  <c r="IFJ91" i="6"/>
  <c r="IFG91" i="6"/>
  <c r="IEY91" i="6"/>
  <c r="IEW91" i="6"/>
  <c r="IET91" i="6"/>
  <c r="IEQ91" i="6"/>
  <c r="IEI91" i="6"/>
  <c r="IEG91" i="6"/>
  <c r="IED91" i="6"/>
  <c r="IEA91" i="6"/>
  <c r="IDS91" i="6"/>
  <c r="IDQ91" i="6"/>
  <c r="IDN91" i="6"/>
  <c r="IDK91" i="6"/>
  <c r="IDC91" i="6"/>
  <c r="IDA91" i="6"/>
  <c r="ICX91" i="6"/>
  <c r="ICU91" i="6"/>
  <c r="ICM91" i="6"/>
  <c r="ICK91" i="6"/>
  <c r="ICH91" i="6"/>
  <c r="ICE91" i="6"/>
  <c r="IBW91" i="6"/>
  <c r="IBU91" i="6"/>
  <c r="IBR91" i="6"/>
  <c r="IBO91" i="6"/>
  <c r="IBG91" i="6"/>
  <c r="IBE91" i="6"/>
  <c r="IBB91" i="6"/>
  <c r="IAY91" i="6"/>
  <c r="IAQ91" i="6"/>
  <c r="IAO91" i="6"/>
  <c r="IAL91" i="6"/>
  <c r="IAI91" i="6"/>
  <c r="IAA91" i="6"/>
  <c r="HZY91" i="6"/>
  <c r="HZV91" i="6"/>
  <c r="HZS91" i="6"/>
  <c r="HZK91" i="6"/>
  <c r="HZI91" i="6"/>
  <c r="HZF91" i="6"/>
  <c r="HZC91" i="6"/>
  <c r="HYU91" i="6"/>
  <c r="HYS91" i="6"/>
  <c r="HYP91" i="6"/>
  <c r="HYM91" i="6"/>
  <c r="HYE91" i="6"/>
  <c r="HYC91" i="6"/>
  <c r="HXZ91" i="6"/>
  <c r="HXW91" i="6"/>
  <c r="HXO91" i="6"/>
  <c r="HXM91" i="6"/>
  <c r="HXJ91" i="6"/>
  <c r="HXG91" i="6"/>
  <c r="HWY91" i="6"/>
  <c r="HWW91" i="6"/>
  <c r="HWT91" i="6"/>
  <c r="HWQ91" i="6"/>
  <c r="HWI91" i="6"/>
  <c r="HWG91" i="6"/>
  <c r="HWD91" i="6"/>
  <c r="HWA91" i="6"/>
  <c r="HVS91" i="6"/>
  <c r="HVQ91" i="6"/>
  <c r="HVN91" i="6"/>
  <c r="HVK91" i="6"/>
  <c r="HVC91" i="6"/>
  <c r="HVA91" i="6"/>
  <c r="HUX91" i="6"/>
  <c r="HUU91" i="6"/>
  <c r="HUM91" i="6"/>
  <c r="HUK91" i="6"/>
  <c r="HUH91" i="6"/>
  <c r="HUE91" i="6"/>
  <c r="HTW91" i="6"/>
  <c r="HTU91" i="6"/>
  <c r="HTR91" i="6"/>
  <c r="HTO91" i="6"/>
  <c r="HTG91" i="6"/>
  <c r="HTE91" i="6"/>
  <c r="HTB91" i="6"/>
  <c r="HSY91" i="6"/>
  <c r="HSQ91" i="6"/>
  <c r="HSO91" i="6"/>
  <c r="HSL91" i="6"/>
  <c r="HSI91" i="6"/>
  <c r="HSA91" i="6"/>
  <c r="HRY91" i="6"/>
  <c r="HRV91" i="6"/>
  <c r="HRS91" i="6"/>
  <c r="HRK91" i="6"/>
  <c r="HRI91" i="6"/>
  <c r="HRF91" i="6"/>
  <c r="HRC91" i="6"/>
  <c r="HQU91" i="6"/>
  <c r="HQS91" i="6"/>
  <c r="HQP91" i="6"/>
  <c r="HQM91" i="6"/>
  <c r="HQE91" i="6"/>
  <c r="HQC91" i="6"/>
  <c r="HPZ91" i="6"/>
  <c r="HPW91" i="6"/>
  <c r="HPO91" i="6"/>
  <c r="HPM91" i="6"/>
  <c r="HPJ91" i="6"/>
  <c r="HPG91" i="6"/>
  <c r="HOY91" i="6"/>
  <c r="HOW91" i="6"/>
  <c r="HOT91" i="6"/>
  <c r="HOQ91" i="6"/>
  <c r="HOI91" i="6"/>
  <c r="HOG91" i="6"/>
  <c r="HOD91" i="6"/>
  <c r="HOA91" i="6"/>
  <c r="HNS91" i="6"/>
  <c r="HNQ91" i="6"/>
  <c r="HNN91" i="6"/>
  <c r="HNK91" i="6"/>
  <c r="HNC91" i="6"/>
  <c r="HNA91" i="6"/>
  <c r="HMX91" i="6"/>
  <c r="HMU91" i="6"/>
  <c r="HMM91" i="6"/>
  <c r="HMK91" i="6"/>
  <c r="HMH91" i="6"/>
  <c r="HME91" i="6"/>
  <c r="HLW91" i="6"/>
  <c r="HLU91" i="6"/>
  <c r="HLR91" i="6"/>
  <c r="HLO91" i="6"/>
  <c r="HLG91" i="6"/>
  <c r="HLE91" i="6"/>
  <c r="HLB91" i="6"/>
  <c r="HKY91" i="6"/>
  <c r="HKQ91" i="6"/>
  <c r="HKO91" i="6"/>
  <c r="HKL91" i="6"/>
  <c r="HKI91" i="6"/>
  <c r="HKA91" i="6"/>
  <c r="HJY91" i="6"/>
  <c r="HJV91" i="6"/>
  <c r="HJS91" i="6"/>
  <c r="HJK91" i="6"/>
  <c r="HJI91" i="6"/>
  <c r="HJF91" i="6"/>
  <c r="HJC91" i="6"/>
  <c r="HIU91" i="6"/>
  <c r="HIS91" i="6"/>
  <c r="HIP91" i="6"/>
  <c r="HIM91" i="6"/>
  <c r="HIE91" i="6"/>
  <c r="HIC91" i="6"/>
  <c r="HHZ91" i="6"/>
  <c r="HHW91" i="6"/>
  <c r="HHO91" i="6"/>
  <c r="HHM91" i="6"/>
  <c r="HHJ91" i="6"/>
  <c r="HHG91" i="6"/>
  <c r="HGY91" i="6"/>
  <c r="HGW91" i="6"/>
  <c r="HGT91" i="6"/>
  <c r="HGQ91" i="6"/>
  <c r="HGI91" i="6"/>
  <c r="HGG91" i="6"/>
  <c r="HGD91" i="6"/>
  <c r="HGA91" i="6"/>
  <c r="HFS91" i="6"/>
  <c r="HFQ91" i="6"/>
  <c r="HFN91" i="6"/>
  <c r="HFK91" i="6"/>
  <c r="HFC91" i="6"/>
  <c r="HFA91" i="6"/>
  <c r="HEX91" i="6"/>
  <c r="HEU91" i="6"/>
  <c r="HEM91" i="6"/>
  <c r="HEK91" i="6"/>
  <c r="HEH91" i="6"/>
  <c r="HEE91" i="6"/>
  <c r="HDW91" i="6"/>
  <c r="HDU91" i="6"/>
  <c r="HDR91" i="6"/>
  <c r="HDO91" i="6"/>
  <c r="HDG91" i="6"/>
  <c r="HDE91" i="6"/>
  <c r="HDB91" i="6"/>
  <c r="HCY91" i="6"/>
  <c r="HCQ91" i="6"/>
  <c r="HCO91" i="6"/>
  <c r="HCL91" i="6"/>
  <c r="HCI91" i="6"/>
  <c r="HCA91" i="6"/>
  <c r="HBY91" i="6"/>
  <c r="HBV91" i="6"/>
  <c r="HBS91" i="6"/>
  <c r="HBK91" i="6"/>
  <c r="HBI91" i="6"/>
  <c r="HBF91" i="6"/>
  <c r="HBC91" i="6"/>
  <c r="HAU91" i="6"/>
  <c r="HAS91" i="6"/>
  <c r="HAP91" i="6"/>
  <c r="HAM91" i="6"/>
  <c r="HAE91" i="6"/>
  <c r="HAC91" i="6"/>
  <c r="GZZ91" i="6"/>
  <c r="GZW91" i="6"/>
  <c r="GZO91" i="6"/>
  <c r="GZM91" i="6"/>
  <c r="GZJ91" i="6"/>
  <c r="GZG91" i="6"/>
  <c r="GYY91" i="6"/>
  <c r="GYW91" i="6"/>
  <c r="GYT91" i="6"/>
  <c r="GYQ91" i="6"/>
  <c r="GYI91" i="6"/>
  <c r="GYG91" i="6"/>
  <c r="GYD91" i="6"/>
  <c r="GYA91" i="6"/>
  <c r="GXS91" i="6"/>
  <c r="GXQ91" i="6"/>
  <c r="GXN91" i="6"/>
  <c r="GXK91" i="6"/>
  <c r="GXC91" i="6"/>
  <c r="GXA91" i="6"/>
  <c r="GWX91" i="6"/>
  <c r="GWU91" i="6"/>
  <c r="GWM91" i="6"/>
  <c r="GWK91" i="6"/>
  <c r="GWH91" i="6"/>
  <c r="GWE91" i="6"/>
  <c r="GVW91" i="6"/>
  <c r="GVU91" i="6"/>
  <c r="GVR91" i="6"/>
  <c r="GVO91" i="6"/>
  <c r="GVG91" i="6"/>
  <c r="GVE91" i="6"/>
  <c r="GVB91" i="6"/>
  <c r="GUY91" i="6"/>
  <c r="GUQ91" i="6"/>
  <c r="GUO91" i="6"/>
  <c r="GUL91" i="6"/>
  <c r="GUI91" i="6"/>
  <c r="GUA91" i="6"/>
  <c r="GTY91" i="6"/>
  <c r="GTV91" i="6"/>
  <c r="GTS91" i="6"/>
  <c r="GTK91" i="6"/>
  <c r="GTI91" i="6"/>
  <c r="GTF91" i="6"/>
  <c r="GTC91" i="6"/>
  <c r="GSU91" i="6"/>
  <c r="GSS91" i="6"/>
  <c r="GSP91" i="6"/>
  <c r="GSM91" i="6"/>
  <c r="GSE91" i="6"/>
  <c r="GSC91" i="6"/>
  <c r="GRZ91" i="6"/>
  <c r="GRW91" i="6"/>
  <c r="GRO91" i="6"/>
  <c r="GRM91" i="6"/>
  <c r="GRJ91" i="6"/>
  <c r="GRG91" i="6"/>
  <c r="GQY91" i="6"/>
  <c r="GQW91" i="6"/>
  <c r="GQT91" i="6"/>
  <c r="GQQ91" i="6"/>
  <c r="GQI91" i="6"/>
  <c r="GQG91" i="6"/>
  <c r="GQD91" i="6"/>
  <c r="GQA91" i="6"/>
  <c r="GPS91" i="6"/>
  <c r="GPQ91" i="6"/>
  <c r="GPN91" i="6"/>
  <c r="GPK91" i="6"/>
  <c r="GPC91" i="6"/>
  <c r="GPA91" i="6"/>
  <c r="GOX91" i="6"/>
  <c r="GOU91" i="6"/>
  <c r="GOM91" i="6"/>
  <c r="GOK91" i="6"/>
  <c r="GOH91" i="6"/>
  <c r="GOE91" i="6"/>
  <c r="GNW91" i="6"/>
  <c r="GNU91" i="6"/>
  <c r="GNR91" i="6"/>
  <c r="GNO91" i="6"/>
  <c r="GNG91" i="6"/>
  <c r="GNE91" i="6"/>
  <c r="GNB91" i="6"/>
  <c r="GMY91" i="6"/>
  <c r="GMQ91" i="6"/>
  <c r="GMO91" i="6"/>
  <c r="GML91" i="6"/>
  <c r="GMI91" i="6"/>
  <c r="GMA91" i="6"/>
  <c r="GLY91" i="6"/>
  <c r="GLV91" i="6"/>
  <c r="GLS91" i="6"/>
  <c r="GLK91" i="6"/>
  <c r="GLI91" i="6"/>
  <c r="GLF91" i="6"/>
  <c r="GLC91" i="6"/>
  <c r="GKU91" i="6"/>
  <c r="GKS91" i="6"/>
  <c r="GKP91" i="6"/>
  <c r="GKM91" i="6"/>
  <c r="GKE91" i="6"/>
  <c r="GKC91" i="6"/>
  <c r="GJZ91" i="6"/>
  <c r="GJW91" i="6"/>
  <c r="GJO91" i="6"/>
  <c r="GJM91" i="6"/>
  <c r="GJJ91" i="6"/>
  <c r="GJG91" i="6"/>
  <c r="GIY91" i="6"/>
  <c r="GIW91" i="6"/>
  <c r="GIT91" i="6"/>
  <c r="GIQ91" i="6"/>
  <c r="GII91" i="6"/>
  <c r="GIG91" i="6"/>
  <c r="GID91" i="6"/>
  <c r="GIA91" i="6"/>
  <c r="GHS91" i="6"/>
  <c r="GHQ91" i="6"/>
  <c r="GHN91" i="6"/>
  <c r="GHK91" i="6"/>
  <c r="GHC91" i="6"/>
  <c r="GHA91" i="6"/>
  <c r="GGX91" i="6"/>
  <c r="GGU91" i="6"/>
  <c r="GGM91" i="6"/>
  <c r="GGK91" i="6"/>
  <c r="GGH91" i="6"/>
  <c r="GGE91" i="6"/>
  <c r="GFW91" i="6"/>
  <c r="GFU91" i="6"/>
  <c r="GFR91" i="6"/>
  <c r="GFO91" i="6"/>
  <c r="GFG91" i="6"/>
  <c r="GFE91" i="6"/>
  <c r="GFB91" i="6"/>
  <c r="GEY91" i="6"/>
  <c r="GEQ91" i="6"/>
  <c r="GEO91" i="6"/>
  <c r="GEL91" i="6"/>
  <c r="GEI91" i="6"/>
  <c r="GEA91" i="6"/>
  <c r="GDY91" i="6"/>
  <c r="GDV91" i="6"/>
  <c r="GDS91" i="6"/>
  <c r="GDK91" i="6"/>
  <c r="GDI91" i="6"/>
  <c r="GDF91" i="6"/>
  <c r="GDC91" i="6"/>
  <c r="GCU91" i="6"/>
  <c r="GCS91" i="6"/>
  <c r="GCP91" i="6"/>
  <c r="GCM91" i="6"/>
  <c r="GCE91" i="6"/>
  <c r="GCC91" i="6"/>
  <c r="GBZ91" i="6"/>
  <c r="GBW91" i="6"/>
  <c r="GBO91" i="6"/>
  <c r="GBM91" i="6"/>
  <c r="GBJ91" i="6"/>
  <c r="GBG91" i="6"/>
  <c r="GAY91" i="6"/>
  <c r="GAW91" i="6"/>
  <c r="GAT91" i="6"/>
  <c r="GAQ91" i="6"/>
  <c r="GAI91" i="6"/>
  <c r="GAG91" i="6"/>
  <c r="GAD91" i="6"/>
  <c r="GAA91" i="6"/>
  <c r="FZS91" i="6"/>
  <c r="FZQ91" i="6"/>
  <c r="FZN91" i="6"/>
  <c r="FZK91" i="6"/>
  <c r="FZC91" i="6"/>
  <c r="FZA91" i="6"/>
  <c r="FYX91" i="6"/>
  <c r="FYU91" i="6"/>
  <c r="FYM91" i="6"/>
  <c r="FYK91" i="6"/>
  <c r="FYH91" i="6"/>
  <c r="FYE91" i="6"/>
  <c r="FXW91" i="6"/>
  <c r="FXU91" i="6"/>
  <c r="FXR91" i="6"/>
  <c r="FXO91" i="6"/>
  <c r="FXG91" i="6"/>
  <c r="FXE91" i="6"/>
  <c r="FXB91" i="6"/>
  <c r="FWY91" i="6"/>
  <c r="FWQ91" i="6"/>
  <c r="FWO91" i="6"/>
  <c r="FWL91" i="6"/>
  <c r="FWI91" i="6"/>
  <c r="FWA91" i="6"/>
  <c r="FVY91" i="6"/>
  <c r="FVV91" i="6"/>
  <c r="FVS91" i="6"/>
  <c r="FVK91" i="6"/>
  <c r="FVI91" i="6"/>
  <c r="FVF91" i="6"/>
  <c r="FVC91" i="6"/>
  <c r="FUU91" i="6"/>
  <c r="FUS91" i="6"/>
  <c r="FUP91" i="6"/>
  <c r="FUM91" i="6"/>
  <c r="FUE91" i="6"/>
  <c r="FUC91" i="6"/>
  <c r="FTZ91" i="6"/>
  <c r="FTW91" i="6"/>
  <c r="FTO91" i="6"/>
  <c r="FTM91" i="6"/>
  <c r="FTJ91" i="6"/>
  <c r="FTG91" i="6"/>
  <c r="FSY91" i="6"/>
  <c r="FSW91" i="6"/>
  <c r="FST91" i="6"/>
  <c r="FSQ91" i="6"/>
  <c r="FSI91" i="6"/>
  <c r="FSG91" i="6"/>
  <c r="FSD91" i="6"/>
  <c r="FSA91" i="6"/>
  <c r="FRS91" i="6"/>
  <c r="FRQ91" i="6"/>
  <c r="FRN91" i="6"/>
  <c r="FRK91" i="6"/>
  <c r="FRC91" i="6"/>
  <c r="FRA91" i="6"/>
  <c r="FQX91" i="6"/>
  <c r="FQU91" i="6"/>
  <c r="FQM91" i="6"/>
  <c r="FQK91" i="6"/>
  <c r="FQH91" i="6"/>
  <c r="FQE91" i="6"/>
  <c r="FPW91" i="6"/>
  <c r="FPU91" i="6"/>
  <c r="FPR91" i="6"/>
  <c r="FPO91" i="6"/>
  <c r="FPG91" i="6"/>
  <c r="FPE91" i="6"/>
  <c r="FPB91" i="6"/>
  <c r="FOY91" i="6"/>
  <c r="FOQ91" i="6"/>
  <c r="FOO91" i="6"/>
  <c r="FOL91" i="6"/>
  <c r="FOI91" i="6"/>
  <c r="FOA91" i="6"/>
  <c r="FNY91" i="6"/>
  <c r="FNV91" i="6"/>
  <c r="FNS91" i="6"/>
  <c r="FNK91" i="6"/>
  <c r="FNI91" i="6"/>
  <c r="FNF91" i="6"/>
  <c r="FNC91" i="6"/>
  <c r="FMU91" i="6"/>
  <c r="FMS91" i="6"/>
  <c r="FMP91" i="6"/>
  <c r="FMM91" i="6"/>
  <c r="FME91" i="6"/>
  <c r="FMC91" i="6"/>
  <c r="FLZ91" i="6"/>
  <c r="FLW91" i="6"/>
  <c r="FLO91" i="6"/>
  <c r="FLM91" i="6"/>
  <c r="FLJ91" i="6"/>
  <c r="FLG91" i="6"/>
  <c r="FKY91" i="6"/>
  <c r="FKW91" i="6"/>
  <c r="FKT91" i="6"/>
  <c r="FKQ91" i="6"/>
  <c r="FKI91" i="6"/>
  <c r="FKG91" i="6"/>
  <c r="FKD91" i="6"/>
  <c r="FKA91" i="6"/>
  <c r="FJS91" i="6"/>
  <c r="FJQ91" i="6"/>
  <c r="FJN91" i="6"/>
  <c r="FJK91" i="6"/>
  <c r="FJC91" i="6"/>
  <c r="FJA91" i="6"/>
  <c r="FIX91" i="6"/>
  <c r="FIU91" i="6"/>
  <c r="FIM91" i="6"/>
  <c r="FIK91" i="6"/>
  <c r="FIH91" i="6"/>
  <c r="FIE91" i="6"/>
  <c r="FHW91" i="6"/>
  <c r="FHU91" i="6"/>
  <c r="FHR91" i="6"/>
  <c r="FHO91" i="6"/>
  <c r="FHG91" i="6"/>
  <c r="FHE91" i="6"/>
  <c r="FHB91" i="6"/>
  <c r="FGY91" i="6"/>
  <c r="FGQ91" i="6"/>
  <c r="FGO91" i="6"/>
  <c r="FGL91" i="6"/>
  <c r="FGI91" i="6"/>
  <c r="FGA91" i="6"/>
  <c r="FFY91" i="6"/>
  <c r="FFV91" i="6"/>
  <c r="FFS91" i="6"/>
  <c r="FFK91" i="6"/>
  <c r="FFI91" i="6"/>
  <c r="FFF91" i="6"/>
  <c r="FFC91" i="6"/>
  <c r="FEU91" i="6"/>
  <c r="FES91" i="6"/>
  <c r="FEP91" i="6"/>
  <c r="FEM91" i="6"/>
  <c r="FEE91" i="6"/>
  <c r="FEC91" i="6"/>
  <c r="FDZ91" i="6"/>
  <c r="FDW91" i="6"/>
  <c r="FDO91" i="6"/>
  <c r="FDM91" i="6"/>
  <c r="FDJ91" i="6"/>
  <c r="FDG91" i="6"/>
  <c r="FCY91" i="6"/>
  <c r="FCW91" i="6"/>
  <c r="FCT91" i="6"/>
  <c r="FCQ91" i="6"/>
  <c r="FCI91" i="6"/>
  <c r="FCG91" i="6"/>
  <c r="FCD91" i="6"/>
  <c r="FCA91" i="6"/>
  <c r="FBS91" i="6"/>
  <c r="FBQ91" i="6"/>
  <c r="FBN91" i="6"/>
  <c r="FBK91" i="6"/>
  <c r="FBC91" i="6"/>
  <c r="FBA91" i="6"/>
  <c r="FAX91" i="6"/>
  <c r="FAU91" i="6"/>
  <c r="FAM91" i="6"/>
  <c r="FAK91" i="6"/>
  <c r="FAH91" i="6"/>
  <c r="FAE91" i="6"/>
  <c r="EZW91" i="6"/>
  <c r="EZU91" i="6"/>
  <c r="EZR91" i="6"/>
  <c r="EZO91" i="6"/>
  <c r="EZG91" i="6"/>
  <c r="EZE91" i="6"/>
  <c r="EZB91" i="6"/>
  <c r="EYY91" i="6"/>
  <c r="EYQ91" i="6"/>
  <c r="EYO91" i="6"/>
  <c r="EYL91" i="6"/>
  <c r="EYI91" i="6"/>
  <c r="EYA91" i="6"/>
  <c r="EXY91" i="6"/>
  <c r="EXV91" i="6"/>
  <c r="EXS91" i="6"/>
  <c r="EXK91" i="6"/>
  <c r="EXI91" i="6"/>
  <c r="EXF91" i="6"/>
  <c r="EXC91" i="6"/>
  <c r="EWU91" i="6"/>
  <c r="EWS91" i="6"/>
  <c r="EWP91" i="6"/>
  <c r="EWM91" i="6"/>
  <c r="EWE91" i="6"/>
  <c r="EWC91" i="6"/>
  <c r="EVZ91" i="6"/>
  <c r="EVW91" i="6"/>
  <c r="EVO91" i="6"/>
  <c r="EVM91" i="6"/>
  <c r="EVJ91" i="6"/>
  <c r="EVG91" i="6"/>
  <c r="EUY91" i="6"/>
  <c r="EUW91" i="6"/>
  <c r="EUT91" i="6"/>
  <c r="EUQ91" i="6"/>
  <c r="EUI91" i="6"/>
  <c r="EUG91" i="6"/>
  <c r="EUD91" i="6"/>
  <c r="EUA91" i="6"/>
  <c r="ETS91" i="6"/>
  <c r="ETQ91" i="6"/>
  <c r="ETN91" i="6"/>
  <c r="ETK91" i="6"/>
  <c r="ETC91" i="6"/>
  <c r="ETA91" i="6"/>
  <c r="ESX91" i="6"/>
  <c r="ESU91" i="6"/>
  <c r="ESM91" i="6"/>
  <c r="ESK91" i="6"/>
  <c r="ESH91" i="6"/>
  <c r="ESE91" i="6"/>
  <c r="ERW91" i="6"/>
  <c r="ERU91" i="6"/>
  <c r="ERR91" i="6"/>
  <c r="ERO91" i="6"/>
  <c r="ERG91" i="6"/>
  <c r="ERE91" i="6"/>
  <c r="ERB91" i="6"/>
  <c r="EQY91" i="6"/>
  <c r="EQQ91" i="6"/>
  <c r="EQO91" i="6"/>
  <c r="EQL91" i="6"/>
  <c r="EQI91" i="6"/>
  <c r="EQA91" i="6"/>
  <c r="EPY91" i="6"/>
  <c r="EPV91" i="6"/>
  <c r="EPS91" i="6"/>
  <c r="EPK91" i="6"/>
  <c r="EPI91" i="6"/>
  <c r="EPF91" i="6"/>
  <c r="EPC91" i="6"/>
  <c r="EOU91" i="6"/>
  <c r="EOS91" i="6"/>
  <c r="EOP91" i="6"/>
  <c r="EOM91" i="6"/>
  <c r="EOE91" i="6"/>
  <c r="EOC91" i="6"/>
  <c r="ENZ91" i="6"/>
  <c r="ENW91" i="6"/>
  <c r="ENO91" i="6"/>
  <c r="ENM91" i="6"/>
  <c r="ENJ91" i="6"/>
  <c r="ENG91" i="6"/>
  <c r="EMY91" i="6"/>
  <c r="EMW91" i="6"/>
  <c r="EMT91" i="6"/>
  <c r="EMQ91" i="6"/>
  <c r="EMI91" i="6"/>
  <c r="EMG91" i="6"/>
  <c r="EMD91" i="6"/>
  <c r="EMA91" i="6"/>
  <c r="ELS91" i="6"/>
  <c r="ELQ91" i="6"/>
  <c r="ELN91" i="6"/>
  <c r="ELK91" i="6"/>
  <c r="ELC91" i="6"/>
  <c r="ELA91" i="6"/>
  <c r="EKX91" i="6"/>
  <c r="EKU91" i="6"/>
  <c r="EKM91" i="6"/>
  <c r="EKK91" i="6"/>
  <c r="EKH91" i="6"/>
  <c r="EKE91" i="6"/>
  <c r="EJW91" i="6"/>
  <c r="EJU91" i="6"/>
  <c r="EJR91" i="6"/>
  <c r="EJO91" i="6"/>
  <c r="EJG91" i="6"/>
  <c r="EJE91" i="6"/>
  <c r="EJB91" i="6"/>
  <c r="EIY91" i="6"/>
  <c r="EIQ91" i="6"/>
  <c r="EIO91" i="6"/>
  <c r="EIL91" i="6"/>
  <c r="EII91" i="6"/>
  <c r="EIA91" i="6"/>
  <c r="EHY91" i="6"/>
  <c r="EHV91" i="6"/>
  <c r="EHS91" i="6"/>
  <c r="EHK91" i="6"/>
  <c r="EHI91" i="6"/>
  <c r="EHF91" i="6"/>
  <c r="EHC91" i="6"/>
  <c r="EGU91" i="6"/>
  <c r="EGS91" i="6"/>
  <c r="EGP91" i="6"/>
  <c r="EGM91" i="6"/>
  <c r="EGE91" i="6"/>
  <c r="EGC91" i="6"/>
  <c r="EFZ91" i="6"/>
  <c r="EFW91" i="6"/>
  <c r="EFO91" i="6"/>
  <c r="EFM91" i="6"/>
  <c r="EFJ91" i="6"/>
  <c r="EFG91" i="6"/>
  <c r="EEY91" i="6"/>
  <c r="EEW91" i="6"/>
  <c r="EET91" i="6"/>
  <c r="EEQ91" i="6"/>
  <c r="EEI91" i="6"/>
  <c r="EEG91" i="6"/>
  <c r="EED91" i="6"/>
  <c r="EEA91" i="6"/>
  <c r="EDS91" i="6"/>
  <c r="EDQ91" i="6"/>
  <c r="EDN91" i="6"/>
  <c r="EDK91" i="6"/>
  <c r="EDC91" i="6"/>
  <c r="EDA91" i="6"/>
  <c r="ECX91" i="6"/>
  <c r="ECU91" i="6"/>
  <c r="ECM91" i="6"/>
  <c r="ECK91" i="6"/>
  <c r="ECH91" i="6"/>
  <c r="ECE91" i="6"/>
  <c r="EBW91" i="6"/>
  <c r="EBU91" i="6"/>
  <c r="EBR91" i="6"/>
  <c r="EBO91" i="6"/>
  <c r="EBG91" i="6"/>
  <c r="EBE91" i="6"/>
  <c r="EBB91" i="6"/>
  <c r="EAY91" i="6"/>
  <c r="EAQ91" i="6"/>
  <c r="EAO91" i="6"/>
  <c r="EAL91" i="6"/>
  <c r="EAI91" i="6"/>
  <c r="EAA91" i="6"/>
  <c r="DZY91" i="6"/>
  <c r="DZV91" i="6"/>
  <c r="DZS91" i="6"/>
  <c r="DZK91" i="6"/>
  <c r="DZI91" i="6"/>
  <c r="DZF91" i="6"/>
  <c r="DZC91" i="6"/>
  <c r="DYU91" i="6"/>
  <c r="DYS91" i="6"/>
  <c r="DYP91" i="6"/>
  <c r="DYM91" i="6"/>
  <c r="DYE91" i="6"/>
  <c r="DYC91" i="6"/>
  <c r="DXZ91" i="6"/>
  <c r="DXW91" i="6"/>
  <c r="DXO91" i="6"/>
  <c r="DXM91" i="6"/>
  <c r="DXJ91" i="6"/>
  <c r="DXG91" i="6"/>
  <c r="DWY91" i="6"/>
  <c r="DWW91" i="6"/>
  <c r="DWT91" i="6"/>
  <c r="DWQ91" i="6"/>
  <c r="DWI91" i="6"/>
  <c r="DWG91" i="6"/>
  <c r="DWD91" i="6"/>
  <c r="DWA91" i="6"/>
  <c r="DVS91" i="6"/>
  <c r="DVQ91" i="6"/>
  <c r="DVN91" i="6"/>
  <c r="DVK91" i="6"/>
  <c r="DVC91" i="6"/>
  <c r="DVA91" i="6"/>
  <c r="DUX91" i="6"/>
  <c r="DUU91" i="6"/>
  <c r="DUM91" i="6"/>
  <c r="DUK91" i="6"/>
  <c r="DUH91" i="6"/>
  <c r="DUE91" i="6"/>
  <c r="DTW91" i="6"/>
  <c r="DTU91" i="6"/>
  <c r="DTR91" i="6"/>
  <c r="DTO91" i="6"/>
  <c r="DTG91" i="6"/>
  <c r="DTE91" i="6"/>
  <c r="DTB91" i="6"/>
  <c r="DSY91" i="6"/>
  <c r="DSQ91" i="6"/>
  <c r="DSO91" i="6"/>
  <c r="DSL91" i="6"/>
  <c r="DSI91" i="6"/>
  <c r="DSA91" i="6"/>
  <c r="DRY91" i="6"/>
  <c r="DRV91" i="6"/>
  <c r="DRS91" i="6"/>
  <c r="DRK91" i="6"/>
  <c r="DRI91" i="6"/>
  <c r="DRF91" i="6"/>
  <c r="DRC91" i="6"/>
  <c r="DQU91" i="6"/>
  <c r="DQS91" i="6"/>
  <c r="DQP91" i="6"/>
  <c r="DQM91" i="6"/>
  <c r="DQE91" i="6"/>
  <c r="DQC91" i="6"/>
  <c r="DPZ91" i="6"/>
  <c r="DPW91" i="6"/>
  <c r="DPO91" i="6"/>
  <c r="DPM91" i="6"/>
  <c r="DPJ91" i="6"/>
  <c r="DPG91" i="6"/>
  <c r="DOY91" i="6"/>
  <c r="DOW91" i="6"/>
  <c r="DOT91" i="6"/>
  <c r="DOQ91" i="6"/>
  <c r="DOI91" i="6"/>
  <c r="DOG91" i="6"/>
  <c r="DOD91" i="6"/>
  <c r="DOA91" i="6"/>
  <c r="DNS91" i="6"/>
  <c r="DNQ91" i="6"/>
  <c r="DNN91" i="6"/>
  <c r="DNK91" i="6"/>
  <c r="DNC91" i="6"/>
  <c r="DNA91" i="6"/>
  <c r="DMX91" i="6"/>
  <c r="DMU91" i="6"/>
  <c r="DMM91" i="6"/>
  <c r="DMK91" i="6"/>
  <c r="DMH91" i="6"/>
  <c r="DME91" i="6"/>
  <c r="DLW91" i="6"/>
  <c r="DLU91" i="6"/>
  <c r="DLR91" i="6"/>
  <c r="DLO91" i="6"/>
  <c r="DLG91" i="6"/>
  <c r="DLE91" i="6"/>
  <c r="DLB91" i="6"/>
  <c r="DKY91" i="6"/>
  <c r="DKQ91" i="6"/>
  <c r="DKO91" i="6"/>
  <c r="DKL91" i="6"/>
  <c r="DKI91" i="6"/>
  <c r="DKA91" i="6"/>
  <c r="DJY91" i="6"/>
  <c r="DJV91" i="6"/>
  <c r="DJS91" i="6"/>
  <c r="DJK91" i="6"/>
  <c r="DJI91" i="6"/>
  <c r="DJF91" i="6"/>
  <c r="DJC91" i="6"/>
  <c r="DIU91" i="6"/>
  <c r="DIS91" i="6"/>
  <c r="DIP91" i="6"/>
  <c r="DIM91" i="6"/>
  <c r="DIE91" i="6"/>
  <c r="DIC91" i="6"/>
  <c r="DHZ91" i="6"/>
  <c r="DHW91" i="6"/>
  <c r="DHO91" i="6"/>
  <c r="DHM91" i="6"/>
  <c r="DHJ91" i="6"/>
  <c r="DHG91" i="6"/>
  <c r="DGY91" i="6"/>
  <c r="DGW91" i="6"/>
  <c r="DGT91" i="6"/>
  <c r="DGQ91" i="6"/>
  <c r="DGI91" i="6"/>
  <c r="DGG91" i="6"/>
  <c r="DGD91" i="6"/>
  <c r="DGA91" i="6"/>
  <c r="DFS91" i="6"/>
  <c r="DFQ91" i="6"/>
  <c r="DFN91" i="6"/>
  <c r="DFK91" i="6"/>
  <c r="DFC91" i="6"/>
  <c r="DFA91" i="6"/>
  <c r="DEX91" i="6"/>
  <c r="DEU91" i="6"/>
  <c r="DEM91" i="6"/>
  <c r="DEK91" i="6"/>
  <c r="DEH91" i="6"/>
  <c r="DEE91" i="6"/>
  <c r="DDW91" i="6"/>
  <c r="DDU91" i="6"/>
  <c r="DDR91" i="6"/>
  <c r="DDO91" i="6"/>
  <c r="DDG91" i="6"/>
  <c r="DDE91" i="6"/>
  <c r="DDB91" i="6"/>
  <c r="DCY91" i="6"/>
  <c r="DCQ91" i="6"/>
  <c r="DCO91" i="6"/>
  <c r="DCL91" i="6"/>
  <c r="DCI91" i="6"/>
  <c r="DCA91" i="6"/>
  <c r="DBY91" i="6"/>
  <c r="DBV91" i="6"/>
  <c r="DBS91" i="6"/>
  <c r="DBK91" i="6"/>
  <c r="DBI91" i="6"/>
  <c r="DBF91" i="6"/>
  <c r="DBC91" i="6"/>
  <c r="DAU91" i="6"/>
  <c r="DAS91" i="6"/>
  <c r="DAP91" i="6"/>
  <c r="DAM91" i="6"/>
  <c r="DAE91" i="6"/>
  <c r="DAC91" i="6"/>
  <c r="CZZ91" i="6"/>
  <c r="CZW91" i="6"/>
  <c r="CZO91" i="6"/>
  <c r="CZM91" i="6"/>
  <c r="CZJ91" i="6"/>
  <c r="CZG91" i="6"/>
  <c r="CYY91" i="6"/>
  <c r="CYW91" i="6"/>
  <c r="CYT91" i="6"/>
  <c r="CYQ91" i="6"/>
  <c r="CYI91" i="6"/>
  <c r="CYG91" i="6"/>
  <c r="CYD91" i="6"/>
  <c r="CYA91" i="6"/>
  <c r="CXS91" i="6"/>
  <c r="CXQ91" i="6"/>
  <c r="CXN91" i="6"/>
  <c r="CXK91" i="6"/>
  <c r="CXC91" i="6"/>
  <c r="CXA91" i="6"/>
  <c r="CWX91" i="6"/>
  <c r="CWU91" i="6"/>
  <c r="CWM91" i="6"/>
  <c r="CWK91" i="6"/>
  <c r="CWH91" i="6"/>
  <c r="CWE91" i="6"/>
  <c r="CVW91" i="6"/>
  <c r="CVU91" i="6"/>
  <c r="CVR91" i="6"/>
  <c r="CVO91" i="6"/>
  <c r="CVG91" i="6"/>
  <c r="CVE91" i="6"/>
  <c r="CVB91" i="6"/>
  <c r="CUY91" i="6"/>
  <c r="CUQ91" i="6"/>
  <c r="CUO91" i="6"/>
  <c r="CUL91" i="6"/>
  <c r="CUI91" i="6"/>
  <c r="CUA91" i="6"/>
  <c r="CTY91" i="6"/>
  <c r="CTV91" i="6"/>
  <c r="CTS91" i="6"/>
  <c r="CTK91" i="6"/>
  <c r="CTI91" i="6"/>
  <c r="CTF91" i="6"/>
  <c r="CTC91" i="6"/>
  <c r="CSU91" i="6"/>
  <c r="CSS91" i="6"/>
  <c r="CSP91" i="6"/>
  <c r="CSM91" i="6"/>
  <c r="CSE91" i="6"/>
  <c r="CSC91" i="6"/>
  <c r="CRZ91" i="6"/>
  <c r="CRW91" i="6"/>
  <c r="CRO91" i="6"/>
  <c r="CRM91" i="6"/>
  <c r="CRJ91" i="6"/>
  <c r="CRG91" i="6"/>
  <c r="CQY91" i="6"/>
  <c r="CQW91" i="6"/>
  <c r="CQT91" i="6"/>
  <c r="CQQ91" i="6"/>
  <c r="CQI91" i="6"/>
  <c r="CQG91" i="6"/>
  <c r="CQD91" i="6"/>
  <c r="CQA91" i="6"/>
  <c r="CPS91" i="6"/>
  <c r="CPQ91" i="6"/>
  <c r="CPN91" i="6"/>
  <c r="CPK91" i="6"/>
  <c r="CPC91" i="6"/>
  <c r="CPA91" i="6"/>
  <c r="COX91" i="6"/>
  <c r="COU91" i="6"/>
  <c r="COM91" i="6"/>
  <c r="COK91" i="6"/>
  <c r="COH91" i="6"/>
  <c r="COE91" i="6"/>
  <c r="CNW91" i="6"/>
  <c r="CNU91" i="6"/>
  <c r="CNR91" i="6"/>
  <c r="CNO91" i="6"/>
  <c r="CNG91" i="6"/>
  <c r="CNE91" i="6"/>
  <c r="CNB91" i="6"/>
  <c r="CMY91" i="6"/>
  <c r="CMQ91" i="6"/>
  <c r="CMO91" i="6"/>
  <c r="CML91" i="6"/>
  <c r="CMI91" i="6"/>
  <c r="CMA91" i="6"/>
  <c r="CLY91" i="6"/>
  <c r="CLV91" i="6"/>
  <c r="CLS91" i="6"/>
  <c r="CLK91" i="6"/>
  <c r="CLI91" i="6"/>
  <c r="CLF91" i="6"/>
  <c r="CLC91" i="6"/>
  <c r="CKU91" i="6"/>
  <c r="CKS91" i="6"/>
  <c r="CKP91" i="6"/>
  <c r="CKM91" i="6"/>
  <c r="CKE91" i="6"/>
  <c r="CKC91" i="6"/>
  <c r="CJZ91" i="6"/>
  <c r="CJW91" i="6"/>
  <c r="CJO91" i="6"/>
  <c r="CJM91" i="6"/>
  <c r="CJJ91" i="6"/>
  <c r="CJG91" i="6"/>
  <c r="CIY91" i="6"/>
  <c r="CIW91" i="6"/>
  <c r="CIT91" i="6"/>
  <c r="CIQ91" i="6"/>
  <c r="CII91" i="6"/>
  <c r="CIG91" i="6"/>
  <c r="CID91" i="6"/>
  <c r="CIA91" i="6"/>
  <c r="CHS91" i="6"/>
  <c r="CHQ91" i="6"/>
  <c r="CHN91" i="6"/>
  <c r="CHK91" i="6"/>
  <c r="CHC91" i="6"/>
  <c r="CHA91" i="6"/>
  <c r="CGX91" i="6"/>
  <c r="CGU91" i="6"/>
  <c r="CGM91" i="6"/>
  <c r="CGK91" i="6"/>
  <c r="CGH91" i="6"/>
  <c r="CGE91" i="6"/>
  <c r="CFW91" i="6"/>
  <c r="CFU91" i="6"/>
  <c r="CFR91" i="6"/>
  <c r="CFO91" i="6"/>
  <c r="CFG91" i="6"/>
  <c r="CFE91" i="6"/>
  <c r="CFB91" i="6"/>
  <c r="CEY91" i="6"/>
  <c r="CEQ91" i="6"/>
  <c r="CEO91" i="6"/>
  <c r="CEL91" i="6"/>
  <c r="CEI91" i="6"/>
  <c r="CEA91" i="6"/>
  <c r="CDY91" i="6"/>
  <c r="CDV91" i="6"/>
  <c r="CDS91" i="6"/>
  <c r="CDK91" i="6"/>
  <c r="CDI91" i="6"/>
  <c r="CDF91" i="6"/>
  <c r="CDC91" i="6"/>
  <c r="CCU91" i="6"/>
  <c r="CCS91" i="6"/>
  <c r="CCP91" i="6"/>
  <c r="CCM91" i="6"/>
  <c r="CCE91" i="6"/>
  <c r="CCC91" i="6"/>
  <c r="CBZ91" i="6"/>
  <c r="CBW91" i="6"/>
  <c r="CBO91" i="6"/>
  <c r="CBM91" i="6"/>
  <c r="CBJ91" i="6"/>
  <c r="CBG91" i="6"/>
  <c r="CAY91" i="6"/>
  <c r="CAW91" i="6"/>
  <c r="CAT91" i="6"/>
  <c r="CAQ91" i="6"/>
  <c r="CAI91" i="6"/>
  <c r="CAG91" i="6"/>
  <c r="CAD91" i="6"/>
  <c r="CAA91" i="6"/>
  <c r="BZS91" i="6"/>
  <c r="BZQ91" i="6"/>
  <c r="BZN91" i="6"/>
  <c r="BZK91" i="6"/>
  <c r="BZC91" i="6"/>
  <c r="BZA91" i="6"/>
  <c r="BYX91" i="6"/>
  <c r="BYU91" i="6"/>
  <c r="BYM91" i="6"/>
  <c r="BYK91" i="6"/>
  <c r="BYH91" i="6"/>
  <c r="BYE91" i="6"/>
  <c r="BXW91" i="6"/>
  <c r="BXU91" i="6"/>
  <c r="BXR91" i="6"/>
  <c r="BXO91" i="6"/>
  <c r="BXG91" i="6"/>
  <c r="BXE91" i="6"/>
  <c r="BXB91" i="6"/>
  <c r="BWY91" i="6"/>
  <c r="BWQ91" i="6"/>
  <c r="BWO91" i="6"/>
  <c r="BWL91" i="6"/>
  <c r="BWI91" i="6"/>
  <c r="BWA91" i="6"/>
  <c r="BVY91" i="6"/>
  <c r="BVV91" i="6"/>
  <c r="BVS91" i="6"/>
  <c r="BVK91" i="6"/>
  <c r="BVI91" i="6"/>
  <c r="BVF91" i="6"/>
  <c r="BVC91" i="6"/>
  <c r="BUU91" i="6"/>
  <c r="BUS91" i="6"/>
  <c r="BUP91" i="6"/>
  <c r="BUM91" i="6"/>
  <c r="BUE91" i="6"/>
  <c r="BUC91" i="6"/>
  <c r="BTZ91" i="6"/>
  <c r="BTW91" i="6"/>
  <c r="BTO91" i="6"/>
  <c r="BTM91" i="6"/>
  <c r="BTJ91" i="6"/>
  <c r="BTG91" i="6"/>
  <c r="BSY91" i="6"/>
  <c r="BSW91" i="6"/>
  <c r="BST91" i="6"/>
  <c r="BSQ91" i="6"/>
  <c r="BSI91" i="6"/>
  <c r="BSG91" i="6"/>
  <c r="BSD91" i="6"/>
  <c r="BSA91" i="6"/>
  <c r="BRS91" i="6"/>
  <c r="BRQ91" i="6"/>
  <c r="BRN91" i="6"/>
  <c r="BRK91" i="6"/>
  <c r="BRC91" i="6"/>
  <c r="BRA91" i="6"/>
  <c r="BQX91" i="6"/>
  <c r="BQU91" i="6"/>
  <c r="BQM91" i="6"/>
  <c r="BQK91" i="6"/>
  <c r="BQH91" i="6"/>
  <c r="BQE91" i="6"/>
  <c r="BPW91" i="6"/>
  <c r="BPU91" i="6"/>
  <c r="BPR91" i="6"/>
  <c r="BPO91" i="6"/>
  <c r="BPG91" i="6"/>
  <c r="BPE91" i="6"/>
  <c r="BPB91" i="6"/>
  <c r="BOY91" i="6"/>
  <c r="BOQ91" i="6"/>
  <c r="BOO91" i="6"/>
  <c r="BOL91" i="6"/>
  <c r="BOI91" i="6"/>
  <c r="BOA91" i="6"/>
  <c r="BNY91" i="6"/>
  <c r="BNV91" i="6"/>
  <c r="BNS91" i="6"/>
  <c r="BNK91" i="6"/>
  <c r="BNI91" i="6"/>
  <c r="BNF91" i="6"/>
  <c r="BNC91" i="6"/>
  <c r="BMU91" i="6"/>
  <c r="BMS91" i="6"/>
  <c r="BMP91" i="6"/>
  <c r="BMM91" i="6"/>
  <c r="BME91" i="6"/>
  <c r="BMC91" i="6"/>
  <c r="BLZ91" i="6"/>
  <c r="BLW91" i="6"/>
  <c r="BLO91" i="6"/>
  <c r="BLM91" i="6"/>
  <c r="BLJ91" i="6"/>
  <c r="BLG91" i="6"/>
  <c r="BKY91" i="6"/>
  <c r="BKW91" i="6"/>
  <c r="BKT91" i="6"/>
  <c r="BKQ91" i="6"/>
  <c r="BKI91" i="6"/>
  <c r="BKG91" i="6"/>
  <c r="BKD91" i="6"/>
  <c r="BKA91" i="6"/>
  <c r="BJS91" i="6"/>
  <c r="BJQ91" i="6"/>
  <c r="BJN91" i="6"/>
  <c r="BJK91" i="6"/>
  <c r="BJC91" i="6"/>
  <c r="BJA91" i="6"/>
  <c r="BIX91" i="6"/>
  <c r="BIU91" i="6"/>
  <c r="BIM91" i="6"/>
  <c r="BIK91" i="6"/>
  <c r="BIH91" i="6"/>
  <c r="BIE91" i="6"/>
  <c r="BHW91" i="6"/>
  <c r="BHU91" i="6"/>
  <c r="BHR91" i="6"/>
  <c r="BHO91" i="6"/>
  <c r="BHG91" i="6"/>
  <c r="BHE91" i="6"/>
  <c r="BHB91" i="6"/>
  <c r="BGY91" i="6"/>
  <c r="BGQ91" i="6"/>
  <c r="BGO91" i="6"/>
  <c r="BGL91" i="6"/>
  <c r="BGI91" i="6"/>
  <c r="BGA91" i="6"/>
  <c r="BFY91" i="6"/>
  <c r="BFV91" i="6"/>
  <c r="BFS91" i="6"/>
  <c r="BFK91" i="6"/>
  <c r="BFI91" i="6"/>
  <c r="BFF91" i="6"/>
  <c r="BFC91" i="6"/>
  <c r="BEU91" i="6"/>
  <c r="BES91" i="6"/>
  <c r="BEP91" i="6"/>
  <c r="BEM91" i="6"/>
  <c r="BEE91" i="6"/>
  <c r="BEC91" i="6"/>
  <c r="BDZ91" i="6"/>
  <c r="BDW91" i="6"/>
  <c r="BDO91" i="6"/>
  <c r="BDM91" i="6"/>
  <c r="BDJ91" i="6"/>
  <c r="BDG91" i="6"/>
  <c r="BCY91" i="6"/>
  <c r="BCW91" i="6"/>
  <c r="BCT91" i="6"/>
  <c r="BCQ91" i="6"/>
  <c r="BCI91" i="6"/>
  <c r="BCG91" i="6"/>
  <c r="BCD91" i="6"/>
  <c r="BCA91" i="6"/>
  <c r="BBS91" i="6"/>
  <c r="BBQ91" i="6"/>
  <c r="BBN91" i="6"/>
  <c r="BBK91" i="6"/>
  <c r="BBC91" i="6"/>
  <c r="BBA91" i="6"/>
  <c r="BAX91" i="6"/>
  <c r="BAU91" i="6"/>
  <c r="BAM91" i="6"/>
  <c r="BAK91" i="6"/>
  <c r="BAH91" i="6"/>
  <c r="BAE91" i="6"/>
  <c r="AZW91" i="6"/>
  <c r="AZU91" i="6"/>
  <c r="AZR91" i="6"/>
  <c r="AZO91" i="6"/>
  <c r="AZG91" i="6"/>
  <c r="AZE91" i="6"/>
  <c r="AZB91" i="6"/>
  <c r="AYY91" i="6"/>
  <c r="AYQ91" i="6"/>
  <c r="AYO91" i="6"/>
  <c r="AYL91" i="6"/>
  <c r="AYI91" i="6"/>
  <c r="AYA91" i="6"/>
  <c r="AXY91" i="6"/>
  <c r="AXV91" i="6"/>
  <c r="AXS91" i="6"/>
  <c r="AXK91" i="6"/>
  <c r="AXI91" i="6"/>
  <c r="AXF91" i="6"/>
  <c r="AXC91" i="6"/>
  <c r="AWU91" i="6"/>
  <c r="AWS91" i="6"/>
  <c r="AWP91" i="6"/>
  <c r="AWM91" i="6"/>
  <c r="AWE91" i="6"/>
  <c r="AWC91" i="6"/>
  <c r="AVZ91" i="6"/>
  <c r="AVW91" i="6"/>
  <c r="AVO91" i="6"/>
  <c r="AVM91" i="6"/>
  <c r="AVJ91" i="6"/>
  <c r="AVG91" i="6"/>
  <c r="AUY91" i="6"/>
  <c r="AUW91" i="6"/>
  <c r="AUT91" i="6"/>
  <c r="AUQ91" i="6"/>
  <c r="AUI91" i="6"/>
  <c r="AUG91" i="6"/>
  <c r="AUD91" i="6"/>
  <c r="AUA91" i="6"/>
  <c r="ATS91" i="6"/>
  <c r="ATQ91" i="6"/>
  <c r="ATN91" i="6"/>
  <c r="ATK91" i="6"/>
  <c r="ATC91" i="6"/>
  <c r="ATA91" i="6"/>
  <c r="ASX91" i="6"/>
  <c r="ASU91" i="6"/>
  <c r="ASM91" i="6"/>
  <c r="ASK91" i="6"/>
  <c r="ASH91" i="6"/>
  <c r="ASE91" i="6"/>
  <c r="ARW91" i="6"/>
  <c r="ARU91" i="6"/>
  <c r="ARR91" i="6"/>
  <c r="ARO91" i="6"/>
  <c r="ARG91" i="6"/>
  <c r="ARE91" i="6"/>
  <c r="ARB91" i="6"/>
  <c r="AQY91" i="6"/>
  <c r="AQQ91" i="6"/>
  <c r="AQO91" i="6"/>
  <c r="AQL91" i="6"/>
  <c r="AQI91" i="6"/>
  <c r="AQA91" i="6"/>
  <c r="APY91" i="6"/>
  <c r="APV91" i="6"/>
  <c r="APS91" i="6"/>
  <c r="APK91" i="6"/>
  <c r="API91" i="6"/>
  <c r="APF91" i="6"/>
  <c r="APC91" i="6"/>
  <c r="AOU91" i="6"/>
  <c r="AOS91" i="6"/>
  <c r="AOP91" i="6"/>
  <c r="AOM91" i="6"/>
  <c r="AOE91" i="6"/>
  <c r="AOC91" i="6"/>
  <c r="ANZ91" i="6"/>
  <c r="ANW91" i="6"/>
  <c r="ANO91" i="6"/>
  <c r="ANM91" i="6"/>
  <c r="ANJ91" i="6"/>
  <c r="ANG91" i="6"/>
  <c r="AMY91" i="6"/>
  <c r="AMW91" i="6"/>
  <c r="AMT91" i="6"/>
  <c r="AMQ91" i="6"/>
  <c r="AMI91" i="6"/>
  <c r="AMG91" i="6"/>
  <c r="AMD91" i="6"/>
  <c r="AMA91" i="6"/>
  <c r="ALS91" i="6"/>
  <c r="ALQ91" i="6"/>
  <c r="ALN91" i="6"/>
  <c r="ALK91" i="6"/>
  <c r="ALC91" i="6"/>
  <c r="ALA91" i="6"/>
  <c r="AKX91" i="6"/>
  <c r="AKU91" i="6"/>
  <c r="AKM91" i="6"/>
  <c r="AKK91" i="6"/>
  <c r="AKH91" i="6"/>
  <c r="AKE91" i="6"/>
  <c r="AJW91" i="6"/>
  <c r="AJU91" i="6"/>
  <c r="AJR91" i="6"/>
  <c r="AJO91" i="6"/>
  <c r="AJG91" i="6"/>
  <c r="AJE91" i="6"/>
  <c r="AJB91" i="6"/>
  <c r="AIY91" i="6"/>
  <c r="AIQ91" i="6"/>
  <c r="AIO91" i="6"/>
  <c r="AIL91" i="6"/>
  <c r="AII91" i="6"/>
  <c r="AIA91" i="6"/>
  <c r="AHY91" i="6"/>
  <c r="AHV91" i="6"/>
  <c r="AHS91" i="6"/>
  <c r="AHK91" i="6"/>
  <c r="AHI91" i="6"/>
  <c r="AHF91" i="6"/>
  <c r="AHC91" i="6"/>
  <c r="AGU91" i="6"/>
  <c r="AGS91" i="6"/>
  <c r="AGP91" i="6"/>
  <c r="AGM91" i="6"/>
  <c r="AGE91" i="6"/>
  <c r="AGC91" i="6"/>
  <c r="AFZ91" i="6"/>
  <c r="AFW91" i="6"/>
  <c r="AFO91" i="6"/>
  <c r="AFM91" i="6"/>
  <c r="AFJ91" i="6"/>
  <c r="AFG91" i="6"/>
  <c r="AEY91" i="6"/>
  <c r="AEW91" i="6"/>
  <c r="AET91" i="6"/>
  <c r="AEQ91" i="6"/>
  <c r="AEI91" i="6"/>
  <c r="AEG91" i="6"/>
  <c r="AED91" i="6"/>
  <c r="AEA91" i="6"/>
  <c r="ADS91" i="6"/>
  <c r="ADQ91" i="6"/>
  <c r="ADN91" i="6"/>
  <c r="ADK91" i="6"/>
  <c r="ADC91" i="6"/>
  <c r="ADA91" i="6"/>
  <c r="ACX91" i="6"/>
  <c r="ACU91" i="6"/>
  <c r="ACM91" i="6"/>
  <c r="ACK91" i="6"/>
  <c r="ACH91" i="6"/>
  <c r="ACE91" i="6"/>
  <c r="ABW91" i="6"/>
  <c r="ABU91" i="6"/>
  <c r="ABR91" i="6"/>
  <c r="ABO91" i="6"/>
  <c r="ABG91" i="6"/>
  <c r="ABE91" i="6"/>
  <c r="ABB91" i="6"/>
  <c r="AAY91" i="6"/>
  <c r="AAQ91" i="6"/>
  <c r="AAO91" i="6"/>
  <c r="AAL91" i="6"/>
  <c r="AAI91" i="6"/>
  <c r="AAA91" i="6"/>
  <c r="ZY91" i="6"/>
  <c r="ZV91" i="6"/>
  <c r="ZS91" i="6"/>
  <c r="ZK91" i="6"/>
  <c r="ZI91" i="6"/>
  <c r="ZF91" i="6"/>
  <c r="ZC91" i="6"/>
  <c r="YU91" i="6"/>
  <c r="YS91" i="6"/>
  <c r="YP91" i="6"/>
  <c r="YM91" i="6"/>
  <c r="YE91" i="6"/>
  <c r="YC91" i="6"/>
  <c r="XZ91" i="6"/>
  <c r="XW91" i="6"/>
  <c r="XO91" i="6"/>
  <c r="XM91" i="6"/>
  <c r="XJ91" i="6"/>
  <c r="XG91" i="6"/>
  <c r="WY91" i="6"/>
  <c r="WW91" i="6"/>
  <c r="WT91" i="6"/>
  <c r="WQ91" i="6"/>
  <c r="WI91" i="6"/>
  <c r="WG91" i="6"/>
  <c r="WD91" i="6"/>
  <c r="WA91" i="6"/>
  <c r="VS91" i="6"/>
  <c r="VQ91" i="6"/>
  <c r="VN91" i="6"/>
  <c r="VK91" i="6"/>
  <c r="VC91" i="6"/>
  <c r="VA91" i="6"/>
  <c r="UX91" i="6"/>
  <c r="UU91" i="6"/>
  <c r="UM91" i="6"/>
  <c r="UK91" i="6"/>
  <c r="UH91" i="6"/>
  <c r="UE91" i="6"/>
  <c r="TW91" i="6"/>
  <c r="TU91" i="6"/>
  <c r="TR91" i="6"/>
  <c r="TO91" i="6"/>
  <c r="TG91" i="6"/>
  <c r="TE91" i="6"/>
  <c r="TB91" i="6"/>
  <c r="SY91" i="6"/>
  <c r="SQ91" i="6"/>
  <c r="SO91" i="6"/>
  <c r="SL91" i="6"/>
  <c r="SI91" i="6"/>
  <c r="SA91" i="6"/>
  <c r="RY91" i="6"/>
  <c r="RV91" i="6"/>
  <c r="RS91" i="6"/>
  <c r="RK91" i="6"/>
  <c r="RI91" i="6"/>
  <c r="RF91" i="6"/>
  <c r="RC91" i="6"/>
  <c r="QU91" i="6"/>
  <c r="QS91" i="6"/>
  <c r="QP91" i="6"/>
  <c r="QM91" i="6"/>
  <c r="QE91" i="6"/>
  <c r="QC91" i="6"/>
  <c r="PZ91" i="6"/>
  <c r="PW91" i="6"/>
  <c r="PO91" i="6"/>
  <c r="PM91" i="6"/>
  <c r="PJ91" i="6"/>
  <c r="PG91" i="6"/>
  <c r="OY91" i="6"/>
  <c r="OW91" i="6"/>
  <c r="OT91" i="6"/>
  <c r="OQ91" i="6"/>
  <c r="OI91" i="6"/>
  <c r="OG91" i="6"/>
  <c r="OD91" i="6"/>
  <c r="OA91" i="6"/>
  <c r="NS91" i="6"/>
  <c r="NQ91" i="6"/>
  <c r="NN91" i="6"/>
  <c r="NK91" i="6"/>
  <c r="NC91" i="6"/>
  <c r="NA91" i="6"/>
  <c r="MX91" i="6"/>
  <c r="MU91" i="6"/>
  <c r="MM91" i="6"/>
  <c r="MK91" i="6"/>
  <c r="MH91" i="6"/>
  <c r="ME91" i="6"/>
  <c r="LW91" i="6"/>
  <c r="LU91" i="6"/>
  <c r="LR91" i="6"/>
  <c r="LO91" i="6"/>
  <c r="LG91" i="6"/>
  <c r="LE91" i="6"/>
  <c r="Y107" i="5" l="1"/>
  <c r="Y106" i="5"/>
  <c r="Y105" i="5"/>
  <c r="Y104" i="5"/>
  <c r="Y103" i="5"/>
  <c r="Y102" i="5"/>
  <c r="Y152" i="6" l="1"/>
  <c r="Y151" i="6"/>
  <c r="Y150" i="6"/>
  <c r="Y149" i="6"/>
  <c r="Y148" i="6"/>
  <c r="Y14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Worachai K.</author>
  </authors>
  <commentList>
    <comment ref="I2" authorId="0" shapeId="0" xr:uid="{88721175-A4C3-4AB9-AC7E-E5EA383D629D}">
      <text>
        <r>
          <rPr>
            <b/>
            <sz val="12"/>
            <color indexed="81"/>
            <rFont val="TH SarabunPSK"/>
            <family val="2"/>
          </rPr>
          <t>Worachai K.:</t>
        </r>
        <r>
          <rPr>
            <sz val="12"/>
            <color indexed="81"/>
            <rFont val="TH SarabunPSK"/>
            <family val="2"/>
          </rPr>
          <t xml:space="preserve">
เลือกตามรายการ
พิมพ์ไม่ได้</t>
        </r>
      </text>
    </comment>
    <comment ref="J2" authorId="0" shapeId="0" xr:uid="{50E4BB05-3329-42BD-A34F-7CED691F9490}">
      <text>
        <r>
          <rPr>
            <b/>
            <sz val="12"/>
            <color indexed="81"/>
            <rFont val="TH SarabunPSK"/>
            <family val="2"/>
          </rPr>
          <t>Worachai K.:</t>
        </r>
        <r>
          <rPr>
            <sz val="12"/>
            <color indexed="81"/>
            <rFont val="TH SarabunPSK"/>
            <family val="2"/>
          </rPr>
          <t xml:space="preserve">
ข้อมูลแสดงเอง
เขียนสูตรไว้</t>
        </r>
      </text>
    </comment>
    <comment ref="M2" authorId="0" shapeId="0" xr:uid="{AF98E589-B328-4A7B-B1FE-12C7B2EA8231}">
      <text>
        <r>
          <rPr>
            <b/>
            <sz val="12"/>
            <color indexed="81"/>
            <rFont val="TH SarabunPSK"/>
            <family val="2"/>
          </rPr>
          <t>Worachai K.:</t>
        </r>
        <r>
          <rPr>
            <sz val="12"/>
            <color indexed="81"/>
            <rFont val="TH SarabunPSK"/>
            <family val="2"/>
          </rPr>
          <t xml:space="preserve">
ข้อมูลแสดงเอง
เขียนสูตรไว้</t>
        </r>
      </text>
    </comment>
    <comment ref="O2" authorId="0" shapeId="0" xr:uid="{DB3CC8B0-9E35-480B-942C-5FCA394EED43}">
      <text>
        <r>
          <rPr>
            <b/>
            <sz val="12"/>
            <color indexed="81"/>
            <rFont val="TH SarabunPSK"/>
            <family val="2"/>
          </rPr>
          <t>Worachai K.:</t>
        </r>
        <r>
          <rPr>
            <sz val="12"/>
            <color indexed="81"/>
            <rFont val="TH SarabunPSK"/>
            <family val="2"/>
          </rPr>
          <t xml:space="preserve">
เลือกตามรายการ
พิมพ์ไม่ได้</t>
        </r>
      </text>
    </comment>
    <comment ref="P2" authorId="0" shapeId="0" xr:uid="{90453DA2-0FD4-4927-AE53-BFF5F278C836}">
      <text>
        <r>
          <rPr>
            <b/>
            <sz val="12"/>
            <color indexed="81"/>
            <rFont val="TH SarabunPSK"/>
            <family val="2"/>
          </rPr>
          <t>Worachai K.:</t>
        </r>
        <r>
          <rPr>
            <sz val="12"/>
            <color indexed="81"/>
            <rFont val="TH SarabunPSK"/>
            <family val="2"/>
          </rPr>
          <t xml:space="preserve">
ข้อมูลแสดงเอง
เขียนสูตรไว้</t>
        </r>
      </text>
    </comment>
    <comment ref="R2" authorId="0" shapeId="0" xr:uid="{9F22EAE5-8CC0-4DF4-8CBC-9BFA9CE2BEB5}">
      <text>
        <r>
          <rPr>
            <b/>
            <sz val="12"/>
            <color indexed="81"/>
            <rFont val="TH SarabunPSK"/>
            <family val="2"/>
          </rPr>
          <t>Worachai K.:</t>
        </r>
        <r>
          <rPr>
            <sz val="12"/>
            <color indexed="81"/>
            <rFont val="TH SarabunPSK"/>
            <family val="2"/>
          </rPr>
          <t xml:space="preserve">
ข้อมูลแสดงเอง
เขียนสูตรไว้</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Worachai K.</author>
  </authors>
  <commentList>
    <comment ref="H2" authorId="0" shapeId="0" xr:uid="{8CF7178D-E098-47E6-A2D0-CAB35894F3A3}">
      <text>
        <r>
          <rPr>
            <b/>
            <sz val="12"/>
            <color indexed="81"/>
            <rFont val="TH SarabunPSK"/>
            <family val="2"/>
          </rPr>
          <t>Worachai K.:</t>
        </r>
        <r>
          <rPr>
            <sz val="12"/>
            <color indexed="81"/>
            <rFont val="TH SarabunPSK"/>
            <family val="2"/>
          </rPr>
          <t xml:space="preserve">
เลือกตามรายการ
พิมพ์ไม่ได้</t>
        </r>
      </text>
    </comment>
    <comment ref="I2" authorId="0" shapeId="0" xr:uid="{14A490EA-0D88-4C29-A303-101F6EEB2273}">
      <text>
        <r>
          <rPr>
            <b/>
            <sz val="12"/>
            <color indexed="81"/>
            <rFont val="TH SarabunPSK"/>
            <family val="2"/>
          </rPr>
          <t>Worachai K.:</t>
        </r>
        <r>
          <rPr>
            <sz val="12"/>
            <color indexed="81"/>
            <rFont val="TH SarabunPSK"/>
            <family val="2"/>
          </rPr>
          <t xml:space="preserve">
ข้อมูลแสดงเอง
เขียนสูตรไว้</t>
        </r>
      </text>
    </comment>
    <comment ref="L2" authorId="0" shapeId="0" xr:uid="{6DC6FDA4-8845-4CBF-86A0-85A5AF7D4FF1}">
      <text>
        <r>
          <rPr>
            <b/>
            <sz val="12"/>
            <color indexed="81"/>
            <rFont val="TH SarabunPSK"/>
            <family val="2"/>
          </rPr>
          <t>Worachai K.:</t>
        </r>
        <r>
          <rPr>
            <sz val="12"/>
            <color indexed="81"/>
            <rFont val="TH SarabunPSK"/>
            <family val="2"/>
          </rPr>
          <t xml:space="preserve">
ข้อมูลแสดงเอง
เขียนสูตรไว้</t>
        </r>
      </text>
    </comment>
    <comment ref="N2" authorId="0" shapeId="0" xr:uid="{410976AC-E35D-4CAE-BB9F-30618669759F}">
      <text>
        <r>
          <rPr>
            <b/>
            <sz val="12"/>
            <color indexed="81"/>
            <rFont val="TH SarabunPSK"/>
            <family val="2"/>
          </rPr>
          <t>Worachai K.:</t>
        </r>
        <r>
          <rPr>
            <sz val="12"/>
            <color indexed="81"/>
            <rFont val="TH SarabunPSK"/>
            <family val="2"/>
          </rPr>
          <t xml:space="preserve">
เลือกตามรายการ
พิมพ์ไม่ได้</t>
        </r>
      </text>
    </comment>
    <comment ref="O2" authorId="0" shapeId="0" xr:uid="{142E9DCD-F08B-49BE-9A5A-442397519218}">
      <text>
        <r>
          <rPr>
            <b/>
            <sz val="12"/>
            <color indexed="81"/>
            <rFont val="TH SarabunPSK"/>
            <family val="2"/>
          </rPr>
          <t>Worachai K.:</t>
        </r>
        <r>
          <rPr>
            <sz val="12"/>
            <color indexed="81"/>
            <rFont val="TH SarabunPSK"/>
            <family val="2"/>
          </rPr>
          <t xml:space="preserve">
ข้อมูลแสดงเอง
เขียนสูตรไว้</t>
        </r>
      </text>
    </comment>
    <comment ref="Q2" authorId="0" shapeId="0" xr:uid="{799EC07B-DB6E-4731-B5C5-CE291B1CA63A}">
      <text>
        <r>
          <rPr>
            <b/>
            <sz val="12"/>
            <color indexed="81"/>
            <rFont val="TH SarabunPSK"/>
            <family val="2"/>
          </rPr>
          <t>Worachai K.:</t>
        </r>
        <r>
          <rPr>
            <sz val="12"/>
            <color indexed="81"/>
            <rFont val="TH SarabunPSK"/>
            <family val="2"/>
          </rPr>
          <t xml:space="preserve">
ข้อมูลแสดงเอง
เขียนสูตรไว้</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Worachai K.</author>
  </authors>
  <commentList>
    <comment ref="H2" authorId="0" shapeId="0" xr:uid="{C17497E2-DB2C-431D-BBC7-C3D6E3C55CAB}">
      <text>
        <r>
          <rPr>
            <b/>
            <sz val="12"/>
            <color indexed="81"/>
            <rFont val="TH SarabunPSK"/>
            <family val="2"/>
          </rPr>
          <t>Worachai K.:</t>
        </r>
        <r>
          <rPr>
            <sz val="12"/>
            <color indexed="81"/>
            <rFont val="TH SarabunPSK"/>
            <family val="2"/>
          </rPr>
          <t xml:space="preserve">
เลือกตามรายการ
พิมพ์ไม่ได้</t>
        </r>
      </text>
    </comment>
    <comment ref="I2" authorId="0" shapeId="0" xr:uid="{E5AED79A-CA4D-4CA1-BED1-13FB8254DE03}">
      <text>
        <r>
          <rPr>
            <b/>
            <sz val="12"/>
            <color indexed="81"/>
            <rFont val="TH SarabunPSK"/>
            <family val="2"/>
          </rPr>
          <t>Worachai K.:</t>
        </r>
        <r>
          <rPr>
            <sz val="12"/>
            <color indexed="81"/>
            <rFont val="TH SarabunPSK"/>
            <family val="2"/>
          </rPr>
          <t xml:space="preserve">
ข้อมูลแสดงเอง
เขียนสูตรไว้</t>
        </r>
      </text>
    </comment>
    <comment ref="L2" authorId="0" shapeId="0" xr:uid="{6EAAADCF-8194-4500-AA34-909DA38B75C8}">
      <text>
        <r>
          <rPr>
            <b/>
            <sz val="12"/>
            <color indexed="81"/>
            <rFont val="TH SarabunPSK"/>
            <family val="2"/>
          </rPr>
          <t>Worachai K.:</t>
        </r>
        <r>
          <rPr>
            <sz val="12"/>
            <color indexed="81"/>
            <rFont val="TH SarabunPSK"/>
            <family val="2"/>
          </rPr>
          <t xml:space="preserve">
ข้อมูลแสดงเอง
เขียนสูตรไว้</t>
        </r>
      </text>
    </comment>
    <comment ref="N2" authorId="0" shapeId="0" xr:uid="{AD9E6ABC-B0C7-41E5-B3BF-F6102B2A41C6}">
      <text>
        <r>
          <rPr>
            <b/>
            <sz val="12"/>
            <color indexed="81"/>
            <rFont val="TH SarabunPSK"/>
            <family val="2"/>
          </rPr>
          <t>Worachai K.:</t>
        </r>
        <r>
          <rPr>
            <sz val="12"/>
            <color indexed="81"/>
            <rFont val="TH SarabunPSK"/>
            <family val="2"/>
          </rPr>
          <t xml:space="preserve">
เลือกตามรายการ
พิมพ์ไม่ได้</t>
        </r>
      </text>
    </comment>
    <comment ref="O2" authorId="0" shapeId="0" xr:uid="{16DF5665-3034-4999-9AD2-368790CE9552}">
      <text>
        <r>
          <rPr>
            <b/>
            <sz val="12"/>
            <color indexed="81"/>
            <rFont val="TH SarabunPSK"/>
            <family val="2"/>
          </rPr>
          <t>Worachai K.:</t>
        </r>
        <r>
          <rPr>
            <sz val="12"/>
            <color indexed="81"/>
            <rFont val="TH SarabunPSK"/>
            <family val="2"/>
          </rPr>
          <t xml:space="preserve">
ข้อมูลแสดงเอง
เขียนสูตรไว้</t>
        </r>
      </text>
    </comment>
    <comment ref="Q2" authorId="0" shapeId="0" xr:uid="{F3BC40FA-849F-440C-9797-CBD515AD35BF}">
      <text>
        <r>
          <rPr>
            <b/>
            <sz val="12"/>
            <color indexed="81"/>
            <rFont val="TH SarabunPSK"/>
            <family val="2"/>
          </rPr>
          <t>Worachai K.:</t>
        </r>
        <r>
          <rPr>
            <sz val="12"/>
            <color indexed="81"/>
            <rFont val="TH SarabunPSK"/>
            <family val="2"/>
          </rPr>
          <t xml:space="preserve">
ข้อมูลแสดงเอง
เขียนสูตรไว้</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Worachai K.</author>
  </authors>
  <commentList>
    <comment ref="H2" authorId="0" shapeId="0" xr:uid="{274578E1-E669-40F0-B49B-5E67F1984293}">
      <text>
        <r>
          <rPr>
            <b/>
            <sz val="12"/>
            <color indexed="81"/>
            <rFont val="TH SarabunPSK"/>
            <family val="2"/>
          </rPr>
          <t>Worachai K.:</t>
        </r>
        <r>
          <rPr>
            <sz val="12"/>
            <color indexed="81"/>
            <rFont val="TH SarabunPSK"/>
            <family val="2"/>
          </rPr>
          <t xml:space="preserve">
เลือกตามรายการ
พิมพ์ไม่ได้</t>
        </r>
      </text>
    </comment>
    <comment ref="I2" authorId="0" shapeId="0" xr:uid="{4629894F-5565-415B-946F-D7A4FB2FC38C}">
      <text>
        <r>
          <rPr>
            <b/>
            <sz val="12"/>
            <color indexed="81"/>
            <rFont val="TH SarabunPSK"/>
            <family val="2"/>
          </rPr>
          <t>Worachai K.:</t>
        </r>
        <r>
          <rPr>
            <sz val="12"/>
            <color indexed="81"/>
            <rFont val="TH SarabunPSK"/>
            <family val="2"/>
          </rPr>
          <t xml:space="preserve">
ข้อมูลแสดงเอง
เขียนสูตรไว้</t>
        </r>
      </text>
    </comment>
    <comment ref="L2" authorId="0" shapeId="0" xr:uid="{840D9810-A157-4F50-9906-D0AB1C643DED}">
      <text>
        <r>
          <rPr>
            <b/>
            <sz val="12"/>
            <color indexed="81"/>
            <rFont val="TH SarabunPSK"/>
            <family val="2"/>
          </rPr>
          <t>Worachai K.:</t>
        </r>
        <r>
          <rPr>
            <sz val="12"/>
            <color indexed="81"/>
            <rFont val="TH SarabunPSK"/>
            <family val="2"/>
          </rPr>
          <t xml:space="preserve">
ข้อมูลแสดงเอง
เขียนสูตรไว้</t>
        </r>
      </text>
    </comment>
    <comment ref="N2" authorId="0" shapeId="0" xr:uid="{987F2501-1DDD-4410-8B7E-D3C592F03D7A}">
      <text>
        <r>
          <rPr>
            <b/>
            <sz val="12"/>
            <color indexed="81"/>
            <rFont val="TH SarabunPSK"/>
            <family val="2"/>
          </rPr>
          <t>Worachai K.:</t>
        </r>
        <r>
          <rPr>
            <sz val="12"/>
            <color indexed="81"/>
            <rFont val="TH SarabunPSK"/>
            <family val="2"/>
          </rPr>
          <t xml:space="preserve">
เลือกตามรายการ
พิมพ์ไม่ได้</t>
        </r>
      </text>
    </comment>
    <comment ref="O2" authorId="0" shapeId="0" xr:uid="{490B8111-D681-4E9E-9BBB-5C4CC32BEACA}">
      <text>
        <r>
          <rPr>
            <b/>
            <sz val="12"/>
            <color indexed="81"/>
            <rFont val="TH SarabunPSK"/>
            <family val="2"/>
          </rPr>
          <t>Worachai K.:</t>
        </r>
        <r>
          <rPr>
            <sz val="12"/>
            <color indexed="81"/>
            <rFont val="TH SarabunPSK"/>
            <family val="2"/>
          </rPr>
          <t xml:space="preserve">
ข้อมูลแสดงเอง
เขียนสูตรไว้</t>
        </r>
      </text>
    </comment>
    <comment ref="Q2" authorId="0" shapeId="0" xr:uid="{FE95C8B2-1330-4433-AB6E-10C8A4879294}">
      <text>
        <r>
          <rPr>
            <b/>
            <sz val="12"/>
            <color indexed="81"/>
            <rFont val="TH SarabunPSK"/>
            <family val="2"/>
          </rPr>
          <t>Worachai K.:</t>
        </r>
        <r>
          <rPr>
            <sz val="12"/>
            <color indexed="81"/>
            <rFont val="TH SarabunPSK"/>
            <family val="2"/>
          </rPr>
          <t xml:space="preserve">
ข้อมูลแสดงเอง
เขียนสูตรไว้</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Worachai K.</author>
  </authors>
  <commentList>
    <comment ref="H2" authorId="0" shapeId="0" xr:uid="{DD7429BE-DB83-45A0-868B-208B60357E3F}">
      <text>
        <r>
          <rPr>
            <b/>
            <sz val="12"/>
            <color indexed="81"/>
            <rFont val="TH SarabunPSK"/>
            <family val="2"/>
          </rPr>
          <t>Worachai K.:</t>
        </r>
        <r>
          <rPr>
            <sz val="12"/>
            <color indexed="81"/>
            <rFont val="TH SarabunPSK"/>
            <family val="2"/>
          </rPr>
          <t xml:space="preserve">
เลือกตามรายการ
พิมพ์ไม่ได้</t>
        </r>
      </text>
    </comment>
    <comment ref="I2" authorId="0" shapeId="0" xr:uid="{67EC5716-ACA0-4F3A-B140-F0A286263F3A}">
      <text>
        <r>
          <rPr>
            <b/>
            <sz val="12"/>
            <color indexed="81"/>
            <rFont val="TH SarabunPSK"/>
            <family val="2"/>
          </rPr>
          <t>Worachai K.:</t>
        </r>
        <r>
          <rPr>
            <sz val="12"/>
            <color indexed="81"/>
            <rFont val="TH SarabunPSK"/>
            <family val="2"/>
          </rPr>
          <t xml:space="preserve">
ข้อมูลแสดงเอง
เขียนสูตรไว้</t>
        </r>
      </text>
    </comment>
    <comment ref="L2" authorId="0" shapeId="0" xr:uid="{5606CDB2-CCE2-4900-96C5-16E48F48209C}">
      <text>
        <r>
          <rPr>
            <b/>
            <sz val="12"/>
            <color indexed="81"/>
            <rFont val="TH SarabunPSK"/>
            <family val="2"/>
          </rPr>
          <t>Worachai K.:</t>
        </r>
        <r>
          <rPr>
            <sz val="12"/>
            <color indexed="81"/>
            <rFont val="TH SarabunPSK"/>
            <family val="2"/>
          </rPr>
          <t xml:space="preserve">
ข้อมูลแสดงเอง
เขียนสูตรไว้</t>
        </r>
      </text>
    </comment>
    <comment ref="N2" authorId="0" shapeId="0" xr:uid="{B7FF7331-06EC-413B-97D3-A081CB7E8D7E}">
      <text>
        <r>
          <rPr>
            <b/>
            <sz val="12"/>
            <color indexed="81"/>
            <rFont val="TH SarabunPSK"/>
            <family val="2"/>
          </rPr>
          <t>Worachai K.:</t>
        </r>
        <r>
          <rPr>
            <sz val="12"/>
            <color indexed="81"/>
            <rFont val="TH SarabunPSK"/>
            <family val="2"/>
          </rPr>
          <t xml:space="preserve">
เลือกตามรายการ
พิมพ์ไม่ได้</t>
        </r>
      </text>
    </comment>
    <comment ref="O2" authorId="0" shapeId="0" xr:uid="{A0EDD243-A2EB-4964-A86D-BB7DF3DC74C6}">
      <text>
        <r>
          <rPr>
            <b/>
            <sz val="12"/>
            <color indexed="81"/>
            <rFont val="TH SarabunPSK"/>
            <family val="2"/>
          </rPr>
          <t>Worachai K.:</t>
        </r>
        <r>
          <rPr>
            <sz val="12"/>
            <color indexed="81"/>
            <rFont val="TH SarabunPSK"/>
            <family val="2"/>
          </rPr>
          <t xml:space="preserve">
ข้อมูลแสดงเอง
เขียนสูตรไว้</t>
        </r>
      </text>
    </comment>
    <comment ref="Q2" authorId="0" shapeId="0" xr:uid="{C25A2650-FF9B-469B-9222-FB5B0D3BD6DF}">
      <text>
        <r>
          <rPr>
            <b/>
            <sz val="12"/>
            <color indexed="81"/>
            <rFont val="TH SarabunPSK"/>
            <family val="2"/>
          </rPr>
          <t>Worachai K.:</t>
        </r>
        <r>
          <rPr>
            <sz val="12"/>
            <color indexed="81"/>
            <rFont val="TH SarabunPSK"/>
            <family val="2"/>
          </rPr>
          <t xml:space="preserve">
ข้อมูลแสดงเอง
เขียนสูตรไว้</t>
        </r>
      </text>
    </comment>
  </commentList>
</comments>
</file>

<file path=xl/sharedStrings.xml><?xml version="1.0" encoding="utf-8"?>
<sst xmlns="http://schemas.openxmlformats.org/spreadsheetml/2006/main" count="5254" uniqueCount="66">
  <si>
    <t>No.</t>
  </si>
  <si>
    <t>Job No.</t>
  </si>
  <si>
    <t>SAP No.</t>
  </si>
  <si>
    <t>เวลาที่
รับแจ้ง</t>
  </si>
  <si>
    <t>ตำแหน่ง / สถานที่</t>
  </si>
  <si>
    <t>รายละเอียดงานแจ้ง</t>
  </si>
  <si>
    <t>ระยะเวลาในการ ตอบรับการบริการ</t>
  </si>
  <si>
    <t>รายละเอียดการดำเนินงาน</t>
  </si>
  <si>
    <t>ระยะเวลาในการ ดำเนินการแก้ไข</t>
  </si>
  <si>
    <t>หมายเหตุ</t>
  </si>
  <si>
    <t>KPI No.</t>
  </si>
  <si>
    <t>เวลามาตรฐาน</t>
  </si>
  <si>
    <t>เวลาอนุมัติการซ่อม</t>
  </si>
  <si>
    <t>เวลาถึงหน้างาน</t>
  </si>
  <si>
    <t>ผล KPI 1</t>
  </si>
  <si>
    <t>เสร็จงาน/หยุดงาน</t>
  </si>
  <si>
    <t>ผล KPI2</t>
  </si>
  <si>
    <t>ผล KPI3</t>
  </si>
  <si>
    <t>P</t>
  </si>
  <si>
    <t>O</t>
  </si>
  <si>
    <t>KPI1</t>
  </si>
  <si>
    <t>KPI2</t>
  </si>
  <si>
    <t>KPI3</t>
  </si>
  <si>
    <t>A</t>
  </si>
  <si>
    <t>เปิดไฟส่องสว่าง</t>
  </si>
  <si>
    <t>4.2</t>
  </si>
  <si>
    <t>-</t>
  </si>
  <si>
    <t>Sat-1 ชั้น2 / Gate S109</t>
  </si>
  <si>
    <t>ทำการเปิดไฟผ่านระบบ LCS ไฟติดปกติคับ</t>
  </si>
  <si>
    <t>มีเอกสาร</t>
  </si>
  <si>
    <t>การจัดทำรายงานและส่งเอกสารประจำวันตามกำหนด</t>
  </si>
  <si>
    <t>การจัดทำรายงานและส่งเอกสารประจำเดือนตามกำหนด</t>
  </si>
  <si>
    <t>การจัดทำรายงายและส่งรายงานตามผู้ว่าจ้างสั่งการ</t>
  </si>
  <si>
    <t>ระบบการจ่ายไฟฟ้าแรงดันต่ำ (Low Voltage System : LV.)</t>
  </si>
  <si>
    <t>งานไฟฟ้าอาคารผู้โดยสาร อาคารเทียบเครื่องบิน และกลุ่มอาคารทั่วไป ท่าอากาศยานสุวรรณภูมิ</t>
  </si>
  <si>
    <t>รายงานประจำวัน การปฏิบัติงานซ่อมแซมแก้ไข (Corrective Maintenance)</t>
  </si>
  <si>
    <t>ประจำเดือน</t>
  </si>
  <si>
    <t>ตั้งแต่เวลา 07:00 - 24:00 น. ถึง 00:00 - 07:00 น.</t>
  </si>
  <si>
    <t>รายละเอียดสรุปข้อมูล
การปฏิบัติงานซ่อมแซมแก้ไข (Corrective Maintenance : CM)</t>
  </si>
  <si>
    <t>ปริมาณของงาน การปฏิบัติงานซ่อมแซมแก้ไข (Corrective Maintenance : CM) ประจำวันที่ผ่านมา</t>
  </si>
  <si>
    <t>ปริมาณงานทั้งหมด</t>
  </si>
  <si>
    <t>งาน</t>
  </si>
  <si>
    <t>ดำเนินการแก้ไขเสร็จแล้ว</t>
  </si>
  <si>
    <t>ดำเนินการแก้ไขยังไม่แล้วเสร็จ</t>
  </si>
  <si>
    <t>พื้นที่ งานระบบไฟฟ้าสำหรับอาคารผู้โดยสาร และอาคารเทียบเครื่องบิน</t>
  </si>
  <si>
    <t>พื้นที่ งานระบบไฟฟ้าสำหรับอาคารทั่วไป</t>
  </si>
  <si>
    <t>พื้นที่ งานระบบไฟฟ้าสำหรับเขตปลอดอากร และคลังสินค้า  (Free Zone)</t>
  </si>
  <si>
    <t>พื้นที่ งานระบบไฟฟ้าสำหรับอาคารเทียบเครื่องบินรองหลังที่ 1 (SAT-1)</t>
  </si>
  <si>
    <t xml:space="preserve"> </t>
  </si>
  <si>
    <t>การจัดทำรายงงานและส่งรายงานการประชุมตามกำหนด</t>
  </si>
  <si>
    <t>รายงานวิเคราะห์หาสาเหตุปัญหา</t>
  </si>
  <si>
    <t>สรุปผลการปฏิบัติงานซ่อมแซมแก้ไข (Corrective Maintenance : CM) ตามค่าดัชนีชี้วัดในการบำรุงรักษา (KPI)</t>
  </si>
  <si>
    <t>สรุปส่วนที่ 1 ระยะเวลาในตอบรับบริการ</t>
  </si>
  <si>
    <t>สรุปส่วนที่ 2 ระยะเวลาในการดำเนินการ</t>
  </si>
  <si>
    <t>สรุป SLA</t>
  </si>
  <si>
    <t>อยู่ในมาตรฐานกำหนด</t>
  </si>
  <si>
    <t>%</t>
  </si>
  <si>
    <t>เกินมาตรฐานกำหนด</t>
  </si>
  <si>
    <t>วิศวกร / ผู้ควบคุมโครงการ</t>
  </si>
  <si>
    <t>เจ้าหน้าที่ควบคุมงาน</t>
  </si>
  <si>
    <t>ลงชื่อ</t>
  </si>
  <si>
    <t>(</t>
  </si>
  <si>
    <t>)</t>
  </si>
  <si>
    <r>
      <rPr>
        <u/>
        <sz val="14"/>
        <color theme="1"/>
        <rFont val="TH Sarabun New"/>
        <family val="2"/>
      </rPr>
      <t>หมายเหตุ</t>
    </r>
    <r>
      <rPr>
        <sz val="14"/>
        <color theme="1"/>
        <rFont val="TH Sarabun New"/>
        <family val="2"/>
      </rPr>
      <t xml:space="preserve"> งานที่ดำเนินการแก้ไขยังไม่แล้วเสร็จ มีการดำเนินการติดตาม และกำลังดำเนินการแก้ไขต่อให้แล้วเสร็จ</t>
    </r>
  </si>
  <si>
    <t>วันที่</t>
  </si>
  <si>
    <t>พื้นที่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</si>
</sst>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7041E]d\ mmmm\ yyyy;@"/>
    <numFmt numFmtId="165" formatCode="[h]:mm"/>
    <numFmt numFmtId="166" formatCode="0.0%"/>
    <numFmt numFmtId="167" formatCode="[$-107041E]mmmm\ yyyy;@"/>
  </numFmts>
  <fonts count="18" x14ac:knownFonts="1">
    <font>
      <sz val="11"/>
      <color theme="1"/>
      <name val="Calibri"/>
      <family val="2"/>
      <scheme val="minor"/>
    </font>
    <font>
      <b/>
      <sz val="12"/>
      <color indexed="81"/>
      <name val="TH SarabunPSK"/>
      <family val="2"/>
    </font>
    <font>
      <sz val="12"/>
      <color indexed="81"/>
      <name val="TH SarabunPSK"/>
      <family val="2"/>
    </font>
    <font>
      <sz val="11"/>
      <color theme="1"/>
      <name val="Calibri"/>
      <family val="2"/>
      <scheme val="minor"/>
    </font>
    <font>
      <sz val="8"/>
      <name val="Calibri"/>
      <family val="2"/>
      <scheme val="minor"/>
    </font>
    <font>
      <sz val="14"/>
      <color theme="1"/>
      <name val="TH SarabunPSK"/>
      <family val="2"/>
      <charset val="222"/>
    </font>
    <font>
      <b/>
      <sz val="22"/>
      <color theme="1"/>
      <name val="TH Sarabun New"/>
      <family val="2"/>
    </font>
    <font>
      <b/>
      <sz val="18"/>
      <color theme="1"/>
      <name val="TH Sarabun New"/>
      <family val="2"/>
    </font>
    <font>
      <b/>
      <sz val="20"/>
      <color theme="1"/>
      <name val="TH Sarabun New"/>
      <family val="2"/>
    </font>
    <font>
      <sz val="11"/>
      <color theme="1"/>
      <name val="TH Sarabun New"/>
      <family val="2"/>
    </font>
    <font>
      <sz val="22"/>
      <color theme="1"/>
      <name val="TH Sarabun New"/>
      <family val="2"/>
    </font>
    <font>
      <sz val="20"/>
      <color theme="1"/>
      <name val="TH Sarabun New"/>
      <family val="2"/>
    </font>
    <font>
      <sz val="18"/>
      <color theme="1"/>
      <name val="TH Sarabun New"/>
      <family val="2"/>
    </font>
    <font>
      <sz val="14"/>
      <color theme="1"/>
      <name val="TH Sarabun New"/>
      <family val="2"/>
    </font>
    <font>
      <b/>
      <sz val="11"/>
      <color theme="1"/>
      <name val="TH Sarabun New"/>
      <family val="2"/>
    </font>
    <font>
      <sz val="16"/>
      <color theme="1"/>
      <name val="TH Sarabun New"/>
      <family val="2"/>
    </font>
    <font>
      <b/>
      <sz val="16"/>
      <color theme="1"/>
      <name val="TH Sarabun New"/>
      <family val="2"/>
    </font>
    <font>
      <u/>
      <sz val="14"/>
      <color theme="1"/>
      <name val="TH Sarabun New"/>
      <family val="2"/>
    </font>
  </fonts>
  <fills count="1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CFFFF"/>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hair">
        <color indexed="64"/>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right/>
      <top style="hair">
        <color theme="0"/>
      </top>
      <bottom/>
      <diagonal/>
    </border>
    <border>
      <left style="thin">
        <color auto="1"/>
      </left>
      <right style="thin">
        <color auto="1"/>
      </right>
      <top/>
      <bottom style="thin">
        <color auto="1"/>
      </bottom>
      <diagonal/>
    </border>
  </borders>
  <cellStyleXfs count="3">
    <xf numFmtId="0" fontId="0" fillId="0" borderId="0"/>
    <xf numFmtId="9" fontId="3" fillId="0" borderId="0" applyFont="0" applyFill="0" applyBorder="0" applyAlignment="0" applyProtection="0"/>
    <xf numFmtId="0" fontId="5" fillId="0" borderId="0"/>
  </cellStyleXfs>
  <cellXfs count="170">
    <xf numFmtId="0" fontId="0" fillId="0" borderId="0" xfId="0"/>
    <xf numFmtId="0" fontId="9" fillId="0" borderId="0" xfId="0" applyFont="1"/>
    <xf numFmtId="0" fontId="6"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0" fillId="0" borderId="1" xfId="0" applyFont="1" applyBorder="1" applyAlignment="1">
      <alignment horizontal="center" vertical="top"/>
    </xf>
    <xf numFmtId="20" fontId="10" fillId="0" borderId="1" xfId="0" applyNumberFormat="1" applyFont="1" applyBorder="1" applyAlignment="1">
      <alignment horizontal="center" vertical="top"/>
    </xf>
    <xf numFmtId="164" fontId="10" fillId="0" borderId="1" xfId="0" applyNumberFormat="1" applyFont="1" applyBorder="1" applyAlignment="1">
      <alignment horizontal="center" vertical="top" wrapText="1"/>
    </xf>
    <xf numFmtId="0" fontId="11" fillId="0" borderId="1" xfId="0" applyFont="1" applyBorder="1" applyAlignment="1">
      <alignment horizontal="center" vertical="top"/>
    </xf>
    <xf numFmtId="164" fontId="11" fillId="0" borderId="1" xfId="0" applyNumberFormat="1" applyFont="1" applyBorder="1" applyAlignment="1">
      <alignment horizontal="center" vertical="top" wrapText="1"/>
    </xf>
    <xf numFmtId="165" fontId="11" fillId="0" borderId="1" xfId="0" applyNumberFormat="1" applyFont="1" applyBorder="1" applyAlignment="1">
      <alignment horizontal="center" vertical="top"/>
    </xf>
    <xf numFmtId="20" fontId="11" fillId="0" borderId="1" xfId="0" applyNumberFormat="1" applyFont="1" applyBorder="1" applyAlignment="1">
      <alignment horizontal="center" vertical="top"/>
    </xf>
    <xf numFmtId="0" fontId="11" fillId="0" borderId="1" xfId="0" applyFont="1" applyBorder="1" applyAlignment="1">
      <alignment horizontal="center" vertical="top" wrapText="1"/>
    </xf>
    <xf numFmtId="164" fontId="11" fillId="0" borderId="2" xfId="0" applyNumberFormat="1" applyFont="1" applyBorder="1" applyAlignment="1">
      <alignment horizontal="center" vertical="top" wrapText="1"/>
    </xf>
    <xf numFmtId="164" fontId="11" fillId="0" borderId="3" xfId="0" applyNumberFormat="1" applyFont="1" applyBorder="1" applyAlignment="1">
      <alignment horizontal="center" vertical="top" wrapText="1"/>
    </xf>
    <xf numFmtId="0" fontId="12"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xf>
    <xf numFmtId="164" fontId="11" fillId="0" borderId="2" xfId="0" applyNumberFormat="1" applyFont="1" applyBorder="1" applyAlignment="1">
      <alignment horizontal="center" vertical="center" wrapText="1"/>
    </xf>
    <xf numFmtId="0" fontId="10" fillId="0" borderId="1" xfId="0" quotePrefix="1" applyFont="1" applyBorder="1" applyAlignment="1">
      <alignment horizontal="center" vertical="top"/>
    </xf>
    <xf numFmtId="0" fontId="10" fillId="0" borderId="12" xfId="0" applyFont="1" applyBorder="1" applyAlignment="1">
      <alignment horizontal="center" vertical="top"/>
    </xf>
    <xf numFmtId="0" fontId="10" fillId="0" borderId="13" xfId="0" applyFont="1" applyBorder="1" applyAlignment="1">
      <alignment horizontal="center" vertical="top"/>
    </xf>
    <xf numFmtId="20" fontId="10" fillId="0" borderId="14" xfId="0" applyNumberFormat="1" applyFont="1" applyBorder="1" applyAlignment="1">
      <alignment horizontal="center" vertical="top"/>
    </xf>
    <xf numFmtId="164" fontId="10" fillId="0" borderId="11" xfId="0" applyNumberFormat="1" applyFont="1" applyBorder="1" applyAlignment="1">
      <alignment horizontal="center" vertical="top" wrapText="1"/>
    </xf>
    <xf numFmtId="20" fontId="10" fillId="0" borderId="13" xfId="0" applyNumberFormat="1" applyFont="1" applyBorder="1" applyAlignment="1">
      <alignment horizontal="center" vertical="top"/>
    </xf>
    <xf numFmtId="0" fontId="11" fillId="0" borderId="14" xfId="0" applyFont="1" applyBorder="1" applyAlignment="1">
      <alignment horizontal="center" vertical="top"/>
    </xf>
    <xf numFmtId="164" fontId="11" fillId="0" borderId="11" xfId="0" applyNumberFormat="1" applyFont="1" applyBorder="1" applyAlignment="1">
      <alignment horizontal="center" vertical="top" wrapText="1"/>
    </xf>
    <xf numFmtId="0" fontId="11" fillId="0" borderId="15" xfId="0" applyFont="1" applyBorder="1" applyAlignment="1">
      <alignment horizontal="center" vertical="top"/>
    </xf>
    <xf numFmtId="165" fontId="11" fillId="0" borderId="13" xfId="0" applyNumberFormat="1" applyFont="1" applyBorder="1" applyAlignment="1">
      <alignment horizontal="center" vertical="top"/>
    </xf>
    <xf numFmtId="20" fontId="11" fillId="0" borderId="13" xfId="0" applyNumberFormat="1" applyFont="1" applyBorder="1" applyAlignment="1">
      <alignment horizontal="center" vertical="top"/>
    </xf>
    <xf numFmtId="0" fontId="10" fillId="0" borderId="4" xfId="2" applyFont="1" applyBorder="1" applyAlignment="1">
      <alignment horizontal="center" vertical="top"/>
    </xf>
    <xf numFmtId="0" fontId="10" fillId="0" borderId="5" xfId="2" applyFont="1" applyBorder="1" applyAlignment="1">
      <alignment horizontal="center" vertical="top"/>
    </xf>
    <xf numFmtId="20" fontId="10" fillId="0" borderId="6" xfId="2" applyNumberFormat="1" applyFont="1" applyBorder="1" applyAlignment="1">
      <alignment horizontal="center" vertical="top"/>
    </xf>
    <xf numFmtId="164" fontId="10" fillId="0" borderId="3" xfId="2" applyNumberFormat="1" applyFont="1" applyBorder="1" applyAlignment="1">
      <alignment horizontal="center" vertical="top" wrapText="1"/>
    </xf>
    <xf numFmtId="0" fontId="10" fillId="0" borderId="10" xfId="2" applyFont="1" applyBorder="1" applyAlignment="1">
      <alignment horizontal="center" vertical="top"/>
    </xf>
    <xf numFmtId="20" fontId="10" fillId="0" borderId="5" xfId="2" applyNumberFormat="1" applyFont="1" applyBorder="1" applyAlignment="1">
      <alignment horizontal="center" vertical="top"/>
    </xf>
    <xf numFmtId="0" fontId="11" fillId="0" borderId="6" xfId="2" applyFont="1" applyBorder="1" applyAlignment="1">
      <alignment horizontal="center" vertical="top"/>
    </xf>
    <xf numFmtId="164" fontId="11" fillId="0" borderId="3" xfId="2" applyNumberFormat="1" applyFont="1" applyBorder="1" applyAlignment="1">
      <alignment horizontal="center" vertical="top" wrapText="1"/>
    </xf>
    <xf numFmtId="0" fontId="11" fillId="0" borderId="7" xfId="2" applyFont="1" applyBorder="1" applyAlignment="1">
      <alignment horizontal="center" vertical="top"/>
    </xf>
    <xf numFmtId="165" fontId="11" fillId="0" borderId="5" xfId="2" applyNumberFormat="1" applyFont="1" applyBorder="1" applyAlignment="1">
      <alignment horizontal="center" vertical="top"/>
    </xf>
    <xf numFmtId="20" fontId="11" fillId="0" borderId="5" xfId="2" applyNumberFormat="1" applyFont="1" applyBorder="1" applyAlignment="1">
      <alignment horizontal="center" vertical="top"/>
    </xf>
    <xf numFmtId="0" fontId="10" fillId="0" borderId="7" xfId="2" applyFont="1" applyBorder="1" applyAlignment="1">
      <alignment horizontal="center" vertical="top"/>
    </xf>
    <xf numFmtId="0" fontId="10" fillId="0" borderId="8" xfId="2" applyFont="1" applyBorder="1" applyAlignment="1">
      <alignment horizontal="center" vertical="top"/>
    </xf>
    <xf numFmtId="20" fontId="10" fillId="0" borderId="9" xfId="2" applyNumberFormat="1" applyFont="1" applyBorder="1" applyAlignment="1">
      <alignment horizontal="center" vertical="top"/>
    </xf>
    <xf numFmtId="164" fontId="10" fillId="0" borderId="2" xfId="2" applyNumberFormat="1" applyFont="1" applyBorder="1" applyAlignment="1">
      <alignment horizontal="center" vertical="top" wrapText="1"/>
    </xf>
    <xf numFmtId="20" fontId="10" fillId="0" borderId="8" xfId="2" applyNumberFormat="1" applyFont="1" applyBorder="1" applyAlignment="1">
      <alignment horizontal="center" vertical="top"/>
    </xf>
    <xf numFmtId="0" fontId="11" fillId="0" borderId="9" xfId="2" applyFont="1" applyBorder="1" applyAlignment="1">
      <alignment horizontal="center" vertical="top"/>
    </xf>
    <xf numFmtId="164" fontId="11" fillId="0" borderId="2" xfId="2" applyNumberFormat="1" applyFont="1" applyBorder="1" applyAlignment="1">
      <alignment horizontal="center" vertical="top" wrapText="1"/>
    </xf>
    <xf numFmtId="165" fontId="11" fillId="0" borderId="8" xfId="2" applyNumberFormat="1" applyFont="1" applyBorder="1" applyAlignment="1">
      <alignment horizontal="center" vertical="top"/>
    </xf>
    <xf numFmtId="20" fontId="11" fillId="0" borderId="8" xfId="2" applyNumberFormat="1" applyFont="1" applyBorder="1" applyAlignment="1">
      <alignment horizontal="center" vertical="top"/>
    </xf>
    <xf numFmtId="0" fontId="11" fillId="0" borderId="4" xfId="2" applyFont="1" applyBorder="1" applyAlignment="1">
      <alignment horizontal="center" vertical="top"/>
    </xf>
    <xf numFmtId="49" fontId="10" fillId="0" borderId="1" xfId="0" applyNumberFormat="1" applyFont="1" applyBorder="1" applyAlignment="1">
      <alignment horizontal="center" vertical="top" wrapText="1"/>
    </xf>
    <xf numFmtId="0" fontId="11" fillId="0" borderId="1" xfId="0" applyFont="1" applyBorder="1" applyAlignment="1">
      <alignment vertical="top"/>
    </xf>
    <xf numFmtId="0" fontId="6" fillId="0" borderId="0" xfId="0" applyFont="1" applyAlignment="1">
      <alignment horizontal="center" vertical="center"/>
    </xf>
    <xf numFmtId="0" fontId="8" fillId="0" borderId="0" xfId="0" applyFont="1" applyAlignment="1">
      <alignment horizontal="center" vertical="center"/>
    </xf>
    <xf numFmtId="166" fontId="8" fillId="0" borderId="0" xfId="1" applyNumberFormat="1" applyFont="1" applyFill="1" applyBorder="1" applyAlignment="1">
      <alignment horizontal="center" vertical="center"/>
    </xf>
    <xf numFmtId="0" fontId="14" fillId="0" borderId="0" xfId="0" applyFont="1" applyAlignment="1">
      <alignment horizontal="center" vertical="center"/>
    </xf>
    <xf numFmtId="0" fontId="10" fillId="0" borderId="0" xfId="0" applyFont="1"/>
    <xf numFmtId="0" fontId="11" fillId="0" borderId="0" xfId="0" applyFont="1"/>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xf>
    <xf numFmtId="0" fontId="8" fillId="0" borderId="1" xfId="0" applyFont="1" applyBorder="1" applyAlignment="1">
      <alignment horizontal="center" vertical="center"/>
    </xf>
    <xf numFmtId="166" fontId="8" fillId="0" borderId="1" xfId="1" applyNumberFormat="1" applyFont="1" applyBorder="1" applyAlignment="1">
      <alignment horizontal="center"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2" fillId="0" borderId="1" xfId="0" applyFont="1" applyBorder="1" applyAlignment="1">
      <alignment horizontal="center" vertical="top"/>
    </xf>
    <xf numFmtId="0" fontId="13" fillId="0" borderId="1" xfId="0" applyFont="1" applyBorder="1" applyAlignment="1">
      <alignment horizontal="center" vertical="top"/>
    </xf>
    <xf numFmtId="20" fontId="13" fillId="0" borderId="1" xfId="0" applyNumberFormat="1" applyFont="1" applyBorder="1" applyAlignment="1">
      <alignment horizontal="center" vertical="top"/>
    </xf>
    <xf numFmtId="164" fontId="13" fillId="0" borderId="1" xfId="0" applyNumberFormat="1" applyFont="1" applyBorder="1" applyAlignment="1">
      <alignment horizontal="center" vertical="top" wrapText="1"/>
    </xf>
    <xf numFmtId="165" fontId="13" fillId="0" borderId="1" xfId="0" applyNumberFormat="1" applyFont="1" applyBorder="1" applyAlignment="1">
      <alignment horizontal="center" vertical="top"/>
    </xf>
    <xf numFmtId="164" fontId="12" fillId="0" borderId="1" xfId="0" applyNumberFormat="1" applyFont="1" applyBorder="1" applyAlignment="1">
      <alignment horizontal="center" vertical="top" wrapText="1"/>
    </xf>
    <xf numFmtId="0" fontId="15" fillId="0" borderId="1" xfId="0" applyFont="1" applyBorder="1" applyAlignment="1">
      <alignment horizontal="center" vertical="top"/>
    </xf>
    <xf numFmtId="0" fontId="9" fillId="0" borderId="1" xfId="0" applyFont="1" applyBorder="1" applyAlignment="1">
      <alignment horizontal="center" vertical="top" wrapText="1"/>
    </xf>
    <xf numFmtId="0" fontId="9" fillId="0" borderId="1" xfId="0" applyFont="1" applyBorder="1" applyAlignment="1">
      <alignment horizontal="center" vertical="top"/>
    </xf>
    <xf numFmtId="164" fontId="13" fillId="2" borderId="2" xfId="0" applyNumberFormat="1" applyFont="1" applyFill="1" applyBorder="1" applyAlignment="1">
      <alignment horizontal="center" vertical="center" wrapText="1"/>
    </xf>
    <xf numFmtId="0" fontId="13" fillId="2" borderId="7" xfId="0" applyFont="1" applyFill="1" applyBorder="1" applyAlignment="1">
      <alignment horizontal="center" vertical="center"/>
    </xf>
    <xf numFmtId="20" fontId="13" fillId="2" borderId="8" xfId="0" applyNumberFormat="1" applyFont="1" applyFill="1" applyBorder="1" applyAlignment="1">
      <alignment horizontal="center" vertical="center"/>
    </xf>
    <xf numFmtId="0" fontId="13" fillId="2" borderId="9" xfId="0" applyFont="1" applyFill="1" applyBorder="1" applyAlignment="1">
      <alignment horizontal="center" vertical="center"/>
    </xf>
    <xf numFmtId="165" fontId="13" fillId="2" borderId="8" xfId="0" applyNumberFormat="1" applyFont="1" applyFill="1" applyBorder="1" applyAlignment="1">
      <alignment horizontal="center" vertical="center"/>
    </xf>
    <xf numFmtId="0" fontId="9" fillId="2" borderId="3" xfId="0" applyFont="1" applyFill="1" applyBorder="1" applyAlignment="1">
      <alignment horizontal="center" vertical="center"/>
    </xf>
    <xf numFmtId="0" fontId="13" fillId="2" borderId="8" xfId="0" applyFont="1" applyFill="1" applyBorder="1" applyAlignment="1">
      <alignment horizontal="center" vertical="center"/>
    </xf>
    <xf numFmtId="20" fontId="13" fillId="2" borderId="9" xfId="0" applyNumberFormat="1" applyFont="1" applyFill="1" applyBorder="1" applyAlignment="1">
      <alignment horizontal="center" vertical="center"/>
    </xf>
    <xf numFmtId="0" fontId="16" fillId="2" borderId="12" xfId="2" applyFont="1" applyFill="1" applyBorder="1" applyAlignment="1">
      <alignment vertical="center"/>
    </xf>
    <xf numFmtId="0" fontId="16" fillId="2" borderId="13" xfId="2" applyFont="1" applyFill="1" applyBorder="1" applyAlignment="1">
      <alignment vertical="center"/>
    </xf>
    <xf numFmtId="0" fontId="16" fillId="2" borderId="14" xfId="2" applyFont="1" applyFill="1" applyBorder="1" applyAlignment="1">
      <alignment vertical="center"/>
    </xf>
    <xf numFmtId="0" fontId="16" fillId="2" borderId="0" xfId="2" applyFont="1" applyFill="1" applyAlignment="1">
      <alignment vertical="center"/>
    </xf>
    <xf numFmtId="0" fontId="15" fillId="2" borderId="0" xfId="2" applyFont="1" applyFill="1" applyAlignment="1">
      <alignment vertical="center"/>
    </xf>
    <xf numFmtId="0" fontId="15" fillId="2" borderId="15" xfId="2" applyFont="1" applyFill="1" applyBorder="1" applyAlignment="1">
      <alignment vertical="center"/>
    </xf>
    <xf numFmtId="0" fontId="16" fillId="2" borderId="16" xfId="2" applyFont="1" applyFill="1" applyBorder="1" applyAlignment="1">
      <alignment vertical="center"/>
    </xf>
    <xf numFmtId="0" fontId="16" fillId="2" borderId="0" xfId="2" applyFont="1" applyFill="1" applyAlignment="1">
      <alignment horizontal="center" vertical="center"/>
    </xf>
    <xf numFmtId="0" fontId="15" fillId="2" borderId="16" xfId="2" applyFont="1" applyFill="1" applyBorder="1" applyAlignment="1">
      <alignment vertical="center"/>
    </xf>
    <xf numFmtId="0" fontId="13" fillId="2" borderId="12" xfId="2" applyFont="1" applyFill="1" applyBorder="1" applyAlignment="1">
      <alignment vertical="center"/>
    </xf>
    <xf numFmtId="0" fontId="13" fillId="2" borderId="13" xfId="2" applyFont="1" applyFill="1" applyBorder="1" applyAlignment="1">
      <alignment vertical="center"/>
    </xf>
    <xf numFmtId="0" fontId="13" fillId="2" borderId="13" xfId="2" applyFont="1" applyFill="1" applyBorder="1" applyAlignment="1">
      <alignment horizontal="left" vertical="center"/>
    </xf>
    <xf numFmtId="0" fontId="13" fillId="2" borderId="14" xfId="2" applyFont="1" applyFill="1" applyBorder="1" applyAlignment="1">
      <alignment horizontal="left" vertical="center"/>
    </xf>
    <xf numFmtId="0" fontId="13" fillId="2" borderId="0" xfId="2" applyFont="1" applyFill="1" applyAlignment="1">
      <alignment horizontal="left" vertical="center"/>
    </xf>
    <xf numFmtId="0" fontId="13" fillId="2" borderId="15" xfId="2" applyFont="1" applyFill="1" applyBorder="1" applyAlignment="1">
      <alignment vertical="center"/>
    </xf>
    <xf numFmtId="0" fontId="13" fillId="2" borderId="0" xfId="2" applyFont="1" applyFill="1" applyAlignment="1">
      <alignment vertical="center"/>
    </xf>
    <xf numFmtId="0" fontId="13" fillId="2" borderId="16" xfId="2" applyFont="1" applyFill="1" applyBorder="1" applyAlignment="1">
      <alignment vertical="center"/>
    </xf>
    <xf numFmtId="0" fontId="13" fillId="2" borderId="15" xfId="2" applyFont="1" applyFill="1" applyBorder="1" applyAlignment="1">
      <alignment horizontal="center" vertical="center"/>
    </xf>
    <xf numFmtId="0" fontId="13" fillId="2" borderId="0" xfId="2" applyFont="1" applyFill="1" applyAlignment="1">
      <alignment horizontal="center" vertical="center"/>
    </xf>
    <xf numFmtId="0" fontId="13" fillId="0" borderId="15" xfId="2" applyFont="1" applyBorder="1" applyAlignment="1">
      <alignment vertical="center" wrapText="1"/>
    </xf>
    <xf numFmtId="0" fontId="13" fillId="0" borderId="0" xfId="2" applyFont="1" applyAlignment="1">
      <alignment vertical="center" wrapText="1"/>
    </xf>
    <xf numFmtId="0" fontId="13" fillId="0" borderId="15" xfId="2" applyFont="1" applyBorder="1" applyAlignment="1">
      <alignment vertical="center"/>
    </xf>
    <xf numFmtId="0" fontId="13" fillId="0" borderId="0" xfId="2" applyFont="1" applyAlignment="1">
      <alignment vertical="center"/>
    </xf>
    <xf numFmtId="0" fontId="13" fillId="2" borderId="16" xfId="2" applyFont="1" applyFill="1" applyBorder="1" applyAlignment="1">
      <alignment horizontal="left" vertical="center"/>
    </xf>
    <xf numFmtId="0" fontId="13" fillId="0" borderId="0" xfId="2" applyFont="1" applyAlignment="1">
      <alignment horizontal="center" vertical="center"/>
    </xf>
    <xf numFmtId="0" fontId="13" fillId="0" borderId="0" xfId="2" applyFont="1" applyAlignment="1">
      <alignment horizontal="left" vertical="center"/>
    </xf>
    <xf numFmtId="0" fontId="13" fillId="4" borderId="0" xfId="2" applyFont="1" applyFill="1" applyAlignment="1">
      <alignment vertical="center"/>
    </xf>
    <xf numFmtId="0" fontId="13" fillId="4" borderId="0" xfId="2" applyFont="1" applyFill="1" applyAlignment="1">
      <alignment horizontal="left" vertical="center"/>
    </xf>
    <xf numFmtId="0" fontId="13" fillId="2" borderId="21" xfId="2" applyFont="1" applyFill="1" applyBorder="1" applyAlignment="1">
      <alignment vertical="center"/>
    </xf>
    <xf numFmtId="0" fontId="13" fillId="2" borderId="15" xfId="2" applyFont="1" applyFill="1" applyBorder="1" applyAlignment="1">
      <alignment horizontal="left" vertical="center"/>
    </xf>
    <xf numFmtId="0" fontId="13" fillId="2" borderId="15" xfId="2" applyFont="1" applyFill="1" applyBorder="1" applyAlignment="1">
      <alignment horizontal="right" vertical="center"/>
    </xf>
    <xf numFmtId="0" fontId="13" fillId="2" borderId="0" xfId="2" applyFont="1" applyFill="1" applyAlignment="1">
      <alignment horizontal="right" vertical="center"/>
    </xf>
    <xf numFmtId="0" fontId="13" fillId="2" borderId="0" xfId="2" applyFont="1" applyFill="1"/>
    <xf numFmtId="0" fontId="13" fillId="2" borderId="0" xfId="2" applyFont="1" applyFill="1" applyAlignment="1">
      <alignment horizontal="center"/>
    </xf>
    <xf numFmtId="0" fontId="13" fillId="2" borderId="18" xfId="2" applyFont="1" applyFill="1" applyBorder="1" applyAlignment="1">
      <alignment vertical="center"/>
    </xf>
    <xf numFmtId="0" fontId="13" fillId="2" borderId="19" xfId="2" applyFont="1" applyFill="1" applyBorder="1" applyAlignment="1">
      <alignment vertical="center"/>
    </xf>
    <xf numFmtId="0" fontId="13" fillId="2" borderId="20" xfId="2" applyFont="1" applyFill="1" applyBorder="1" applyAlignment="1">
      <alignment vertical="center"/>
    </xf>
    <xf numFmtId="164" fontId="11" fillId="0" borderId="1" xfId="0" applyNumberFormat="1" applyFont="1" applyBorder="1" applyAlignment="1">
      <alignment horizontal="center" vertical="center" wrapText="1"/>
    </xf>
    <xf numFmtId="0" fontId="12" fillId="0" borderId="1" xfId="0" applyFont="1" applyBorder="1" applyAlignment="1">
      <alignment horizontal="center" vertical="top" wrapText="1"/>
    </xf>
    <xf numFmtId="49" fontId="13" fillId="0" borderId="1" xfId="0" applyNumberFormat="1" applyFont="1" applyBorder="1" applyAlignment="1">
      <alignment horizontal="center" vertical="top" wrapText="1"/>
    </xf>
    <xf numFmtId="0" fontId="6" fillId="5" borderId="0" xfId="0" applyFont="1" applyFill="1" applyAlignment="1">
      <alignment horizontal="center" vertical="center"/>
    </xf>
    <xf numFmtId="0" fontId="6" fillId="4" borderId="0" xfId="0" applyFont="1" applyFill="1" applyAlignment="1">
      <alignment horizontal="center" vertical="center"/>
    </xf>
    <xf numFmtId="166" fontId="8" fillId="0" borderId="0" xfId="1" applyNumberFormat="1" applyFont="1" applyBorder="1" applyAlignment="1">
      <alignment horizontal="center" vertical="center"/>
    </xf>
    <xf numFmtId="0" fontId="13" fillId="0" borderId="1" xfId="2" applyFont="1" applyBorder="1" applyAlignment="1">
      <alignment horizontal="center" vertical="top"/>
    </xf>
    <xf numFmtId="20" fontId="13" fillId="0" borderId="1" xfId="2" applyNumberFormat="1" applyFont="1" applyBorder="1" applyAlignment="1">
      <alignment horizontal="center" vertical="top"/>
    </xf>
    <xf numFmtId="164" fontId="13" fillId="0" borderId="1" xfId="2" applyNumberFormat="1" applyFont="1" applyBorder="1" applyAlignment="1">
      <alignment horizontal="center" vertical="top" wrapText="1"/>
    </xf>
    <xf numFmtId="165" fontId="13" fillId="0" borderId="1" xfId="2" applyNumberFormat="1" applyFont="1" applyBorder="1" applyAlignment="1">
      <alignment horizontal="center" vertical="top"/>
    </xf>
    <xf numFmtId="167" fontId="16" fillId="2" borderId="0" xfId="2" applyNumberFormat="1" applyFont="1" applyFill="1" applyAlignment="1">
      <alignment vertical="center"/>
    </xf>
    <xf numFmtId="1" fontId="13" fillId="2" borderId="0" xfId="2" applyNumberFormat="1" applyFont="1" applyFill="1" applyAlignment="1">
      <alignment horizontal="right" vertical="center"/>
    </xf>
    <xf numFmtId="0" fontId="13" fillId="2" borderId="0" xfId="2" applyFont="1" applyFill="1" applyAlignment="1">
      <alignment horizontal="left" vertical="center" indent="2"/>
    </xf>
    <xf numFmtId="0" fontId="10" fillId="0" borderId="15" xfId="0" applyFont="1" applyBorder="1" applyAlignment="1">
      <alignment horizontal="center" vertical="top"/>
    </xf>
    <xf numFmtId="0" fontId="13" fillId="2" borderId="17" xfId="2" applyFont="1" applyFill="1" applyBorder="1" applyAlignment="1">
      <alignment horizontal="center"/>
    </xf>
    <xf numFmtId="0" fontId="13" fillId="2" borderId="0" xfId="2" applyFont="1" applyFill="1" applyAlignment="1">
      <alignment horizontal="center"/>
    </xf>
    <xf numFmtId="0" fontId="13" fillId="2" borderId="0" xfId="2" applyFont="1" applyFill="1" applyAlignment="1">
      <alignment horizontal="center" vertical="center"/>
    </xf>
    <xf numFmtId="0" fontId="13" fillId="2" borderId="0" xfId="2" applyFont="1" applyFill="1" applyAlignment="1">
      <alignment horizontal="left" vertical="center"/>
    </xf>
    <xf numFmtId="0" fontId="13" fillId="2" borderId="16" xfId="2" applyFont="1" applyFill="1" applyBorder="1" applyAlignment="1">
      <alignment horizontal="left" vertical="center"/>
    </xf>
    <xf numFmtId="0" fontId="13" fillId="10" borderId="0" xfId="2" applyFont="1" applyFill="1" applyAlignment="1">
      <alignment horizontal="center" vertical="center"/>
    </xf>
    <xf numFmtId="0" fontId="13" fillId="7" borderId="0" xfId="2" applyFont="1" applyFill="1" applyAlignment="1">
      <alignment horizontal="left" vertical="center" wrapText="1"/>
    </xf>
    <xf numFmtId="0" fontId="13" fillId="8" borderId="0" xfId="2" applyFont="1" applyFill="1" applyAlignment="1">
      <alignment horizontal="left" vertical="center" wrapText="1"/>
    </xf>
    <xf numFmtId="0" fontId="13" fillId="9" borderId="0" xfId="2" applyFont="1" applyFill="1" applyAlignment="1">
      <alignment horizontal="left" vertical="center" wrapText="1"/>
    </xf>
    <xf numFmtId="0" fontId="16" fillId="3" borderId="12" xfId="2" applyFont="1" applyFill="1" applyBorder="1" applyAlignment="1">
      <alignment horizontal="center" vertical="center" wrapText="1"/>
    </xf>
    <xf numFmtId="0" fontId="16" fillId="3" borderId="13" xfId="2" applyFont="1" applyFill="1" applyBorder="1" applyAlignment="1">
      <alignment horizontal="center" vertical="center"/>
    </xf>
    <xf numFmtId="0" fontId="16" fillId="3" borderId="14" xfId="2" applyFont="1" applyFill="1" applyBorder="1" applyAlignment="1">
      <alignment horizontal="center" vertical="center"/>
    </xf>
    <xf numFmtId="0" fontId="16" fillId="3" borderId="18" xfId="2" applyFont="1" applyFill="1" applyBorder="1" applyAlignment="1">
      <alignment horizontal="center" vertical="center"/>
    </xf>
    <xf numFmtId="0" fontId="16" fillId="3" borderId="19" xfId="2" applyFont="1" applyFill="1" applyBorder="1" applyAlignment="1">
      <alignment horizontal="center" vertical="center"/>
    </xf>
    <xf numFmtId="0" fontId="16" fillId="3" borderId="20" xfId="2" applyFont="1" applyFill="1" applyBorder="1" applyAlignment="1">
      <alignment horizontal="center" vertical="center"/>
    </xf>
    <xf numFmtId="0" fontId="13" fillId="6" borderId="0" xfId="2" applyFont="1" applyFill="1" applyAlignment="1">
      <alignment horizontal="left" vertical="center" wrapText="1"/>
    </xf>
    <xf numFmtId="0" fontId="16" fillId="2" borderId="15" xfId="2" applyFont="1" applyFill="1" applyBorder="1" applyAlignment="1">
      <alignment horizontal="center"/>
    </xf>
    <xf numFmtId="0" fontId="16" fillId="2" borderId="0" xfId="2" applyFont="1" applyFill="1" applyAlignment="1">
      <alignment horizontal="center"/>
    </xf>
    <xf numFmtId="0" fontId="16" fillId="2" borderId="16" xfId="2" applyFont="1" applyFill="1" applyBorder="1" applyAlignment="1">
      <alignment horizontal="center"/>
    </xf>
    <xf numFmtId="0" fontId="16" fillId="2" borderId="15" xfId="2" applyFont="1" applyFill="1" applyBorder="1" applyAlignment="1">
      <alignment horizontal="center" vertical="center"/>
    </xf>
    <xf numFmtId="0" fontId="16" fillId="2" borderId="0" xfId="2" applyFont="1" applyFill="1" applyAlignment="1">
      <alignment horizontal="center" vertical="center"/>
    </xf>
    <xf numFmtId="0" fontId="16" fillId="2" borderId="16" xfId="2" applyFont="1" applyFill="1" applyBorder="1" applyAlignment="1">
      <alignment horizontal="center" vertical="center"/>
    </xf>
    <xf numFmtId="0" fontId="16" fillId="2" borderId="0" xfId="2" applyFont="1" applyFill="1" applyAlignment="1">
      <alignment horizontal="right"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1" xfId="0" applyFont="1" applyFill="1" applyBorder="1" applyAlignment="1">
      <alignment horizontal="center" vertical="center"/>
    </xf>
    <xf numFmtId="0" fontId="6" fillId="4" borderId="22"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1" xfId="0" applyFont="1" applyFill="1" applyBorder="1" applyAlignment="1">
      <alignment horizontal="center" vertical="center"/>
    </xf>
    <xf numFmtId="0" fontId="7" fillId="4" borderId="22" xfId="0" applyFont="1" applyFill="1" applyBorder="1" applyAlignment="1">
      <alignment horizontal="center"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cellXfs>
  <cellStyles count="3">
    <cellStyle name="Normal" xfId="0" builtinId="0"/>
    <cellStyle name="Normal 2" xfId="2" xr:uid="{13582D5B-A4A6-447C-94B5-03BD71988C62}"/>
    <cellStyle name="Percent" xfId="1" builtinId="5"/>
  </cellStyles>
  <dxfs count="18">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
      <numFmt numFmtId="168"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33498</xdr:colOff>
      <xdr:row>0</xdr:row>
      <xdr:rowOff>28575</xdr:rowOff>
    </xdr:from>
    <xdr:ext cx="2160000" cy="665175"/>
    <xdr:pic>
      <xdr:nvPicPr>
        <xdr:cNvPr id="2" name="Picture 4">
          <a:extLst>
            <a:ext uri="{FF2B5EF4-FFF2-40B4-BE49-F238E27FC236}">
              <a16:creationId xmlns:a16="http://schemas.microsoft.com/office/drawing/2014/main" id="{431528EA-EBE5-4C06-BA85-4B6D4239BB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3498" y="28575"/>
          <a:ext cx="2160000" cy="665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TAOTAO/Downloads/25670801%20Daily%20CM%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KPI"/>
      <sheetName val="Daily CM"/>
      <sheetName val="1"/>
      <sheetName val="2"/>
      <sheetName val="3"/>
      <sheetName val="4"/>
    </sheetNames>
    <sheetDataSet>
      <sheetData sheetId="0">
        <row r="3">
          <cell r="A3" t="str">
            <v>1.1</v>
          </cell>
          <cell r="M3" t="str">
            <v>A</v>
          </cell>
          <cell r="N3">
            <v>2.0833333333333332E-2</v>
          </cell>
        </row>
        <row r="4">
          <cell r="M4" t="str">
            <v>B</v>
          </cell>
          <cell r="N4">
            <v>0.125</v>
          </cell>
        </row>
        <row r="5">
          <cell r="M5" t="str">
            <v>C</v>
          </cell>
          <cell r="N5">
            <v>1</v>
          </cell>
        </row>
        <row r="6">
          <cell r="M6" t="str">
            <v>D</v>
          </cell>
          <cell r="N6">
            <v>7</v>
          </cell>
        </row>
        <row r="7">
          <cell r="M7" t="str">
            <v>E</v>
          </cell>
          <cell r="N7">
            <v>14</v>
          </cell>
        </row>
        <row r="8">
          <cell r="M8" t="str">
            <v>F</v>
          </cell>
          <cell r="N8">
            <v>30</v>
          </cell>
        </row>
        <row r="103">
          <cell r="A103" t="str">
            <v>4.1</v>
          </cell>
          <cell r="B103" t="str">
            <v>การแจ้งเหตุต่อผู้ว่าจ้างกรณีฉุกเฉิน</v>
          </cell>
          <cell r="C103" t="str">
            <v>ทันที</v>
          </cell>
          <cell r="D103" t="str">
            <v>A</v>
          </cell>
          <cell r="E103" t="str">
            <v>สี่จุดหนึ่ง</v>
          </cell>
          <cell r="F103">
            <v>6.9444444444444447E-4</v>
          </cell>
        </row>
        <row r="104">
          <cell r="A104" t="str">
            <v>4.2</v>
          </cell>
          <cell r="B104" t="str">
            <v>การควบคุมการปิด-เปิดไฟแสงสว่างขัดข้อง</v>
          </cell>
          <cell r="C104">
            <v>15</v>
          </cell>
          <cell r="D104" t="str">
            <v>A</v>
          </cell>
          <cell r="E104" t="str">
            <v>สี่จุดสอง</v>
          </cell>
          <cell r="F104">
            <v>1.0416666666666666E-2</v>
          </cell>
        </row>
        <row r="105">
          <cell r="A105" t="str">
            <v>4.3</v>
          </cell>
          <cell r="B105" t="str">
            <v>เซอร์กิตเบรกเกอร์ "ทริป" (การตัดวงจรของเซอร์กิตเบรคเกอร์)</v>
          </cell>
          <cell r="C105">
            <v>20</v>
          </cell>
          <cell r="D105" t="str">
            <v>A</v>
          </cell>
          <cell r="E105" t="str">
            <v>สี่จุดสาม</v>
          </cell>
          <cell r="F105">
            <v>1.3888888888888888E-2</v>
          </cell>
        </row>
        <row r="106">
          <cell r="A106" t="str">
            <v>4.4</v>
          </cell>
          <cell r="B106" t="str">
            <v>ระบบไฟฟ้าแรงสูงขัดข้อง/กระพริบ</v>
          </cell>
          <cell r="C106">
            <v>20</v>
          </cell>
          <cell r="D106" t="str">
            <v>B</v>
          </cell>
          <cell r="E106" t="str">
            <v>สี่จุดสี่</v>
          </cell>
          <cell r="F106">
            <v>1.3888888888888888E-2</v>
          </cell>
        </row>
        <row r="107">
          <cell r="A107" t="str">
            <v>4.5</v>
          </cell>
          <cell r="B107" t="str">
            <v>สำรวจตรวจสอบโคมไฟ หรือซ่อมแซมหรือทำความสะอาด/โคม (อ้างอิงตาม ภาคผนวก ฌ.)</v>
          </cell>
          <cell r="C107">
            <v>20</v>
          </cell>
          <cell r="D107" t="str">
            <v>A, B, C, D</v>
          </cell>
          <cell r="E107" t="str">
            <v>สี่จุดห้า</v>
          </cell>
          <cell r="F107">
            <v>1.3888888888888888E-2</v>
          </cell>
        </row>
        <row r="108">
          <cell r="A108" t="str">
            <v>4.6</v>
          </cell>
          <cell r="B108" t="str">
            <v>ซ่อมเต้ารับไฟฟ้า / ชุด</v>
          </cell>
          <cell r="C108">
            <v>15</v>
          </cell>
          <cell r="D108" t="str">
            <v>A</v>
          </cell>
          <cell r="E108" t="str">
            <v>สี่จุดหก</v>
          </cell>
          <cell r="F108">
            <v>1.0416666666666666E-2</v>
          </cell>
        </row>
        <row r="109">
          <cell r="A109" t="str">
            <v>4.7</v>
          </cell>
          <cell r="B109" t="str">
            <v>ย้ายหรือติดตั้งโคมไฟฟ้า / ชุด</v>
          </cell>
          <cell r="C109">
            <v>15</v>
          </cell>
          <cell r="D109" t="str">
            <v>A</v>
          </cell>
          <cell r="E109" t="str">
            <v>สี่จุดเจ็ด</v>
          </cell>
          <cell r="F109">
            <v>1.0416666666666666E-2</v>
          </cell>
        </row>
        <row r="110">
          <cell r="A110" t="str">
            <v>4.8</v>
          </cell>
          <cell r="B110" t="str">
            <v>ย้ายหรือติดตั้งเต้ารับไฟฟ้า / ชุด</v>
          </cell>
          <cell r="C110">
            <v>15</v>
          </cell>
          <cell r="D110" t="str">
            <v>C</v>
          </cell>
          <cell r="E110" t="str">
            <v>สี่จุดแปด</v>
          </cell>
          <cell r="F110">
            <v>1.0416666666666666E-2</v>
          </cell>
        </row>
        <row r="111">
          <cell r="A111" t="str">
            <v>4.9</v>
          </cell>
          <cell r="B111" t="str">
            <v>เปลี่ยน หางปลา สายไฟฟ้า แม็กเนติก สำหรับชุดคอนโทรล เป็นต้น</v>
          </cell>
          <cell r="C111">
            <v>15</v>
          </cell>
          <cell r="D111" t="str">
            <v>D</v>
          </cell>
          <cell r="E111" t="str">
            <v>สี่จุดเก้า</v>
          </cell>
          <cell r="F111">
            <v>1.0416666666666666E-2</v>
          </cell>
        </row>
        <row r="112">
          <cell r="A112" t="str">
            <v>4.10</v>
          </cell>
          <cell r="B112" t="str">
            <v>เปลี่ยนสายไฟฟ้าในรางเดินสายกรณีสายไฟฟ้าลัดวงจร</v>
          </cell>
          <cell r="C112">
            <v>15</v>
          </cell>
          <cell r="D112" t="str">
            <v>D</v>
          </cell>
          <cell r="E112" t="str">
            <v>สี่จุดหนึ่งศูนย์</v>
          </cell>
          <cell r="F112">
            <v>1.0416666666666666E-2</v>
          </cell>
        </row>
        <row r="113">
          <cell r="A113" t="str">
            <v>4.11</v>
          </cell>
          <cell r="B113" t="str">
            <v>ซ่อมตู้เมนไฟฟ้า, แผงจ่ายไฟฟ้า</v>
          </cell>
          <cell r="C113">
            <v>15</v>
          </cell>
          <cell r="D113" t="str">
            <v>D</v>
          </cell>
          <cell r="E113" t="str">
            <v>สี่จุดหนึ่งหนึ่ง</v>
          </cell>
          <cell r="F113">
            <v>1.0416666666666666E-2</v>
          </cell>
        </row>
        <row r="114">
          <cell r="A114" t="str">
            <v>4.12</v>
          </cell>
          <cell r="B114" t="str">
            <v xml:space="preserve">เครื่องเป่าลมมือ </v>
          </cell>
          <cell r="C114">
            <v>15</v>
          </cell>
          <cell r="D114" t="str">
            <v>D</v>
          </cell>
          <cell r="E114" t="str">
            <v>สี่จุดหนึ่งสอง</v>
          </cell>
          <cell r="F114">
            <v>1.0416666666666666E-2</v>
          </cell>
        </row>
        <row r="115">
          <cell r="A115" t="str">
            <v>4.13</v>
          </cell>
          <cell r="B115" t="str">
            <v>เครื่องทำน้ำอุ่น</v>
          </cell>
          <cell r="C115">
            <v>15</v>
          </cell>
          <cell r="D115" t="str">
            <v>D</v>
          </cell>
          <cell r="E115" t="str">
            <v>สี่จุดหนึ่งสาม</v>
          </cell>
          <cell r="F115">
            <v>1.0416666666666666E-2</v>
          </cell>
        </row>
        <row r="116">
          <cell r="A116" t="str">
            <v>4.14</v>
          </cell>
          <cell r="B116" t="str">
            <v>ระบบขอความช่วยเหลือห้องน้ำคนพิการ</v>
          </cell>
          <cell r="C116">
            <v>15</v>
          </cell>
          <cell r="D116" t="str">
            <v>D</v>
          </cell>
          <cell r="E116" t="str">
            <v>สี่จุดหนึ่งสี่</v>
          </cell>
          <cell r="F116">
            <v>1.0416666666666666E-2</v>
          </cell>
        </row>
        <row r="117">
          <cell r="A117" t="str">
            <v>4.15</v>
          </cell>
          <cell r="B117" t="str">
            <v>ซ่อมอุปกรณ์ไฟอื่นๆ</v>
          </cell>
          <cell r="C117">
            <v>15</v>
          </cell>
          <cell r="D117" t="str">
            <v>E</v>
          </cell>
          <cell r="E117" t="str">
            <v>สี่จุดหนึ่งห้า</v>
          </cell>
          <cell r="F117">
            <v>1.0416666666666666E-2</v>
          </cell>
        </row>
        <row r="118">
          <cell r="A118" t="str">
            <v>4.16</v>
          </cell>
          <cell r="B118" t="str">
            <v>อะไหล่ผู้ว่าจ้างจัดหา</v>
          </cell>
          <cell r="C118" t="str">
            <v>-</v>
          </cell>
          <cell r="D118" t="str">
            <v>F</v>
          </cell>
          <cell r="E118" t="str">
            <v>สี่จุดหนึ่งหก</v>
          </cell>
          <cell r="F118" t="str">
            <v>-</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1EE6-0527-4B09-A6D9-A152D160319A}">
  <sheetPr>
    <pageSetUpPr fitToPage="1"/>
  </sheetPr>
  <dimension ref="A1:W49"/>
  <sheetViews>
    <sheetView zoomScaleNormal="100" workbookViewId="0">
      <selection activeCell="E14" sqref="E14"/>
    </sheetView>
  </sheetViews>
  <sheetFormatPr defaultColWidth="10.42578125" defaultRowHeight="21.75" customHeight="1" x14ac:dyDescent="0.25"/>
  <cols>
    <col min="1" max="6" width="6.42578125" style="97" customWidth="1"/>
    <col min="7" max="7" width="12.85546875" style="97" customWidth="1"/>
    <col min="8" max="8" width="3.85546875" style="97" bestFit="1" customWidth="1"/>
    <col min="9" max="15" width="6.42578125" style="97" customWidth="1"/>
    <col min="16" max="16" width="4.42578125" style="97" customWidth="1"/>
    <col min="17" max="18" width="6.28515625" style="97" customWidth="1"/>
    <col min="19" max="19" width="8" style="97" bestFit="1" customWidth="1"/>
    <col min="20" max="25" width="6.28515625" style="97" customWidth="1"/>
    <col min="26" max="27" width="5.28515625" style="97" customWidth="1"/>
    <col min="28" max="16384" width="10.42578125" style="97"/>
  </cols>
  <sheetData>
    <row r="1" spans="1:18" s="86" customFormat="1" ht="24" x14ac:dyDescent="0.25">
      <c r="A1" s="82"/>
      <c r="B1" s="83"/>
      <c r="C1" s="83"/>
      <c r="D1" s="83"/>
      <c r="E1" s="83"/>
      <c r="F1" s="83"/>
      <c r="G1" s="83"/>
      <c r="H1" s="83"/>
      <c r="I1" s="83"/>
      <c r="J1" s="83"/>
      <c r="K1" s="83"/>
      <c r="L1" s="83"/>
      <c r="M1" s="83"/>
      <c r="N1" s="83"/>
      <c r="O1" s="83"/>
      <c r="P1" s="84"/>
      <c r="Q1" s="85"/>
      <c r="R1" s="85"/>
    </row>
    <row r="2" spans="1:18" s="86" customFormat="1" ht="24" x14ac:dyDescent="0.25">
      <c r="A2" s="87"/>
      <c r="B2" s="85"/>
      <c r="C2" s="85"/>
      <c r="D2" s="85"/>
      <c r="E2" s="85"/>
      <c r="F2" s="85"/>
      <c r="G2" s="85"/>
      <c r="H2" s="85"/>
      <c r="I2" s="85"/>
      <c r="J2" s="85"/>
      <c r="K2" s="85"/>
      <c r="L2" s="85"/>
      <c r="M2" s="85"/>
      <c r="N2" s="85"/>
      <c r="O2" s="85"/>
      <c r="P2" s="88"/>
      <c r="Q2" s="89"/>
      <c r="R2" s="89"/>
    </row>
    <row r="3" spans="1:18" s="86" customFormat="1" ht="24" x14ac:dyDescent="0.55000000000000004">
      <c r="A3" s="149"/>
      <c r="B3" s="150"/>
      <c r="C3" s="150"/>
      <c r="D3" s="150"/>
      <c r="E3" s="150"/>
      <c r="F3" s="150"/>
      <c r="G3" s="150"/>
      <c r="H3" s="150"/>
      <c r="I3" s="150"/>
      <c r="J3" s="150"/>
      <c r="K3" s="150"/>
      <c r="L3" s="150"/>
      <c r="M3" s="150"/>
      <c r="N3" s="150"/>
      <c r="O3" s="150"/>
      <c r="P3" s="151"/>
      <c r="Q3" s="89"/>
      <c r="R3" s="89"/>
    </row>
    <row r="4" spans="1:18" s="86" customFormat="1" ht="24" x14ac:dyDescent="0.55000000000000004">
      <c r="A4" s="149" t="s">
        <v>33</v>
      </c>
      <c r="B4" s="150"/>
      <c r="C4" s="150"/>
      <c r="D4" s="150"/>
      <c r="E4" s="150"/>
      <c r="F4" s="150"/>
      <c r="G4" s="150"/>
      <c r="H4" s="150"/>
      <c r="I4" s="150"/>
      <c r="J4" s="150"/>
      <c r="K4" s="150"/>
      <c r="L4" s="150"/>
      <c r="M4" s="150"/>
      <c r="N4" s="150"/>
      <c r="O4" s="150"/>
      <c r="P4" s="151"/>
      <c r="Q4" s="89"/>
      <c r="R4" s="89"/>
    </row>
    <row r="5" spans="1:18" s="86" customFormat="1" ht="24" x14ac:dyDescent="0.55000000000000004">
      <c r="A5" s="149" t="s">
        <v>34</v>
      </c>
      <c r="B5" s="150"/>
      <c r="C5" s="150"/>
      <c r="D5" s="150"/>
      <c r="E5" s="150"/>
      <c r="F5" s="150"/>
      <c r="G5" s="150"/>
      <c r="H5" s="150"/>
      <c r="I5" s="150"/>
      <c r="J5" s="150"/>
      <c r="K5" s="150"/>
      <c r="L5" s="150"/>
      <c r="M5" s="150"/>
      <c r="N5" s="150"/>
      <c r="O5" s="150"/>
      <c r="P5" s="151"/>
      <c r="Q5" s="89"/>
      <c r="R5" s="89"/>
    </row>
    <row r="6" spans="1:18" s="86" customFormat="1" ht="24" x14ac:dyDescent="0.25">
      <c r="A6" s="152" t="s">
        <v>35</v>
      </c>
      <c r="B6" s="153"/>
      <c r="C6" s="153"/>
      <c r="D6" s="153"/>
      <c r="E6" s="153"/>
      <c r="F6" s="153"/>
      <c r="G6" s="153"/>
      <c r="H6" s="153"/>
      <c r="I6" s="153"/>
      <c r="J6" s="153"/>
      <c r="K6" s="153"/>
      <c r="L6" s="153"/>
      <c r="M6" s="153"/>
      <c r="N6" s="153"/>
      <c r="O6" s="153"/>
      <c r="P6" s="154"/>
      <c r="Q6" s="89"/>
      <c r="R6" s="89"/>
    </row>
    <row r="7" spans="1:18" s="86" customFormat="1" ht="24" x14ac:dyDescent="0.25">
      <c r="A7" s="87"/>
      <c r="C7" s="155" t="s">
        <v>36</v>
      </c>
      <c r="D7" s="155"/>
      <c r="E7" s="129"/>
      <c r="F7" s="129"/>
      <c r="G7" s="129"/>
      <c r="H7" s="129"/>
      <c r="I7" s="85" t="s">
        <v>37</v>
      </c>
      <c r="J7" s="85"/>
      <c r="K7" s="85"/>
      <c r="L7" s="85"/>
      <c r="M7" s="85"/>
      <c r="N7" s="85"/>
      <c r="O7" s="85"/>
      <c r="P7" s="88"/>
      <c r="Q7" s="89"/>
    </row>
    <row r="8" spans="1:18" s="86" customFormat="1" ht="9.9499999999999993" customHeight="1" x14ac:dyDescent="0.25">
      <c r="A8" s="87"/>
      <c r="P8" s="90"/>
      <c r="Q8" s="89"/>
      <c r="R8" s="89"/>
    </row>
    <row r="9" spans="1:18" s="86" customFormat="1" ht="24" x14ac:dyDescent="0.25">
      <c r="A9" s="142" t="s">
        <v>38</v>
      </c>
      <c r="B9" s="143"/>
      <c r="C9" s="143"/>
      <c r="D9" s="143"/>
      <c r="E9" s="143"/>
      <c r="F9" s="143"/>
      <c r="G9" s="143"/>
      <c r="H9" s="143"/>
      <c r="I9" s="143"/>
      <c r="J9" s="143"/>
      <c r="K9" s="143"/>
      <c r="L9" s="143"/>
      <c r="M9" s="143"/>
      <c r="N9" s="143"/>
      <c r="O9" s="143"/>
      <c r="P9" s="144"/>
      <c r="Q9" s="89"/>
      <c r="R9" s="89"/>
    </row>
    <row r="10" spans="1:18" s="86" customFormat="1" ht="24" x14ac:dyDescent="0.25">
      <c r="A10" s="145"/>
      <c r="B10" s="146"/>
      <c r="C10" s="146"/>
      <c r="D10" s="146"/>
      <c r="E10" s="146"/>
      <c r="F10" s="146"/>
      <c r="G10" s="146"/>
      <c r="H10" s="146"/>
      <c r="I10" s="146"/>
      <c r="J10" s="146"/>
      <c r="K10" s="146"/>
      <c r="L10" s="146"/>
      <c r="M10" s="146"/>
      <c r="N10" s="146"/>
      <c r="O10" s="146"/>
      <c r="P10" s="147"/>
      <c r="Q10" s="85"/>
      <c r="R10" s="85"/>
    </row>
    <row r="11" spans="1:18" s="95" customFormat="1" ht="10.15" customHeight="1" x14ac:dyDescent="0.25">
      <c r="A11" s="91"/>
      <c r="B11" s="92"/>
      <c r="C11" s="92"/>
      <c r="D11" s="92"/>
      <c r="E11" s="92"/>
      <c r="F11" s="92"/>
      <c r="G11" s="92"/>
      <c r="H11" s="93"/>
      <c r="I11" s="93"/>
      <c r="J11" s="93"/>
      <c r="K11" s="93"/>
      <c r="L11" s="93"/>
      <c r="M11" s="92"/>
      <c r="N11" s="92"/>
      <c r="O11" s="93"/>
      <c r="P11" s="94"/>
    </row>
    <row r="12" spans="1:18" s="95" customFormat="1" x14ac:dyDescent="0.25">
      <c r="A12" s="96"/>
      <c r="B12" s="97" t="s">
        <v>39</v>
      </c>
      <c r="C12" s="97"/>
      <c r="D12" s="97"/>
      <c r="E12" s="97"/>
      <c r="F12" s="97"/>
      <c r="G12" s="97"/>
      <c r="H12" s="97"/>
      <c r="I12" s="97"/>
      <c r="J12" s="97"/>
      <c r="K12" s="97"/>
      <c r="L12" s="97"/>
      <c r="M12" s="97"/>
      <c r="N12" s="97"/>
      <c r="O12" s="97"/>
      <c r="P12" s="98"/>
    </row>
    <row r="13" spans="1:18" s="95" customFormat="1" x14ac:dyDescent="0.25">
      <c r="A13" s="99"/>
      <c r="B13" s="97"/>
      <c r="C13" s="100" t="s">
        <v>26</v>
      </c>
      <c r="D13" s="97" t="s">
        <v>40</v>
      </c>
      <c r="E13" s="97"/>
      <c r="F13" s="97"/>
      <c r="G13" s="97"/>
      <c r="H13" s="97"/>
      <c r="I13" s="97"/>
      <c r="J13" s="97" t="s">
        <v>41</v>
      </c>
      <c r="K13" s="97"/>
      <c r="L13" s="97"/>
      <c r="M13" s="97"/>
      <c r="N13" s="97"/>
      <c r="O13" s="97"/>
      <c r="P13" s="98"/>
    </row>
    <row r="14" spans="1:18" s="95" customFormat="1" x14ac:dyDescent="0.25">
      <c r="A14" s="99"/>
      <c r="B14" s="97"/>
      <c r="C14" s="100" t="s">
        <v>26</v>
      </c>
      <c r="D14" s="97" t="s">
        <v>42</v>
      </c>
      <c r="E14" s="97"/>
      <c r="F14" s="97"/>
      <c r="G14" s="97"/>
      <c r="H14" s="97"/>
      <c r="I14" s="97"/>
      <c r="J14" s="97" t="s">
        <v>41</v>
      </c>
      <c r="K14" s="97"/>
      <c r="L14" s="97"/>
      <c r="M14" s="97"/>
      <c r="N14" s="97"/>
      <c r="O14" s="97"/>
      <c r="P14" s="98"/>
    </row>
    <row r="15" spans="1:18" s="95" customFormat="1" x14ac:dyDescent="0.25">
      <c r="A15" s="99"/>
      <c r="B15" s="97"/>
      <c r="C15" s="100" t="s">
        <v>26</v>
      </c>
      <c r="D15" s="97" t="s">
        <v>43</v>
      </c>
      <c r="E15" s="97"/>
      <c r="F15" s="97"/>
      <c r="G15" s="97"/>
      <c r="H15" s="97"/>
      <c r="I15" s="97"/>
      <c r="J15" s="97" t="s">
        <v>41</v>
      </c>
      <c r="K15" s="97"/>
      <c r="L15" s="97"/>
      <c r="M15" s="97"/>
      <c r="N15" s="97"/>
      <c r="O15" s="97"/>
      <c r="P15" s="98"/>
    </row>
    <row r="16" spans="1:18" s="95" customFormat="1" x14ac:dyDescent="0.25">
      <c r="A16" s="99"/>
      <c r="B16" s="97" t="s">
        <v>63</v>
      </c>
      <c r="C16" s="97"/>
      <c r="D16" s="97"/>
      <c r="E16" s="97"/>
      <c r="F16" s="97"/>
      <c r="G16" s="97"/>
      <c r="H16" s="97"/>
      <c r="I16" s="97"/>
      <c r="J16" s="97"/>
      <c r="K16" s="97"/>
      <c r="L16" s="97"/>
      <c r="M16" s="97"/>
      <c r="N16" s="97"/>
      <c r="O16" s="97"/>
      <c r="P16" s="98"/>
    </row>
    <row r="17" spans="1:17" s="95" customFormat="1" ht="10.15" customHeight="1" x14ac:dyDescent="0.25">
      <c r="A17" s="99"/>
      <c r="B17" s="97"/>
      <c r="C17" s="97"/>
      <c r="D17" s="97"/>
      <c r="E17" s="97"/>
      <c r="F17" s="97"/>
      <c r="G17" s="97"/>
      <c r="H17" s="97"/>
      <c r="I17" s="97"/>
      <c r="J17" s="97"/>
      <c r="K17" s="97"/>
      <c r="L17" s="97"/>
      <c r="M17" s="97"/>
      <c r="N17" s="97"/>
      <c r="O17" s="97"/>
      <c r="P17" s="98"/>
    </row>
    <row r="18" spans="1:17" s="95" customFormat="1" ht="18.75" customHeight="1" x14ac:dyDescent="0.25">
      <c r="A18" s="101"/>
      <c r="B18" s="148" t="s">
        <v>44</v>
      </c>
      <c r="C18" s="148"/>
      <c r="D18" s="148"/>
      <c r="E18" s="148"/>
      <c r="F18" s="148"/>
      <c r="G18" s="148"/>
      <c r="H18" s="100" t="s">
        <v>26</v>
      </c>
      <c r="I18" s="97" t="s">
        <v>40</v>
      </c>
      <c r="J18" s="97"/>
      <c r="K18" s="97"/>
      <c r="L18" s="97"/>
      <c r="M18" s="97"/>
      <c r="N18" s="97"/>
      <c r="O18" s="97" t="s">
        <v>41</v>
      </c>
      <c r="P18" s="98"/>
    </row>
    <row r="19" spans="1:17" s="95" customFormat="1" x14ac:dyDescent="0.25">
      <c r="A19" s="101"/>
      <c r="B19" s="148"/>
      <c r="C19" s="148"/>
      <c r="D19" s="148"/>
      <c r="E19" s="148"/>
      <c r="F19" s="148"/>
      <c r="G19" s="148"/>
      <c r="H19" s="100" t="s">
        <v>26</v>
      </c>
      <c r="I19" s="97" t="s">
        <v>42</v>
      </c>
      <c r="J19" s="97"/>
      <c r="K19" s="97"/>
      <c r="L19" s="97"/>
      <c r="M19" s="97"/>
      <c r="N19" s="97"/>
      <c r="O19" s="97" t="s">
        <v>41</v>
      </c>
      <c r="P19" s="98"/>
    </row>
    <row r="20" spans="1:17" s="95" customFormat="1" x14ac:dyDescent="0.25">
      <c r="A20" s="101"/>
      <c r="B20" s="102"/>
      <c r="C20" s="102"/>
      <c r="D20" s="102"/>
      <c r="E20" s="102"/>
      <c r="F20" s="102"/>
      <c r="G20" s="102"/>
      <c r="H20" s="100" t="s">
        <v>26</v>
      </c>
      <c r="I20" s="97" t="s">
        <v>43</v>
      </c>
      <c r="J20" s="97"/>
      <c r="K20" s="97"/>
      <c r="L20" s="97"/>
      <c r="M20" s="97"/>
      <c r="N20" s="97"/>
      <c r="O20" s="97" t="s">
        <v>41</v>
      </c>
      <c r="P20" s="98"/>
    </row>
    <row r="21" spans="1:17" s="95" customFormat="1" x14ac:dyDescent="0.25">
      <c r="A21" s="103"/>
      <c r="B21" s="139" t="s">
        <v>45</v>
      </c>
      <c r="C21" s="139"/>
      <c r="D21" s="139"/>
      <c r="E21" s="139"/>
      <c r="F21" s="139"/>
      <c r="G21" s="139"/>
      <c r="H21" s="100" t="s">
        <v>26</v>
      </c>
      <c r="I21" s="97" t="s">
        <v>40</v>
      </c>
      <c r="J21" s="97"/>
      <c r="K21" s="97"/>
      <c r="L21" s="97"/>
      <c r="M21" s="97"/>
      <c r="N21" s="97"/>
      <c r="O21" s="97" t="s">
        <v>41</v>
      </c>
      <c r="P21" s="98"/>
    </row>
    <row r="22" spans="1:17" s="95" customFormat="1" x14ac:dyDescent="0.25">
      <c r="A22" s="103"/>
      <c r="B22" s="139"/>
      <c r="C22" s="139"/>
      <c r="D22" s="139"/>
      <c r="E22" s="139"/>
      <c r="F22" s="139"/>
      <c r="G22" s="139"/>
      <c r="H22" s="100" t="s">
        <v>26</v>
      </c>
      <c r="I22" s="97" t="s">
        <v>42</v>
      </c>
      <c r="J22" s="97"/>
      <c r="K22" s="97"/>
      <c r="L22" s="97"/>
      <c r="M22" s="97"/>
      <c r="N22" s="97"/>
      <c r="O22" s="97" t="s">
        <v>41</v>
      </c>
      <c r="P22" s="98"/>
    </row>
    <row r="23" spans="1:17" s="95" customFormat="1" x14ac:dyDescent="0.25">
      <c r="A23" s="103"/>
      <c r="B23" s="104"/>
      <c r="C23" s="104"/>
      <c r="D23" s="104"/>
      <c r="E23" s="104"/>
      <c r="F23" s="104"/>
      <c r="G23" s="104"/>
      <c r="H23" s="100" t="s">
        <v>26</v>
      </c>
      <c r="I23" s="97" t="s">
        <v>43</v>
      </c>
      <c r="J23" s="97"/>
      <c r="K23" s="97"/>
      <c r="L23" s="97"/>
      <c r="M23" s="97"/>
      <c r="N23" s="97"/>
      <c r="O23" s="97" t="s">
        <v>41</v>
      </c>
      <c r="P23" s="98"/>
    </row>
    <row r="24" spans="1:17" s="95" customFormat="1" x14ac:dyDescent="0.25">
      <c r="A24" s="103"/>
      <c r="B24" s="140" t="s">
        <v>46</v>
      </c>
      <c r="C24" s="140"/>
      <c r="D24" s="140"/>
      <c r="E24" s="140"/>
      <c r="F24" s="140"/>
      <c r="G24" s="140"/>
      <c r="H24" s="100" t="s">
        <v>26</v>
      </c>
      <c r="I24" s="97" t="s">
        <v>40</v>
      </c>
      <c r="J24" s="97"/>
      <c r="K24" s="97"/>
      <c r="L24" s="97"/>
      <c r="M24" s="97"/>
      <c r="N24" s="97"/>
      <c r="O24" s="97" t="s">
        <v>41</v>
      </c>
      <c r="P24" s="98"/>
    </row>
    <row r="25" spans="1:17" s="95" customFormat="1" x14ac:dyDescent="0.25">
      <c r="A25" s="103"/>
      <c r="B25" s="140"/>
      <c r="C25" s="140"/>
      <c r="D25" s="140"/>
      <c r="E25" s="140"/>
      <c r="F25" s="140"/>
      <c r="G25" s="140"/>
      <c r="H25" s="100" t="s">
        <v>26</v>
      </c>
      <c r="I25" s="97" t="s">
        <v>42</v>
      </c>
      <c r="J25" s="97"/>
      <c r="K25" s="97"/>
      <c r="L25" s="97"/>
      <c r="M25" s="97"/>
      <c r="N25" s="97"/>
      <c r="O25" s="97" t="s">
        <v>41</v>
      </c>
      <c r="P25" s="98"/>
    </row>
    <row r="26" spans="1:17" s="95" customFormat="1" x14ac:dyDescent="0.25">
      <c r="A26" s="103"/>
      <c r="B26" s="97"/>
      <c r="C26" s="97"/>
      <c r="D26" s="97"/>
      <c r="E26" s="100"/>
      <c r="F26" s="97"/>
      <c r="G26" s="97"/>
      <c r="H26" s="100" t="s">
        <v>26</v>
      </c>
      <c r="I26" s="97" t="s">
        <v>43</v>
      </c>
      <c r="J26" s="97"/>
      <c r="K26" s="97"/>
      <c r="L26" s="97"/>
      <c r="M26" s="97"/>
      <c r="N26" s="97"/>
      <c r="O26" s="97" t="s">
        <v>41</v>
      </c>
      <c r="P26" s="98"/>
    </row>
    <row r="27" spans="1:17" x14ac:dyDescent="0.25">
      <c r="A27" s="103"/>
      <c r="B27" s="141" t="s">
        <v>47</v>
      </c>
      <c r="C27" s="141"/>
      <c r="D27" s="141"/>
      <c r="E27" s="141"/>
      <c r="F27" s="141"/>
      <c r="G27" s="141"/>
      <c r="H27" s="100" t="s">
        <v>26</v>
      </c>
      <c r="I27" s="97" t="s">
        <v>40</v>
      </c>
      <c r="O27" s="97" t="s">
        <v>41</v>
      </c>
      <c r="P27" s="98"/>
    </row>
    <row r="28" spans="1:17" s="95" customFormat="1" x14ac:dyDescent="0.25">
      <c r="A28" s="96"/>
      <c r="B28" s="141"/>
      <c r="C28" s="141"/>
      <c r="D28" s="141"/>
      <c r="E28" s="141"/>
      <c r="F28" s="141"/>
      <c r="G28" s="141"/>
      <c r="H28" s="100" t="s">
        <v>26</v>
      </c>
      <c r="I28" s="97" t="s">
        <v>42</v>
      </c>
      <c r="J28" s="97"/>
      <c r="K28" s="97"/>
      <c r="L28" s="97"/>
      <c r="M28" s="97"/>
      <c r="N28" s="97"/>
      <c r="O28" s="97" t="s">
        <v>41</v>
      </c>
      <c r="P28" s="105"/>
    </row>
    <row r="29" spans="1:17" s="95" customFormat="1" x14ac:dyDescent="0.25">
      <c r="A29" s="99"/>
      <c r="B29" s="97"/>
      <c r="D29" s="104"/>
      <c r="E29" s="104"/>
      <c r="F29" s="104"/>
      <c r="G29" s="104"/>
      <c r="H29" s="100" t="s">
        <v>26</v>
      </c>
      <c r="I29" s="97" t="s">
        <v>43</v>
      </c>
      <c r="J29" s="97"/>
      <c r="K29" s="97"/>
      <c r="L29" s="97"/>
      <c r="M29" s="97"/>
      <c r="N29" s="97"/>
      <c r="O29" s="97" t="s">
        <v>41</v>
      </c>
      <c r="P29" s="98"/>
    </row>
    <row r="30" spans="1:17" s="95" customFormat="1" x14ac:dyDescent="0.25">
      <c r="A30" s="96"/>
      <c r="B30" s="95" t="s">
        <v>30</v>
      </c>
      <c r="H30" s="104"/>
      <c r="I30" s="104"/>
      <c r="J30" s="97"/>
      <c r="K30" s="97"/>
      <c r="L30" s="97"/>
      <c r="M30" s="135"/>
      <c r="N30" s="135"/>
      <c r="O30" s="97" t="s">
        <v>41</v>
      </c>
      <c r="P30" s="98"/>
      <c r="Q30" s="95" t="s">
        <v>48</v>
      </c>
    </row>
    <row r="31" spans="1:17" x14ac:dyDescent="0.25">
      <c r="A31" s="96"/>
      <c r="B31" s="95" t="s">
        <v>31</v>
      </c>
      <c r="C31" s="95"/>
      <c r="D31" s="95"/>
      <c r="E31" s="95"/>
      <c r="F31" s="95"/>
      <c r="G31" s="95"/>
      <c r="H31" s="104"/>
      <c r="I31" s="104"/>
      <c r="J31" s="135"/>
      <c r="K31" s="135"/>
      <c r="M31" s="135"/>
      <c r="N31" s="135"/>
      <c r="O31" s="97" t="s">
        <v>41</v>
      </c>
      <c r="P31" s="98"/>
    </row>
    <row r="32" spans="1:17" s="95" customFormat="1" x14ac:dyDescent="0.25">
      <c r="A32" s="96"/>
      <c r="B32" s="97" t="s">
        <v>49</v>
      </c>
      <c r="C32" s="97"/>
      <c r="D32" s="97"/>
      <c r="E32" s="97"/>
      <c r="F32" s="97"/>
      <c r="G32" s="97"/>
      <c r="H32" s="104"/>
      <c r="I32" s="104"/>
      <c r="J32" s="135"/>
      <c r="K32" s="135"/>
      <c r="L32" s="97"/>
      <c r="M32" s="135"/>
      <c r="N32" s="135"/>
      <c r="O32" s="97" t="s">
        <v>41</v>
      </c>
      <c r="P32" s="98"/>
    </row>
    <row r="33" spans="1:23" s="95" customFormat="1" x14ac:dyDescent="0.25">
      <c r="A33" s="96"/>
      <c r="B33" s="95" t="s">
        <v>32</v>
      </c>
      <c r="H33" s="104"/>
      <c r="I33" s="104"/>
      <c r="J33" s="135"/>
      <c r="K33" s="135"/>
      <c r="L33" s="97"/>
      <c r="M33" s="135"/>
      <c r="N33" s="135"/>
      <c r="O33" s="97" t="s">
        <v>41</v>
      </c>
      <c r="P33" s="98"/>
    </row>
    <row r="34" spans="1:23" s="95" customFormat="1" ht="18.75" customHeight="1" x14ac:dyDescent="0.25">
      <c r="A34" s="96"/>
      <c r="B34" s="97" t="s">
        <v>50</v>
      </c>
      <c r="C34" s="97"/>
      <c r="D34" s="97"/>
      <c r="E34" s="97"/>
      <c r="H34" s="97"/>
      <c r="I34" s="97"/>
      <c r="J34" s="97"/>
      <c r="K34" s="97"/>
      <c r="L34" s="97"/>
      <c r="M34" s="135"/>
      <c r="N34" s="135"/>
      <c r="O34" s="97" t="s">
        <v>41</v>
      </c>
      <c r="P34" s="98"/>
    </row>
    <row r="35" spans="1:23" s="107" customFormat="1" ht="10.5" customHeight="1" x14ac:dyDescent="0.25">
      <c r="A35" s="99"/>
      <c r="B35" s="104"/>
      <c r="C35" s="106"/>
      <c r="D35" s="104"/>
      <c r="E35" s="104"/>
      <c r="F35" s="104"/>
      <c r="G35" s="104"/>
      <c r="H35" s="104"/>
      <c r="I35" s="104"/>
      <c r="J35" s="104"/>
      <c r="K35" s="104"/>
      <c r="L35" s="104"/>
      <c r="M35" s="104"/>
      <c r="N35" s="104"/>
      <c r="O35" s="104"/>
      <c r="P35" s="98"/>
    </row>
    <row r="36" spans="1:23" s="95" customFormat="1" x14ac:dyDescent="0.25">
      <c r="A36" s="99"/>
      <c r="B36" s="97" t="s">
        <v>51</v>
      </c>
      <c r="C36" s="97"/>
      <c r="D36" s="97"/>
      <c r="E36" s="97"/>
      <c r="F36" s="97"/>
      <c r="G36" s="97"/>
      <c r="H36" s="97"/>
      <c r="I36" s="97"/>
      <c r="J36" s="97"/>
      <c r="K36" s="97"/>
      <c r="L36" s="97"/>
      <c r="M36" s="97"/>
      <c r="N36" s="97"/>
      <c r="O36" s="97"/>
      <c r="P36" s="98"/>
    </row>
    <row r="37" spans="1:23" s="95" customFormat="1" x14ac:dyDescent="0.25">
      <c r="A37" s="99"/>
      <c r="B37" s="108" t="s">
        <v>52</v>
      </c>
      <c r="C37" s="108"/>
      <c r="D37" s="108"/>
      <c r="E37" s="108"/>
      <c r="F37" s="108"/>
      <c r="G37" s="109" t="s">
        <v>53</v>
      </c>
      <c r="H37" s="108"/>
      <c r="I37" s="108"/>
      <c r="J37" s="108"/>
      <c r="K37" s="108"/>
      <c r="L37" s="138" t="s">
        <v>54</v>
      </c>
      <c r="M37" s="138"/>
      <c r="N37" s="138"/>
      <c r="O37" s="138"/>
      <c r="P37" s="105"/>
      <c r="W37" s="97"/>
    </row>
    <row r="38" spans="1:23" s="95" customFormat="1" x14ac:dyDescent="0.25">
      <c r="A38" s="99"/>
      <c r="B38" s="97" t="s">
        <v>55</v>
      </c>
      <c r="C38" s="97"/>
      <c r="D38" s="97"/>
      <c r="E38" s="97"/>
      <c r="G38" s="136" t="s">
        <v>55</v>
      </c>
      <c r="H38" s="136"/>
      <c r="I38" s="136"/>
      <c r="J38" s="136"/>
      <c r="K38" s="136"/>
      <c r="L38" s="136" t="s">
        <v>55</v>
      </c>
      <c r="M38" s="136"/>
      <c r="N38" s="136"/>
      <c r="O38" s="136"/>
      <c r="P38" s="105"/>
      <c r="W38" s="97"/>
    </row>
    <row r="39" spans="1:23" s="95" customFormat="1" x14ac:dyDescent="0.25">
      <c r="A39" s="99"/>
      <c r="B39" s="97"/>
      <c r="C39" s="97"/>
      <c r="D39" s="97" t="s">
        <v>41</v>
      </c>
      <c r="E39" s="130"/>
      <c r="F39" s="97" t="s">
        <v>56</v>
      </c>
      <c r="G39" s="131"/>
      <c r="H39" s="97" t="s">
        <v>41</v>
      </c>
      <c r="I39" s="130"/>
      <c r="J39" s="97" t="s">
        <v>56</v>
      </c>
      <c r="L39" s="100"/>
      <c r="M39" s="97" t="s">
        <v>41</v>
      </c>
      <c r="N39" s="130"/>
      <c r="O39" s="97" t="s">
        <v>56</v>
      </c>
      <c r="P39" s="105"/>
      <c r="W39" s="97"/>
    </row>
    <row r="40" spans="1:23" s="95" customFormat="1" x14ac:dyDescent="0.25">
      <c r="A40" s="99"/>
      <c r="B40" s="97" t="s">
        <v>57</v>
      </c>
      <c r="C40" s="97"/>
      <c r="D40" s="110"/>
      <c r="E40" s="97"/>
      <c r="G40" s="97" t="s">
        <v>57</v>
      </c>
      <c r="H40" s="97"/>
      <c r="I40" s="97"/>
      <c r="J40" s="97"/>
      <c r="L40" s="97" t="s">
        <v>57</v>
      </c>
      <c r="M40" s="97"/>
      <c r="N40" s="97"/>
      <c r="O40" s="97"/>
      <c r="P40" s="105"/>
      <c r="W40" s="97"/>
    </row>
    <row r="41" spans="1:23" s="95" customFormat="1" x14ac:dyDescent="0.25">
      <c r="A41" s="99"/>
      <c r="B41" s="97"/>
      <c r="C41" s="97"/>
      <c r="D41" s="97" t="s">
        <v>41</v>
      </c>
      <c r="E41" s="130"/>
      <c r="F41" s="97" t="s">
        <v>56</v>
      </c>
      <c r="G41" s="131"/>
      <c r="H41" s="97" t="s">
        <v>41</v>
      </c>
      <c r="I41" s="130"/>
      <c r="J41" s="97" t="s">
        <v>56</v>
      </c>
      <c r="L41" s="100"/>
      <c r="M41" s="97" t="s">
        <v>41</v>
      </c>
      <c r="N41" s="130"/>
      <c r="O41" s="97" t="s">
        <v>56</v>
      </c>
      <c r="P41" s="105"/>
      <c r="Q41" s="111"/>
      <c r="W41" s="97"/>
    </row>
    <row r="42" spans="1:23" s="95" customFormat="1" x14ac:dyDescent="0.25">
      <c r="A42" s="99"/>
      <c r="B42" s="97"/>
      <c r="C42" s="97"/>
      <c r="D42" s="97"/>
      <c r="E42" s="97"/>
      <c r="F42" s="97"/>
      <c r="G42" s="97"/>
      <c r="H42" s="97"/>
      <c r="I42" s="97"/>
      <c r="J42" s="97"/>
      <c r="K42" s="97"/>
      <c r="L42" s="97"/>
      <c r="M42" s="97"/>
      <c r="N42" s="97"/>
      <c r="O42" s="97"/>
      <c r="P42" s="98"/>
      <c r="Q42" s="111"/>
    </row>
    <row r="43" spans="1:23" ht="10.15" customHeight="1" x14ac:dyDescent="0.25">
      <c r="A43" s="99"/>
      <c r="B43" s="135"/>
      <c r="C43" s="135"/>
      <c r="D43" s="135"/>
      <c r="E43" s="135"/>
      <c r="F43" s="135"/>
      <c r="G43" s="136"/>
      <c r="H43" s="136"/>
      <c r="I43" s="136"/>
      <c r="J43" s="136"/>
      <c r="K43" s="136"/>
      <c r="L43" s="136"/>
      <c r="M43" s="136"/>
      <c r="N43" s="136"/>
      <c r="O43" s="136"/>
      <c r="P43" s="137"/>
      <c r="Q43" s="96"/>
    </row>
    <row r="44" spans="1:23" x14ac:dyDescent="0.5">
      <c r="A44" s="96"/>
      <c r="B44" s="134" t="s">
        <v>58</v>
      </c>
      <c r="C44" s="134"/>
      <c r="D44" s="134"/>
      <c r="E44" s="134"/>
      <c r="G44" s="134"/>
      <c r="H44" s="134"/>
      <c r="I44" s="134"/>
      <c r="J44" s="134"/>
      <c r="L44" s="134" t="s">
        <v>59</v>
      </c>
      <c r="M44" s="134"/>
      <c r="N44" s="134"/>
      <c r="O44" s="134"/>
      <c r="P44" s="105"/>
      <c r="Q44" s="96"/>
    </row>
    <row r="45" spans="1:23" ht="10.15" customHeight="1" x14ac:dyDescent="0.5">
      <c r="A45" s="112"/>
      <c r="B45" s="113"/>
      <c r="C45" s="114"/>
      <c r="D45" s="114"/>
      <c r="E45" s="114"/>
      <c r="F45" s="114"/>
      <c r="G45" s="114"/>
      <c r="H45" s="114"/>
      <c r="I45" s="113"/>
      <c r="J45" s="114"/>
      <c r="K45" s="114"/>
      <c r="L45" s="114"/>
      <c r="M45" s="114"/>
      <c r="N45" s="114"/>
      <c r="O45" s="114"/>
      <c r="P45" s="105"/>
    </row>
    <row r="46" spans="1:23" x14ac:dyDescent="0.5">
      <c r="A46" s="112" t="s">
        <v>60</v>
      </c>
      <c r="B46" s="133"/>
      <c r="C46" s="133"/>
      <c r="D46" s="133"/>
      <c r="E46" s="133"/>
      <c r="F46" s="113"/>
      <c r="G46" s="134"/>
      <c r="H46" s="134"/>
      <c r="I46" s="134"/>
      <c r="J46" s="134"/>
      <c r="K46" s="113" t="s">
        <v>60</v>
      </c>
      <c r="L46" s="133"/>
      <c r="M46" s="133"/>
      <c r="N46" s="133"/>
      <c r="O46" s="133"/>
      <c r="P46" s="105"/>
    </row>
    <row r="47" spans="1:23" ht="10.15" customHeight="1" x14ac:dyDescent="0.5">
      <c r="A47" s="112"/>
      <c r="B47" s="115"/>
      <c r="C47" s="115"/>
      <c r="D47" s="115"/>
      <c r="E47" s="115"/>
      <c r="F47" s="113"/>
      <c r="G47" s="115"/>
      <c r="H47" s="115"/>
      <c r="I47" s="115"/>
      <c r="J47" s="115"/>
      <c r="K47" s="113"/>
      <c r="L47" s="115"/>
      <c r="M47" s="115"/>
      <c r="N47" s="115"/>
      <c r="O47" s="115"/>
      <c r="P47" s="105"/>
    </row>
    <row r="48" spans="1:23" x14ac:dyDescent="0.25">
      <c r="A48" s="96"/>
      <c r="B48" s="97" t="s">
        <v>61</v>
      </c>
      <c r="E48" s="113" t="s">
        <v>62</v>
      </c>
      <c r="J48" s="113"/>
      <c r="L48" s="97" t="s">
        <v>61</v>
      </c>
      <c r="O48" s="113" t="s">
        <v>62</v>
      </c>
      <c r="P48" s="105"/>
    </row>
    <row r="49" spans="1:22" ht="9.9499999999999993" customHeight="1" x14ac:dyDescent="0.25">
      <c r="A49" s="116"/>
      <c r="B49" s="117"/>
      <c r="C49" s="117"/>
      <c r="D49" s="117"/>
      <c r="E49" s="117"/>
      <c r="F49" s="117"/>
      <c r="G49" s="117"/>
      <c r="H49" s="117"/>
      <c r="I49" s="117"/>
      <c r="J49" s="117"/>
      <c r="K49" s="117"/>
      <c r="L49" s="117"/>
      <c r="M49" s="117"/>
      <c r="N49" s="117"/>
      <c r="O49" s="117"/>
      <c r="P49" s="118"/>
      <c r="S49" s="100"/>
      <c r="T49" s="100"/>
      <c r="U49" s="100"/>
      <c r="V49" s="113"/>
    </row>
  </sheetData>
  <mergeCells count="30">
    <mergeCell ref="A3:P3"/>
    <mergeCell ref="A4:P4"/>
    <mergeCell ref="A5:P5"/>
    <mergeCell ref="A6:P6"/>
    <mergeCell ref="C7:D7"/>
    <mergeCell ref="B21:G22"/>
    <mergeCell ref="B24:G25"/>
    <mergeCell ref="B27:G28"/>
    <mergeCell ref="A9:P10"/>
    <mergeCell ref="B18:G19"/>
    <mergeCell ref="M34:N34"/>
    <mergeCell ref="L37:O37"/>
    <mergeCell ref="G38:K38"/>
    <mergeCell ref="L38:O38"/>
    <mergeCell ref="M30:N30"/>
    <mergeCell ref="J31:K31"/>
    <mergeCell ref="M31:N31"/>
    <mergeCell ref="J32:K32"/>
    <mergeCell ref="M32:N32"/>
    <mergeCell ref="J33:K33"/>
    <mergeCell ref="M33:N33"/>
    <mergeCell ref="B46:E46"/>
    <mergeCell ref="G46:J46"/>
    <mergeCell ref="L46:O46"/>
    <mergeCell ref="B43:F43"/>
    <mergeCell ref="G43:K43"/>
    <mergeCell ref="L43:P43"/>
    <mergeCell ref="B44:E44"/>
    <mergeCell ref="G44:J44"/>
    <mergeCell ref="L44:O44"/>
  </mergeCells>
  <conditionalFormatting sqref="F35">
    <cfRule type="expression" dxfId="17" priority="2">
      <formula>#N/A</formula>
    </cfRule>
  </conditionalFormatting>
  <conditionalFormatting sqref="F41">
    <cfRule type="expression" dxfId="16" priority="1">
      <formula>#N/A</formula>
    </cfRule>
  </conditionalFormatting>
  <conditionalFormatting sqref="G14:G15 J14:K15 G16:K17 H18:L18 H20 K20 I20:I21 H34:K35 G36:K36 F37:I37 W37:W41 F39 E40:E41 G42:K42">
    <cfRule type="expression" dxfId="15" priority="18">
      <formula>#N/A</formula>
    </cfRule>
  </conditionalFormatting>
  <conditionalFormatting sqref="H32">
    <cfRule type="expression" dxfId="14" priority="6">
      <formula>#N/A</formula>
    </cfRule>
  </conditionalFormatting>
  <conditionalFormatting sqref="H30:I31">
    <cfRule type="expression" dxfId="13" priority="7">
      <formula>#N/A</formula>
    </cfRule>
  </conditionalFormatting>
  <conditionalFormatting sqref="H21:L22">
    <cfRule type="expression" dxfId="12" priority="17">
      <formula>#N/A</formula>
    </cfRule>
  </conditionalFormatting>
  <conditionalFormatting sqref="I23:I27 H24:H26 J24:L26">
    <cfRule type="expression" dxfId="11" priority="16">
      <formula>#N/A</formula>
    </cfRule>
  </conditionalFormatting>
  <conditionalFormatting sqref="I32:I33 L32:L33">
    <cfRule type="expression" dxfId="10" priority="15">
      <formula>#N/A</formula>
    </cfRule>
  </conditionalFormatting>
  <conditionalFormatting sqref="J39:J41">
    <cfRule type="expression" dxfId="9" priority="14">
      <formula>#N/A</formula>
    </cfRule>
  </conditionalFormatting>
  <conditionalFormatting sqref="M19:M20">
    <cfRule type="expression" dxfId="8" priority="12">
      <formula>#N/A</formula>
    </cfRule>
  </conditionalFormatting>
  <conditionalFormatting sqref="M23">
    <cfRule type="expression" dxfId="7" priority="10">
      <formula>#N/A</formula>
    </cfRule>
  </conditionalFormatting>
  <conditionalFormatting sqref="M26">
    <cfRule type="expression" dxfId="6" priority="9">
      <formula>#N/A</formula>
    </cfRule>
  </conditionalFormatting>
  <conditionalFormatting sqref="M29">
    <cfRule type="expression" dxfId="5" priority="8">
      <formula>#N/A</formula>
    </cfRule>
  </conditionalFormatting>
  <conditionalFormatting sqref="M31">
    <cfRule type="expression" dxfId="4" priority="5">
      <formula>#N/A</formula>
    </cfRule>
  </conditionalFormatting>
  <conditionalFormatting sqref="M35">
    <cfRule type="expression" dxfId="3" priority="4">
      <formula>#N/A</formula>
    </cfRule>
  </conditionalFormatting>
  <conditionalFormatting sqref="O19:O20 L19:L30">
    <cfRule type="expression" dxfId="2" priority="11">
      <formula>#N/A</formula>
    </cfRule>
  </conditionalFormatting>
  <conditionalFormatting sqref="O22:O35">
    <cfRule type="expression" dxfId="1" priority="3">
      <formula>#N/A</formula>
    </cfRule>
  </conditionalFormatting>
  <conditionalFormatting sqref="O39:O41">
    <cfRule type="expression" dxfId="0" priority="13">
      <formula>#N/A</formula>
    </cfRule>
  </conditionalFormatting>
  <printOptions horizontalCentered="1"/>
  <pageMargins left="0.39370078740157483" right="0.23622047244094491" top="0.23622047244094491" bottom="0.23622047244094491" header="0.23622047244094491" footer="0.23622047244094491"/>
  <pageSetup paperSize="9" fitToHeight="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A96F-F02D-4A9A-B153-C2A2EA434689}">
  <dimension ref="A1:Z785"/>
  <sheetViews>
    <sheetView tabSelected="1" view="pageBreakPreview" zoomScale="55" zoomScaleNormal="55" zoomScaleSheetLayoutView="55" workbookViewId="0">
      <selection activeCell="E8" sqref="E8"/>
    </sheetView>
  </sheetViews>
  <sheetFormatPr defaultRowHeight="33" x14ac:dyDescent="0.75"/>
  <cols>
    <col min="1" max="1" width="7.140625" style="57" customWidth="1"/>
    <col min="2" max="2" width="8.140625" style="57" customWidth="1"/>
    <col min="3" max="3" width="10.28515625" style="57" customWidth="1"/>
    <col min="4" max="4" width="14.7109375" style="57" customWidth="1"/>
    <col min="5" max="5" width="14.85546875" style="57" customWidth="1"/>
    <col min="6" max="6" width="9.140625" style="57"/>
    <col min="7" max="7" width="27.28515625" style="57" customWidth="1"/>
    <col min="8" max="8" width="38.42578125" style="57" customWidth="1"/>
    <col min="9" max="9" width="9.140625" style="57"/>
    <col min="10" max="10" width="10.42578125" style="57" customWidth="1"/>
    <col min="11" max="12" width="9.140625" style="57"/>
    <col min="13" max="13" width="9.140625" style="58"/>
    <col min="14" max="14" width="46.85546875" style="58" customWidth="1"/>
    <col min="15" max="18" width="9.140625" style="58"/>
    <col min="19" max="19" width="8.85546875" style="58" customWidth="1"/>
    <col min="20" max="20" width="36.85546875" style="58" customWidth="1"/>
    <col min="21" max="21" width="29.28515625" style="1" customWidth="1"/>
    <col min="22" max="22" width="16.140625" style="1" customWidth="1"/>
    <col min="23" max="23" width="9.140625" style="1"/>
    <col min="24" max="24" width="14.140625" style="1" customWidth="1"/>
    <col min="25" max="25" width="15.85546875" style="1" customWidth="1"/>
    <col min="26" max="26" width="15.42578125" style="1" customWidth="1"/>
    <col min="27" max="16384" width="9.140625" style="1"/>
  </cols>
  <sheetData>
    <row r="1" spans="1:20" ht="33" customHeight="1" x14ac:dyDescent="0.4">
      <c r="A1" s="156" t="s">
        <v>0</v>
      </c>
      <c r="B1" s="158" t="s">
        <v>64</v>
      </c>
      <c r="C1" s="158" t="s">
        <v>65</v>
      </c>
      <c r="D1" s="156" t="s">
        <v>1</v>
      </c>
      <c r="E1" s="156" t="s">
        <v>2</v>
      </c>
      <c r="F1" s="157" t="s">
        <v>3</v>
      </c>
      <c r="G1" s="157" t="s">
        <v>4</v>
      </c>
      <c r="H1" s="160" t="s">
        <v>5</v>
      </c>
      <c r="I1" s="161" t="s">
        <v>6</v>
      </c>
      <c r="J1" s="161"/>
      <c r="K1" s="161"/>
      <c r="L1" s="161"/>
      <c r="M1" s="161"/>
      <c r="N1" s="162" t="s">
        <v>7</v>
      </c>
      <c r="O1" s="162" t="s">
        <v>8</v>
      </c>
      <c r="P1" s="162"/>
      <c r="Q1" s="162"/>
      <c r="R1" s="162"/>
      <c r="S1" s="162"/>
      <c r="T1" s="163" t="s">
        <v>9</v>
      </c>
    </row>
    <row r="2" spans="1:20" ht="132" x14ac:dyDescent="0.4">
      <c r="A2" s="156"/>
      <c r="B2" s="159"/>
      <c r="C2" s="159"/>
      <c r="D2" s="156"/>
      <c r="E2" s="156"/>
      <c r="F2" s="157"/>
      <c r="G2" s="157"/>
      <c r="H2" s="160"/>
      <c r="I2" s="2" t="s">
        <v>10</v>
      </c>
      <c r="J2" s="2" t="s">
        <v>11</v>
      </c>
      <c r="K2" s="2" t="s">
        <v>12</v>
      </c>
      <c r="L2" s="2" t="s">
        <v>13</v>
      </c>
      <c r="M2" s="3" t="s">
        <v>14</v>
      </c>
      <c r="N2" s="162"/>
      <c r="O2" s="4" t="s">
        <v>10</v>
      </c>
      <c r="P2" s="4" t="s">
        <v>11</v>
      </c>
      <c r="Q2" s="4" t="s">
        <v>15</v>
      </c>
      <c r="R2" s="4" t="s">
        <v>16</v>
      </c>
      <c r="S2" s="4" t="s">
        <v>17</v>
      </c>
      <c r="T2" s="163"/>
    </row>
    <row r="3" spans="1:20" x14ac:dyDescent="0.4">
      <c r="A3" s="5"/>
      <c r="B3" s="5"/>
      <c r="C3" s="5"/>
      <c r="D3" s="5"/>
      <c r="E3" s="5"/>
      <c r="F3" s="6"/>
      <c r="G3" s="7"/>
      <c r="H3" s="7"/>
      <c r="I3" s="5"/>
      <c r="J3" s="6"/>
      <c r="K3" s="6"/>
      <c r="L3" s="6"/>
      <c r="M3" s="8"/>
      <c r="N3" s="9"/>
      <c r="O3" s="8"/>
      <c r="P3" s="10"/>
      <c r="Q3" s="11"/>
      <c r="R3" s="8"/>
      <c r="S3" s="8"/>
      <c r="T3" s="9"/>
    </row>
    <row r="4" spans="1:20" x14ac:dyDescent="0.4">
      <c r="A4" s="5"/>
      <c r="B4" s="5"/>
      <c r="C4" s="5"/>
      <c r="D4" s="5"/>
      <c r="E4" s="5"/>
      <c r="F4" s="6"/>
      <c r="G4" s="7"/>
      <c r="H4" s="7"/>
      <c r="I4" s="5"/>
      <c r="J4" s="6"/>
      <c r="K4" s="6"/>
      <c r="L4" s="6"/>
      <c r="M4" s="8"/>
      <c r="N4" s="9"/>
      <c r="O4" s="8"/>
      <c r="P4" s="10"/>
      <c r="Q4" s="11"/>
      <c r="R4" s="8"/>
      <c r="S4" s="8"/>
      <c r="T4" s="9"/>
    </row>
    <row r="5" spans="1:20" x14ac:dyDescent="0.4">
      <c r="A5" s="5"/>
      <c r="B5" s="5"/>
      <c r="C5" s="5"/>
      <c r="D5" s="5"/>
      <c r="E5" s="5"/>
      <c r="F5" s="6"/>
      <c r="G5" s="7"/>
      <c r="H5" s="7"/>
      <c r="I5" s="5"/>
      <c r="J5" s="6"/>
      <c r="K5" s="6"/>
      <c r="L5" s="6"/>
      <c r="M5" s="8"/>
      <c r="N5" s="9"/>
      <c r="O5" s="8"/>
      <c r="P5" s="10"/>
      <c r="Q5" s="11"/>
      <c r="R5" s="8"/>
      <c r="S5" s="8"/>
      <c r="T5" s="9"/>
    </row>
    <row r="6" spans="1:20" x14ac:dyDescent="0.4">
      <c r="A6" s="5"/>
      <c r="B6" s="5"/>
      <c r="C6" s="5"/>
      <c r="D6" s="5"/>
      <c r="E6" s="5"/>
      <c r="F6" s="6"/>
      <c r="G6" s="7"/>
      <c r="H6" s="7"/>
      <c r="I6" s="5"/>
      <c r="J6" s="6"/>
      <c r="K6" s="6"/>
      <c r="L6" s="6"/>
      <c r="M6" s="8"/>
      <c r="N6" s="9"/>
      <c r="O6" s="8"/>
      <c r="P6" s="10"/>
      <c r="Q6" s="11"/>
      <c r="R6" s="8"/>
      <c r="S6" s="8"/>
      <c r="T6" s="9"/>
    </row>
    <row r="7" spans="1:20" x14ac:dyDescent="0.4">
      <c r="A7" s="5"/>
      <c r="B7" s="5"/>
      <c r="C7" s="5"/>
      <c r="D7" s="5"/>
      <c r="E7" s="5"/>
      <c r="F7" s="6"/>
      <c r="G7" s="7"/>
      <c r="H7" s="7"/>
      <c r="I7" s="5"/>
      <c r="J7" s="6"/>
      <c r="K7" s="6"/>
      <c r="L7" s="6"/>
      <c r="M7" s="8"/>
      <c r="N7" s="9"/>
      <c r="O7" s="8"/>
      <c r="P7" s="10"/>
      <c r="Q7" s="11"/>
      <c r="R7" s="8"/>
      <c r="S7" s="8"/>
      <c r="T7" s="9"/>
    </row>
    <row r="8" spans="1:20" x14ac:dyDescent="0.4">
      <c r="A8" s="5"/>
      <c r="B8" s="5"/>
      <c r="C8" s="5"/>
      <c r="D8" s="5"/>
      <c r="E8" s="5"/>
      <c r="F8" s="6"/>
      <c r="G8" s="7"/>
      <c r="H8" s="7"/>
      <c r="I8" s="5"/>
      <c r="J8" s="6"/>
      <c r="K8" s="6"/>
      <c r="L8" s="6"/>
      <c r="M8" s="8"/>
      <c r="N8" s="9"/>
      <c r="O8" s="8"/>
      <c r="P8" s="10"/>
      <c r="Q8" s="11"/>
      <c r="R8" s="8"/>
      <c r="S8" s="8"/>
      <c r="T8" s="9"/>
    </row>
    <row r="9" spans="1:20" x14ac:dyDescent="0.4">
      <c r="A9" s="5"/>
      <c r="B9" s="5"/>
      <c r="C9" s="5"/>
      <c r="D9" s="5"/>
      <c r="E9" s="5"/>
      <c r="F9" s="6"/>
      <c r="G9" s="7"/>
      <c r="H9" s="7"/>
      <c r="I9" s="5"/>
      <c r="J9" s="6"/>
      <c r="K9" s="6"/>
      <c r="L9" s="6"/>
      <c r="M9" s="8"/>
      <c r="N9" s="9"/>
      <c r="O9" s="8"/>
      <c r="P9" s="10"/>
      <c r="Q9" s="11"/>
      <c r="R9" s="8"/>
      <c r="S9" s="8"/>
      <c r="T9" s="119"/>
    </row>
    <row r="10" spans="1:20" x14ac:dyDescent="0.4">
      <c r="A10" s="5"/>
      <c r="B10" s="5"/>
      <c r="C10" s="5"/>
      <c r="D10" s="5"/>
      <c r="E10" s="5"/>
      <c r="F10" s="6"/>
      <c r="G10" s="7"/>
      <c r="H10" s="7"/>
      <c r="I10" s="5"/>
      <c r="J10" s="6"/>
      <c r="K10" s="6"/>
      <c r="L10" s="6"/>
      <c r="M10" s="8"/>
      <c r="N10" s="9"/>
      <c r="O10" s="8"/>
      <c r="P10" s="10"/>
      <c r="Q10" s="11"/>
      <c r="R10" s="8"/>
      <c r="S10" s="8"/>
      <c r="T10" s="9"/>
    </row>
    <row r="11" spans="1:20" x14ac:dyDescent="0.4">
      <c r="A11" s="5"/>
      <c r="B11" s="5"/>
      <c r="C11" s="5"/>
      <c r="D11" s="5"/>
      <c r="E11" s="5"/>
      <c r="F11" s="6"/>
      <c r="G11" s="7"/>
      <c r="H11" s="7"/>
      <c r="I11" s="5"/>
      <c r="J11" s="6"/>
      <c r="K11" s="6"/>
      <c r="L11" s="6"/>
      <c r="M11" s="8"/>
      <c r="N11" s="9"/>
      <c r="O11" s="8"/>
      <c r="P11" s="10"/>
      <c r="Q11" s="11"/>
      <c r="R11" s="8"/>
      <c r="S11" s="8"/>
      <c r="T11" s="9"/>
    </row>
    <row r="12" spans="1:20" x14ac:dyDescent="0.4">
      <c r="A12" s="5"/>
      <c r="B12" s="5"/>
      <c r="C12" s="5"/>
      <c r="D12" s="5"/>
      <c r="E12" s="5"/>
      <c r="F12" s="6"/>
      <c r="G12" s="7"/>
      <c r="H12" s="7"/>
      <c r="I12" s="5"/>
      <c r="J12" s="6"/>
      <c r="K12" s="6"/>
      <c r="L12" s="6"/>
      <c r="M12" s="8"/>
      <c r="N12" s="9"/>
      <c r="O12" s="8"/>
      <c r="P12" s="10"/>
      <c r="Q12" s="11"/>
      <c r="R12" s="8"/>
      <c r="S12" s="8"/>
      <c r="T12" s="9"/>
    </row>
    <row r="13" spans="1:20" x14ac:dyDescent="0.4">
      <c r="A13" s="5"/>
      <c r="B13" s="5"/>
      <c r="C13" s="5"/>
      <c r="D13" s="5"/>
      <c r="E13" s="5"/>
      <c r="F13" s="6"/>
      <c r="G13" s="7"/>
      <c r="H13" s="7"/>
      <c r="I13" s="5"/>
      <c r="J13" s="6"/>
      <c r="K13" s="6"/>
      <c r="L13" s="6"/>
      <c r="M13" s="8"/>
      <c r="N13" s="9"/>
      <c r="O13" s="8"/>
      <c r="P13" s="10"/>
      <c r="Q13" s="11"/>
      <c r="R13" s="8"/>
      <c r="S13" s="8"/>
      <c r="T13" s="9"/>
    </row>
    <row r="14" spans="1:20" x14ac:dyDescent="0.4">
      <c r="A14" s="5"/>
      <c r="B14" s="5"/>
      <c r="C14" s="5"/>
      <c r="D14" s="5"/>
      <c r="E14" s="5"/>
      <c r="F14" s="6"/>
      <c r="G14" s="7"/>
      <c r="H14" s="7"/>
      <c r="I14" s="5"/>
      <c r="J14" s="6"/>
      <c r="K14" s="6"/>
      <c r="L14" s="6"/>
      <c r="M14" s="8"/>
      <c r="N14" s="9"/>
      <c r="O14" s="8"/>
      <c r="P14" s="10"/>
      <c r="Q14" s="11"/>
      <c r="R14" s="8"/>
      <c r="S14" s="8"/>
      <c r="T14" s="9"/>
    </row>
    <row r="15" spans="1:20" x14ac:dyDescent="0.4">
      <c r="A15" s="5"/>
      <c r="B15" s="5"/>
      <c r="C15" s="5"/>
      <c r="D15" s="5"/>
      <c r="E15" s="5"/>
      <c r="F15" s="6"/>
      <c r="G15" s="7"/>
      <c r="H15" s="7"/>
      <c r="I15" s="5"/>
      <c r="J15" s="6"/>
      <c r="K15" s="6"/>
      <c r="L15" s="6"/>
      <c r="M15" s="8"/>
      <c r="N15" s="9"/>
      <c r="O15" s="8"/>
      <c r="P15" s="10"/>
      <c r="Q15" s="11"/>
      <c r="R15" s="8"/>
      <c r="S15" s="8"/>
      <c r="T15" s="9"/>
    </row>
    <row r="16" spans="1:20" x14ac:dyDescent="0.4">
      <c r="A16" s="5"/>
      <c r="B16" s="5"/>
      <c r="C16" s="5"/>
      <c r="D16" s="5"/>
      <c r="E16" s="5"/>
      <c r="F16" s="6"/>
      <c r="G16" s="7"/>
      <c r="H16" s="7"/>
      <c r="I16" s="5"/>
      <c r="J16" s="6"/>
      <c r="K16" s="6"/>
      <c r="L16" s="6"/>
      <c r="M16" s="8"/>
      <c r="N16" s="9"/>
      <c r="O16" s="8"/>
      <c r="P16" s="10"/>
      <c r="Q16" s="11"/>
      <c r="R16" s="8"/>
      <c r="S16" s="8"/>
      <c r="T16" s="9"/>
    </row>
    <row r="17" spans="1:20" x14ac:dyDescent="0.4">
      <c r="A17" s="5"/>
      <c r="B17" s="5"/>
      <c r="C17" s="5"/>
      <c r="D17" s="5"/>
      <c r="E17" s="5"/>
      <c r="F17" s="6"/>
      <c r="G17" s="7"/>
      <c r="H17" s="7"/>
      <c r="I17" s="5"/>
      <c r="J17" s="6"/>
      <c r="K17" s="6"/>
      <c r="L17" s="6"/>
      <c r="M17" s="8"/>
      <c r="N17" s="9"/>
      <c r="O17" s="8"/>
      <c r="P17" s="10"/>
      <c r="Q17" s="11"/>
      <c r="R17" s="8"/>
      <c r="S17" s="8"/>
      <c r="T17" s="9"/>
    </row>
    <row r="18" spans="1:20" x14ac:dyDescent="0.4">
      <c r="A18" s="5"/>
      <c r="B18" s="5"/>
      <c r="C18" s="5"/>
      <c r="D18" s="5"/>
      <c r="E18" s="5"/>
      <c r="F18" s="6"/>
      <c r="G18" s="7"/>
      <c r="H18" s="7"/>
      <c r="I18" s="5"/>
      <c r="J18" s="6"/>
      <c r="K18" s="6"/>
      <c r="L18" s="6"/>
      <c r="M18" s="8"/>
      <c r="N18" s="9"/>
      <c r="O18" s="8"/>
      <c r="P18" s="10"/>
      <c r="Q18" s="11"/>
      <c r="R18" s="8"/>
      <c r="S18" s="8"/>
      <c r="T18" s="9"/>
    </row>
    <row r="19" spans="1:20" x14ac:dyDescent="0.4">
      <c r="A19" s="5"/>
      <c r="B19" s="5"/>
      <c r="C19" s="5"/>
      <c r="D19" s="5"/>
      <c r="E19" s="5"/>
      <c r="F19" s="6"/>
      <c r="G19" s="7"/>
      <c r="H19" s="7"/>
      <c r="I19" s="5"/>
      <c r="J19" s="6"/>
      <c r="K19" s="6"/>
      <c r="L19" s="6"/>
      <c r="M19" s="8"/>
      <c r="N19" s="9"/>
      <c r="O19" s="8"/>
      <c r="P19" s="10"/>
      <c r="Q19" s="11"/>
      <c r="R19" s="8"/>
      <c r="S19" s="8"/>
      <c r="T19" s="9"/>
    </row>
    <row r="20" spans="1:20" x14ac:dyDescent="0.4">
      <c r="A20" s="5"/>
      <c r="B20" s="5"/>
      <c r="C20" s="5"/>
      <c r="D20" s="5"/>
      <c r="E20" s="5"/>
      <c r="F20" s="6"/>
      <c r="G20" s="7"/>
      <c r="H20" s="7"/>
      <c r="I20" s="5"/>
      <c r="J20" s="6"/>
      <c r="K20" s="6"/>
      <c r="L20" s="6"/>
      <c r="M20" s="8"/>
      <c r="N20" s="9"/>
      <c r="O20" s="8"/>
      <c r="P20" s="10"/>
      <c r="Q20" s="11"/>
      <c r="R20" s="8"/>
      <c r="S20" s="8"/>
      <c r="T20" s="9"/>
    </row>
    <row r="21" spans="1:20" x14ac:dyDescent="0.4">
      <c r="A21" s="5"/>
      <c r="B21" s="5"/>
      <c r="C21" s="5"/>
      <c r="D21" s="5"/>
      <c r="E21" s="5"/>
      <c r="F21" s="6"/>
      <c r="G21" s="7"/>
      <c r="H21" s="7"/>
      <c r="I21" s="5"/>
      <c r="J21" s="6"/>
      <c r="K21" s="6"/>
      <c r="L21" s="6"/>
      <c r="M21" s="8"/>
      <c r="N21" s="9"/>
      <c r="O21" s="8"/>
      <c r="P21" s="10"/>
      <c r="Q21" s="11"/>
      <c r="R21" s="8"/>
      <c r="S21" s="8"/>
      <c r="T21" s="9"/>
    </row>
    <row r="22" spans="1:20" x14ac:dyDescent="0.4">
      <c r="A22" s="5"/>
      <c r="B22" s="5"/>
      <c r="C22" s="5"/>
      <c r="D22" s="5"/>
      <c r="E22" s="5"/>
      <c r="F22" s="6"/>
      <c r="G22" s="7"/>
      <c r="H22" s="7"/>
      <c r="I22" s="5"/>
      <c r="J22" s="6"/>
      <c r="K22" s="6"/>
      <c r="L22" s="6"/>
      <c r="M22" s="8"/>
      <c r="N22" s="9"/>
      <c r="O22" s="8"/>
      <c r="P22" s="10"/>
      <c r="Q22" s="11"/>
      <c r="R22" s="8"/>
      <c r="S22" s="8"/>
      <c r="T22" s="9"/>
    </row>
    <row r="23" spans="1:20" x14ac:dyDescent="0.4">
      <c r="A23" s="5"/>
      <c r="B23" s="5"/>
      <c r="C23" s="5"/>
      <c r="D23" s="5"/>
      <c r="E23" s="5"/>
      <c r="F23" s="6"/>
      <c r="G23" s="7"/>
      <c r="H23" s="7"/>
      <c r="I23" s="5"/>
      <c r="J23" s="6"/>
      <c r="K23" s="6"/>
      <c r="L23" s="6"/>
      <c r="M23" s="8"/>
      <c r="N23" s="9"/>
      <c r="O23" s="8"/>
      <c r="P23" s="10"/>
      <c r="Q23" s="11"/>
      <c r="R23" s="8"/>
      <c r="S23" s="8"/>
      <c r="T23" s="9"/>
    </row>
    <row r="24" spans="1:20" x14ac:dyDescent="0.4">
      <c r="A24" s="5"/>
      <c r="B24" s="5"/>
      <c r="C24" s="5"/>
      <c r="D24" s="5"/>
      <c r="E24" s="5"/>
      <c r="F24" s="6"/>
      <c r="G24" s="7"/>
      <c r="H24" s="7"/>
      <c r="I24" s="5"/>
      <c r="J24" s="6"/>
      <c r="K24" s="6"/>
      <c r="L24" s="6"/>
      <c r="M24" s="8"/>
      <c r="N24" s="9"/>
      <c r="O24" s="8"/>
      <c r="P24" s="10"/>
      <c r="Q24" s="11"/>
      <c r="R24" s="8"/>
      <c r="S24" s="8"/>
      <c r="T24" s="8"/>
    </row>
    <row r="25" spans="1:20" x14ac:dyDescent="0.4">
      <c r="A25" s="5"/>
      <c r="B25" s="5"/>
      <c r="C25" s="5"/>
      <c r="D25" s="5"/>
      <c r="E25" s="5"/>
      <c r="F25" s="6"/>
      <c r="G25" s="7"/>
      <c r="H25" s="7"/>
      <c r="I25" s="5"/>
      <c r="J25" s="6"/>
      <c r="K25" s="6"/>
      <c r="L25" s="6"/>
      <c r="M25" s="8"/>
      <c r="N25" s="9"/>
      <c r="O25" s="8"/>
      <c r="P25" s="10"/>
      <c r="Q25" s="11"/>
      <c r="R25" s="8"/>
      <c r="S25" s="8"/>
      <c r="T25" s="8"/>
    </row>
    <row r="26" spans="1:20" x14ac:dyDescent="0.4">
      <c r="A26" s="5"/>
      <c r="B26" s="5"/>
      <c r="C26" s="5"/>
      <c r="D26" s="5"/>
      <c r="E26" s="5"/>
      <c r="F26" s="6"/>
      <c r="G26" s="7"/>
      <c r="H26" s="7"/>
      <c r="I26" s="5"/>
      <c r="J26" s="6"/>
      <c r="K26" s="6"/>
      <c r="L26" s="6"/>
      <c r="M26" s="8"/>
      <c r="N26" s="9"/>
      <c r="O26" s="8"/>
      <c r="P26" s="10"/>
      <c r="Q26" s="11"/>
      <c r="R26" s="8"/>
      <c r="S26" s="8"/>
      <c r="T26" s="8"/>
    </row>
    <row r="27" spans="1:20" x14ac:dyDescent="0.4">
      <c r="A27" s="5"/>
      <c r="B27" s="5"/>
      <c r="C27" s="5"/>
      <c r="D27" s="5"/>
      <c r="E27" s="5"/>
      <c r="F27" s="6"/>
      <c r="G27" s="7"/>
      <c r="H27" s="7"/>
      <c r="I27" s="5"/>
      <c r="J27" s="6"/>
      <c r="K27" s="6"/>
      <c r="L27" s="6"/>
      <c r="M27" s="8"/>
      <c r="N27" s="9"/>
      <c r="O27" s="8"/>
      <c r="P27" s="10"/>
      <c r="Q27" s="11"/>
      <c r="R27" s="8"/>
      <c r="S27" s="8"/>
      <c r="T27" s="8"/>
    </row>
    <row r="28" spans="1:20" x14ac:dyDescent="0.4">
      <c r="A28" s="5"/>
      <c r="B28" s="5"/>
      <c r="C28" s="5"/>
      <c r="D28" s="5"/>
      <c r="E28" s="5"/>
      <c r="F28" s="6"/>
      <c r="G28" s="7"/>
      <c r="H28" s="7"/>
      <c r="I28" s="5"/>
      <c r="J28" s="6"/>
      <c r="K28" s="6"/>
      <c r="L28" s="6"/>
      <c r="M28" s="8"/>
      <c r="N28" s="9"/>
      <c r="O28" s="8"/>
      <c r="P28" s="10"/>
      <c r="Q28" s="11"/>
      <c r="R28" s="8"/>
      <c r="S28" s="8"/>
      <c r="T28" s="8"/>
    </row>
    <row r="29" spans="1:20" x14ac:dyDescent="0.4">
      <c r="A29" s="5"/>
      <c r="B29" s="5"/>
      <c r="C29" s="5"/>
      <c r="D29" s="5"/>
      <c r="E29" s="5"/>
      <c r="F29" s="6"/>
      <c r="G29" s="7"/>
      <c r="H29" s="7"/>
      <c r="I29" s="5"/>
      <c r="J29" s="6"/>
      <c r="K29" s="6"/>
      <c r="L29" s="6"/>
      <c r="M29" s="8"/>
      <c r="N29" s="9"/>
      <c r="O29" s="8"/>
      <c r="P29" s="10"/>
      <c r="Q29" s="11"/>
      <c r="R29" s="8"/>
      <c r="S29" s="8"/>
      <c r="T29" s="8"/>
    </row>
    <row r="30" spans="1:20" x14ac:dyDescent="0.4">
      <c r="A30" s="5"/>
      <c r="B30" s="5"/>
      <c r="C30" s="5"/>
      <c r="D30" s="5"/>
      <c r="E30" s="5"/>
      <c r="F30" s="6"/>
      <c r="G30" s="7"/>
      <c r="H30" s="7"/>
      <c r="I30" s="5"/>
      <c r="J30" s="6"/>
      <c r="K30" s="6"/>
      <c r="L30" s="6"/>
      <c r="M30" s="8"/>
      <c r="N30" s="9"/>
      <c r="O30" s="8"/>
      <c r="P30" s="10"/>
      <c r="Q30" s="11"/>
      <c r="R30" s="8"/>
      <c r="S30" s="8"/>
      <c r="T30" s="8"/>
    </row>
    <row r="31" spans="1:20" x14ac:dyDescent="0.4">
      <c r="A31" s="5"/>
      <c r="B31" s="5"/>
      <c r="C31" s="5"/>
      <c r="D31" s="5"/>
      <c r="E31" s="5"/>
      <c r="F31" s="6"/>
      <c r="G31" s="7"/>
      <c r="H31" s="7"/>
      <c r="I31" s="5"/>
      <c r="J31" s="6"/>
      <c r="K31" s="6"/>
      <c r="L31" s="6"/>
      <c r="M31" s="8"/>
      <c r="N31" s="9"/>
      <c r="O31" s="8"/>
      <c r="P31" s="10"/>
      <c r="Q31" s="11"/>
      <c r="R31" s="8"/>
      <c r="S31" s="8"/>
      <c r="T31" s="12"/>
    </row>
    <row r="32" spans="1:20" x14ac:dyDescent="0.4">
      <c r="A32" s="5"/>
      <c r="B32" s="5"/>
      <c r="C32" s="5"/>
      <c r="D32" s="5"/>
      <c r="E32" s="5"/>
      <c r="F32" s="6"/>
      <c r="G32" s="7"/>
      <c r="H32" s="7"/>
      <c r="I32" s="5"/>
      <c r="J32" s="6"/>
      <c r="K32" s="6"/>
      <c r="L32" s="6"/>
      <c r="M32" s="8"/>
      <c r="N32" s="9"/>
      <c r="O32" s="8"/>
      <c r="P32" s="10"/>
      <c r="Q32" s="11"/>
      <c r="R32" s="8"/>
      <c r="S32" s="8"/>
      <c r="T32" s="8"/>
    </row>
    <row r="33" spans="1:20" x14ac:dyDescent="0.4">
      <c r="A33" s="5"/>
      <c r="B33" s="5"/>
      <c r="C33" s="5"/>
      <c r="D33" s="5"/>
      <c r="E33" s="5"/>
      <c r="F33" s="6"/>
      <c r="G33" s="7"/>
      <c r="H33" s="7"/>
      <c r="I33" s="5"/>
      <c r="J33" s="6"/>
      <c r="K33" s="6"/>
      <c r="L33" s="6"/>
      <c r="M33" s="8"/>
      <c r="N33" s="9"/>
      <c r="O33" s="8"/>
      <c r="P33" s="10"/>
      <c r="Q33" s="11"/>
      <c r="R33" s="8"/>
      <c r="S33" s="8"/>
      <c r="T33" s="9"/>
    </row>
    <row r="34" spans="1:20" x14ac:dyDescent="0.4">
      <c r="A34" s="5"/>
      <c r="B34" s="5"/>
      <c r="C34" s="5"/>
      <c r="D34" s="5"/>
      <c r="E34" s="5"/>
      <c r="F34" s="6"/>
      <c r="G34" s="7"/>
      <c r="H34" s="7"/>
      <c r="I34" s="5"/>
      <c r="J34" s="6"/>
      <c r="K34" s="6"/>
      <c r="L34" s="6"/>
      <c r="M34" s="8"/>
      <c r="N34" s="9"/>
      <c r="O34" s="8"/>
      <c r="P34" s="10"/>
      <c r="Q34" s="11"/>
      <c r="R34" s="8"/>
      <c r="S34" s="8"/>
      <c r="T34" s="9"/>
    </row>
    <row r="35" spans="1:20" x14ac:dyDescent="0.4">
      <c r="A35" s="5"/>
      <c r="B35" s="5"/>
      <c r="C35" s="5"/>
      <c r="D35" s="5"/>
      <c r="E35" s="5"/>
      <c r="F35" s="6"/>
      <c r="G35" s="7"/>
      <c r="H35" s="7"/>
      <c r="I35" s="5"/>
      <c r="J35" s="6"/>
      <c r="K35" s="6"/>
      <c r="L35" s="6"/>
      <c r="M35" s="8"/>
      <c r="N35" s="9"/>
      <c r="O35" s="8"/>
      <c r="P35" s="10"/>
      <c r="Q35" s="11"/>
      <c r="R35" s="8"/>
      <c r="S35" s="8"/>
      <c r="T35" s="9"/>
    </row>
    <row r="36" spans="1:20" x14ac:dyDescent="0.4">
      <c r="A36" s="5"/>
      <c r="B36" s="5"/>
      <c r="C36" s="5"/>
      <c r="D36" s="5"/>
      <c r="E36" s="5"/>
      <c r="F36" s="6"/>
      <c r="G36" s="7"/>
      <c r="H36" s="7"/>
      <c r="I36" s="5"/>
      <c r="J36" s="6"/>
      <c r="K36" s="6"/>
      <c r="L36" s="6"/>
      <c r="M36" s="8"/>
      <c r="N36" s="9"/>
      <c r="O36" s="8"/>
      <c r="P36" s="10"/>
      <c r="Q36" s="11"/>
      <c r="R36" s="8"/>
      <c r="S36" s="8"/>
      <c r="T36" s="9"/>
    </row>
    <row r="37" spans="1:20" x14ac:dyDescent="0.4">
      <c r="A37" s="5"/>
      <c r="B37" s="5"/>
      <c r="C37" s="5"/>
      <c r="D37" s="5"/>
      <c r="E37" s="5"/>
      <c r="F37" s="6"/>
      <c r="G37" s="7"/>
      <c r="H37" s="7"/>
      <c r="I37" s="5"/>
      <c r="J37" s="6"/>
      <c r="K37" s="6"/>
      <c r="L37" s="6"/>
      <c r="M37" s="8"/>
      <c r="N37" s="9"/>
      <c r="O37" s="8"/>
      <c r="P37" s="10"/>
      <c r="Q37" s="11"/>
      <c r="R37" s="8"/>
      <c r="S37" s="8"/>
      <c r="T37" s="9"/>
    </row>
    <row r="38" spans="1:20" x14ac:dyDescent="0.4">
      <c r="A38" s="5"/>
      <c r="B38" s="5"/>
      <c r="C38" s="5"/>
      <c r="D38" s="5"/>
      <c r="E38" s="5"/>
      <c r="F38" s="6"/>
      <c r="G38" s="7"/>
      <c r="H38" s="7"/>
      <c r="I38" s="5"/>
      <c r="J38" s="6"/>
      <c r="K38" s="6"/>
      <c r="L38" s="6"/>
      <c r="M38" s="8"/>
      <c r="N38" s="9"/>
      <c r="O38" s="8"/>
      <c r="P38" s="10"/>
      <c r="Q38" s="11"/>
      <c r="R38" s="8"/>
      <c r="S38" s="8"/>
      <c r="T38" s="9"/>
    </row>
    <row r="39" spans="1:20" x14ac:dyDescent="0.4">
      <c r="A39" s="5"/>
      <c r="B39" s="5"/>
      <c r="C39" s="5"/>
      <c r="D39" s="5"/>
      <c r="E39" s="5"/>
      <c r="F39" s="6"/>
      <c r="G39" s="7"/>
      <c r="H39" s="7"/>
      <c r="I39" s="5"/>
      <c r="J39" s="6"/>
      <c r="K39" s="6"/>
      <c r="L39" s="6"/>
      <c r="M39" s="8"/>
      <c r="N39" s="9"/>
      <c r="O39" s="8"/>
      <c r="P39" s="10"/>
      <c r="Q39" s="11"/>
      <c r="R39" s="8"/>
      <c r="S39" s="8"/>
      <c r="T39" s="9"/>
    </row>
    <row r="40" spans="1:20" x14ac:dyDescent="0.4">
      <c r="A40" s="5"/>
      <c r="B40" s="5"/>
      <c r="C40" s="5"/>
      <c r="D40" s="5"/>
      <c r="E40" s="5"/>
      <c r="F40" s="6"/>
      <c r="G40" s="7"/>
      <c r="H40" s="7"/>
      <c r="I40" s="5"/>
      <c r="J40" s="6"/>
      <c r="K40" s="6"/>
      <c r="L40" s="6"/>
      <c r="M40" s="8"/>
      <c r="N40" s="9"/>
      <c r="O40" s="8"/>
      <c r="P40" s="10"/>
      <c r="Q40" s="11"/>
      <c r="R40" s="8"/>
      <c r="S40" s="8"/>
      <c r="T40" s="9"/>
    </row>
    <row r="41" spans="1:20" x14ac:dyDescent="0.4">
      <c r="A41" s="5"/>
      <c r="B41" s="5"/>
      <c r="C41" s="5"/>
      <c r="D41" s="5"/>
      <c r="E41" s="5"/>
      <c r="F41" s="6"/>
      <c r="G41" s="7"/>
      <c r="H41" s="7"/>
      <c r="I41" s="5"/>
      <c r="J41" s="6"/>
      <c r="K41" s="6"/>
      <c r="L41" s="6"/>
      <c r="M41" s="8"/>
      <c r="N41" s="9"/>
      <c r="O41" s="8"/>
      <c r="P41" s="10"/>
      <c r="Q41" s="11"/>
      <c r="R41" s="8"/>
      <c r="S41" s="8"/>
      <c r="T41" s="9"/>
    </row>
    <row r="42" spans="1:20" x14ac:dyDescent="0.4">
      <c r="A42" s="5"/>
      <c r="B42" s="5"/>
      <c r="C42" s="5"/>
      <c r="D42" s="5"/>
      <c r="E42" s="5"/>
      <c r="F42" s="6"/>
      <c r="G42" s="7"/>
      <c r="H42" s="7"/>
      <c r="I42" s="5"/>
      <c r="J42" s="6"/>
      <c r="K42" s="6"/>
      <c r="L42" s="6"/>
      <c r="M42" s="8"/>
      <c r="N42" s="9"/>
      <c r="O42" s="8"/>
      <c r="P42" s="10"/>
      <c r="Q42" s="11"/>
      <c r="R42" s="8"/>
      <c r="S42" s="8"/>
      <c r="T42" s="9"/>
    </row>
    <row r="43" spans="1:20" x14ac:dyDescent="0.4">
      <c r="A43" s="5"/>
      <c r="B43" s="5"/>
      <c r="C43" s="5"/>
      <c r="D43" s="5"/>
      <c r="E43" s="5"/>
      <c r="F43" s="6"/>
      <c r="G43" s="7"/>
      <c r="H43" s="7"/>
      <c r="I43" s="5"/>
      <c r="J43" s="6"/>
      <c r="K43" s="6"/>
      <c r="L43" s="6"/>
      <c r="M43" s="8"/>
      <c r="N43" s="9"/>
      <c r="O43" s="8"/>
      <c r="P43" s="10"/>
      <c r="Q43" s="11"/>
      <c r="R43" s="8"/>
      <c r="S43" s="9"/>
      <c r="T43" s="9"/>
    </row>
    <row r="44" spans="1:20" x14ac:dyDescent="0.4">
      <c r="A44" s="5"/>
      <c r="B44" s="5"/>
      <c r="C44" s="5"/>
      <c r="D44" s="5"/>
      <c r="E44" s="5"/>
      <c r="F44" s="6"/>
      <c r="G44" s="7"/>
      <c r="H44" s="7"/>
      <c r="I44" s="5"/>
      <c r="J44" s="6"/>
      <c r="K44" s="6"/>
      <c r="L44" s="6"/>
      <c r="M44" s="8"/>
      <c r="N44" s="9"/>
      <c r="O44" s="8"/>
      <c r="P44" s="10"/>
      <c r="Q44" s="11"/>
      <c r="R44" s="8"/>
      <c r="S44" s="9"/>
      <c r="T44" s="9"/>
    </row>
    <row r="45" spans="1:20" x14ac:dyDescent="0.4">
      <c r="A45" s="5"/>
      <c r="B45" s="5"/>
      <c r="C45" s="5"/>
      <c r="D45" s="5"/>
      <c r="E45" s="5"/>
      <c r="F45" s="6"/>
      <c r="G45" s="7"/>
      <c r="H45" s="7"/>
      <c r="I45" s="5"/>
      <c r="J45" s="6"/>
      <c r="K45" s="6"/>
      <c r="L45" s="6"/>
      <c r="M45" s="8"/>
      <c r="N45" s="9"/>
      <c r="O45" s="8"/>
      <c r="P45" s="10"/>
      <c r="Q45" s="11"/>
      <c r="R45" s="8"/>
      <c r="S45" s="9"/>
      <c r="T45" s="13"/>
    </row>
    <row r="46" spans="1:20" x14ac:dyDescent="0.4">
      <c r="A46" s="5"/>
      <c r="B46" s="5"/>
      <c r="C46" s="5"/>
      <c r="D46" s="5"/>
      <c r="E46" s="5"/>
      <c r="F46" s="6"/>
      <c r="G46" s="7"/>
      <c r="H46" s="7"/>
      <c r="I46" s="5"/>
      <c r="J46" s="6"/>
      <c r="K46" s="6"/>
      <c r="L46" s="6"/>
      <c r="M46" s="8"/>
      <c r="N46" s="9"/>
      <c r="O46" s="8"/>
      <c r="P46" s="10"/>
      <c r="Q46" s="11"/>
      <c r="R46" s="8"/>
      <c r="S46" s="9"/>
      <c r="T46" s="9"/>
    </row>
    <row r="47" spans="1:20" x14ac:dyDescent="0.4">
      <c r="A47" s="5"/>
      <c r="B47" s="5"/>
      <c r="C47" s="5"/>
      <c r="D47" s="5"/>
      <c r="E47" s="5"/>
      <c r="F47" s="6"/>
      <c r="G47" s="7"/>
      <c r="H47" s="7"/>
      <c r="I47" s="5"/>
      <c r="J47" s="6"/>
      <c r="K47" s="6"/>
      <c r="L47" s="6"/>
      <c r="M47" s="8"/>
      <c r="N47" s="9"/>
      <c r="O47" s="8"/>
      <c r="P47" s="10"/>
      <c r="Q47" s="11"/>
      <c r="R47" s="8"/>
      <c r="S47" s="9"/>
      <c r="T47" s="9"/>
    </row>
    <row r="48" spans="1:20" x14ac:dyDescent="0.4">
      <c r="A48" s="5"/>
      <c r="B48" s="5"/>
      <c r="C48" s="5"/>
      <c r="D48" s="5"/>
      <c r="E48" s="5"/>
      <c r="F48" s="6"/>
      <c r="G48" s="7"/>
      <c r="H48" s="7"/>
      <c r="I48" s="5"/>
      <c r="J48" s="6"/>
      <c r="K48" s="6"/>
      <c r="L48" s="6"/>
      <c r="M48" s="8"/>
      <c r="N48" s="9"/>
      <c r="O48" s="8"/>
      <c r="P48" s="10"/>
      <c r="Q48" s="11"/>
      <c r="R48" s="8"/>
      <c r="S48" s="9"/>
      <c r="T48" s="9"/>
    </row>
    <row r="49" spans="1:20" x14ac:dyDescent="0.4">
      <c r="A49" s="5"/>
      <c r="B49" s="5"/>
      <c r="C49" s="5"/>
      <c r="D49" s="5"/>
      <c r="E49" s="5"/>
      <c r="F49" s="6"/>
      <c r="G49" s="7"/>
      <c r="H49" s="7"/>
      <c r="I49" s="5"/>
      <c r="J49" s="6"/>
      <c r="K49" s="6"/>
      <c r="L49" s="6"/>
      <c r="M49" s="8"/>
      <c r="N49" s="9"/>
      <c r="O49" s="8"/>
      <c r="P49" s="10"/>
      <c r="Q49" s="11"/>
      <c r="R49" s="8"/>
      <c r="S49" s="9"/>
      <c r="T49" s="9"/>
    </row>
    <row r="50" spans="1:20" x14ac:dyDescent="0.4">
      <c r="A50" s="5"/>
      <c r="B50" s="5"/>
      <c r="C50" s="5"/>
      <c r="D50" s="5"/>
      <c r="E50" s="5"/>
      <c r="F50" s="6"/>
      <c r="G50" s="7"/>
      <c r="H50" s="7"/>
      <c r="I50" s="5"/>
      <c r="J50" s="6"/>
      <c r="K50" s="6"/>
      <c r="L50" s="6"/>
      <c r="M50" s="8"/>
      <c r="N50" s="9"/>
      <c r="O50" s="8"/>
      <c r="P50" s="10"/>
      <c r="Q50" s="11"/>
      <c r="R50" s="8"/>
      <c r="S50" s="9"/>
      <c r="T50" s="9"/>
    </row>
    <row r="51" spans="1:20" x14ac:dyDescent="0.4">
      <c r="A51" s="5"/>
      <c r="B51" s="5"/>
      <c r="C51" s="5"/>
      <c r="D51" s="5"/>
      <c r="E51" s="5"/>
      <c r="F51" s="6"/>
      <c r="G51" s="7"/>
      <c r="H51" s="7"/>
      <c r="I51" s="5"/>
      <c r="J51" s="6"/>
      <c r="K51" s="6"/>
      <c r="L51" s="6"/>
      <c r="M51" s="8"/>
      <c r="N51" s="9"/>
      <c r="O51" s="8"/>
      <c r="P51" s="10"/>
      <c r="Q51" s="11"/>
      <c r="R51" s="8"/>
      <c r="S51" s="9"/>
      <c r="T51" s="9"/>
    </row>
    <row r="52" spans="1:20" x14ac:dyDescent="0.4">
      <c r="A52" s="5"/>
      <c r="B52" s="5"/>
      <c r="C52" s="5"/>
      <c r="D52" s="5"/>
      <c r="E52" s="5"/>
      <c r="F52" s="6"/>
      <c r="G52" s="7"/>
      <c r="H52" s="7"/>
      <c r="I52" s="5"/>
      <c r="J52" s="6"/>
      <c r="K52" s="6"/>
      <c r="L52" s="6"/>
      <c r="M52" s="8"/>
      <c r="N52" s="9"/>
      <c r="O52" s="8"/>
      <c r="P52" s="10"/>
      <c r="Q52" s="11"/>
      <c r="R52" s="8"/>
      <c r="S52" s="9"/>
      <c r="T52" s="9"/>
    </row>
    <row r="53" spans="1:20" x14ac:dyDescent="0.4">
      <c r="A53" s="5"/>
      <c r="B53" s="5"/>
      <c r="C53" s="5"/>
      <c r="D53" s="5"/>
      <c r="E53" s="5"/>
      <c r="F53" s="6"/>
      <c r="G53" s="7"/>
      <c r="H53" s="7"/>
      <c r="I53" s="5"/>
      <c r="J53" s="6"/>
      <c r="K53" s="6"/>
      <c r="L53" s="6"/>
      <c r="M53" s="8"/>
      <c r="N53" s="9"/>
      <c r="O53" s="8"/>
      <c r="P53" s="10"/>
      <c r="Q53" s="11"/>
      <c r="R53" s="8"/>
      <c r="S53" s="9"/>
      <c r="T53" s="9"/>
    </row>
    <row r="54" spans="1:20" x14ac:dyDescent="0.4">
      <c r="A54" s="5"/>
      <c r="B54" s="5"/>
      <c r="C54" s="5"/>
      <c r="D54" s="5"/>
      <c r="E54" s="5"/>
      <c r="F54" s="6"/>
      <c r="G54" s="7"/>
      <c r="H54" s="7"/>
      <c r="I54" s="5"/>
      <c r="J54" s="6"/>
      <c r="K54" s="6"/>
      <c r="L54" s="6"/>
      <c r="M54" s="8"/>
      <c r="N54" s="9"/>
      <c r="O54" s="8"/>
      <c r="P54" s="10"/>
      <c r="Q54" s="11"/>
      <c r="R54" s="8"/>
      <c r="S54" s="9"/>
      <c r="T54" s="9"/>
    </row>
    <row r="55" spans="1:20" x14ac:dyDescent="0.4">
      <c r="A55" s="5"/>
      <c r="B55" s="5"/>
      <c r="C55" s="5"/>
      <c r="D55" s="5"/>
      <c r="E55" s="5"/>
      <c r="F55" s="6"/>
      <c r="G55" s="7"/>
      <c r="H55" s="7"/>
      <c r="I55" s="5"/>
      <c r="J55" s="6"/>
      <c r="K55" s="6"/>
      <c r="L55" s="6"/>
      <c r="M55" s="8"/>
      <c r="N55" s="9"/>
      <c r="O55" s="8"/>
      <c r="P55" s="10"/>
      <c r="Q55" s="11"/>
      <c r="R55" s="8"/>
      <c r="S55" s="9"/>
      <c r="T55" s="9"/>
    </row>
    <row r="56" spans="1:20" x14ac:dyDescent="0.4">
      <c r="A56" s="5"/>
      <c r="B56" s="5"/>
      <c r="C56" s="5"/>
      <c r="D56" s="5"/>
      <c r="E56" s="5"/>
      <c r="F56" s="6"/>
      <c r="G56" s="7"/>
      <c r="H56" s="7"/>
      <c r="I56" s="5"/>
      <c r="J56" s="6"/>
      <c r="K56" s="6"/>
      <c r="L56" s="6"/>
      <c r="M56" s="8"/>
      <c r="N56" s="9"/>
      <c r="O56" s="8"/>
      <c r="P56" s="10"/>
      <c r="Q56" s="11"/>
      <c r="R56" s="8"/>
      <c r="S56" s="8"/>
      <c r="T56" s="9"/>
    </row>
    <row r="57" spans="1:20" x14ac:dyDescent="0.4">
      <c r="A57" s="5"/>
      <c r="B57" s="5"/>
      <c r="C57" s="5"/>
      <c r="D57" s="5"/>
      <c r="E57" s="5"/>
      <c r="F57" s="6"/>
      <c r="G57" s="7"/>
      <c r="H57" s="7"/>
      <c r="I57" s="5"/>
      <c r="J57" s="6"/>
      <c r="K57" s="6"/>
      <c r="L57" s="6"/>
      <c r="M57" s="8"/>
      <c r="N57" s="9"/>
      <c r="O57" s="8"/>
      <c r="P57" s="10"/>
      <c r="Q57" s="11"/>
      <c r="R57" s="8"/>
      <c r="S57" s="8"/>
      <c r="T57" s="9"/>
    </row>
    <row r="58" spans="1:20" x14ac:dyDescent="0.4">
      <c r="A58" s="5"/>
      <c r="B58" s="5"/>
      <c r="C58" s="5"/>
      <c r="D58" s="5"/>
      <c r="E58" s="5"/>
      <c r="F58" s="6"/>
      <c r="G58" s="7"/>
      <c r="H58" s="7"/>
      <c r="I58" s="5"/>
      <c r="J58" s="6"/>
      <c r="K58" s="6"/>
      <c r="L58" s="6"/>
      <c r="M58" s="8"/>
      <c r="N58" s="9"/>
      <c r="O58" s="8"/>
      <c r="P58" s="10"/>
      <c r="Q58" s="11"/>
      <c r="R58" s="8"/>
      <c r="S58" s="8"/>
      <c r="T58" s="9"/>
    </row>
    <row r="59" spans="1:20" x14ac:dyDescent="0.4">
      <c r="A59" s="5"/>
      <c r="B59" s="5"/>
      <c r="C59" s="5"/>
      <c r="D59" s="5"/>
      <c r="E59" s="5"/>
      <c r="F59" s="6"/>
      <c r="G59" s="7"/>
      <c r="H59" s="7"/>
      <c r="I59" s="5"/>
      <c r="J59" s="6"/>
      <c r="K59" s="6"/>
      <c r="L59" s="6"/>
      <c r="M59" s="8"/>
      <c r="N59" s="9"/>
      <c r="O59" s="8"/>
      <c r="P59" s="10"/>
      <c r="Q59" s="11"/>
      <c r="R59" s="8"/>
      <c r="S59" s="8"/>
      <c r="T59" s="9"/>
    </row>
    <row r="60" spans="1:20" x14ac:dyDescent="0.4">
      <c r="A60" s="5"/>
      <c r="B60" s="5"/>
      <c r="C60" s="5"/>
      <c r="D60" s="5"/>
      <c r="E60" s="5"/>
      <c r="F60" s="6"/>
      <c r="G60" s="7"/>
      <c r="H60" s="7"/>
      <c r="I60" s="5"/>
      <c r="J60" s="6"/>
      <c r="K60" s="6"/>
      <c r="L60" s="6"/>
      <c r="M60" s="8"/>
      <c r="N60" s="9"/>
      <c r="O60" s="8"/>
      <c r="P60" s="10"/>
      <c r="Q60" s="11"/>
      <c r="R60" s="8"/>
      <c r="S60" s="8"/>
      <c r="T60" s="9"/>
    </row>
    <row r="61" spans="1:20" x14ac:dyDescent="0.4">
      <c r="A61" s="5"/>
      <c r="B61" s="5"/>
      <c r="C61" s="5"/>
      <c r="D61" s="5"/>
      <c r="E61" s="5"/>
      <c r="F61" s="6"/>
      <c r="G61" s="7"/>
      <c r="H61" s="7"/>
      <c r="I61" s="5"/>
      <c r="J61" s="6"/>
      <c r="K61" s="6"/>
      <c r="L61" s="6"/>
      <c r="M61" s="8"/>
      <c r="N61" s="9"/>
      <c r="O61" s="8"/>
      <c r="P61" s="10"/>
      <c r="Q61" s="11"/>
      <c r="R61" s="8"/>
      <c r="S61" s="8"/>
      <c r="T61" s="14"/>
    </row>
    <row r="62" spans="1:20" x14ac:dyDescent="0.4">
      <c r="A62" s="5"/>
      <c r="B62" s="5"/>
      <c r="C62" s="5"/>
      <c r="D62" s="5"/>
      <c r="E62" s="5"/>
      <c r="F62" s="6"/>
      <c r="G62" s="7"/>
      <c r="H62" s="7"/>
      <c r="I62" s="5"/>
      <c r="J62" s="6"/>
      <c r="K62" s="6"/>
      <c r="L62" s="6"/>
      <c r="M62" s="8"/>
      <c r="N62" s="9"/>
      <c r="O62" s="8"/>
      <c r="P62" s="10"/>
      <c r="Q62" s="11"/>
      <c r="R62" s="8"/>
      <c r="S62" s="8"/>
      <c r="T62" s="9"/>
    </row>
    <row r="63" spans="1:20" x14ac:dyDescent="0.4">
      <c r="A63" s="5"/>
      <c r="B63" s="5"/>
      <c r="C63" s="5"/>
      <c r="D63" s="5"/>
      <c r="E63" s="5"/>
      <c r="F63" s="6"/>
      <c r="G63" s="7"/>
      <c r="H63" s="7"/>
      <c r="I63" s="5"/>
      <c r="J63" s="6"/>
      <c r="K63" s="6"/>
      <c r="L63" s="6"/>
      <c r="M63" s="8"/>
      <c r="N63" s="9"/>
      <c r="O63" s="8"/>
      <c r="P63" s="10"/>
      <c r="Q63" s="11"/>
      <c r="R63" s="8"/>
      <c r="S63" s="8"/>
      <c r="T63" s="9"/>
    </row>
    <row r="64" spans="1:20" x14ac:dyDescent="0.4">
      <c r="A64" s="5"/>
      <c r="B64" s="5"/>
      <c r="C64" s="5"/>
      <c r="D64" s="5"/>
      <c r="E64" s="5"/>
      <c r="F64" s="6"/>
      <c r="G64" s="7"/>
      <c r="H64" s="7"/>
      <c r="I64" s="5"/>
      <c r="J64" s="6"/>
      <c r="K64" s="6"/>
      <c r="L64" s="6"/>
      <c r="M64" s="8"/>
      <c r="N64" s="9"/>
      <c r="O64" s="8"/>
      <c r="P64" s="10"/>
      <c r="Q64" s="11"/>
      <c r="R64" s="8"/>
      <c r="S64" s="8"/>
      <c r="T64" s="9"/>
    </row>
    <row r="65" spans="1:21" x14ac:dyDescent="0.4">
      <c r="A65" s="5"/>
      <c r="B65" s="5"/>
      <c r="C65" s="5"/>
      <c r="D65" s="5"/>
      <c r="E65" s="5"/>
      <c r="F65" s="6"/>
      <c r="G65" s="7"/>
      <c r="H65" s="7"/>
      <c r="I65" s="5"/>
      <c r="J65" s="6"/>
      <c r="K65" s="6"/>
      <c r="L65" s="6"/>
      <c r="M65" s="8"/>
      <c r="N65" s="9"/>
      <c r="O65" s="8"/>
      <c r="P65" s="10"/>
      <c r="Q65" s="11"/>
      <c r="R65" s="8"/>
      <c r="S65" s="8"/>
      <c r="T65" s="9"/>
    </row>
    <row r="66" spans="1:21" x14ac:dyDescent="0.4">
      <c r="A66" s="5"/>
      <c r="B66" s="5"/>
      <c r="C66" s="5"/>
      <c r="D66" s="5"/>
      <c r="E66" s="5"/>
      <c r="F66" s="6"/>
      <c r="G66" s="7"/>
      <c r="H66" s="7"/>
      <c r="I66" s="5"/>
      <c r="J66" s="6"/>
      <c r="K66" s="6"/>
      <c r="L66" s="6"/>
      <c r="M66" s="8"/>
      <c r="N66" s="9"/>
      <c r="O66" s="8"/>
      <c r="P66" s="10"/>
      <c r="Q66" s="11"/>
      <c r="R66" s="8"/>
      <c r="S66" s="8"/>
      <c r="T66" s="9"/>
    </row>
    <row r="67" spans="1:21" x14ac:dyDescent="0.4">
      <c r="A67" s="5"/>
      <c r="B67" s="5"/>
      <c r="C67" s="5"/>
      <c r="D67" s="5"/>
      <c r="E67" s="5"/>
      <c r="F67" s="6"/>
      <c r="G67" s="7"/>
      <c r="H67" s="7"/>
      <c r="I67" s="5"/>
      <c r="J67" s="6"/>
      <c r="K67" s="6"/>
      <c r="L67" s="6"/>
      <c r="M67" s="8"/>
      <c r="N67" s="9"/>
      <c r="O67" s="8"/>
      <c r="P67" s="10"/>
      <c r="Q67" s="11"/>
      <c r="R67" s="8"/>
      <c r="S67" s="8"/>
      <c r="T67" s="9"/>
    </row>
    <row r="68" spans="1:21" x14ac:dyDescent="0.4">
      <c r="A68" s="5"/>
      <c r="B68" s="5"/>
      <c r="C68" s="5"/>
      <c r="D68" s="5"/>
      <c r="E68" s="5"/>
      <c r="F68" s="6"/>
      <c r="G68" s="7"/>
      <c r="H68" s="7"/>
      <c r="I68" s="5"/>
      <c r="J68" s="6"/>
      <c r="K68" s="6"/>
      <c r="L68" s="6"/>
      <c r="M68" s="8"/>
      <c r="N68" s="9"/>
      <c r="O68" s="8"/>
      <c r="P68" s="10"/>
      <c r="Q68" s="11"/>
      <c r="R68" s="8"/>
      <c r="S68" s="8"/>
      <c r="T68" s="9"/>
    </row>
    <row r="69" spans="1:21" x14ac:dyDescent="0.4">
      <c r="A69" s="5"/>
      <c r="B69" s="5"/>
      <c r="C69" s="5"/>
      <c r="D69" s="5"/>
      <c r="E69" s="5"/>
      <c r="F69" s="6"/>
      <c r="G69" s="7"/>
      <c r="H69" s="7"/>
      <c r="I69" s="5"/>
      <c r="J69" s="6"/>
      <c r="K69" s="6"/>
      <c r="L69" s="6"/>
      <c r="M69" s="8"/>
      <c r="N69" s="9"/>
      <c r="O69" s="8"/>
      <c r="P69" s="10"/>
      <c r="Q69" s="11"/>
      <c r="R69" s="8"/>
      <c r="S69" s="8"/>
      <c r="T69" s="9"/>
    </row>
    <row r="70" spans="1:21" x14ac:dyDescent="0.4">
      <c r="A70" s="5"/>
      <c r="B70" s="5"/>
      <c r="C70" s="5"/>
      <c r="D70" s="5"/>
      <c r="E70" s="5"/>
      <c r="F70" s="6"/>
      <c r="G70" s="7"/>
      <c r="H70" s="7"/>
      <c r="I70" s="5"/>
      <c r="J70" s="6"/>
      <c r="K70" s="6"/>
      <c r="L70" s="6"/>
      <c r="M70" s="8"/>
      <c r="N70" s="9"/>
      <c r="O70" s="8"/>
      <c r="P70" s="10"/>
      <c r="Q70" s="11"/>
      <c r="R70" s="8"/>
      <c r="S70" s="8"/>
      <c r="T70" s="9"/>
    </row>
    <row r="71" spans="1:21" x14ac:dyDescent="0.4">
      <c r="A71" s="5"/>
      <c r="B71" s="5"/>
      <c r="C71" s="5"/>
      <c r="D71" s="5"/>
      <c r="E71" s="5"/>
      <c r="F71" s="6"/>
      <c r="G71" s="7"/>
      <c r="H71" s="7"/>
      <c r="I71" s="5"/>
      <c r="J71" s="6"/>
      <c r="K71" s="6"/>
      <c r="L71" s="6"/>
      <c r="M71" s="8"/>
      <c r="N71" s="9"/>
      <c r="O71" s="8"/>
      <c r="P71" s="10"/>
      <c r="Q71" s="11"/>
      <c r="R71" s="8"/>
      <c r="S71" s="8"/>
      <c r="T71" s="9"/>
    </row>
    <row r="72" spans="1:21" x14ac:dyDescent="0.4">
      <c r="A72" s="5"/>
      <c r="B72" s="5"/>
      <c r="C72" s="5"/>
      <c r="D72" s="5"/>
      <c r="E72" s="5"/>
      <c r="F72" s="6"/>
      <c r="G72" s="7"/>
      <c r="H72" s="7"/>
      <c r="I72" s="5"/>
      <c r="J72" s="6"/>
      <c r="K72" s="6"/>
      <c r="L72" s="6"/>
      <c r="M72" s="8"/>
      <c r="N72" s="9"/>
      <c r="O72" s="8"/>
      <c r="P72" s="10"/>
      <c r="Q72" s="11"/>
      <c r="R72" s="8"/>
      <c r="S72" s="8"/>
      <c r="T72" s="9"/>
    </row>
    <row r="73" spans="1:21" x14ac:dyDescent="0.4">
      <c r="A73" s="5"/>
      <c r="B73" s="5"/>
      <c r="C73" s="5"/>
      <c r="D73" s="5"/>
      <c r="E73" s="5"/>
      <c r="F73" s="6"/>
      <c r="G73" s="7"/>
      <c r="H73" s="7"/>
      <c r="I73" s="5"/>
      <c r="J73" s="6"/>
      <c r="K73" s="6"/>
      <c r="L73" s="6"/>
      <c r="M73" s="8"/>
      <c r="N73" s="9"/>
      <c r="O73" s="8"/>
      <c r="P73" s="10"/>
      <c r="Q73" s="11"/>
      <c r="R73" s="8"/>
      <c r="S73" s="8"/>
      <c r="T73" s="13"/>
      <c r="U73" s="15"/>
    </row>
    <row r="74" spans="1:21" x14ac:dyDescent="0.4">
      <c r="A74" s="5"/>
      <c r="B74" s="5"/>
      <c r="C74" s="5"/>
      <c r="D74" s="5"/>
      <c r="E74" s="5"/>
      <c r="F74" s="6"/>
      <c r="G74" s="7"/>
      <c r="H74" s="7"/>
      <c r="I74" s="5"/>
      <c r="J74" s="6"/>
      <c r="K74" s="6"/>
      <c r="L74" s="6"/>
      <c r="M74" s="8"/>
      <c r="N74" s="9"/>
      <c r="O74" s="8"/>
      <c r="P74" s="10"/>
      <c r="Q74" s="11"/>
      <c r="R74" s="8"/>
      <c r="S74" s="8"/>
      <c r="T74" s="14"/>
    </row>
    <row r="75" spans="1:21" x14ac:dyDescent="0.4">
      <c r="A75" s="5"/>
      <c r="B75" s="5"/>
      <c r="C75" s="5"/>
      <c r="D75" s="5"/>
      <c r="E75" s="5"/>
      <c r="F75" s="6"/>
      <c r="G75" s="7"/>
      <c r="H75" s="7"/>
      <c r="I75" s="5"/>
      <c r="J75" s="6"/>
      <c r="K75" s="6"/>
      <c r="L75" s="6"/>
      <c r="M75" s="8"/>
      <c r="N75" s="9"/>
      <c r="O75" s="8"/>
      <c r="P75" s="10"/>
      <c r="Q75" s="11"/>
      <c r="R75" s="8"/>
      <c r="S75" s="8"/>
      <c r="T75" s="13"/>
    </row>
    <row r="76" spans="1:21" x14ac:dyDescent="0.4">
      <c r="A76" s="5"/>
      <c r="B76" s="5"/>
      <c r="C76" s="5"/>
      <c r="D76" s="5"/>
      <c r="E76" s="5"/>
      <c r="F76" s="6"/>
      <c r="G76" s="7"/>
      <c r="H76" s="7"/>
      <c r="I76" s="5"/>
      <c r="J76" s="6"/>
      <c r="K76" s="6"/>
      <c r="L76" s="6"/>
      <c r="M76" s="8"/>
      <c r="N76" s="9"/>
      <c r="O76" s="8"/>
      <c r="P76" s="10"/>
      <c r="Q76" s="11"/>
      <c r="R76" s="8"/>
      <c r="S76" s="8"/>
      <c r="T76" s="13"/>
    </row>
    <row r="77" spans="1:21" x14ac:dyDescent="0.4">
      <c r="A77" s="5"/>
      <c r="B77" s="5"/>
      <c r="C77" s="5"/>
      <c r="D77" s="5"/>
      <c r="E77" s="5"/>
      <c r="F77" s="6"/>
      <c r="G77" s="7"/>
      <c r="H77" s="7"/>
      <c r="I77" s="5"/>
      <c r="J77" s="6"/>
      <c r="K77" s="6"/>
      <c r="L77" s="6"/>
      <c r="M77" s="8"/>
      <c r="N77" s="9"/>
      <c r="O77" s="8"/>
      <c r="P77" s="10"/>
      <c r="Q77" s="11"/>
      <c r="R77" s="8"/>
      <c r="S77" s="8"/>
      <c r="T77" s="13"/>
    </row>
    <row r="78" spans="1:21" x14ac:dyDescent="0.4">
      <c r="A78" s="5"/>
      <c r="B78" s="5"/>
      <c r="C78" s="5"/>
      <c r="D78" s="5"/>
      <c r="E78" s="5"/>
      <c r="F78" s="6"/>
      <c r="G78" s="7"/>
      <c r="H78" s="7"/>
      <c r="I78" s="5"/>
      <c r="J78" s="6"/>
      <c r="K78" s="6"/>
      <c r="L78" s="6"/>
      <c r="M78" s="8"/>
      <c r="N78" s="9"/>
      <c r="O78" s="8"/>
      <c r="P78" s="10"/>
      <c r="Q78" s="11"/>
      <c r="R78" s="8"/>
      <c r="S78" s="8"/>
      <c r="T78" s="13"/>
    </row>
    <row r="79" spans="1:21" x14ac:dyDescent="0.4">
      <c r="A79" s="5"/>
      <c r="B79" s="5"/>
      <c r="C79" s="5"/>
      <c r="D79" s="5"/>
      <c r="E79" s="5"/>
      <c r="F79" s="6"/>
      <c r="G79" s="7"/>
      <c r="H79" s="7"/>
      <c r="I79" s="5"/>
      <c r="J79" s="6"/>
      <c r="K79" s="6"/>
      <c r="L79" s="6"/>
      <c r="M79" s="8"/>
      <c r="N79" s="9"/>
      <c r="O79" s="8"/>
      <c r="P79" s="10"/>
      <c r="Q79" s="11"/>
      <c r="R79" s="8"/>
      <c r="S79" s="8"/>
      <c r="T79" s="13"/>
    </row>
    <row r="80" spans="1:21" x14ac:dyDescent="0.4">
      <c r="A80" s="5"/>
      <c r="B80" s="5"/>
      <c r="C80" s="5"/>
      <c r="D80" s="5"/>
      <c r="E80" s="5"/>
      <c r="F80" s="6"/>
      <c r="G80" s="7"/>
      <c r="H80" s="7"/>
      <c r="I80" s="5"/>
      <c r="J80" s="6"/>
      <c r="K80" s="6"/>
      <c r="L80" s="6"/>
      <c r="M80" s="8"/>
      <c r="N80" s="9"/>
      <c r="O80" s="8"/>
      <c r="P80" s="10"/>
      <c r="Q80" s="11"/>
      <c r="R80" s="8"/>
      <c r="S80" s="8"/>
      <c r="T80" s="13"/>
    </row>
    <row r="81" spans="1:21" x14ac:dyDescent="0.4">
      <c r="A81" s="5"/>
      <c r="B81" s="5"/>
      <c r="C81" s="5"/>
      <c r="D81" s="5"/>
      <c r="E81" s="5"/>
      <c r="F81" s="6"/>
      <c r="G81" s="7"/>
      <c r="H81" s="7"/>
      <c r="I81" s="5"/>
      <c r="J81" s="6"/>
      <c r="K81" s="6"/>
      <c r="L81" s="6"/>
      <c r="M81" s="8"/>
      <c r="N81" s="9"/>
      <c r="O81" s="8"/>
      <c r="P81" s="10"/>
      <c r="Q81" s="11"/>
      <c r="R81" s="8"/>
      <c r="S81" s="8"/>
      <c r="T81" s="13"/>
    </row>
    <row r="82" spans="1:21" x14ac:dyDescent="0.4">
      <c r="A82" s="5"/>
      <c r="B82" s="5"/>
      <c r="C82" s="5"/>
      <c r="D82" s="5"/>
      <c r="E82" s="5"/>
      <c r="F82" s="6"/>
      <c r="G82" s="7"/>
      <c r="H82" s="7"/>
      <c r="I82" s="5"/>
      <c r="J82" s="6"/>
      <c r="K82" s="6"/>
      <c r="L82" s="6"/>
      <c r="M82" s="8"/>
      <c r="N82" s="9"/>
      <c r="O82" s="8"/>
      <c r="P82" s="10"/>
      <c r="Q82" s="11"/>
      <c r="R82" s="8"/>
      <c r="S82" s="8"/>
      <c r="T82" s="13"/>
    </row>
    <row r="83" spans="1:21" x14ac:dyDescent="0.4">
      <c r="A83" s="5"/>
      <c r="B83" s="5"/>
      <c r="C83" s="5"/>
      <c r="D83" s="5"/>
      <c r="E83" s="5"/>
      <c r="F83" s="6"/>
      <c r="G83" s="7"/>
      <c r="H83" s="7"/>
      <c r="I83" s="5"/>
      <c r="J83" s="6"/>
      <c r="K83" s="6"/>
      <c r="L83" s="6"/>
      <c r="M83" s="8"/>
      <c r="N83" s="9"/>
      <c r="O83" s="8"/>
      <c r="P83" s="10"/>
      <c r="Q83" s="11"/>
      <c r="R83" s="8"/>
      <c r="S83" s="8"/>
      <c r="T83" s="13"/>
    </row>
    <row r="84" spans="1:21" x14ac:dyDescent="0.4">
      <c r="A84" s="5"/>
      <c r="B84" s="5"/>
      <c r="C84" s="5"/>
      <c r="D84" s="5"/>
      <c r="E84" s="5"/>
      <c r="F84" s="6"/>
      <c r="G84" s="7"/>
      <c r="H84" s="7"/>
      <c r="I84" s="5"/>
      <c r="J84" s="6"/>
      <c r="K84" s="6"/>
      <c r="L84" s="6"/>
      <c r="M84" s="8"/>
      <c r="N84" s="9"/>
      <c r="O84" s="8"/>
      <c r="P84" s="10"/>
      <c r="Q84" s="11"/>
      <c r="R84" s="8"/>
      <c r="S84" s="8"/>
      <c r="T84" s="14"/>
    </row>
    <row r="85" spans="1:21" x14ac:dyDescent="0.4">
      <c r="A85" s="5"/>
      <c r="B85" s="5"/>
      <c r="C85" s="5"/>
      <c r="D85" s="5"/>
      <c r="E85" s="5"/>
      <c r="F85" s="6"/>
      <c r="G85" s="7"/>
      <c r="H85" s="7"/>
      <c r="I85" s="5"/>
      <c r="J85" s="6"/>
      <c r="K85" s="6"/>
      <c r="L85" s="6"/>
      <c r="M85" s="8"/>
      <c r="N85" s="9"/>
      <c r="O85" s="8"/>
      <c r="P85" s="10"/>
      <c r="Q85" s="11"/>
      <c r="R85" s="8"/>
      <c r="S85" s="8"/>
      <c r="T85" s="13"/>
    </row>
    <row r="86" spans="1:21" x14ac:dyDescent="0.4">
      <c r="A86" s="5"/>
      <c r="B86" s="5"/>
      <c r="C86" s="5"/>
      <c r="D86" s="5"/>
      <c r="E86" s="5"/>
      <c r="F86" s="6"/>
      <c r="G86" s="7"/>
      <c r="H86" s="7"/>
      <c r="I86" s="5"/>
      <c r="J86" s="6"/>
      <c r="K86" s="6"/>
      <c r="L86" s="6"/>
      <c r="M86" s="8"/>
      <c r="N86" s="9"/>
      <c r="O86" s="8"/>
      <c r="P86" s="10"/>
      <c r="Q86" s="11"/>
      <c r="R86" s="8"/>
      <c r="S86" s="8"/>
      <c r="T86" s="9"/>
    </row>
    <row r="87" spans="1:21" x14ac:dyDescent="0.4">
      <c r="A87" s="5"/>
      <c r="B87" s="5"/>
      <c r="C87" s="5"/>
      <c r="D87" s="5"/>
      <c r="E87" s="5"/>
      <c r="F87" s="6"/>
      <c r="G87" s="7"/>
      <c r="H87" s="7"/>
      <c r="I87" s="5"/>
      <c r="J87" s="6"/>
      <c r="K87" s="6"/>
      <c r="L87" s="6"/>
      <c r="M87" s="8"/>
      <c r="N87" s="9"/>
      <c r="O87" s="8"/>
      <c r="P87" s="10"/>
      <c r="Q87" s="11"/>
      <c r="R87" s="8"/>
      <c r="S87" s="8"/>
      <c r="T87" s="9"/>
    </row>
    <row r="88" spans="1:21" x14ac:dyDescent="0.4">
      <c r="A88" s="5"/>
      <c r="B88" s="5"/>
      <c r="C88" s="5"/>
      <c r="D88" s="5"/>
      <c r="E88" s="5"/>
      <c r="F88" s="6"/>
      <c r="G88" s="7"/>
      <c r="H88" s="7"/>
      <c r="I88" s="5"/>
      <c r="J88" s="6"/>
      <c r="K88" s="6"/>
      <c r="L88" s="6"/>
      <c r="M88" s="8"/>
      <c r="N88" s="9"/>
      <c r="O88" s="8"/>
      <c r="P88" s="10"/>
      <c r="Q88" s="11"/>
      <c r="R88" s="8"/>
      <c r="S88" s="8"/>
      <c r="T88" s="9"/>
    </row>
    <row r="89" spans="1:21" x14ac:dyDescent="0.4">
      <c r="A89" s="5"/>
      <c r="B89" s="5"/>
      <c r="C89" s="5"/>
      <c r="D89" s="5"/>
      <c r="E89" s="5"/>
      <c r="F89" s="6"/>
      <c r="G89" s="7"/>
      <c r="H89" s="7"/>
      <c r="I89" s="5"/>
      <c r="J89" s="6"/>
      <c r="K89" s="6"/>
      <c r="L89" s="6"/>
      <c r="M89" s="8"/>
      <c r="N89" s="9"/>
      <c r="O89" s="8"/>
      <c r="P89" s="10"/>
      <c r="Q89" s="11"/>
      <c r="R89" s="8"/>
      <c r="S89" s="8"/>
      <c r="T89" s="9"/>
    </row>
    <row r="90" spans="1:21" x14ac:dyDescent="0.4">
      <c r="A90" s="5"/>
      <c r="B90" s="5"/>
      <c r="C90" s="5"/>
      <c r="D90" s="5"/>
      <c r="E90" s="5"/>
      <c r="F90" s="6"/>
      <c r="G90" s="7"/>
      <c r="H90" s="7"/>
      <c r="I90" s="5"/>
      <c r="J90" s="6"/>
      <c r="K90" s="6"/>
      <c r="L90" s="6"/>
      <c r="M90" s="8"/>
      <c r="N90" s="9"/>
      <c r="O90" s="8"/>
      <c r="P90" s="10"/>
      <c r="Q90" s="11"/>
      <c r="R90" s="8"/>
      <c r="S90" s="8"/>
      <c r="T90" s="9"/>
      <c r="U90" s="16"/>
    </row>
    <row r="91" spans="1:21" x14ac:dyDescent="0.4">
      <c r="A91" s="5"/>
      <c r="B91" s="5"/>
      <c r="C91" s="5"/>
      <c r="D91" s="5"/>
      <c r="E91" s="5"/>
      <c r="F91" s="6"/>
      <c r="G91" s="7"/>
      <c r="H91" s="7"/>
      <c r="I91" s="5"/>
      <c r="J91" s="6"/>
      <c r="K91" s="6"/>
      <c r="L91" s="6"/>
      <c r="M91" s="8"/>
      <c r="N91" s="9"/>
      <c r="O91" s="8"/>
      <c r="P91" s="10"/>
      <c r="Q91" s="11"/>
      <c r="R91" s="8"/>
      <c r="S91" s="8"/>
      <c r="T91" s="9"/>
    </row>
    <row r="92" spans="1:21" x14ac:dyDescent="0.4">
      <c r="A92" s="5"/>
      <c r="B92" s="5"/>
      <c r="C92" s="5"/>
      <c r="D92" s="5"/>
      <c r="E92" s="5"/>
      <c r="F92" s="6"/>
      <c r="G92" s="7"/>
      <c r="H92" s="7"/>
      <c r="I92" s="5"/>
      <c r="J92" s="6"/>
      <c r="K92" s="6"/>
      <c r="L92" s="6"/>
      <c r="M92" s="8"/>
      <c r="N92" s="9"/>
      <c r="O92" s="8"/>
      <c r="P92" s="10"/>
      <c r="Q92" s="11"/>
      <c r="R92" s="8"/>
      <c r="S92" s="8"/>
      <c r="T92" s="14"/>
    </row>
    <row r="93" spans="1:21" x14ac:dyDescent="0.4">
      <c r="A93" s="5"/>
      <c r="B93" s="5"/>
      <c r="C93" s="5"/>
      <c r="D93" s="5"/>
      <c r="E93" s="5"/>
      <c r="F93" s="6"/>
      <c r="G93" s="7"/>
      <c r="H93" s="7"/>
      <c r="I93" s="5"/>
      <c r="J93" s="6"/>
      <c r="K93" s="6"/>
      <c r="L93" s="6"/>
      <c r="M93" s="8"/>
      <c r="N93" s="9"/>
      <c r="O93" s="8"/>
      <c r="P93" s="10"/>
      <c r="Q93" s="11"/>
      <c r="R93" s="8"/>
      <c r="S93" s="8"/>
      <c r="T93" s="13"/>
    </row>
    <row r="94" spans="1:21" x14ac:dyDescent="0.4">
      <c r="A94" s="5"/>
      <c r="B94" s="5"/>
      <c r="C94" s="5"/>
      <c r="D94" s="5"/>
      <c r="E94" s="5"/>
      <c r="F94" s="6"/>
      <c r="G94" s="7"/>
      <c r="H94" s="7"/>
      <c r="I94" s="5"/>
      <c r="J94" s="6"/>
      <c r="K94" s="6"/>
      <c r="L94" s="6"/>
      <c r="M94" s="8"/>
      <c r="N94" s="9"/>
      <c r="O94" s="8"/>
      <c r="P94" s="10"/>
      <c r="Q94" s="11"/>
      <c r="R94" s="8"/>
      <c r="S94" s="8"/>
      <c r="T94" s="13"/>
    </row>
    <row r="95" spans="1:21" x14ac:dyDescent="0.4">
      <c r="A95" s="5"/>
      <c r="B95" s="5"/>
      <c r="C95" s="5"/>
      <c r="D95" s="5"/>
      <c r="E95" s="5"/>
      <c r="F95" s="6"/>
      <c r="G95" s="7"/>
      <c r="H95" s="7"/>
      <c r="I95" s="5"/>
      <c r="J95" s="6"/>
      <c r="K95" s="6"/>
      <c r="L95" s="6"/>
      <c r="M95" s="8"/>
      <c r="N95" s="9"/>
      <c r="O95" s="8"/>
      <c r="P95" s="10"/>
      <c r="Q95" s="11"/>
      <c r="R95" s="8"/>
      <c r="S95" s="8"/>
      <c r="T95" s="13"/>
    </row>
    <row r="96" spans="1:21" x14ac:dyDescent="0.4">
      <c r="A96" s="5"/>
      <c r="B96" s="5"/>
      <c r="C96" s="5"/>
      <c r="D96" s="5"/>
      <c r="E96" s="5"/>
      <c r="F96" s="6"/>
      <c r="G96" s="7"/>
      <c r="H96" s="7"/>
      <c r="I96" s="5"/>
      <c r="J96" s="6"/>
      <c r="K96" s="6"/>
      <c r="L96" s="6"/>
      <c r="M96" s="8"/>
      <c r="N96" s="9"/>
      <c r="O96" s="8"/>
      <c r="P96" s="10"/>
      <c r="Q96" s="11"/>
      <c r="R96" s="8"/>
      <c r="S96" s="8"/>
      <c r="T96" s="13"/>
    </row>
    <row r="97" spans="1:20" x14ac:dyDescent="0.4">
      <c r="A97" s="5"/>
      <c r="B97" s="5"/>
      <c r="C97" s="5"/>
      <c r="D97" s="5"/>
      <c r="E97" s="5"/>
      <c r="F97" s="6"/>
      <c r="G97" s="7"/>
      <c r="H97" s="7"/>
      <c r="I97" s="5"/>
      <c r="J97" s="6"/>
      <c r="K97" s="6"/>
      <c r="L97" s="6"/>
      <c r="M97" s="8"/>
      <c r="N97" s="9"/>
      <c r="O97" s="8"/>
      <c r="P97" s="10"/>
      <c r="Q97" s="11"/>
      <c r="R97" s="8"/>
      <c r="S97" s="8"/>
      <c r="T97" s="13"/>
    </row>
    <row r="98" spans="1:20" x14ac:dyDescent="0.4">
      <c r="A98" s="5"/>
      <c r="B98" s="5"/>
      <c r="C98" s="5"/>
      <c r="D98" s="5"/>
      <c r="E98" s="5"/>
      <c r="F98" s="6"/>
      <c r="G98" s="7"/>
      <c r="H98" s="7"/>
      <c r="I98" s="5"/>
      <c r="J98" s="6"/>
      <c r="K98" s="6"/>
      <c r="L98" s="6"/>
      <c r="M98" s="8"/>
      <c r="N98" s="9"/>
      <c r="O98" s="8"/>
      <c r="P98" s="10"/>
      <c r="Q98" s="11"/>
      <c r="R98" s="8"/>
      <c r="S98" s="8"/>
      <c r="T98" s="13"/>
    </row>
    <row r="99" spans="1:20" x14ac:dyDescent="0.4">
      <c r="A99" s="5"/>
      <c r="B99" s="5"/>
      <c r="C99" s="5"/>
      <c r="D99" s="5"/>
      <c r="E99" s="5"/>
      <c r="F99" s="6"/>
      <c r="G99" s="7"/>
      <c r="H99" s="7"/>
      <c r="I99" s="5"/>
      <c r="J99" s="6"/>
      <c r="K99" s="6"/>
      <c r="L99" s="6"/>
      <c r="M99" s="8"/>
      <c r="N99" s="9"/>
      <c r="O99" s="8"/>
      <c r="P99" s="10"/>
      <c r="Q99" s="11"/>
      <c r="R99" s="8"/>
      <c r="S99" s="8"/>
      <c r="T99" s="13"/>
    </row>
    <row r="100" spans="1:20" x14ac:dyDescent="0.4">
      <c r="A100" s="5"/>
      <c r="B100" s="5"/>
      <c r="C100" s="5"/>
      <c r="D100" s="5"/>
      <c r="E100" s="5"/>
      <c r="F100" s="6"/>
      <c r="G100" s="7"/>
      <c r="H100" s="7"/>
      <c r="I100" s="5"/>
      <c r="J100" s="6"/>
      <c r="K100" s="6"/>
      <c r="L100" s="6"/>
      <c r="M100" s="8"/>
      <c r="N100" s="9"/>
      <c r="O100" s="8"/>
      <c r="P100" s="10"/>
      <c r="Q100" s="11"/>
      <c r="R100" s="8"/>
      <c r="S100" s="8"/>
      <c r="T100" s="13"/>
    </row>
    <row r="101" spans="1:20" x14ac:dyDescent="0.4">
      <c r="A101" s="5"/>
      <c r="B101" s="5"/>
      <c r="C101" s="5"/>
      <c r="D101" s="5"/>
      <c r="E101" s="5"/>
      <c r="F101" s="6"/>
      <c r="G101" s="5"/>
      <c r="H101" s="7"/>
      <c r="I101" s="5"/>
      <c r="J101" s="6"/>
      <c r="K101" s="6"/>
      <c r="L101" s="6"/>
      <c r="M101" s="8"/>
      <c r="N101" s="9"/>
      <c r="O101" s="8"/>
      <c r="P101" s="10"/>
      <c r="Q101" s="11"/>
      <c r="R101" s="8"/>
      <c r="S101" s="8"/>
      <c r="T101" s="14"/>
    </row>
    <row r="102" spans="1:20" x14ac:dyDescent="0.4">
      <c r="A102" s="5"/>
      <c r="B102" s="5"/>
      <c r="C102" s="5"/>
      <c r="D102" s="5"/>
      <c r="E102" s="5"/>
      <c r="F102" s="6"/>
      <c r="G102" s="7"/>
      <c r="H102" s="7"/>
      <c r="I102" s="5"/>
      <c r="J102" s="6"/>
      <c r="K102" s="6"/>
      <c r="L102" s="6"/>
      <c r="M102" s="8"/>
      <c r="N102" s="9"/>
      <c r="O102" s="8"/>
      <c r="P102" s="10"/>
      <c r="Q102" s="11"/>
      <c r="R102" s="8"/>
      <c r="S102" s="8"/>
      <c r="T102" s="9"/>
    </row>
    <row r="103" spans="1:20" x14ac:dyDescent="0.4">
      <c r="A103" s="5"/>
      <c r="B103" s="5"/>
      <c r="C103" s="5"/>
      <c r="D103" s="5"/>
      <c r="E103" s="5"/>
      <c r="F103" s="6"/>
      <c r="G103" s="7"/>
      <c r="H103" s="7"/>
      <c r="I103" s="5"/>
      <c r="J103" s="6"/>
      <c r="K103" s="6"/>
      <c r="L103" s="6"/>
      <c r="M103" s="8"/>
      <c r="N103" s="9"/>
      <c r="O103" s="8"/>
      <c r="P103" s="10"/>
      <c r="Q103" s="11"/>
      <c r="R103" s="8"/>
      <c r="S103" s="8"/>
      <c r="T103" s="9"/>
    </row>
    <row r="104" spans="1:20" x14ac:dyDescent="0.4">
      <c r="A104" s="5"/>
      <c r="B104" s="5"/>
      <c r="C104" s="5"/>
      <c r="D104" s="5"/>
      <c r="E104" s="5"/>
      <c r="F104" s="6"/>
      <c r="G104" s="7"/>
      <c r="H104" s="7"/>
      <c r="I104" s="5"/>
      <c r="J104" s="6"/>
      <c r="K104" s="6"/>
      <c r="L104" s="6"/>
      <c r="M104" s="8"/>
      <c r="N104" s="9"/>
      <c r="O104" s="8"/>
      <c r="P104" s="10"/>
      <c r="Q104" s="11"/>
      <c r="R104" s="8"/>
      <c r="S104" s="8"/>
      <c r="T104" s="9"/>
    </row>
    <row r="105" spans="1:20" x14ac:dyDescent="0.4">
      <c r="A105" s="5"/>
      <c r="B105" s="5"/>
      <c r="C105" s="5"/>
      <c r="D105" s="5"/>
      <c r="E105" s="5"/>
      <c r="F105" s="6"/>
      <c r="G105" s="7"/>
      <c r="H105" s="7"/>
      <c r="I105" s="5"/>
      <c r="J105" s="6"/>
      <c r="K105" s="6"/>
      <c r="L105" s="6"/>
      <c r="M105" s="8"/>
      <c r="N105" s="9"/>
      <c r="O105" s="8"/>
      <c r="P105" s="10"/>
      <c r="Q105" s="11"/>
      <c r="R105" s="8"/>
      <c r="S105" s="8"/>
      <c r="T105" s="9"/>
    </row>
    <row r="106" spans="1:20" x14ac:dyDescent="0.4">
      <c r="A106" s="5"/>
      <c r="B106" s="5"/>
      <c r="C106" s="5"/>
      <c r="D106" s="5"/>
      <c r="E106" s="5"/>
      <c r="F106" s="6"/>
      <c r="G106" s="7"/>
      <c r="H106" s="7"/>
      <c r="I106" s="5"/>
      <c r="J106" s="6"/>
      <c r="K106" s="6"/>
      <c r="L106" s="6"/>
      <c r="M106" s="8"/>
      <c r="N106" s="9"/>
      <c r="O106" s="8"/>
      <c r="P106" s="10"/>
      <c r="Q106" s="11"/>
      <c r="R106" s="8"/>
      <c r="S106" s="8"/>
      <c r="T106" s="9"/>
    </row>
    <row r="107" spans="1:20" x14ac:dyDescent="0.4">
      <c r="A107" s="5"/>
      <c r="B107" s="5"/>
      <c r="C107" s="5"/>
      <c r="D107" s="5"/>
      <c r="E107" s="5"/>
      <c r="F107" s="6"/>
      <c r="G107" s="7"/>
      <c r="H107" s="7"/>
      <c r="I107" s="5"/>
      <c r="J107" s="6"/>
      <c r="K107" s="6"/>
      <c r="L107" s="6"/>
      <c r="M107" s="8"/>
      <c r="N107" s="9"/>
      <c r="O107" s="8"/>
      <c r="P107" s="10"/>
      <c r="Q107" s="11"/>
      <c r="R107" s="8"/>
      <c r="S107" s="8"/>
      <c r="T107" s="9"/>
    </row>
    <row r="108" spans="1:20" x14ac:dyDescent="0.4">
      <c r="A108" s="5"/>
      <c r="B108" s="5"/>
      <c r="C108" s="5"/>
      <c r="D108" s="5"/>
      <c r="E108" s="5"/>
      <c r="F108" s="6"/>
      <c r="G108" s="7"/>
      <c r="H108" s="7"/>
      <c r="I108" s="5"/>
      <c r="J108" s="6"/>
      <c r="K108" s="6"/>
      <c r="L108" s="6"/>
      <c r="M108" s="8"/>
      <c r="N108" s="12"/>
      <c r="O108" s="8"/>
      <c r="P108" s="10"/>
      <c r="Q108" s="11"/>
      <c r="R108" s="8"/>
      <c r="S108" s="8"/>
      <c r="T108" s="9"/>
    </row>
    <row r="109" spans="1:20" x14ac:dyDescent="0.4">
      <c r="A109" s="5"/>
      <c r="B109" s="5"/>
      <c r="C109" s="5"/>
      <c r="D109" s="5"/>
      <c r="E109" s="5"/>
      <c r="F109" s="6"/>
      <c r="G109" s="7"/>
      <c r="H109" s="7"/>
      <c r="I109" s="5"/>
      <c r="J109" s="6"/>
      <c r="K109" s="6"/>
      <c r="L109" s="6"/>
      <c r="M109" s="8"/>
      <c r="N109" s="9"/>
      <c r="O109" s="8"/>
      <c r="P109" s="10"/>
      <c r="Q109" s="11"/>
      <c r="R109" s="8"/>
      <c r="S109" s="8"/>
      <c r="T109" s="9"/>
    </row>
    <row r="110" spans="1:20" x14ac:dyDescent="0.4">
      <c r="A110" s="5"/>
      <c r="B110" s="5"/>
      <c r="C110" s="5"/>
      <c r="D110" s="5"/>
      <c r="E110" s="5"/>
      <c r="F110" s="6"/>
      <c r="G110" s="7"/>
      <c r="H110" s="7"/>
      <c r="I110" s="5"/>
      <c r="J110" s="6"/>
      <c r="K110" s="6"/>
      <c r="L110" s="6"/>
      <c r="M110" s="8"/>
      <c r="N110" s="9"/>
      <c r="O110" s="8"/>
      <c r="P110" s="10"/>
      <c r="Q110" s="11"/>
      <c r="R110" s="8"/>
      <c r="S110" s="8"/>
      <c r="T110" s="9"/>
    </row>
    <row r="111" spans="1:20" x14ac:dyDescent="0.4">
      <c r="A111" s="5"/>
      <c r="B111" s="5"/>
      <c r="C111" s="5"/>
      <c r="D111" s="5"/>
      <c r="E111" s="5"/>
      <c r="F111" s="6"/>
      <c r="G111" s="7"/>
      <c r="H111" s="7"/>
      <c r="I111" s="5"/>
      <c r="J111" s="6"/>
      <c r="K111" s="6"/>
      <c r="L111" s="6"/>
      <c r="M111" s="8"/>
      <c r="N111" s="9"/>
      <c r="O111" s="8"/>
      <c r="P111" s="10"/>
      <c r="Q111" s="11"/>
      <c r="R111" s="8"/>
      <c r="S111" s="8"/>
      <c r="T111" s="9"/>
    </row>
    <row r="112" spans="1:20" x14ac:dyDescent="0.4">
      <c r="A112" s="5"/>
      <c r="B112" s="5"/>
      <c r="C112" s="5"/>
      <c r="D112" s="5"/>
      <c r="E112" s="5"/>
      <c r="F112" s="6"/>
      <c r="G112" s="7"/>
      <c r="H112" s="7"/>
      <c r="I112" s="5"/>
      <c r="J112" s="6"/>
      <c r="K112" s="6"/>
      <c r="L112" s="6"/>
      <c r="M112" s="8"/>
      <c r="N112" s="9"/>
      <c r="O112" s="8"/>
      <c r="P112" s="10"/>
      <c r="Q112" s="11"/>
      <c r="R112" s="8"/>
      <c r="S112" s="8"/>
      <c r="T112" s="9"/>
    </row>
    <row r="113" spans="1:20" x14ac:dyDescent="0.4">
      <c r="A113" s="5"/>
      <c r="B113" s="5"/>
      <c r="C113" s="5"/>
      <c r="D113" s="5"/>
      <c r="E113" s="5"/>
      <c r="F113" s="6"/>
      <c r="G113" s="7"/>
      <c r="H113" s="7"/>
      <c r="I113" s="5"/>
      <c r="J113" s="6"/>
      <c r="K113" s="6"/>
      <c r="L113" s="6"/>
      <c r="M113" s="8"/>
      <c r="N113" s="12"/>
      <c r="O113" s="8"/>
      <c r="P113" s="10"/>
      <c r="Q113" s="11"/>
      <c r="R113" s="8"/>
      <c r="S113" s="8"/>
      <c r="T113" s="9"/>
    </row>
    <row r="114" spans="1:20" x14ac:dyDescent="0.4">
      <c r="A114" s="5"/>
      <c r="B114" s="5"/>
      <c r="C114" s="5"/>
      <c r="D114" s="5"/>
      <c r="E114" s="5"/>
      <c r="F114" s="6"/>
      <c r="G114" s="7"/>
      <c r="H114" s="7"/>
      <c r="I114" s="5"/>
      <c r="J114" s="6"/>
      <c r="K114" s="6"/>
      <c r="L114" s="6"/>
      <c r="M114" s="8"/>
      <c r="N114" s="9"/>
      <c r="O114" s="8"/>
      <c r="P114" s="10"/>
      <c r="Q114" s="11"/>
      <c r="R114" s="8"/>
      <c r="S114" s="8"/>
      <c r="T114" s="9"/>
    </row>
    <row r="115" spans="1:20" x14ac:dyDescent="0.4">
      <c r="A115" s="5"/>
      <c r="B115" s="5"/>
      <c r="C115" s="5"/>
      <c r="D115" s="5"/>
      <c r="E115" s="5"/>
      <c r="F115" s="6"/>
      <c r="G115" s="7"/>
      <c r="H115" s="7"/>
      <c r="I115" s="5"/>
      <c r="J115" s="6"/>
      <c r="K115" s="6"/>
      <c r="L115" s="6"/>
      <c r="M115" s="8"/>
      <c r="N115" s="9"/>
      <c r="O115" s="8"/>
      <c r="P115" s="10"/>
      <c r="Q115" s="11"/>
      <c r="R115" s="8"/>
      <c r="S115" s="8"/>
      <c r="T115" s="9"/>
    </row>
    <row r="116" spans="1:20" x14ac:dyDescent="0.4">
      <c r="A116" s="5"/>
      <c r="B116" s="5"/>
      <c r="C116" s="5"/>
      <c r="D116" s="5"/>
      <c r="E116" s="5"/>
      <c r="F116" s="6"/>
      <c r="G116" s="7"/>
      <c r="H116" s="7"/>
      <c r="I116" s="5"/>
      <c r="J116" s="6"/>
      <c r="K116" s="6"/>
      <c r="L116" s="6"/>
      <c r="M116" s="8"/>
      <c r="N116" s="9"/>
      <c r="O116" s="8"/>
      <c r="P116" s="10"/>
      <c r="Q116" s="11"/>
      <c r="R116" s="8"/>
      <c r="S116" s="8"/>
      <c r="T116" s="9"/>
    </row>
    <row r="117" spans="1:20" x14ac:dyDescent="0.4">
      <c r="A117" s="5"/>
      <c r="B117" s="5"/>
      <c r="C117" s="5"/>
      <c r="D117" s="5"/>
      <c r="E117" s="5"/>
      <c r="F117" s="6"/>
      <c r="G117" s="7"/>
      <c r="H117" s="5"/>
      <c r="I117" s="5"/>
      <c r="J117" s="6"/>
      <c r="K117" s="6"/>
      <c r="L117" s="6"/>
      <c r="M117" s="8"/>
      <c r="N117" s="9"/>
      <c r="O117" s="8"/>
      <c r="P117" s="10"/>
      <c r="Q117" s="11"/>
      <c r="R117" s="8"/>
      <c r="S117" s="8"/>
      <c r="T117" s="9"/>
    </row>
    <row r="118" spans="1:20" x14ac:dyDescent="0.4">
      <c r="A118" s="5"/>
      <c r="B118" s="5"/>
      <c r="C118" s="5"/>
      <c r="D118" s="5"/>
      <c r="E118" s="5"/>
      <c r="F118" s="6"/>
      <c r="G118" s="7"/>
      <c r="H118" s="7"/>
      <c r="I118" s="5"/>
      <c r="J118" s="6"/>
      <c r="K118" s="6"/>
      <c r="L118" s="6"/>
      <c r="M118" s="8"/>
      <c r="N118" s="9"/>
      <c r="O118" s="8"/>
      <c r="P118" s="10"/>
      <c r="Q118" s="11"/>
      <c r="R118" s="8"/>
      <c r="S118" s="8"/>
      <c r="T118" s="9"/>
    </row>
    <row r="119" spans="1:20" x14ac:dyDescent="0.4">
      <c r="A119" s="5"/>
      <c r="B119" s="5"/>
      <c r="C119" s="5"/>
      <c r="D119" s="5"/>
      <c r="E119" s="5"/>
      <c r="F119" s="6"/>
      <c r="G119" s="7"/>
      <c r="H119" s="7"/>
      <c r="I119" s="5"/>
      <c r="J119" s="6"/>
      <c r="K119" s="6"/>
      <c r="L119" s="6"/>
      <c r="M119" s="8"/>
      <c r="N119" s="9"/>
      <c r="O119" s="8"/>
      <c r="P119" s="10"/>
      <c r="Q119" s="11"/>
      <c r="R119" s="8"/>
      <c r="S119" s="8"/>
      <c r="T119" s="14"/>
    </row>
    <row r="120" spans="1:20" x14ac:dyDescent="0.4">
      <c r="A120" s="5"/>
      <c r="B120" s="5"/>
      <c r="C120" s="5"/>
      <c r="D120" s="5"/>
      <c r="E120" s="5"/>
      <c r="F120" s="6"/>
      <c r="G120" s="7"/>
      <c r="H120" s="7"/>
      <c r="I120" s="5"/>
      <c r="J120" s="6"/>
      <c r="K120" s="6"/>
      <c r="L120" s="6"/>
      <c r="M120" s="8"/>
      <c r="N120" s="9"/>
      <c r="O120" s="8"/>
      <c r="P120" s="10"/>
      <c r="Q120" s="11"/>
      <c r="R120" s="8"/>
      <c r="S120" s="8"/>
      <c r="T120" s="13"/>
    </row>
    <row r="121" spans="1:20" x14ac:dyDescent="0.4">
      <c r="A121" s="5"/>
      <c r="B121" s="5"/>
      <c r="C121" s="5"/>
      <c r="D121" s="5"/>
      <c r="E121" s="5"/>
      <c r="F121" s="6"/>
      <c r="G121" s="7"/>
      <c r="H121" s="7"/>
      <c r="I121" s="5"/>
      <c r="J121" s="6"/>
      <c r="K121" s="6"/>
      <c r="L121" s="6"/>
      <c r="M121" s="8"/>
      <c r="N121" s="9"/>
      <c r="O121" s="8"/>
      <c r="P121" s="10"/>
      <c r="Q121" s="11"/>
      <c r="R121" s="8"/>
      <c r="S121" s="8"/>
      <c r="T121" s="13"/>
    </row>
    <row r="122" spans="1:20" x14ac:dyDescent="0.4">
      <c r="A122" s="5"/>
      <c r="B122" s="5"/>
      <c r="C122" s="5"/>
      <c r="D122" s="5"/>
      <c r="E122" s="5"/>
      <c r="F122" s="6"/>
      <c r="G122" s="7"/>
      <c r="H122" s="7"/>
      <c r="I122" s="5"/>
      <c r="J122" s="6"/>
      <c r="K122" s="6"/>
      <c r="L122" s="6"/>
      <c r="M122" s="8"/>
      <c r="N122" s="9"/>
      <c r="O122" s="8"/>
      <c r="P122" s="10"/>
      <c r="Q122" s="11"/>
      <c r="R122" s="8"/>
      <c r="S122" s="8"/>
      <c r="T122" s="13"/>
    </row>
    <row r="123" spans="1:20" x14ac:dyDescent="0.4">
      <c r="A123" s="5"/>
      <c r="B123" s="5"/>
      <c r="C123" s="5"/>
      <c r="D123" s="5"/>
      <c r="E123" s="5"/>
      <c r="F123" s="6"/>
      <c r="G123" s="7"/>
      <c r="H123" s="7"/>
      <c r="I123" s="5"/>
      <c r="J123" s="6"/>
      <c r="K123" s="6"/>
      <c r="L123" s="6"/>
      <c r="M123" s="8"/>
      <c r="N123" s="9"/>
      <c r="O123" s="8"/>
      <c r="P123" s="10"/>
      <c r="Q123" s="11"/>
      <c r="R123" s="8"/>
      <c r="S123" s="8"/>
      <c r="T123" s="13"/>
    </row>
    <row r="124" spans="1:20" x14ac:dyDescent="0.4">
      <c r="A124" s="5"/>
      <c r="B124" s="5"/>
      <c r="C124" s="5"/>
      <c r="D124" s="5"/>
      <c r="E124" s="5"/>
      <c r="F124" s="6"/>
      <c r="G124" s="7"/>
      <c r="H124" s="7"/>
      <c r="I124" s="5"/>
      <c r="J124" s="6"/>
      <c r="K124" s="6"/>
      <c r="L124" s="6"/>
      <c r="M124" s="8"/>
      <c r="N124" s="9"/>
      <c r="O124" s="8"/>
      <c r="P124" s="10"/>
      <c r="Q124" s="11"/>
      <c r="R124" s="8"/>
      <c r="S124" s="8"/>
      <c r="T124" s="13"/>
    </row>
    <row r="125" spans="1:20" x14ac:dyDescent="0.4">
      <c r="A125" s="5"/>
      <c r="B125" s="5"/>
      <c r="C125" s="5"/>
      <c r="D125" s="5"/>
      <c r="E125" s="5"/>
      <c r="F125" s="6"/>
      <c r="G125" s="7"/>
      <c r="H125" s="7"/>
      <c r="I125" s="5"/>
      <c r="J125" s="6"/>
      <c r="K125" s="6"/>
      <c r="L125" s="6"/>
      <c r="M125" s="8"/>
      <c r="N125" s="9"/>
      <c r="O125" s="8"/>
      <c r="P125" s="10"/>
      <c r="Q125" s="11"/>
      <c r="R125" s="8"/>
      <c r="S125" s="8"/>
      <c r="T125" s="13"/>
    </row>
    <row r="126" spans="1:20" x14ac:dyDescent="0.4">
      <c r="A126" s="5"/>
      <c r="B126" s="5"/>
      <c r="C126" s="5"/>
      <c r="D126" s="5"/>
      <c r="E126" s="5"/>
      <c r="F126" s="6"/>
      <c r="G126" s="7"/>
      <c r="H126" s="7"/>
      <c r="I126" s="5"/>
      <c r="J126" s="6"/>
      <c r="K126" s="6"/>
      <c r="L126" s="6"/>
      <c r="M126" s="8"/>
      <c r="N126" s="9"/>
      <c r="O126" s="8"/>
      <c r="P126" s="10"/>
      <c r="Q126" s="11"/>
      <c r="R126" s="8"/>
      <c r="S126" s="8"/>
      <c r="T126" s="13"/>
    </row>
    <row r="127" spans="1:20" x14ac:dyDescent="0.4">
      <c r="A127" s="5"/>
      <c r="B127" s="5"/>
      <c r="C127" s="5"/>
      <c r="D127" s="5"/>
      <c r="E127" s="5"/>
      <c r="F127" s="6"/>
      <c r="G127" s="7"/>
      <c r="H127" s="7"/>
      <c r="I127" s="5"/>
      <c r="J127" s="6"/>
      <c r="K127" s="6"/>
      <c r="L127" s="6"/>
      <c r="M127" s="8"/>
      <c r="N127" s="9"/>
      <c r="O127" s="8"/>
      <c r="P127" s="10"/>
      <c r="Q127" s="11"/>
      <c r="R127" s="8"/>
      <c r="S127" s="8"/>
      <c r="T127" s="13"/>
    </row>
    <row r="128" spans="1:20" x14ac:dyDescent="0.4">
      <c r="A128" s="5"/>
      <c r="B128" s="5"/>
      <c r="C128" s="5"/>
      <c r="D128" s="5"/>
      <c r="E128" s="5"/>
      <c r="F128" s="6"/>
      <c r="G128" s="7"/>
      <c r="H128" s="7"/>
      <c r="I128" s="5"/>
      <c r="J128" s="6"/>
      <c r="K128" s="6"/>
      <c r="L128" s="6"/>
      <c r="M128" s="8"/>
      <c r="N128" s="9"/>
      <c r="O128" s="8"/>
      <c r="P128" s="10"/>
      <c r="Q128" s="11"/>
      <c r="R128" s="8"/>
      <c r="S128" s="8"/>
      <c r="T128" s="9"/>
    </row>
    <row r="129" spans="1:20" x14ac:dyDescent="0.4">
      <c r="A129" s="5"/>
      <c r="B129" s="5"/>
      <c r="C129" s="5"/>
      <c r="D129" s="5"/>
      <c r="E129" s="5"/>
      <c r="F129" s="6"/>
      <c r="G129" s="7"/>
      <c r="H129" s="7"/>
      <c r="I129" s="5"/>
      <c r="J129" s="6"/>
      <c r="K129" s="6"/>
      <c r="L129" s="6"/>
      <c r="M129" s="8"/>
      <c r="N129" s="9"/>
      <c r="O129" s="8"/>
      <c r="P129" s="10"/>
      <c r="Q129" s="11"/>
      <c r="R129" s="8"/>
      <c r="S129" s="8"/>
      <c r="T129" s="9"/>
    </row>
    <row r="130" spans="1:20" x14ac:dyDescent="0.4">
      <c r="A130" s="5"/>
      <c r="B130" s="5"/>
      <c r="C130" s="5"/>
      <c r="D130" s="5"/>
      <c r="E130" s="5"/>
      <c r="F130" s="6"/>
      <c r="G130" s="7"/>
      <c r="H130" s="7"/>
      <c r="I130" s="5"/>
      <c r="J130" s="6"/>
      <c r="K130" s="6"/>
      <c r="L130" s="6"/>
      <c r="M130" s="8"/>
      <c r="N130" s="8"/>
      <c r="O130" s="8"/>
      <c r="P130" s="10"/>
      <c r="Q130" s="11"/>
      <c r="R130" s="8"/>
      <c r="S130" s="8"/>
      <c r="T130" s="9"/>
    </row>
    <row r="131" spans="1:20" x14ac:dyDescent="0.4">
      <c r="A131" s="5"/>
      <c r="B131" s="5"/>
      <c r="C131" s="5"/>
      <c r="D131" s="5"/>
      <c r="E131" s="5"/>
      <c r="F131" s="6"/>
      <c r="G131" s="7"/>
      <c r="H131" s="7"/>
      <c r="I131" s="5"/>
      <c r="J131" s="6"/>
      <c r="K131" s="6"/>
      <c r="L131" s="6"/>
      <c r="M131" s="8"/>
      <c r="N131" s="9"/>
      <c r="O131" s="8"/>
      <c r="P131" s="10"/>
      <c r="Q131" s="11"/>
      <c r="R131" s="8"/>
      <c r="S131" s="8"/>
      <c r="T131" s="9"/>
    </row>
    <row r="132" spans="1:20" x14ac:dyDescent="0.4">
      <c r="A132" s="5"/>
      <c r="B132" s="5"/>
      <c r="C132" s="5"/>
      <c r="D132" s="5"/>
      <c r="E132" s="5"/>
      <c r="F132" s="6"/>
      <c r="G132" s="7"/>
      <c r="H132" s="7"/>
      <c r="I132" s="5"/>
      <c r="J132" s="6"/>
      <c r="K132" s="6"/>
      <c r="L132" s="6"/>
      <c r="M132" s="8"/>
      <c r="N132" s="9"/>
      <c r="O132" s="8"/>
      <c r="P132" s="10"/>
      <c r="Q132" s="11"/>
      <c r="R132" s="8"/>
      <c r="S132" s="8"/>
      <c r="T132" s="9"/>
    </row>
    <row r="133" spans="1:20" x14ac:dyDescent="0.4">
      <c r="A133" s="5"/>
      <c r="B133" s="5"/>
      <c r="C133" s="5"/>
      <c r="D133" s="5"/>
      <c r="E133" s="5"/>
      <c r="F133" s="6"/>
      <c r="G133" s="7"/>
      <c r="H133" s="7"/>
      <c r="I133" s="5"/>
      <c r="J133" s="6"/>
      <c r="K133" s="6"/>
      <c r="L133" s="6"/>
      <c r="M133" s="8"/>
      <c r="N133" s="9"/>
      <c r="O133" s="8"/>
      <c r="P133" s="10"/>
      <c r="Q133" s="11"/>
      <c r="R133" s="8"/>
      <c r="S133" s="8"/>
      <c r="T133" s="9"/>
    </row>
    <row r="134" spans="1:20" x14ac:dyDescent="0.4">
      <c r="A134" s="5"/>
      <c r="B134" s="5"/>
      <c r="C134" s="5"/>
      <c r="D134" s="5"/>
      <c r="E134" s="5"/>
      <c r="F134" s="6"/>
      <c r="G134" s="7"/>
      <c r="H134" s="7"/>
      <c r="I134" s="5"/>
      <c r="J134" s="6"/>
      <c r="K134" s="6"/>
      <c r="L134" s="6"/>
      <c r="M134" s="8"/>
      <c r="N134" s="9"/>
      <c r="O134" s="8"/>
      <c r="P134" s="10"/>
      <c r="Q134" s="11"/>
      <c r="R134" s="8"/>
      <c r="S134" s="8"/>
      <c r="T134" s="9"/>
    </row>
    <row r="135" spans="1:20" x14ac:dyDescent="0.4">
      <c r="A135" s="5"/>
      <c r="B135" s="5"/>
      <c r="C135" s="5"/>
      <c r="D135" s="5"/>
      <c r="E135" s="5"/>
      <c r="F135" s="6"/>
      <c r="G135" s="7"/>
      <c r="H135" s="7"/>
      <c r="I135" s="5"/>
      <c r="J135" s="6"/>
      <c r="K135" s="6"/>
      <c r="L135" s="6"/>
      <c r="M135" s="8"/>
      <c r="N135" s="9"/>
      <c r="O135" s="8"/>
      <c r="P135" s="10"/>
      <c r="Q135" s="11"/>
      <c r="R135" s="8"/>
      <c r="S135" s="8"/>
      <c r="T135" s="14"/>
    </row>
    <row r="136" spans="1:20" x14ac:dyDescent="0.4">
      <c r="A136" s="5"/>
      <c r="B136" s="5"/>
      <c r="C136" s="5"/>
      <c r="D136" s="5"/>
      <c r="E136" s="5"/>
      <c r="F136" s="6"/>
      <c r="G136" s="7"/>
      <c r="H136" s="7"/>
      <c r="I136" s="5"/>
      <c r="J136" s="6"/>
      <c r="K136" s="6"/>
      <c r="L136" s="6"/>
      <c r="M136" s="8"/>
      <c r="N136" s="9"/>
      <c r="O136" s="8"/>
      <c r="P136" s="10"/>
      <c r="Q136" s="11"/>
      <c r="R136" s="8"/>
      <c r="S136" s="8"/>
      <c r="T136" s="13"/>
    </row>
    <row r="137" spans="1:20" x14ac:dyDescent="0.4">
      <c r="A137" s="5"/>
      <c r="B137" s="5"/>
      <c r="C137" s="5"/>
      <c r="D137" s="5"/>
      <c r="E137" s="5"/>
      <c r="F137" s="6"/>
      <c r="G137" s="7"/>
      <c r="H137" s="7"/>
      <c r="I137" s="5"/>
      <c r="J137" s="6"/>
      <c r="K137" s="6"/>
      <c r="L137" s="6"/>
      <c r="M137" s="8"/>
      <c r="N137" s="9"/>
      <c r="O137" s="8"/>
      <c r="P137" s="10"/>
      <c r="Q137" s="11"/>
      <c r="R137" s="8"/>
      <c r="S137" s="8"/>
      <c r="T137" s="13"/>
    </row>
    <row r="138" spans="1:20" x14ac:dyDescent="0.4">
      <c r="A138" s="5"/>
      <c r="B138" s="5"/>
      <c r="C138" s="5"/>
      <c r="D138" s="5"/>
      <c r="E138" s="5"/>
      <c r="F138" s="6"/>
      <c r="G138" s="7"/>
      <c r="H138" s="7"/>
      <c r="I138" s="5"/>
      <c r="J138" s="6"/>
      <c r="K138" s="6"/>
      <c r="L138" s="6"/>
      <c r="M138" s="8"/>
      <c r="N138" s="9"/>
      <c r="O138" s="8"/>
      <c r="P138" s="10"/>
      <c r="Q138" s="11"/>
      <c r="R138" s="8"/>
      <c r="S138" s="8"/>
      <c r="T138" s="13"/>
    </row>
    <row r="139" spans="1:20" x14ac:dyDescent="0.4">
      <c r="A139" s="5"/>
      <c r="B139" s="5"/>
      <c r="C139" s="5"/>
      <c r="D139" s="5"/>
      <c r="E139" s="5"/>
      <c r="F139" s="6"/>
      <c r="G139" s="7"/>
      <c r="H139" s="7"/>
      <c r="I139" s="5"/>
      <c r="J139" s="6"/>
      <c r="K139" s="6"/>
      <c r="L139" s="6"/>
      <c r="M139" s="8"/>
      <c r="N139" s="9"/>
      <c r="O139" s="8"/>
      <c r="P139" s="10"/>
      <c r="Q139" s="11"/>
      <c r="R139" s="8"/>
      <c r="S139" s="8"/>
      <c r="T139" s="13"/>
    </row>
    <row r="140" spans="1:20" x14ac:dyDescent="0.4">
      <c r="A140" s="5"/>
      <c r="B140" s="5"/>
      <c r="C140" s="5"/>
      <c r="D140" s="5"/>
      <c r="E140" s="5"/>
      <c r="F140" s="6"/>
      <c r="G140" s="7"/>
      <c r="H140" s="7"/>
      <c r="I140" s="5"/>
      <c r="J140" s="6"/>
      <c r="K140" s="6"/>
      <c r="L140" s="6"/>
      <c r="M140" s="8"/>
      <c r="N140" s="9"/>
      <c r="O140" s="8"/>
      <c r="P140" s="10"/>
      <c r="Q140" s="11"/>
      <c r="R140" s="8"/>
      <c r="S140" s="8"/>
      <c r="T140" s="13"/>
    </row>
    <row r="141" spans="1:20" x14ac:dyDescent="0.4">
      <c r="A141" s="5"/>
      <c r="B141" s="5"/>
      <c r="C141" s="5"/>
      <c r="D141" s="5"/>
      <c r="E141" s="5"/>
      <c r="F141" s="6"/>
      <c r="G141" s="7"/>
      <c r="H141" s="7"/>
      <c r="I141" s="5"/>
      <c r="J141" s="6"/>
      <c r="K141" s="6"/>
      <c r="L141" s="6"/>
      <c r="M141" s="8"/>
      <c r="N141" s="9"/>
      <c r="O141" s="8"/>
      <c r="P141" s="10"/>
      <c r="Q141" s="11"/>
      <c r="R141" s="8"/>
      <c r="S141" s="8"/>
      <c r="T141" s="13"/>
    </row>
    <row r="142" spans="1:20" x14ac:dyDescent="0.4">
      <c r="A142" s="5"/>
      <c r="B142" s="5"/>
      <c r="C142" s="5"/>
      <c r="D142" s="5"/>
      <c r="E142" s="5"/>
      <c r="F142" s="6"/>
      <c r="G142" s="7"/>
      <c r="H142" s="7"/>
      <c r="I142" s="5"/>
      <c r="J142" s="6"/>
      <c r="K142" s="6"/>
      <c r="L142" s="6"/>
      <c r="M142" s="8"/>
      <c r="N142" s="9"/>
      <c r="O142" s="8"/>
      <c r="P142" s="10"/>
      <c r="Q142" s="11"/>
      <c r="R142" s="8"/>
      <c r="S142" s="8"/>
      <c r="T142" s="13"/>
    </row>
    <row r="143" spans="1:20" x14ac:dyDescent="0.4">
      <c r="A143" s="5"/>
      <c r="B143" s="5"/>
      <c r="C143" s="5"/>
      <c r="D143" s="5"/>
      <c r="E143" s="5"/>
      <c r="F143" s="6"/>
      <c r="G143" s="7"/>
      <c r="H143" s="7"/>
      <c r="I143" s="5"/>
      <c r="J143" s="6"/>
      <c r="K143" s="6"/>
      <c r="L143" s="6"/>
      <c r="M143" s="8"/>
      <c r="N143" s="9"/>
      <c r="O143" s="8"/>
      <c r="P143" s="10"/>
      <c r="Q143" s="11"/>
      <c r="R143" s="8"/>
      <c r="S143" s="8"/>
      <c r="T143" s="13"/>
    </row>
    <row r="144" spans="1:20" x14ac:dyDescent="0.4">
      <c r="A144" s="5"/>
      <c r="B144" s="5"/>
      <c r="C144" s="5"/>
      <c r="D144" s="5"/>
      <c r="E144" s="5"/>
      <c r="F144" s="6"/>
      <c r="G144" s="7"/>
      <c r="H144" s="7"/>
      <c r="I144" s="5"/>
      <c r="J144" s="6"/>
      <c r="K144" s="6"/>
      <c r="L144" s="6"/>
      <c r="M144" s="8"/>
      <c r="N144" s="9"/>
      <c r="O144" s="8"/>
      <c r="P144" s="10"/>
      <c r="Q144" s="11"/>
      <c r="R144" s="8"/>
      <c r="S144" s="8"/>
      <c r="T144" s="13"/>
    </row>
    <row r="145" spans="1:20" x14ac:dyDescent="0.4">
      <c r="A145" s="5"/>
      <c r="B145" s="5"/>
      <c r="C145" s="5"/>
      <c r="D145" s="5"/>
      <c r="E145" s="5"/>
      <c r="F145" s="6"/>
      <c r="G145" s="7"/>
      <c r="H145" s="7"/>
      <c r="I145" s="5"/>
      <c r="J145" s="6"/>
      <c r="K145" s="6"/>
      <c r="L145" s="6"/>
      <c r="M145" s="8"/>
      <c r="N145" s="9"/>
      <c r="O145" s="8"/>
      <c r="P145" s="10"/>
      <c r="Q145" s="11"/>
      <c r="R145" s="8"/>
      <c r="S145" s="8"/>
      <c r="T145" s="13"/>
    </row>
    <row r="146" spans="1:20" x14ac:dyDescent="0.4">
      <c r="A146" s="5"/>
      <c r="B146" s="5"/>
      <c r="C146" s="5"/>
      <c r="D146" s="5"/>
      <c r="E146" s="5"/>
      <c r="F146" s="6"/>
      <c r="G146" s="7"/>
      <c r="H146" s="7"/>
      <c r="I146" s="5"/>
      <c r="J146" s="6"/>
      <c r="K146" s="6"/>
      <c r="L146" s="6"/>
      <c r="M146" s="8"/>
      <c r="N146" s="9"/>
      <c r="O146" s="8"/>
      <c r="P146" s="10"/>
      <c r="Q146" s="11"/>
      <c r="R146" s="8"/>
      <c r="S146" s="8"/>
      <c r="T146" s="9"/>
    </row>
    <row r="147" spans="1:20" x14ac:dyDescent="0.4">
      <c r="A147" s="5"/>
      <c r="B147" s="5"/>
      <c r="C147" s="5"/>
      <c r="D147" s="5"/>
      <c r="E147" s="5"/>
      <c r="F147" s="6"/>
      <c r="G147" s="7"/>
      <c r="H147" s="7"/>
      <c r="I147" s="5"/>
      <c r="J147" s="6"/>
      <c r="K147" s="6"/>
      <c r="L147" s="6"/>
      <c r="M147" s="8"/>
      <c r="N147" s="9"/>
      <c r="O147" s="8"/>
      <c r="P147" s="10"/>
      <c r="Q147" s="11"/>
      <c r="R147" s="8"/>
      <c r="S147" s="8"/>
      <c r="T147" s="9"/>
    </row>
    <row r="148" spans="1:20" x14ac:dyDescent="0.4">
      <c r="A148" s="5"/>
      <c r="B148" s="5"/>
      <c r="C148" s="5"/>
      <c r="D148" s="5"/>
      <c r="E148" s="5"/>
      <c r="F148" s="6"/>
      <c r="G148" s="7"/>
      <c r="H148" s="7"/>
      <c r="I148" s="5"/>
      <c r="J148" s="6"/>
      <c r="K148" s="6"/>
      <c r="L148" s="6"/>
      <c r="M148" s="8"/>
      <c r="N148" s="9"/>
      <c r="O148" s="8"/>
      <c r="P148" s="10"/>
      <c r="Q148" s="11"/>
      <c r="R148" s="8"/>
      <c r="S148" s="8"/>
      <c r="T148" s="9"/>
    </row>
    <row r="149" spans="1:20" x14ac:dyDescent="0.4">
      <c r="A149" s="5"/>
      <c r="B149" s="5"/>
      <c r="C149" s="5"/>
      <c r="D149" s="5"/>
      <c r="E149" s="5"/>
      <c r="F149" s="6"/>
      <c r="G149" s="7"/>
      <c r="H149" s="7"/>
      <c r="I149" s="5"/>
      <c r="J149" s="6"/>
      <c r="K149" s="6"/>
      <c r="L149" s="6"/>
      <c r="M149" s="8"/>
      <c r="N149" s="9"/>
      <c r="O149" s="8"/>
      <c r="P149" s="10"/>
      <c r="Q149" s="11"/>
      <c r="R149" s="8"/>
      <c r="S149" s="8"/>
      <c r="T149" s="9"/>
    </row>
    <row r="150" spans="1:20" x14ac:dyDescent="0.4">
      <c r="A150" s="5"/>
      <c r="B150" s="5"/>
      <c r="C150" s="5"/>
      <c r="D150" s="5"/>
      <c r="E150" s="5"/>
      <c r="F150" s="6"/>
      <c r="G150" s="7"/>
      <c r="H150" s="7"/>
      <c r="I150" s="5"/>
      <c r="J150" s="6"/>
      <c r="K150" s="6"/>
      <c r="L150" s="6"/>
      <c r="M150" s="8"/>
      <c r="N150" s="9"/>
      <c r="O150" s="8"/>
      <c r="P150" s="10"/>
      <c r="Q150" s="11"/>
      <c r="R150" s="8"/>
      <c r="S150" s="8"/>
      <c r="T150" s="9"/>
    </row>
    <row r="151" spans="1:20" x14ac:dyDescent="0.4">
      <c r="A151" s="5"/>
      <c r="B151" s="5"/>
      <c r="C151" s="5"/>
      <c r="D151" s="5"/>
      <c r="E151" s="5"/>
      <c r="F151" s="6"/>
      <c r="G151" s="7"/>
      <c r="H151" s="7"/>
      <c r="I151" s="5"/>
      <c r="J151" s="6"/>
      <c r="K151" s="6"/>
      <c r="L151" s="6"/>
      <c r="M151" s="8"/>
      <c r="N151" s="9"/>
      <c r="O151" s="8"/>
      <c r="P151" s="10"/>
      <c r="Q151" s="11"/>
      <c r="R151" s="8"/>
      <c r="S151" s="8"/>
      <c r="T151" s="9"/>
    </row>
    <row r="152" spans="1:20" x14ac:dyDescent="0.4">
      <c r="A152" s="5"/>
      <c r="B152" s="5"/>
      <c r="C152" s="5"/>
      <c r="D152" s="5"/>
      <c r="E152" s="5"/>
      <c r="F152" s="6"/>
      <c r="G152" s="7"/>
      <c r="H152" s="7"/>
      <c r="I152" s="5"/>
      <c r="J152" s="6"/>
      <c r="K152" s="6"/>
      <c r="L152" s="6"/>
      <c r="M152" s="8"/>
      <c r="N152" s="9"/>
      <c r="O152" s="8"/>
      <c r="P152" s="10"/>
      <c r="Q152" s="11"/>
      <c r="R152" s="8"/>
      <c r="S152" s="8"/>
      <c r="T152" s="9"/>
    </row>
    <row r="153" spans="1:20" x14ac:dyDescent="0.4">
      <c r="A153" s="5"/>
      <c r="B153" s="5"/>
      <c r="C153" s="5"/>
      <c r="D153" s="5"/>
      <c r="E153" s="5"/>
      <c r="F153" s="6"/>
      <c r="G153" s="7"/>
      <c r="H153" s="7"/>
      <c r="I153" s="5"/>
      <c r="J153" s="6"/>
      <c r="K153" s="6"/>
      <c r="L153" s="6"/>
      <c r="M153" s="8"/>
      <c r="N153" s="9"/>
      <c r="O153" s="8"/>
      <c r="P153" s="10"/>
      <c r="Q153" s="11"/>
      <c r="R153" s="8"/>
      <c r="S153" s="8"/>
      <c r="T153" s="9"/>
    </row>
    <row r="154" spans="1:20" x14ac:dyDescent="0.4">
      <c r="A154" s="5"/>
      <c r="B154" s="5"/>
      <c r="C154" s="5"/>
      <c r="D154" s="5"/>
      <c r="E154" s="5"/>
      <c r="F154" s="6"/>
      <c r="G154" s="7"/>
      <c r="H154" s="7"/>
      <c r="I154" s="5"/>
      <c r="J154" s="6"/>
      <c r="K154" s="6"/>
      <c r="L154" s="6"/>
      <c r="M154" s="8"/>
      <c r="N154" s="9"/>
      <c r="O154" s="8"/>
      <c r="P154" s="10"/>
      <c r="Q154" s="11"/>
      <c r="R154" s="8"/>
      <c r="S154" s="8"/>
      <c r="T154" s="9"/>
    </row>
    <row r="155" spans="1:20" x14ac:dyDescent="0.4">
      <c r="A155" s="5"/>
      <c r="B155" s="5"/>
      <c r="C155" s="5"/>
      <c r="D155" s="5"/>
      <c r="E155" s="5"/>
      <c r="F155" s="6"/>
      <c r="G155" s="7"/>
      <c r="H155" s="7"/>
      <c r="I155" s="5"/>
      <c r="J155" s="6"/>
      <c r="K155" s="6"/>
      <c r="L155" s="6"/>
      <c r="M155" s="8"/>
      <c r="N155" s="9"/>
      <c r="O155" s="8"/>
      <c r="P155" s="10"/>
      <c r="Q155" s="11"/>
      <c r="R155" s="8"/>
      <c r="S155" s="8"/>
      <c r="T155" s="9"/>
    </row>
    <row r="156" spans="1:20" x14ac:dyDescent="0.4">
      <c r="A156" s="5"/>
      <c r="B156" s="5"/>
      <c r="C156" s="5"/>
      <c r="D156" s="5"/>
      <c r="E156" s="5"/>
      <c r="F156" s="6"/>
      <c r="G156" s="7"/>
      <c r="H156" s="7"/>
      <c r="I156" s="5"/>
      <c r="J156" s="6"/>
      <c r="K156" s="6"/>
      <c r="L156" s="6"/>
      <c r="M156" s="8"/>
      <c r="N156" s="9"/>
      <c r="O156" s="8"/>
      <c r="P156" s="10"/>
      <c r="Q156" s="11"/>
      <c r="R156" s="8"/>
      <c r="S156" s="8"/>
      <c r="T156" s="9"/>
    </row>
    <row r="157" spans="1:20" x14ac:dyDescent="0.4">
      <c r="A157" s="5"/>
      <c r="B157" s="5"/>
      <c r="C157" s="5"/>
      <c r="D157" s="5"/>
      <c r="E157" s="5"/>
      <c r="F157" s="6"/>
      <c r="G157" s="7"/>
      <c r="H157" s="7"/>
      <c r="I157" s="5"/>
      <c r="J157" s="6"/>
      <c r="K157" s="6"/>
      <c r="L157" s="6"/>
      <c r="M157" s="8"/>
      <c r="N157" s="9"/>
      <c r="O157" s="8"/>
      <c r="P157" s="10"/>
      <c r="Q157" s="11"/>
      <c r="R157" s="8"/>
      <c r="S157" s="8"/>
      <c r="T157" s="14"/>
    </row>
    <row r="158" spans="1:20" x14ac:dyDescent="0.4">
      <c r="A158" s="5"/>
      <c r="B158" s="5"/>
      <c r="C158" s="5"/>
      <c r="D158" s="5"/>
      <c r="E158" s="5"/>
      <c r="F158" s="6"/>
      <c r="G158" s="7"/>
      <c r="H158" s="7"/>
      <c r="I158" s="5"/>
      <c r="J158" s="6"/>
      <c r="K158" s="6"/>
      <c r="L158" s="6"/>
      <c r="M158" s="8"/>
      <c r="N158" s="9"/>
      <c r="O158" s="8"/>
      <c r="P158" s="10"/>
      <c r="Q158" s="11"/>
      <c r="R158" s="8"/>
      <c r="S158" s="8"/>
      <c r="T158" s="13"/>
    </row>
    <row r="159" spans="1:20" x14ac:dyDescent="0.4">
      <c r="A159" s="5"/>
      <c r="B159" s="5"/>
      <c r="C159" s="5"/>
      <c r="D159" s="5"/>
      <c r="E159" s="5"/>
      <c r="F159" s="6"/>
      <c r="G159" s="7"/>
      <c r="H159" s="7"/>
      <c r="I159" s="5"/>
      <c r="J159" s="6"/>
      <c r="K159" s="6"/>
      <c r="L159" s="6"/>
      <c r="M159" s="8"/>
      <c r="N159" s="9"/>
      <c r="O159" s="8"/>
      <c r="P159" s="10"/>
      <c r="Q159" s="11"/>
      <c r="R159" s="8"/>
      <c r="S159" s="8"/>
      <c r="T159" s="13"/>
    </row>
    <row r="160" spans="1:20" x14ac:dyDescent="0.4">
      <c r="A160" s="5"/>
      <c r="B160" s="5"/>
      <c r="C160" s="5"/>
      <c r="D160" s="5"/>
      <c r="E160" s="5"/>
      <c r="F160" s="6"/>
      <c r="G160" s="7"/>
      <c r="H160" s="7"/>
      <c r="I160" s="5"/>
      <c r="J160" s="6"/>
      <c r="K160" s="6"/>
      <c r="L160" s="6"/>
      <c r="M160" s="8"/>
      <c r="N160" s="9"/>
      <c r="O160" s="8"/>
      <c r="P160" s="10"/>
      <c r="Q160" s="11"/>
      <c r="R160" s="8"/>
      <c r="S160" s="8"/>
      <c r="T160" s="13"/>
    </row>
    <row r="161" spans="1:21" x14ac:dyDescent="0.4">
      <c r="A161" s="5"/>
      <c r="B161" s="5"/>
      <c r="C161" s="5"/>
      <c r="D161" s="5"/>
      <c r="E161" s="5"/>
      <c r="F161" s="6"/>
      <c r="G161" s="7"/>
      <c r="H161" s="7"/>
      <c r="I161" s="5"/>
      <c r="J161" s="6"/>
      <c r="K161" s="6"/>
      <c r="L161" s="6"/>
      <c r="M161" s="8"/>
      <c r="N161" s="9"/>
      <c r="O161" s="8"/>
      <c r="P161" s="10"/>
      <c r="Q161" s="11"/>
      <c r="R161" s="8"/>
      <c r="S161" s="8"/>
      <c r="T161" s="13"/>
    </row>
    <row r="162" spans="1:21" x14ac:dyDescent="0.4">
      <c r="A162" s="5"/>
      <c r="B162" s="5"/>
      <c r="C162" s="5"/>
      <c r="D162" s="5"/>
      <c r="E162" s="5"/>
      <c r="F162" s="6"/>
      <c r="G162" s="7"/>
      <c r="H162" s="7"/>
      <c r="I162" s="5"/>
      <c r="J162" s="6"/>
      <c r="K162" s="6"/>
      <c r="L162" s="6"/>
      <c r="M162" s="8"/>
      <c r="N162" s="9"/>
      <c r="O162" s="8"/>
      <c r="P162" s="10"/>
      <c r="Q162" s="11"/>
      <c r="R162" s="8"/>
      <c r="S162" s="8"/>
      <c r="T162" s="13"/>
      <c r="U162" s="17"/>
    </row>
    <row r="163" spans="1:21" x14ac:dyDescent="0.4">
      <c r="A163" s="5"/>
      <c r="B163" s="5"/>
      <c r="C163" s="5"/>
      <c r="D163" s="5"/>
      <c r="E163" s="5"/>
      <c r="F163" s="6"/>
      <c r="G163" s="7"/>
      <c r="H163" s="7"/>
      <c r="I163" s="5"/>
      <c r="J163" s="6"/>
      <c r="K163" s="6"/>
      <c r="L163" s="6"/>
      <c r="M163" s="8"/>
      <c r="N163" s="9"/>
      <c r="O163" s="8"/>
      <c r="P163" s="10"/>
      <c r="Q163" s="11"/>
      <c r="R163" s="8"/>
      <c r="S163" s="8"/>
      <c r="T163" s="13"/>
    </row>
    <row r="164" spans="1:21" x14ac:dyDescent="0.4">
      <c r="A164" s="5"/>
      <c r="B164" s="5"/>
      <c r="C164" s="5"/>
      <c r="D164" s="5"/>
      <c r="E164" s="5"/>
      <c r="F164" s="6"/>
      <c r="G164" s="7"/>
      <c r="H164" s="7"/>
      <c r="I164" s="5"/>
      <c r="J164" s="6"/>
      <c r="K164" s="6"/>
      <c r="L164" s="6"/>
      <c r="M164" s="8"/>
      <c r="N164" s="9"/>
      <c r="O164" s="8"/>
      <c r="P164" s="10"/>
      <c r="Q164" s="11"/>
      <c r="R164" s="8"/>
      <c r="S164" s="8"/>
      <c r="T164" s="13"/>
    </row>
    <row r="165" spans="1:21" x14ac:dyDescent="0.4">
      <c r="A165" s="5"/>
      <c r="B165" s="5"/>
      <c r="C165" s="5"/>
      <c r="D165" s="5"/>
      <c r="E165" s="5"/>
      <c r="F165" s="6"/>
      <c r="G165" s="7"/>
      <c r="H165" s="7"/>
      <c r="I165" s="5"/>
      <c r="J165" s="6"/>
      <c r="K165" s="6"/>
      <c r="L165" s="6"/>
      <c r="M165" s="8"/>
      <c r="N165" s="9"/>
      <c r="O165" s="8"/>
      <c r="P165" s="10"/>
      <c r="Q165" s="11"/>
      <c r="R165" s="8"/>
      <c r="S165" s="8"/>
      <c r="T165" s="13"/>
    </row>
    <row r="166" spans="1:21" x14ac:dyDescent="0.4">
      <c r="A166" s="5"/>
      <c r="B166" s="5"/>
      <c r="C166" s="5"/>
      <c r="D166" s="5"/>
      <c r="E166" s="5"/>
      <c r="F166" s="6"/>
      <c r="G166" s="7"/>
      <c r="H166" s="7"/>
      <c r="I166" s="5"/>
      <c r="J166" s="6"/>
      <c r="K166" s="6"/>
      <c r="L166" s="6"/>
      <c r="M166" s="8"/>
      <c r="N166" s="9"/>
      <c r="O166" s="8"/>
      <c r="P166" s="10"/>
      <c r="Q166" s="11"/>
      <c r="R166" s="8"/>
      <c r="S166" s="8"/>
      <c r="T166" s="13"/>
    </row>
    <row r="167" spans="1:21" x14ac:dyDescent="0.4">
      <c r="A167" s="5"/>
      <c r="B167" s="5"/>
      <c r="C167" s="5"/>
      <c r="D167" s="5"/>
      <c r="E167" s="5"/>
      <c r="F167" s="6"/>
      <c r="G167" s="7"/>
      <c r="H167" s="7"/>
      <c r="I167" s="5"/>
      <c r="J167" s="6"/>
      <c r="K167" s="6"/>
      <c r="L167" s="6"/>
      <c r="M167" s="8"/>
      <c r="N167" s="9"/>
      <c r="O167" s="8"/>
      <c r="P167" s="10"/>
      <c r="Q167" s="11"/>
      <c r="R167" s="8"/>
      <c r="S167" s="8"/>
      <c r="T167" s="13"/>
    </row>
    <row r="168" spans="1:21" x14ac:dyDescent="0.4">
      <c r="A168" s="5"/>
      <c r="B168" s="5"/>
      <c r="C168" s="5"/>
      <c r="D168" s="5"/>
      <c r="E168" s="5"/>
      <c r="F168" s="6"/>
      <c r="G168" s="7"/>
      <c r="H168" s="7"/>
      <c r="I168" s="5"/>
      <c r="J168" s="6"/>
      <c r="K168" s="6"/>
      <c r="L168" s="6"/>
      <c r="M168" s="8"/>
      <c r="N168" s="9"/>
      <c r="O168" s="8"/>
      <c r="P168" s="10"/>
      <c r="Q168" s="11"/>
      <c r="R168" s="8"/>
      <c r="S168" s="8"/>
      <c r="T168" s="13"/>
    </row>
    <row r="169" spans="1:21" x14ac:dyDescent="0.4">
      <c r="A169" s="5"/>
      <c r="B169" s="5"/>
      <c r="C169" s="5"/>
      <c r="D169" s="5"/>
      <c r="E169" s="5"/>
      <c r="F169" s="6"/>
      <c r="G169" s="7"/>
      <c r="H169" s="7"/>
      <c r="I169" s="5"/>
      <c r="J169" s="6"/>
      <c r="K169" s="6"/>
      <c r="L169" s="6"/>
      <c r="M169" s="8"/>
      <c r="N169" s="9"/>
      <c r="O169" s="8"/>
      <c r="P169" s="10"/>
      <c r="Q169" s="11"/>
      <c r="R169" s="8"/>
      <c r="S169" s="8"/>
      <c r="T169" s="9"/>
    </row>
    <row r="170" spans="1:21" x14ac:dyDescent="0.4">
      <c r="A170" s="5"/>
      <c r="B170" s="5"/>
      <c r="C170" s="5"/>
      <c r="D170" s="5"/>
      <c r="E170" s="5"/>
      <c r="F170" s="6"/>
      <c r="G170" s="7"/>
      <c r="H170" s="7"/>
      <c r="I170" s="5"/>
      <c r="J170" s="6"/>
      <c r="K170" s="6"/>
      <c r="L170" s="6"/>
      <c r="M170" s="8"/>
      <c r="N170" s="9"/>
      <c r="O170" s="8"/>
      <c r="P170" s="10"/>
      <c r="Q170" s="11"/>
      <c r="R170" s="8"/>
      <c r="S170" s="8"/>
      <c r="T170" s="9"/>
    </row>
    <row r="171" spans="1:21" x14ac:dyDescent="0.4">
      <c r="A171" s="5"/>
      <c r="B171" s="5"/>
      <c r="C171" s="5"/>
      <c r="D171" s="5"/>
      <c r="E171" s="5"/>
      <c r="F171" s="6"/>
      <c r="G171" s="7"/>
      <c r="H171" s="7"/>
      <c r="I171" s="5"/>
      <c r="J171" s="6"/>
      <c r="K171" s="6"/>
      <c r="L171" s="6"/>
      <c r="M171" s="8"/>
      <c r="N171" s="9"/>
      <c r="O171" s="8"/>
      <c r="P171" s="10"/>
      <c r="Q171" s="11"/>
      <c r="R171" s="8"/>
      <c r="S171" s="8"/>
      <c r="T171" s="9"/>
    </row>
    <row r="172" spans="1:21" x14ac:dyDescent="0.4">
      <c r="A172" s="5"/>
      <c r="B172" s="5"/>
      <c r="C172" s="5"/>
      <c r="D172" s="5"/>
      <c r="E172" s="5"/>
      <c r="F172" s="6"/>
      <c r="G172" s="7"/>
      <c r="H172" s="7"/>
      <c r="I172" s="5"/>
      <c r="J172" s="6"/>
      <c r="K172" s="6"/>
      <c r="L172" s="6"/>
      <c r="M172" s="8"/>
      <c r="N172" s="9"/>
      <c r="O172" s="8"/>
      <c r="P172" s="10"/>
      <c r="Q172" s="11"/>
      <c r="R172" s="8"/>
      <c r="S172" s="8"/>
      <c r="T172" s="9"/>
      <c r="U172" s="17"/>
    </row>
    <row r="173" spans="1:21" x14ac:dyDescent="0.4">
      <c r="A173" s="5"/>
      <c r="B173" s="5"/>
      <c r="C173" s="5"/>
      <c r="D173" s="5"/>
      <c r="E173" s="5"/>
      <c r="F173" s="6"/>
      <c r="G173" s="7"/>
      <c r="H173" s="7"/>
      <c r="I173" s="5"/>
      <c r="J173" s="6"/>
      <c r="K173" s="6"/>
      <c r="L173" s="6"/>
      <c r="M173" s="8"/>
      <c r="N173" s="9"/>
      <c r="O173" s="8"/>
      <c r="P173" s="10"/>
      <c r="Q173" s="11"/>
      <c r="R173" s="8"/>
      <c r="S173" s="8"/>
      <c r="T173" s="9"/>
    </row>
    <row r="174" spans="1:21" x14ac:dyDescent="0.4">
      <c r="A174" s="5"/>
      <c r="B174" s="5"/>
      <c r="C174" s="5"/>
      <c r="D174" s="5"/>
      <c r="E174" s="5"/>
      <c r="F174" s="6"/>
      <c r="G174" s="7"/>
      <c r="H174" s="7"/>
      <c r="I174" s="5"/>
      <c r="J174" s="6"/>
      <c r="K174" s="6"/>
      <c r="L174" s="6"/>
      <c r="M174" s="8"/>
      <c r="N174" s="9"/>
      <c r="O174" s="8"/>
      <c r="P174" s="10"/>
      <c r="Q174" s="11"/>
      <c r="R174" s="8"/>
      <c r="S174" s="8"/>
      <c r="T174" s="9"/>
    </row>
    <row r="175" spans="1:21" x14ac:dyDescent="0.4">
      <c r="A175" s="5"/>
      <c r="B175" s="5"/>
      <c r="C175" s="5"/>
      <c r="D175" s="5"/>
      <c r="E175" s="5"/>
      <c r="F175" s="6"/>
      <c r="G175" s="7"/>
      <c r="H175" s="7"/>
      <c r="I175" s="5"/>
      <c r="J175" s="6"/>
      <c r="K175" s="6"/>
      <c r="L175" s="6"/>
      <c r="M175" s="8"/>
      <c r="N175" s="9"/>
      <c r="O175" s="8"/>
      <c r="P175" s="10"/>
      <c r="Q175" s="11"/>
      <c r="R175" s="8"/>
      <c r="S175" s="8"/>
      <c r="T175" s="9"/>
    </row>
    <row r="176" spans="1:21" x14ac:dyDescent="0.4">
      <c r="A176" s="5"/>
      <c r="B176" s="5"/>
      <c r="C176" s="5"/>
      <c r="D176" s="5"/>
      <c r="E176" s="5"/>
      <c r="F176" s="6"/>
      <c r="G176" s="7"/>
      <c r="H176" s="7"/>
      <c r="I176" s="5"/>
      <c r="J176" s="6"/>
      <c r="K176" s="6"/>
      <c r="L176" s="6"/>
      <c r="M176" s="8"/>
      <c r="N176" s="9"/>
      <c r="O176" s="8"/>
      <c r="P176" s="10"/>
      <c r="Q176" s="11"/>
      <c r="R176" s="8"/>
      <c r="S176" s="8"/>
      <c r="T176" s="9"/>
    </row>
    <row r="177" spans="1:20" x14ac:dyDescent="0.4">
      <c r="A177" s="5"/>
      <c r="B177" s="5"/>
      <c r="C177" s="5"/>
      <c r="D177" s="5"/>
      <c r="E177" s="5"/>
      <c r="F177" s="6"/>
      <c r="G177" s="7"/>
      <c r="H177" s="7"/>
      <c r="I177" s="5"/>
      <c r="J177" s="6"/>
      <c r="K177" s="6"/>
      <c r="L177" s="6"/>
      <c r="M177" s="8"/>
      <c r="N177" s="9"/>
      <c r="O177" s="8"/>
      <c r="P177" s="10"/>
      <c r="Q177" s="11"/>
      <c r="R177" s="8"/>
      <c r="S177" s="8"/>
      <c r="T177" s="9"/>
    </row>
    <row r="178" spans="1:20" x14ac:dyDescent="0.4">
      <c r="A178" s="5"/>
      <c r="B178" s="5"/>
      <c r="C178" s="5"/>
      <c r="D178" s="5"/>
      <c r="E178" s="5"/>
      <c r="F178" s="6"/>
      <c r="G178" s="7"/>
      <c r="H178" s="7"/>
      <c r="I178" s="5"/>
      <c r="J178" s="6"/>
      <c r="K178" s="6"/>
      <c r="L178" s="6"/>
      <c r="M178" s="8"/>
      <c r="N178" s="9"/>
      <c r="O178" s="8"/>
      <c r="P178" s="10"/>
      <c r="Q178" s="11"/>
      <c r="R178" s="8"/>
      <c r="S178" s="8"/>
      <c r="T178" s="9"/>
    </row>
    <row r="179" spans="1:20" x14ac:dyDescent="0.4">
      <c r="A179" s="5"/>
      <c r="B179" s="5"/>
      <c r="C179" s="5"/>
      <c r="D179" s="5"/>
      <c r="E179" s="5"/>
      <c r="F179" s="6"/>
      <c r="G179" s="7"/>
      <c r="H179" s="7"/>
      <c r="I179" s="5"/>
      <c r="J179" s="6"/>
      <c r="K179" s="6"/>
      <c r="L179" s="6"/>
      <c r="M179" s="8"/>
      <c r="N179" s="9"/>
      <c r="O179" s="8"/>
      <c r="P179" s="10"/>
      <c r="Q179" s="11"/>
      <c r="R179" s="8"/>
      <c r="S179" s="8"/>
      <c r="T179" s="9"/>
    </row>
    <row r="180" spans="1:20" x14ac:dyDescent="0.4">
      <c r="A180" s="5"/>
      <c r="B180" s="5"/>
      <c r="C180" s="5"/>
      <c r="D180" s="5"/>
      <c r="E180" s="5"/>
      <c r="F180" s="6"/>
      <c r="G180" s="7"/>
      <c r="H180" s="7"/>
      <c r="I180" s="5"/>
      <c r="J180" s="6"/>
      <c r="K180" s="6"/>
      <c r="L180" s="6"/>
      <c r="M180" s="8"/>
      <c r="N180" s="9"/>
      <c r="O180" s="8"/>
      <c r="P180" s="10"/>
      <c r="Q180" s="11"/>
      <c r="R180" s="8"/>
      <c r="S180" s="8"/>
      <c r="T180" s="9"/>
    </row>
    <row r="181" spans="1:20" x14ac:dyDescent="0.4">
      <c r="A181" s="5"/>
      <c r="B181" s="5"/>
      <c r="C181" s="5"/>
      <c r="D181" s="5"/>
      <c r="E181" s="5"/>
      <c r="F181" s="6"/>
      <c r="G181" s="7"/>
      <c r="H181" s="7"/>
      <c r="I181" s="5"/>
      <c r="J181" s="6"/>
      <c r="K181" s="6"/>
      <c r="L181" s="6"/>
      <c r="M181" s="8"/>
      <c r="N181" s="9"/>
      <c r="O181" s="8"/>
      <c r="P181" s="10"/>
      <c r="Q181" s="11"/>
      <c r="R181" s="8"/>
      <c r="S181" s="8"/>
      <c r="T181" s="9"/>
    </row>
    <row r="182" spans="1:20" x14ac:dyDescent="0.4">
      <c r="A182" s="5"/>
      <c r="B182" s="5"/>
      <c r="C182" s="5"/>
      <c r="D182" s="5"/>
      <c r="E182" s="5"/>
      <c r="F182" s="6"/>
      <c r="G182" s="7"/>
      <c r="H182" s="7"/>
      <c r="I182" s="5"/>
      <c r="J182" s="6"/>
      <c r="K182" s="6"/>
      <c r="L182" s="6"/>
      <c r="M182" s="8"/>
      <c r="N182" s="9"/>
      <c r="O182" s="8"/>
      <c r="P182" s="10"/>
      <c r="Q182" s="11"/>
      <c r="R182" s="8"/>
      <c r="S182" s="8"/>
      <c r="T182" s="9"/>
    </row>
    <row r="183" spans="1:20" x14ac:dyDescent="0.4">
      <c r="A183" s="5"/>
      <c r="B183" s="5"/>
      <c r="C183" s="5"/>
      <c r="D183" s="5"/>
      <c r="E183" s="5"/>
      <c r="F183" s="6"/>
      <c r="G183" s="7"/>
      <c r="H183" s="7"/>
      <c r="I183" s="5"/>
      <c r="J183" s="6"/>
      <c r="K183" s="6"/>
      <c r="L183" s="6"/>
      <c r="M183" s="8"/>
      <c r="N183" s="9"/>
      <c r="O183" s="8"/>
      <c r="P183" s="10"/>
      <c r="Q183" s="11"/>
      <c r="R183" s="8"/>
      <c r="S183" s="8"/>
      <c r="T183" s="9"/>
    </row>
    <row r="184" spans="1:20" x14ac:dyDescent="0.4">
      <c r="A184" s="5"/>
      <c r="B184" s="5"/>
      <c r="C184" s="5"/>
      <c r="D184" s="5"/>
      <c r="E184" s="5"/>
      <c r="F184" s="6"/>
      <c r="G184" s="7"/>
      <c r="H184" s="7"/>
      <c r="I184" s="5"/>
      <c r="J184" s="6"/>
      <c r="K184" s="6"/>
      <c r="L184" s="6"/>
      <c r="M184" s="8"/>
      <c r="N184" s="9"/>
      <c r="O184" s="8"/>
      <c r="P184" s="10"/>
      <c r="Q184" s="11"/>
      <c r="R184" s="8"/>
      <c r="S184" s="8"/>
      <c r="T184" s="9"/>
    </row>
    <row r="185" spans="1:20" x14ac:dyDescent="0.4">
      <c r="A185" s="5"/>
      <c r="B185" s="5"/>
      <c r="C185" s="5"/>
      <c r="D185" s="5"/>
      <c r="E185" s="5"/>
      <c r="F185" s="6"/>
      <c r="G185" s="7"/>
      <c r="H185" s="7"/>
      <c r="I185" s="5"/>
      <c r="J185" s="6"/>
      <c r="K185" s="6"/>
      <c r="L185" s="6"/>
      <c r="M185" s="8"/>
      <c r="N185" s="9"/>
      <c r="O185" s="8"/>
      <c r="P185" s="10"/>
      <c r="Q185" s="11"/>
      <c r="R185" s="8"/>
      <c r="S185" s="8"/>
      <c r="T185" s="9"/>
    </row>
    <row r="186" spans="1:20" x14ac:dyDescent="0.4">
      <c r="A186" s="5"/>
      <c r="B186" s="5"/>
      <c r="C186" s="5"/>
      <c r="D186" s="5"/>
      <c r="E186" s="5"/>
      <c r="F186" s="6"/>
      <c r="G186" s="7"/>
      <c r="H186" s="7"/>
      <c r="I186" s="5"/>
      <c r="J186" s="6"/>
      <c r="K186" s="6"/>
      <c r="L186" s="6"/>
      <c r="M186" s="8"/>
      <c r="N186" s="9"/>
      <c r="O186" s="8"/>
      <c r="P186" s="10"/>
      <c r="Q186" s="11"/>
      <c r="R186" s="8"/>
      <c r="S186" s="8"/>
      <c r="T186" s="9"/>
    </row>
    <row r="187" spans="1:20" x14ac:dyDescent="0.4">
      <c r="A187" s="5"/>
      <c r="B187" s="5"/>
      <c r="C187" s="5"/>
      <c r="D187" s="5"/>
      <c r="E187" s="5"/>
      <c r="F187" s="6"/>
      <c r="G187" s="7"/>
      <c r="H187" s="7"/>
      <c r="I187" s="5"/>
      <c r="J187" s="6"/>
      <c r="K187" s="6"/>
      <c r="L187" s="6"/>
      <c r="M187" s="8"/>
      <c r="N187" s="9"/>
      <c r="O187" s="8"/>
      <c r="P187" s="10"/>
      <c r="Q187" s="11"/>
      <c r="R187" s="8"/>
      <c r="S187" s="8"/>
      <c r="T187" s="9"/>
    </row>
    <row r="188" spans="1:20" x14ac:dyDescent="0.4">
      <c r="A188" s="5"/>
      <c r="B188" s="5"/>
      <c r="C188" s="5"/>
      <c r="D188" s="5"/>
      <c r="E188" s="5"/>
      <c r="F188" s="6"/>
      <c r="G188" s="7"/>
      <c r="H188" s="7"/>
      <c r="I188" s="5"/>
      <c r="J188" s="6"/>
      <c r="K188" s="6"/>
      <c r="L188" s="6"/>
      <c r="M188" s="8"/>
      <c r="N188" s="9"/>
      <c r="O188" s="8"/>
      <c r="P188" s="10"/>
      <c r="Q188" s="11"/>
      <c r="R188" s="8"/>
      <c r="S188" s="8"/>
      <c r="T188" s="9"/>
    </row>
    <row r="189" spans="1:20" x14ac:dyDescent="0.4">
      <c r="A189" s="5"/>
      <c r="B189" s="5"/>
      <c r="C189" s="5"/>
      <c r="D189" s="5"/>
      <c r="E189" s="5"/>
      <c r="F189" s="6"/>
      <c r="G189" s="7"/>
      <c r="H189" s="7"/>
      <c r="I189" s="5"/>
      <c r="J189" s="6"/>
      <c r="K189" s="6"/>
      <c r="L189" s="6"/>
      <c r="M189" s="8"/>
      <c r="N189" s="9"/>
      <c r="O189" s="8"/>
      <c r="P189" s="10"/>
      <c r="Q189" s="11"/>
      <c r="R189" s="8"/>
      <c r="S189" s="8"/>
      <c r="T189" s="9"/>
    </row>
    <row r="190" spans="1:20" x14ac:dyDescent="0.4">
      <c r="A190" s="5"/>
      <c r="B190" s="5"/>
      <c r="C190" s="5"/>
      <c r="D190" s="5"/>
      <c r="E190" s="5"/>
      <c r="F190" s="6"/>
      <c r="G190" s="7"/>
      <c r="H190" s="7"/>
      <c r="I190" s="5"/>
      <c r="J190" s="6"/>
      <c r="K190" s="6"/>
      <c r="L190" s="6"/>
      <c r="M190" s="8"/>
      <c r="N190" s="9"/>
      <c r="O190" s="8"/>
      <c r="P190" s="10"/>
      <c r="Q190" s="11"/>
      <c r="R190" s="8"/>
      <c r="S190" s="8"/>
      <c r="T190" s="9"/>
    </row>
    <row r="191" spans="1:20" x14ac:dyDescent="0.4">
      <c r="A191" s="5"/>
      <c r="B191" s="5"/>
      <c r="C191" s="5"/>
      <c r="D191" s="5"/>
      <c r="E191" s="5"/>
      <c r="F191" s="6"/>
      <c r="G191" s="7"/>
      <c r="H191" s="7"/>
      <c r="I191" s="5"/>
      <c r="J191" s="6"/>
      <c r="K191" s="6"/>
      <c r="L191" s="6"/>
      <c r="M191" s="8"/>
      <c r="N191" s="9"/>
      <c r="O191" s="8"/>
      <c r="P191" s="10"/>
      <c r="Q191" s="11"/>
      <c r="R191" s="8"/>
      <c r="S191" s="8"/>
      <c r="T191" s="9"/>
    </row>
    <row r="192" spans="1:20" x14ac:dyDescent="0.4">
      <c r="A192" s="5"/>
      <c r="B192" s="5"/>
      <c r="C192" s="5"/>
      <c r="D192" s="5"/>
      <c r="E192" s="5"/>
      <c r="F192" s="6"/>
      <c r="G192" s="7"/>
      <c r="H192" s="7"/>
      <c r="I192" s="5"/>
      <c r="J192" s="6"/>
      <c r="K192" s="6"/>
      <c r="L192" s="6"/>
      <c r="M192" s="8"/>
      <c r="N192" s="9"/>
      <c r="O192" s="8"/>
      <c r="P192" s="10"/>
      <c r="Q192" s="11"/>
      <c r="R192" s="8"/>
      <c r="S192" s="8"/>
      <c r="T192" s="9"/>
    </row>
    <row r="193" spans="1:21" x14ac:dyDescent="0.4">
      <c r="A193" s="5"/>
      <c r="B193" s="5"/>
      <c r="C193" s="5"/>
      <c r="D193" s="5"/>
      <c r="E193" s="5"/>
      <c r="F193" s="6"/>
      <c r="G193" s="7"/>
      <c r="H193" s="7"/>
      <c r="I193" s="5"/>
      <c r="J193" s="6"/>
      <c r="K193" s="6"/>
      <c r="L193" s="6"/>
      <c r="M193" s="8"/>
      <c r="N193" s="9"/>
      <c r="O193" s="8"/>
      <c r="P193" s="10"/>
      <c r="Q193" s="11"/>
      <c r="R193" s="8"/>
      <c r="S193" s="8"/>
      <c r="T193" s="9"/>
    </row>
    <row r="194" spans="1:21" x14ac:dyDescent="0.4">
      <c r="A194" s="5"/>
      <c r="B194" s="5"/>
      <c r="C194" s="5"/>
      <c r="D194" s="5"/>
      <c r="E194" s="5"/>
      <c r="F194" s="6"/>
      <c r="G194" s="7"/>
      <c r="H194" s="7"/>
      <c r="I194" s="5"/>
      <c r="J194" s="6"/>
      <c r="K194" s="6"/>
      <c r="L194" s="6"/>
      <c r="M194" s="8"/>
      <c r="N194" s="9"/>
      <c r="O194" s="8"/>
      <c r="P194" s="10"/>
      <c r="Q194" s="11"/>
      <c r="R194" s="8"/>
      <c r="S194" s="8"/>
      <c r="T194" s="9"/>
    </row>
    <row r="195" spans="1:21" x14ac:dyDescent="0.4">
      <c r="A195" s="5"/>
      <c r="B195" s="5"/>
      <c r="C195" s="5"/>
      <c r="D195" s="5"/>
      <c r="E195" s="5"/>
      <c r="F195" s="6"/>
      <c r="G195" s="7"/>
      <c r="H195" s="7"/>
      <c r="I195" s="5"/>
      <c r="J195" s="6"/>
      <c r="K195" s="6"/>
      <c r="L195" s="6"/>
      <c r="M195" s="8"/>
      <c r="N195" s="9"/>
      <c r="O195" s="8"/>
      <c r="P195" s="10"/>
      <c r="Q195" s="11"/>
      <c r="R195" s="8"/>
      <c r="S195" s="8"/>
      <c r="T195" s="9"/>
      <c r="U195" s="16"/>
    </row>
    <row r="196" spans="1:21" x14ac:dyDescent="0.4">
      <c r="A196" s="5"/>
      <c r="B196" s="5"/>
      <c r="C196" s="5"/>
      <c r="D196" s="5"/>
      <c r="E196" s="5"/>
      <c r="F196" s="6"/>
      <c r="G196" s="7"/>
      <c r="H196" s="7"/>
      <c r="I196" s="5"/>
      <c r="J196" s="6"/>
      <c r="K196" s="6"/>
      <c r="L196" s="6"/>
      <c r="M196" s="8"/>
      <c r="N196" s="9"/>
      <c r="O196" s="8"/>
      <c r="P196" s="10"/>
      <c r="Q196" s="11"/>
      <c r="R196" s="8"/>
      <c r="S196" s="8"/>
      <c r="T196" s="14"/>
    </row>
    <row r="197" spans="1:21" x14ac:dyDescent="0.4">
      <c r="A197" s="5"/>
      <c r="B197" s="5"/>
      <c r="C197" s="5"/>
      <c r="D197" s="5"/>
      <c r="E197" s="5"/>
      <c r="F197" s="6"/>
      <c r="G197" s="7"/>
      <c r="H197" s="7"/>
      <c r="I197" s="5"/>
      <c r="J197" s="6"/>
      <c r="K197" s="6"/>
      <c r="L197" s="6"/>
      <c r="M197" s="8"/>
      <c r="N197" s="9"/>
      <c r="O197" s="8"/>
      <c r="P197" s="10"/>
      <c r="Q197" s="11"/>
      <c r="R197" s="8"/>
      <c r="S197" s="8"/>
      <c r="T197" s="13"/>
    </row>
    <row r="198" spans="1:21" x14ac:dyDescent="0.4">
      <c r="A198" s="5"/>
      <c r="B198" s="5"/>
      <c r="C198" s="5"/>
      <c r="D198" s="5"/>
      <c r="E198" s="5"/>
      <c r="F198" s="6"/>
      <c r="G198" s="7"/>
      <c r="H198" s="7"/>
      <c r="I198" s="5"/>
      <c r="J198" s="6"/>
      <c r="K198" s="6"/>
      <c r="L198" s="6"/>
      <c r="M198" s="8"/>
      <c r="N198" s="9"/>
      <c r="O198" s="8"/>
      <c r="P198" s="10"/>
      <c r="Q198" s="11"/>
      <c r="R198" s="8"/>
      <c r="S198" s="8"/>
      <c r="T198" s="13"/>
    </row>
    <row r="199" spans="1:21" x14ac:dyDescent="0.4">
      <c r="A199" s="5"/>
      <c r="B199" s="5"/>
      <c r="C199" s="5"/>
      <c r="D199" s="5"/>
      <c r="E199" s="5"/>
      <c r="F199" s="6"/>
      <c r="G199" s="7"/>
      <c r="H199" s="7"/>
      <c r="I199" s="5"/>
      <c r="J199" s="6"/>
      <c r="K199" s="6"/>
      <c r="L199" s="6"/>
      <c r="M199" s="8"/>
      <c r="N199" s="9"/>
      <c r="O199" s="8"/>
      <c r="P199" s="10"/>
      <c r="Q199" s="11"/>
      <c r="R199" s="8"/>
      <c r="S199" s="8"/>
      <c r="T199" s="13"/>
    </row>
    <row r="200" spans="1:21" x14ac:dyDescent="0.4">
      <c r="A200" s="5"/>
      <c r="B200" s="5"/>
      <c r="C200" s="5"/>
      <c r="D200" s="5"/>
      <c r="E200" s="5"/>
      <c r="F200" s="6"/>
      <c r="G200" s="7"/>
      <c r="H200" s="7"/>
      <c r="I200" s="5"/>
      <c r="J200" s="6"/>
      <c r="K200" s="6"/>
      <c r="L200" s="6"/>
      <c r="M200" s="8"/>
      <c r="N200" s="9"/>
      <c r="O200" s="8"/>
      <c r="P200" s="10"/>
      <c r="Q200" s="11"/>
      <c r="R200" s="8"/>
      <c r="S200" s="8"/>
      <c r="T200" s="13"/>
    </row>
    <row r="201" spans="1:21" x14ac:dyDescent="0.4">
      <c r="A201" s="5"/>
      <c r="B201" s="5"/>
      <c r="C201" s="5"/>
      <c r="D201" s="5"/>
      <c r="E201" s="5"/>
      <c r="F201" s="6"/>
      <c r="G201" s="7"/>
      <c r="H201" s="7"/>
      <c r="I201" s="5"/>
      <c r="J201" s="6"/>
      <c r="K201" s="6"/>
      <c r="L201" s="6"/>
      <c r="M201" s="8"/>
      <c r="N201" s="9"/>
      <c r="O201" s="8"/>
      <c r="P201" s="10"/>
      <c r="Q201" s="11"/>
      <c r="R201" s="8"/>
      <c r="S201" s="8"/>
      <c r="T201" s="13"/>
    </row>
    <row r="202" spans="1:21" x14ac:dyDescent="0.4">
      <c r="A202" s="5"/>
      <c r="B202" s="5"/>
      <c r="C202" s="5"/>
      <c r="D202" s="5"/>
      <c r="E202" s="5"/>
      <c r="F202" s="6"/>
      <c r="G202" s="7"/>
      <c r="H202" s="7"/>
      <c r="I202" s="5"/>
      <c r="J202" s="6"/>
      <c r="K202" s="6"/>
      <c r="L202" s="6"/>
      <c r="M202" s="8"/>
      <c r="N202" s="9"/>
      <c r="O202" s="8"/>
      <c r="P202" s="10"/>
      <c r="Q202" s="11"/>
      <c r="R202" s="8"/>
      <c r="S202" s="8"/>
      <c r="T202" s="13"/>
    </row>
    <row r="203" spans="1:21" x14ac:dyDescent="0.4">
      <c r="A203" s="5"/>
      <c r="B203" s="5"/>
      <c r="C203" s="5"/>
      <c r="D203" s="5"/>
      <c r="E203" s="5"/>
      <c r="F203" s="6"/>
      <c r="G203" s="7"/>
      <c r="H203" s="7"/>
      <c r="I203" s="5"/>
      <c r="J203" s="6"/>
      <c r="K203" s="6"/>
      <c r="L203" s="6"/>
      <c r="M203" s="8"/>
      <c r="N203" s="9"/>
      <c r="O203" s="8"/>
      <c r="P203" s="10"/>
      <c r="Q203" s="11"/>
      <c r="R203" s="8"/>
      <c r="S203" s="8"/>
      <c r="T203" s="13"/>
    </row>
    <row r="204" spans="1:21" x14ac:dyDescent="0.4">
      <c r="A204" s="5"/>
      <c r="B204" s="5"/>
      <c r="C204" s="5"/>
      <c r="D204" s="5"/>
      <c r="E204" s="5"/>
      <c r="F204" s="6"/>
      <c r="G204" s="7"/>
      <c r="H204" s="7"/>
      <c r="I204" s="5"/>
      <c r="J204" s="6"/>
      <c r="K204" s="6"/>
      <c r="L204" s="6"/>
      <c r="M204" s="8"/>
      <c r="N204" s="9"/>
      <c r="O204" s="8"/>
      <c r="P204" s="10"/>
      <c r="Q204" s="11"/>
      <c r="R204" s="8"/>
      <c r="S204" s="8"/>
      <c r="T204" s="13"/>
    </row>
    <row r="205" spans="1:21" x14ac:dyDescent="0.4">
      <c r="A205" s="5"/>
      <c r="B205" s="5"/>
      <c r="C205" s="5"/>
      <c r="D205" s="5"/>
      <c r="E205" s="5"/>
      <c r="F205" s="6"/>
      <c r="G205" s="7"/>
      <c r="H205" s="7"/>
      <c r="I205" s="5"/>
      <c r="J205" s="6"/>
      <c r="K205" s="6"/>
      <c r="L205" s="6"/>
      <c r="M205" s="8"/>
      <c r="N205" s="9"/>
      <c r="O205" s="8"/>
      <c r="P205" s="10"/>
      <c r="Q205" s="11"/>
      <c r="R205" s="8"/>
      <c r="S205" s="8"/>
      <c r="T205" s="13"/>
    </row>
    <row r="206" spans="1:21" x14ac:dyDescent="0.4">
      <c r="A206" s="5"/>
      <c r="B206" s="5"/>
      <c r="C206" s="5"/>
      <c r="D206" s="5"/>
      <c r="E206" s="5"/>
      <c r="F206" s="6"/>
      <c r="G206" s="7"/>
      <c r="H206" s="7"/>
      <c r="I206" s="5"/>
      <c r="J206" s="6"/>
      <c r="K206" s="6"/>
      <c r="L206" s="6"/>
      <c r="M206" s="8"/>
      <c r="N206" s="9"/>
      <c r="O206" s="8"/>
      <c r="P206" s="10"/>
      <c r="Q206" s="11"/>
      <c r="R206" s="8"/>
      <c r="S206" s="8"/>
      <c r="T206" s="14"/>
    </row>
    <row r="207" spans="1:21" x14ac:dyDescent="0.4">
      <c r="A207" s="5"/>
      <c r="B207" s="5"/>
      <c r="C207" s="5"/>
      <c r="D207" s="5"/>
      <c r="E207" s="5"/>
      <c r="F207" s="6"/>
      <c r="G207" s="7"/>
      <c r="H207" s="7"/>
      <c r="I207" s="5"/>
      <c r="J207" s="6"/>
      <c r="K207" s="6"/>
      <c r="L207" s="6"/>
      <c r="M207" s="8"/>
      <c r="N207" s="9"/>
      <c r="O207" s="8"/>
      <c r="P207" s="10"/>
      <c r="Q207" s="11"/>
      <c r="R207" s="8"/>
      <c r="S207" s="8"/>
      <c r="T207" s="13"/>
    </row>
    <row r="208" spans="1:21" x14ac:dyDescent="0.4">
      <c r="A208" s="5"/>
      <c r="B208" s="5"/>
      <c r="C208" s="5"/>
      <c r="D208" s="5"/>
      <c r="E208" s="5"/>
      <c r="F208" s="6"/>
      <c r="G208" s="7"/>
      <c r="H208" s="7"/>
      <c r="I208" s="5"/>
      <c r="J208" s="6"/>
      <c r="K208" s="6"/>
      <c r="L208" s="6"/>
      <c r="M208" s="8"/>
      <c r="N208" s="9"/>
      <c r="O208" s="8"/>
      <c r="P208" s="10"/>
      <c r="Q208" s="11"/>
      <c r="R208" s="8"/>
      <c r="S208" s="8"/>
      <c r="T208" s="14"/>
    </row>
    <row r="209" spans="1:20" x14ac:dyDescent="0.4">
      <c r="A209" s="5"/>
      <c r="B209" s="5"/>
      <c r="C209" s="5"/>
      <c r="D209" s="5"/>
      <c r="E209" s="5"/>
      <c r="F209" s="6"/>
      <c r="G209" s="7"/>
      <c r="H209" s="7"/>
      <c r="I209" s="5"/>
      <c r="J209" s="6"/>
      <c r="K209" s="6"/>
      <c r="L209" s="6"/>
      <c r="M209" s="8"/>
      <c r="N209" s="9"/>
      <c r="O209" s="8"/>
      <c r="P209" s="10"/>
      <c r="Q209" s="11"/>
      <c r="R209" s="8"/>
      <c r="S209" s="8"/>
      <c r="T209" s="13"/>
    </row>
    <row r="210" spans="1:20" x14ac:dyDescent="0.4">
      <c r="A210" s="5"/>
      <c r="B210" s="5"/>
      <c r="C210" s="5"/>
      <c r="D210" s="5"/>
      <c r="E210" s="5"/>
      <c r="F210" s="6"/>
      <c r="G210" s="7"/>
      <c r="H210" s="7"/>
      <c r="I210" s="5"/>
      <c r="J210" s="6"/>
      <c r="K210" s="6"/>
      <c r="L210" s="6"/>
      <c r="M210" s="8"/>
      <c r="N210" s="9"/>
      <c r="O210" s="8"/>
      <c r="P210" s="10"/>
      <c r="Q210" s="11"/>
      <c r="R210" s="8"/>
      <c r="S210" s="8"/>
      <c r="T210" s="13"/>
    </row>
    <row r="211" spans="1:20" x14ac:dyDescent="0.4">
      <c r="A211" s="5"/>
      <c r="B211" s="5"/>
      <c r="C211" s="5"/>
      <c r="D211" s="5"/>
      <c r="E211" s="5"/>
      <c r="F211" s="6"/>
      <c r="G211" s="7"/>
      <c r="H211" s="7"/>
      <c r="I211" s="5"/>
      <c r="J211" s="6"/>
      <c r="K211" s="6"/>
      <c r="L211" s="6"/>
      <c r="M211" s="8"/>
      <c r="N211" s="9"/>
      <c r="O211" s="8"/>
      <c r="P211" s="10"/>
      <c r="Q211" s="11"/>
      <c r="R211" s="8"/>
      <c r="S211" s="8"/>
      <c r="T211" s="13"/>
    </row>
    <row r="212" spans="1:20" x14ac:dyDescent="0.4">
      <c r="A212" s="5"/>
      <c r="B212" s="5"/>
      <c r="C212" s="5"/>
      <c r="D212" s="5"/>
      <c r="E212" s="5"/>
      <c r="F212" s="6"/>
      <c r="G212" s="7"/>
      <c r="H212" s="7"/>
      <c r="I212" s="5"/>
      <c r="J212" s="6"/>
      <c r="K212" s="6"/>
      <c r="L212" s="6"/>
      <c r="M212" s="8"/>
      <c r="N212" s="9"/>
      <c r="O212" s="8"/>
      <c r="P212" s="10"/>
      <c r="Q212" s="11"/>
      <c r="R212" s="8"/>
      <c r="S212" s="8"/>
      <c r="T212" s="13"/>
    </row>
    <row r="213" spans="1:20" x14ac:dyDescent="0.4">
      <c r="A213" s="5"/>
      <c r="B213" s="5"/>
      <c r="C213" s="5"/>
      <c r="D213" s="5"/>
      <c r="E213" s="5"/>
      <c r="F213" s="6"/>
      <c r="G213" s="7"/>
      <c r="H213" s="7"/>
      <c r="I213" s="5"/>
      <c r="J213" s="6"/>
      <c r="K213" s="6"/>
      <c r="L213" s="6"/>
      <c r="M213" s="8"/>
      <c r="N213" s="9"/>
      <c r="O213" s="8"/>
      <c r="P213" s="10"/>
      <c r="Q213" s="11"/>
      <c r="R213" s="8"/>
      <c r="S213" s="8"/>
      <c r="T213" s="13"/>
    </row>
    <row r="214" spans="1:20" x14ac:dyDescent="0.4">
      <c r="A214" s="5"/>
      <c r="B214" s="5"/>
      <c r="C214" s="5"/>
      <c r="D214" s="5"/>
      <c r="E214" s="5"/>
      <c r="F214" s="6"/>
      <c r="G214" s="7"/>
      <c r="H214" s="7"/>
      <c r="I214" s="5"/>
      <c r="J214" s="6"/>
      <c r="K214" s="6"/>
      <c r="L214" s="6"/>
      <c r="M214" s="8"/>
      <c r="N214" s="9"/>
      <c r="O214" s="8"/>
      <c r="P214" s="10"/>
      <c r="Q214" s="11"/>
      <c r="R214" s="8"/>
      <c r="S214" s="8"/>
      <c r="T214" s="9"/>
    </row>
    <row r="215" spans="1:20" x14ac:dyDescent="0.4">
      <c r="A215" s="5"/>
      <c r="B215" s="5"/>
      <c r="C215" s="5"/>
      <c r="D215" s="5"/>
      <c r="E215" s="5"/>
      <c r="F215" s="6"/>
      <c r="G215" s="7"/>
      <c r="H215" s="7"/>
      <c r="I215" s="5"/>
      <c r="J215" s="6"/>
      <c r="K215" s="6"/>
      <c r="L215" s="6"/>
      <c r="M215" s="8"/>
      <c r="N215" s="9"/>
      <c r="O215" s="8"/>
      <c r="P215" s="10"/>
      <c r="Q215" s="11"/>
      <c r="R215" s="8"/>
      <c r="S215" s="8"/>
      <c r="T215" s="9"/>
    </row>
    <row r="216" spans="1:20" x14ac:dyDescent="0.4">
      <c r="A216" s="5"/>
      <c r="B216" s="5"/>
      <c r="C216" s="5"/>
      <c r="D216" s="5"/>
      <c r="E216" s="5"/>
      <c r="F216" s="6"/>
      <c r="G216" s="7"/>
      <c r="H216" s="7"/>
      <c r="I216" s="5"/>
      <c r="J216" s="6"/>
      <c r="K216" s="6"/>
      <c r="L216" s="6"/>
      <c r="M216" s="8"/>
      <c r="N216" s="9"/>
      <c r="O216" s="8"/>
      <c r="P216" s="10"/>
      <c r="Q216" s="11"/>
      <c r="R216" s="8"/>
      <c r="S216" s="8"/>
      <c r="T216" s="9"/>
    </row>
    <row r="217" spans="1:20" x14ac:dyDescent="0.4">
      <c r="A217" s="5"/>
      <c r="B217" s="5"/>
      <c r="C217" s="5"/>
      <c r="D217" s="5"/>
      <c r="E217" s="5"/>
      <c r="F217" s="6"/>
      <c r="G217" s="7"/>
      <c r="H217" s="7"/>
      <c r="I217" s="5"/>
      <c r="J217" s="6"/>
      <c r="K217" s="6"/>
      <c r="L217" s="6"/>
      <c r="M217" s="8"/>
      <c r="N217" s="9"/>
      <c r="O217" s="8"/>
      <c r="P217" s="10"/>
      <c r="Q217" s="11"/>
      <c r="R217" s="8"/>
      <c r="S217" s="8"/>
      <c r="T217" s="9"/>
    </row>
    <row r="218" spans="1:20" x14ac:dyDescent="0.4">
      <c r="A218" s="5"/>
      <c r="B218" s="5"/>
      <c r="C218" s="5"/>
      <c r="D218" s="5"/>
      <c r="E218" s="5"/>
      <c r="F218" s="6"/>
      <c r="G218" s="7"/>
      <c r="H218" s="7"/>
      <c r="I218" s="5"/>
      <c r="J218" s="6"/>
      <c r="K218" s="6"/>
      <c r="L218" s="6"/>
      <c r="M218" s="8"/>
      <c r="N218" s="12"/>
      <c r="O218" s="8"/>
      <c r="P218" s="10"/>
      <c r="Q218" s="11"/>
      <c r="R218" s="8"/>
      <c r="S218" s="8"/>
      <c r="T218" s="9"/>
    </row>
    <row r="219" spans="1:20" x14ac:dyDescent="0.4">
      <c r="A219" s="5"/>
      <c r="B219" s="5"/>
      <c r="C219" s="5"/>
      <c r="D219" s="5"/>
      <c r="E219" s="5"/>
      <c r="F219" s="6"/>
      <c r="G219" s="7"/>
      <c r="H219" s="7"/>
      <c r="I219" s="5"/>
      <c r="J219" s="6"/>
      <c r="K219" s="6"/>
      <c r="L219" s="6"/>
      <c r="M219" s="8"/>
      <c r="N219" s="9"/>
      <c r="O219" s="8"/>
      <c r="P219" s="10"/>
      <c r="Q219" s="11"/>
      <c r="R219" s="8"/>
      <c r="S219" s="8"/>
      <c r="T219" s="9"/>
    </row>
    <row r="220" spans="1:20" x14ac:dyDescent="0.4">
      <c r="A220" s="5"/>
      <c r="B220" s="5"/>
      <c r="C220" s="5"/>
      <c r="D220" s="5"/>
      <c r="E220" s="5"/>
      <c r="F220" s="6"/>
      <c r="G220" s="7"/>
      <c r="H220" s="7"/>
      <c r="I220" s="5"/>
      <c r="J220" s="6"/>
      <c r="K220" s="6"/>
      <c r="L220" s="6"/>
      <c r="M220" s="8"/>
      <c r="N220" s="9"/>
      <c r="O220" s="8"/>
      <c r="P220" s="10"/>
      <c r="Q220" s="11"/>
      <c r="R220" s="8"/>
      <c r="S220" s="8"/>
      <c r="T220" s="9"/>
    </row>
    <row r="221" spans="1:20" x14ac:dyDescent="0.4">
      <c r="A221" s="5"/>
      <c r="B221" s="5"/>
      <c r="C221" s="5"/>
      <c r="D221" s="5"/>
      <c r="E221" s="5"/>
      <c r="F221" s="6"/>
      <c r="G221" s="7"/>
      <c r="H221" s="7"/>
      <c r="I221" s="5"/>
      <c r="J221" s="6"/>
      <c r="K221" s="6"/>
      <c r="L221" s="6"/>
      <c r="M221" s="8"/>
      <c r="N221" s="9"/>
      <c r="O221" s="8"/>
      <c r="P221" s="10"/>
      <c r="Q221" s="11"/>
      <c r="R221" s="8"/>
      <c r="S221" s="8"/>
      <c r="T221" s="8"/>
    </row>
    <row r="222" spans="1:20" x14ac:dyDescent="0.4">
      <c r="A222" s="5"/>
      <c r="B222" s="5"/>
      <c r="C222" s="5"/>
      <c r="D222" s="5"/>
      <c r="E222" s="5"/>
      <c r="F222" s="6"/>
      <c r="G222" s="7"/>
      <c r="H222" s="7"/>
      <c r="I222" s="5"/>
      <c r="J222" s="6"/>
      <c r="K222" s="6"/>
      <c r="L222" s="6"/>
      <c r="M222" s="8"/>
      <c r="N222" s="9"/>
      <c r="O222" s="8"/>
      <c r="P222" s="10"/>
      <c r="Q222" s="11"/>
      <c r="R222" s="8"/>
      <c r="S222" s="8"/>
      <c r="T222" s="8"/>
    </row>
    <row r="223" spans="1:20" x14ac:dyDescent="0.4">
      <c r="A223" s="5"/>
      <c r="B223" s="5"/>
      <c r="C223" s="5"/>
      <c r="D223" s="5"/>
      <c r="E223" s="5"/>
      <c r="F223" s="6"/>
      <c r="G223" s="7"/>
      <c r="H223" s="7"/>
      <c r="I223" s="5"/>
      <c r="J223" s="6"/>
      <c r="K223" s="6"/>
      <c r="L223" s="6"/>
      <c r="M223" s="8"/>
      <c r="N223" s="9"/>
      <c r="O223" s="8"/>
      <c r="P223" s="10"/>
      <c r="Q223" s="11"/>
      <c r="R223" s="8"/>
      <c r="S223" s="8"/>
      <c r="T223" s="8"/>
    </row>
    <row r="224" spans="1:20" x14ac:dyDescent="0.4">
      <c r="A224" s="5"/>
      <c r="B224" s="5"/>
      <c r="C224" s="5"/>
      <c r="D224" s="5"/>
      <c r="E224" s="5"/>
      <c r="F224" s="6"/>
      <c r="G224" s="7"/>
      <c r="H224" s="7"/>
      <c r="I224" s="5"/>
      <c r="J224" s="6"/>
      <c r="K224" s="6"/>
      <c r="L224" s="6"/>
      <c r="M224" s="8"/>
      <c r="N224" s="9"/>
      <c r="O224" s="8"/>
      <c r="P224" s="10"/>
      <c r="Q224" s="11"/>
      <c r="R224" s="8"/>
      <c r="S224" s="8"/>
      <c r="T224" s="8"/>
    </row>
    <row r="225" spans="1:20" x14ac:dyDescent="0.4">
      <c r="A225" s="5"/>
      <c r="B225" s="5"/>
      <c r="C225" s="5"/>
      <c r="D225" s="5"/>
      <c r="E225" s="5"/>
      <c r="F225" s="6"/>
      <c r="G225" s="7"/>
      <c r="H225" s="7"/>
      <c r="I225" s="5"/>
      <c r="J225" s="6"/>
      <c r="K225" s="6"/>
      <c r="L225" s="6"/>
      <c r="M225" s="8"/>
      <c r="N225" s="9"/>
      <c r="O225" s="8"/>
      <c r="P225" s="10"/>
      <c r="Q225" s="11"/>
      <c r="R225" s="8"/>
      <c r="S225" s="8"/>
      <c r="T225" s="8"/>
    </row>
    <row r="226" spans="1:20" x14ac:dyDescent="0.4">
      <c r="A226" s="5"/>
      <c r="B226" s="5"/>
      <c r="C226" s="5"/>
      <c r="D226" s="5"/>
      <c r="E226" s="5"/>
      <c r="F226" s="6"/>
      <c r="G226" s="7"/>
      <c r="H226" s="7"/>
      <c r="I226" s="5"/>
      <c r="J226" s="6"/>
      <c r="K226" s="6"/>
      <c r="L226" s="6"/>
      <c r="M226" s="8"/>
      <c r="N226" s="9"/>
      <c r="O226" s="8"/>
      <c r="P226" s="10"/>
      <c r="Q226" s="11"/>
      <c r="R226" s="8"/>
      <c r="S226" s="8"/>
      <c r="T226" s="9"/>
    </row>
    <row r="227" spans="1:20" x14ac:dyDescent="0.4">
      <c r="A227" s="5"/>
      <c r="B227" s="5"/>
      <c r="C227" s="5"/>
      <c r="D227" s="5"/>
      <c r="E227" s="5"/>
      <c r="F227" s="6"/>
      <c r="G227" s="7"/>
      <c r="H227" s="7"/>
      <c r="I227" s="5"/>
      <c r="J227" s="6"/>
      <c r="K227" s="6"/>
      <c r="L227" s="6"/>
      <c r="M227" s="8"/>
      <c r="N227" s="9"/>
      <c r="O227" s="8"/>
      <c r="P227" s="10"/>
      <c r="Q227" s="11"/>
      <c r="R227" s="8"/>
      <c r="S227" s="8"/>
      <c r="T227" s="8"/>
    </row>
    <row r="228" spans="1:20" x14ac:dyDescent="0.4">
      <c r="A228" s="5"/>
      <c r="B228" s="5"/>
      <c r="C228" s="5"/>
      <c r="D228" s="5"/>
      <c r="E228" s="5"/>
      <c r="F228" s="6"/>
      <c r="G228" s="7"/>
      <c r="H228" s="7"/>
      <c r="I228" s="5"/>
      <c r="J228" s="6"/>
      <c r="K228" s="6"/>
      <c r="L228" s="6"/>
      <c r="M228" s="8"/>
      <c r="N228" s="9"/>
      <c r="O228" s="8"/>
      <c r="P228" s="10"/>
      <c r="Q228" s="11"/>
      <c r="R228" s="8"/>
      <c r="S228" s="8"/>
      <c r="T228" s="9"/>
    </row>
    <row r="229" spans="1:20" x14ac:dyDescent="0.4">
      <c r="A229" s="5"/>
      <c r="B229" s="5"/>
      <c r="C229" s="5"/>
      <c r="D229" s="5"/>
      <c r="E229" s="5"/>
      <c r="F229" s="6"/>
      <c r="G229" s="7"/>
      <c r="H229" s="7"/>
      <c r="I229" s="5"/>
      <c r="J229" s="6"/>
      <c r="K229" s="6"/>
      <c r="L229" s="6"/>
      <c r="M229" s="8"/>
      <c r="N229" s="9"/>
      <c r="O229" s="8"/>
      <c r="P229" s="10"/>
      <c r="Q229" s="11"/>
      <c r="R229" s="8"/>
      <c r="S229" s="8"/>
      <c r="T229" s="9"/>
    </row>
    <row r="230" spans="1:20" x14ac:dyDescent="0.4">
      <c r="A230" s="5"/>
      <c r="B230" s="5"/>
      <c r="C230" s="5"/>
      <c r="D230" s="5"/>
      <c r="E230" s="5"/>
      <c r="F230" s="6"/>
      <c r="G230" s="7"/>
      <c r="H230" s="7"/>
      <c r="I230" s="5"/>
      <c r="J230" s="6"/>
      <c r="K230" s="6"/>
      <c r="L230" s="6"/>
      <c r="M230" s="8"/>
      <c r="N230" s="9"/>
      <c r="O230" s="8"/>
      <c r="P230" s="10"/>
      <c r="Q230" s="11"/>
      <c r="R230" s="8"/>
      <c r="S230" s="8"/>
      <c r="T230" s="9"/>
    </row>
    <row r="231" spans="1:20" x14ac:dyDescent="0.4">
      <c r="A231" s="5"/>
      <c r="B231" s="5"/>
      <c r="C231" s="5"/>
      <c r="D231" s="5"/>
      <c r="E231" s="5"/>
      <c r="F231" s="6"/>
      <c r="G231" s="7"/>
      <c r="H231" s="7"/>
      <c r="I231" s="5"/>
      <c r="J231" s="6"/>
      <c r="K231" s="6"/>
      <c r="L231" s="6"/>
      <c r="M231" s="8"/>
      <c r="N231" s="9"/>
      <c r="O231" s="8"/>
      <c r="P231" s="10"/>
      <c r="Q231" s="11"/>
      <c r="R231" s="8"/>
      <c r="S231" s="8"/>
      <c r="T231" s="9"/>
    </row>
    <row r="232" spans="1:20" x14ac:dyDescent="0.4">
      <c r="A232" s="5"/>
      <c r="B232" s="5"/>
      <c r="C232" s="5"/>
      <c r="D232" s="5"/>
      <c r="E232" s="5"/>
      <c r="F232" s="6"/>
      <c r="G232" s="7"/>
      <c r="H232" s="7"/>
      <c r="I232" s="5"/>
      <c r="J232" s="6"/>
      <c r="K232" s="6"/>
      <c r="L232" s="6"/>
      <c r="M232" s="8"/>
      <c r="N232" s="9"/>
      <c r="O232" s="8"/>
      <c r="P232" s="10"/>
      <c r="Q232" s="11"/>
      <c r="R232" s="8"/>
      <c r="S232" s="8"/>
      <c r="T232" s="9"/>
    </row>
    <row r="233" spans="1:20" x14ac:dyDescent="0.4">
      <c r="A233" s="5"/>
      <c r="B233" s="5"/>
      <c r="C233" s="5"/>
      <c r="D233" s="5"/>
      <c r="E233" s="5"/>
      <c r="F233" s="6"/>
      <c r="G233" s="7"/>
      <c r="H233" s="7"/>
      <c r="I233" s="5"/>
      <c r="J233" s="6"/>
      <c r="K233" s="6"/>
      <c r="L233" s="6"/>
      <c r="M233" s="8"/>
      <c r="N233" s="9"/>
      <c r="O233" s="8"/>
      <c r="P233" s="10"/>
      <c r="Q233" s="11"/>
      <c r="R233" s="8"/>
      <c r="S233" s="8"/>
      <c r="T233" s="9"/>
    </row>
    <row r="234" spans="1:20" x14ac:dyDescent="0.4">
      <c r="A234" s="5"/>
      <c r="B234" s="5"/>
      <c r="C234" s="5"/>
      <c r="D234" s="5"/>
      <c r="E234" s="5"/>
      <c r="F234" s="6"/>
      <c r="G234" s="7"/>
      <c r="H234" s="7"/>
      <c r="I234" s="5"/>
      <c r="J234" s="6"/>
      <c r="K234" s="6"/>
      <c r="L234" s="6"/>
      <c r="M234" s="8"/>
      <c r="N234" s="9"/>
      <c r="O234" s="8"/>
      <c r="P234" s="10"/>
      <c r="Q234" s="11"/>
      <c r="R234" s="8"/>
      <c r="S234" s="8"/>
      <c r="T234" s="9"/>
    </row>
    <row r="235" spans="1:20" x14ac:dyDescent="0.4">
      <c r="A235" s="5"/>
      <c r="B235" s="5"/>
      <c r="C235" s="5"/>
      <c r="D235" s="5"/>
      <c r="E235" s="5"/>
      <c r="F235" s="6"/>
      <c r="G235" s="7"/>
      <c r="H235" s="7"/>
      <c r="I235" s="5"/>
      <c r="J235" s="6"/>
      <c r="K235" s="6"/>
      <c r="L235" s="6"/>
      <c r="M235" s="8"/>
      <c r="N235" s="9"/>
      <c r="O235" s="8"/>
      <c r="P235" s="10"/>
      <c r="Q235" s="11"/>
      <c r="R235" s="8"/>
      <c r="S235" s="8"/>
      <c r="T235" s="9"/>
    </row>
    <row r="236" spans="1:20" x14ac:dyDescent="0.4">
      <c r="A236" s="5"/>
      <c r="B236" s="5"/>
      <c r="C236" s="5"/>
      <c r="D236" s="5"/>
      <c r="E236" s="5"/>
      <c r="F236" s="6"/>
      <c r="G236" s="7"/>
      <c r="H236" s="7"/>
      <c r="I236" s="5"/>
      <c r="J236" s="6"/>
      <c r="K236" s="6"/>
      <c r="L236" s="6"/>
      <c r="M236" s="8"/>
      <c r="N236" s="9"/>
      <c r="O236" s="8"/>
      <c r="P236" s="10"/>
      <c r="Q236" s="11"/>
      <c r="R236" s="8"/>
      <c r="S236" s="8"/>
      <c r="T236" s="9"/>
    </row>
    <row r="237" spans="1:20" x14ac:dyDescent="0.4">
      <c r="A237" s="5"/>
      <c r="B237" s="5"/>
      <c r="C237" s="5"/>
      <c r="D237" s="5"/>
      <c r="E237" s="5"/>
      <c r="F237" s="6"/>
      <c r="G237" s="7"/>
      <c r="H237" s="7"/>
      <c r="I237" s="5"/>
      <c r="J237" s="6"/>
      <c r="K237" s="6"/>
      <c r="L237" s="6"/>
      <c r="M237" s="8"/>
      <c r="N237" s="9"/>
      <c r="O237" s="8"/>
      <c r="P237" s="10"/>
      <c r="Q237" s="11"/>
      <c r="R237" s="8"/>
      <c r="S237" s="8"/>
      <c r="T237" s="9"/>
    </row>
    <row r="238" spans="1:20" x14ac:dyDescent="0.4">
      <c r="A238" s="5"/>
      <c r="B238" s="5"/>
      <c r="C238" s="5"/>
      <c r="D238" s="5"/>
      <c r="E238" s="5"/>
      <c r="F238" s="6"/>
      <c r="G238" s="7"/>
      <c r="H238" s="7"/>
      <c r="I238" s="5"/>
      <c r="J238" s="6"/>
      <c r="K238" s="6"/>
      <c r="L238" s="6"/>
      <c r="M238" s="8"/>
      <c r="N238" s="9"/>
      <c r="O238" s="8"/>
      <c r="P238" s="10"/>
      <c r="Q238" s="11"/>
      <c r="R238" s="8"/>
      <c r="S238" s="8"/>
      <c r="T238" s="9"/>
    </row>
    <row r="239" spans="1:20" x14ac:dyDescent="0.4">
      <c r="A239" s="5"/>
      <c r="B239" s="5"/>
      <c r="C239" s="5"/>
      <c r="D239" s="5"/>
      <c r="E239" s="5"/>
      <c r="F239" s="6"/>
      <c r="G239" s="7"/>
      <c r="H239" s="7"/>
      <c r="I239" s="5"/>
      <c r="J239" s="6"/>
      <c r="K239" s="6"/>
      <c r="L239" s="6"/>
      <c r="M239" s="8"/>
      <c r="N239" s="9"/>
      <c r="O239" s="8"/>
      <c r="P239" s="10"/>
      <c r="Q239" s="11"/>
      <c r="R239" s="8"/>
      <c r="S239" s="8"/>
      <c r="T239" s="9"/>
    </row>
    <row r="240" spans="1:20" x14ac:dyDescent="0.4">
      <c r="A240" s="5"/>
      <c r="B240" s="5"/>
      <c r="C240" s="5"/>
      <c r="D240" s="5"/>
      <c r="E240" s="5"/>
      <c r="F240" s="6"/>
      <c r="G240" s="7"/>
      <c r="H240" s="7"/>
      <c r="I240" s="5"/>
      <c r="J240" s="6"/>
      <c r="K240" s="6"/>
      <c r="L240" s="6"/>
      <c r="M240" s="8"/>
      <c r="N240" s="9"/>
      <c r="O240" s="8"/>
      <c r="P240" s="10"/>
      <c r="Q240" s="11"/>
      <c r="R240" s="8"/>
      <c r="S240" s="8"/>
      <c r="T240" s="9"/>
    </row>
    <row r="241" spans="1:21" x14ac:dyDescent="0.4">
      <c r="A241" s="5"/>
      <c r="B241" s="5"/>
      <c r="C241" s="5"/>
      <c r="D241" s="5"/>
      <c r="E241" s="5"/>
      <c r="F241" s="6"/>
      <c r="G241" s="7"/>
      <c r="H241" s="7"/>
      <c r="I241" s="5"/>
      <c r="J241" s="6"/>
      <c r="K241" s="6"/>
      <c r="L241" s="6"/>
      <c r="M241" s="8"/>
      <c r="N241" s="9"/>
      <c r="O241" s="8"/>
      <c r="P241" s="10"/>
      <c r="Q241" s="11"/>
      <c r="R241" s="8"/>
      <c r="S241" s="8"/>
      <c r="T241" s="9"/>
    </row>
    <row r="242" spans="1:21" x14ac:dyDescent="0.4">
      <c r="A242" s="5"/>
      <c r="B242" s="5"/>
      <c r="C242" s="5"/>
      <c r="D242" s="5"/>
      <c r="E242" s="5"/>
      <c r="F242" s="6"/>
      <c r="G242" s="7"/>
      <c r="H242" s="7"/>
      <c r="I242" s="5"/>
      <c r="J242" s="6"/>
      <c r="K242" s="6"/>
      <c r="L242" s="6"/>
      <c r="M242" s="8"/>
      <c r="N242" s="9"/>
      <c r="O242" s="8"/>
      <c r="P242" s="10"/>
      <c r="Q242" s="11"/>
      <c r="R242" s="8"/>
      <c r="S242" s="8"/>
      <c r="T242" s="9"/>
    </row>
    <row r="243" spans="1:21" x14ac:dyDescent="0.4">
      <c r="A243" s="5"/>
      <c r="B243" s="5"/>
      <c r="C243" s="5"/>
      <c r="D243" s="5"/>
      <c r="E243" s="5"/>
      <c r="F243" s="6"/>
      <c r="G243" s="7"/>
      <c r="H243" s="7"/>
      <c r="I243" s="5"/>
      <c r="J243" s="6"/>
      <c r="K243" s="6"/>
      <c r="L243" s="6"/>
      <c r="M243" s="8"/>
      <c r="N243" s="9"/>
      <c r="O243" s="8"/>
      <c r="P243" s="10"/>
      <c r="Q243" s="11"/>
      <c r="R243" s="8"/>
      <c r="S243" s="8"/>
      <c r="T243" s="9"/>
    </row>
    <row r="244" spans="1:21" x14ac:dyDescent="0.4">
      <c r="A244" s="5"/>
      <c r="B244" s="5"/>
      <c r="C244" s="5"/>
      <c r="D244" s="5"/>
      <c r="E244" s="5"/>
      <c r="F244" s="6"/>
      <c r="G244" s="7"/>
      <c r="H244" s="7"/>
      <c r="I244" s="5"/>
      <c r="J244" s="6"/>
      <c r="K244" s="6"/>
      <c r="L244" s="6"/>
      <c r="M244" s="8"/>
      <c r="N244" s="9"/>
      <c r="O244" s="8"/>
      <c r="P244" s="10"/>
      <c r="Q244" s="11"/>
      <c r="R244" s="8"/>
      <c r="S244" s="8"/>
      <c r="T244" s="9"/>
    </row>
    <row r="245" spans="1:21" x14ac:dyDescent="0.4">
      <c r="A245" s="5"/>
      <c r="B245" s="5"/>
      <c r="C245" s="5"/>
      <c r="D245" s="5"/>
      <c r="E245" s="5"/>
      <c r="F245" s="6"/>
      <c r="G245" s="7"/>
      <c r="H245" s="7"/>
      <c r="I245" s="5"/>
      <c r="J245" s="6"/>
      <c r="K245" s="6"/>
      <c r="L245" s="6"/>
      <c r="M245" s="8"/>
      <c r="N245" s="9"/>
      <c r="O245" s="8"/>
      <c r="P245" s="10"/>
      <c r="Q245" s="11"/>
      <c r="R245" s="8"/>
      <c r="S245" s="8"/>
      <c r="T245" s="9"/>
    </row>
    <row r="246" spans="1:21" x14ac:dyDescent="0.4">
      <c r="A246" s="5"/>
      <c r="B246" s="5"/>
      <c r="C246" s="5"/>
      <c r="D246" s="5"/>
      <c r="E246" s="5"/>
      <c r="F246" s="6"/>
      <c r="G246" s="7"/>
      <c r="H246" s="7"/>
      <c r="I246" s="5"/>
      <c r="J246" s="6"/>
      <c r="K246" s="6"/>
      <c r="L246" s="6"/>
      <c r="M246" s="8"/>
      <c r="N246" s="9"/>
      <c r="O246" s="8"/>
      <c r="P246" s="10"/>
      <c r="Q246" s="11"/>
      <c r="R246" s="8"/>
      <c r="S246" s="8"/>
      <c r="T246" s="9"/>
    </row>
    <row r="247" spans="1:21" x14ac:dyDescent="0.4">
      <c r="A247" s="5"/>
      <c r="B247" s="5"/>
      <c r="C247" s="5"/>
      <c r="D247" s="5"/>
      <c r="E247" s="5"/>
      <c r="F247" s="6"/>
      <c r="G247" s="7"/>
      <c r="H247" s="7"/>
      <c r="I247" s="5"/>
      <c r="J247" s="6"/>
      <c r="K247" s="6"/>
      <c r="L247" s="6"/>
      <c r="M247" s="8"/>
      <c r="N247" s="9"/>
      <c r="O247" s="8"/>
      <c r="P247" s="10"/>
      <c r="Q247" s="11"/>
      <c r="R247" s="8"/>
      <c r="S247" s="8"/>
      <c r="T247" s="9"/>
    </row>
    <row r="248" spans="1:21" x14ac:dyDescent="0.4">
      <c r="A248" s="5"/>
      <c r="B248" s="5"/>
      <c r="C248" s="5"/>
      <c r="D248" s="5"/>
      <c r="E248" s="5"/>
      <c r="F248" s="6"/>
      <c r="G248" s="7"/>
      <c r="H248" s="7"/>
      <c r="I248" s="5"/>
      <c r="J248" s="6"/>
      <c r="K248" s="6"/>
      <c r="L248" s="6"/>
      <c r="M248" s="8"/>
      <c r="N248" s="9"/>
      <c r="O248" s="8"/>
      <c r="P248" s="10"/>
      <c r="Q248" s="11"/>
      <c r="R248" s="8"/>
      <c r="S248" s="8"/>
      <c r="T248" s="9"/>
    </row>
    <row r="249" spans="1:21" x14ac:dyDescent="0.4">
      <c r="A249" s="5"/>
      <c r="B249" s="5"/>
      <c r="C249" s="5"/>
      <c r="D249" s="5"/>
      <c r="E249" s="5"/>
      <c r="F249" s="6"/>
      <c r="G249" s="7"/>
      <c r="H249" s="7"/>
      <c r="I249" s="5"/>
      <c r="J249" s="6"/>
      <c r="K249" s="6"/>
      <c r="L249" s="6"/>
      <c r="M249" s="8"/>
      <c r="N249" s="9"/>
      <c r="O249" s="8"/>
      <c r="P249" s="10"/>
      <c r="Q249" s="11"/>
      <c r="R249" s="8"/>
      <c r="S249" s="8"/>
      <c r="T249" s="9"/>
    </row>
    <row r="250" spans="1:21" x14ac:dyDescent="0.4">
      <c r="A250" s="5"/>
      <c r="B250" s="5"/>
      <c r="C250" s="5"/>
      <c r="D250" s="5"/>
      <c r="E250" s="5"/>
      <c r="F250" s="6"/>
      <c r="G250" s="7"/>
      <c r="H250" s="7"/>
      <c r="I250" s="5"/>
      <c r="J250" s="6"/>
      <c r="K250" s="6"/>
      <c r="L250" s="6"/>
      <c r="M250" s="8"/>
      <c r="N250" s="9"/>
      <c r="O250" s="8"/>
      <c r="P250" s="10"/>
      <c r="Q250" s="11"/>
      <c r="R250" s="8"/>
      <c r="S250" s="8"/>
      <c r="T250" s="9"/>
    </row>
    <row r="251" spans="1:21" x14ac:dyDescent="0.4">
      <c r="A251" s="5"/>
      <c r="B251" s="5"/>
      <c r="C251" s="5"/>
      <c r="D251" s="5"/>
      <c r="E251" s="5"/>
      <c r="F251" s="6"/>
      <c r="G251" s="7"/>
      <c r="H251" s="7"/>
      <c r="I251" s="5"/>
      <c r="J251" s="6"/>
      <c r="K251" s="6"/>
      <c r="L251" s="6"/>
      <c r="M251" s="8"/>
      <c r="N251" s="9"/>
      <c r="O251" s="8"/>
      <c r="P251" s="10"/>
      <c r="Q251" s="11"/>
      <c r="R251" s="8"/>
      <c r="S251" s="8"/>
      <c r="T251" s="9"/>
    </row>
    <row r="252" spans="1:21" x14ac:dyDescent="0.4">
      <c r="A252" s="5"/>
      <c r="B252" s="5"/>
      <c r="C252" s="5"/>
      <c r="D252" s="5"/>
      <c r="E252" s="5"/>
      <c r="F252" s="6"/>
      <c r="G252" s="7"/>
      <c r="H252" s="7"/>
      <c r="I252" s="5"/>
      <c r="J252" s="6"/>
      <c r="K252" s="6"/>
      <c r="L252" s="6"/>
      <c r="M252" s="8"/>
      <c r="N252" s="9"/>
      <c r="O252" s="8"/>
      <c r="P252" s="10"/>
      <c r="Q252" s="11"/>
      <c r="R252" s="8"/>
      <c r="S252" s="8"/>
      <c r="T252" s="9"/>
    </row>
    <row r="253" spans="1:21" x14ac:dyDescent="0.4">
      <c r="A253" s="5"/>
      <c r="B253" s="5"/>
      <c r="C253" s="5"/>
      <c r="D253" s="5"/>
      <c r="E253" s="5"/>
      <c r="F253" s="6"/>
      <c r="G253" s="7"/>
      <c r="H253" s="7"/>
      <c r="I253" s="5"/>
      <c r="J253" s="6"/>
      <c r="K253" s="6"/>
      <c r="L253" s="6"/>
      <c r="M253" s="8"/>
      <c r="N253" s="9"/>
      <c r="O253" s="8"/>
      <c r="P253" s="10"/>
      <c r="Q253" s="11"/>
      <c r="R253" s="8"/>
      <c r="S253" s="8"/>
      <c r="T253" s="9"/>
    </row>
    <row r="254" spans="1:21" x14ac:dyDescent="0.4">
      <c r="A254" s="5"/>
      <c r="B254" s="5"/>
      <c r="C254" s="5"/>
      <c r="D254" s="5"/>
      <c r="E254" s="5"/>
      <c r="F254" s="6"/>
      <c r="G254" s="7"/>
      <c r="H254" s="7"/>
      <c r="I254" s="5"/>
      <c r="J254" s="6"/>
      <c r="K254" s="6"/>
      <c r="L254" s="6"/>
      <c r="M254" s="8"/>
      <c r="N254" s="9"/>
      <c r="O254" s="8"/>
      <c r="P254" s="10"/>
      <c r="Q254" s="11"/>
      <c r="R254" s="8"/>
      <c r="S254" s="8"/>
      <c r="T254" s="9"/>
    </row>
    <row r="255" spans="1:21" x14ac:dyDescent="0.4">
      <c r="A255" s="5"/>
      <c r="B255" s="5"/>
      <c r="C255" s="5"/>
      <c r="D255" s="5"/>
      <c r="E255" s="5"/>
      <c r="F255" s="6"/>
      <c r="G255" s="7"/>
      <c r="H255" s="7"/>
      <c r="I255" s="5"/>
      <c r="J255" s="6"/>
      <c r="K255" s="6"/>
      <c r="L255" s="6"/>
      <c r="M255" s="8"/>
      <c r="N255" s="9"/>
      <c r="O255" s="8"/>
      <c r="P255" s="10"/>
      <c r="Q255" s="11"/>
      <c r="R255" s="8"/>
      <c r="S255" s="8"/>
      <c r="T255" s="9"/>
      <c r="U255" s="16" t="s">
        <v>29</v>
      </c>
    </row>
    <row r="256" spans="1:21" x14ac:dyDescent="0.4">
      <c r="A256" s="5"/>
      <c r="B256" s="5"/>
      <c r="C256" s="5"/>
      <c r="D256" s="5"/>
      <c r="E256" s="5"/>
      <c r="F256" s="6"/>
      <c r="G256" s="7"/>
      <c r="H256" s="7"/>
      <c r="I256" s="5"/>
      <c r="J256" s="6"/>
      <c r="K256" s="6"/>
      <c r="L256" s="6"/>
      <c r="M256" s="8"/>
      <c r="N256" s="9"/>
      <c r="O256" s="8"/>
      <c r="P256" s="10"/>
      <c r="Q256" s="11"/>
      <c r="R256" s="8"/>
      <c r="S256" s="8"/>
      <c r="T256" s="9"/>
    </row>
    <row r="257" spans="1:20" x14ac:dyDescent="0.4">
      <c r="A257" s="5"/>
      <c r="B257" s="5"/>
      <c r="C257" s="5"/>
      <c r="D257" s="5"/>
      <c r="E257" s="5"/>
      <c r="F257" s="6"/>
      <c r="G257" s="7"/>
      <c r="H257" s="7"/>
      <c r="I257" s="5"/>
      <c r="J257" s="6"/>
      <c r="K257" s="6"/>
      <c r="L257" s="6"/>
      <c r="M257" s="8"/>
      <c r="N257" s="9"/>
      <c r="O257" s="8"/>
      <c r="P257" s="10"/>
      <c r="Q257" s="11"/>
      <c r="R257" s="8"/>
      <c r="S257" s="8"/>
      <c r="T257" s="9"/>
    </row>
    <row r="258" spans="1:20" x14ac:dyDescent="0.4">
      <c r="A258" s="5"/>
      <c r="B258" s="5"/>
      <c r="C258" s="5"/>
      <c r="D258" s="5"/>
      <c r="E258" s="5"/>
      <c r="F258" s="6"/>
      <c r="G258" s="7"/>
      <c r="H258" s="7"/>
      <c r="I258" s="5"/>
      <c r="J258" s="6"/>
      <c r="K258" s="6"/>
      <c r="L258" s="6"/>
      <c r="M258" s="8"/>
      <c r="N258" s="9"/>
      <c r="O258" s="8"/>
      <c r="P258" s="10"/>
      <c r="Q258" s="11"/>
      <c r="R258" s="8"/>
      <c r="S258" s="8"/>
      <c r="T258" s="9"/>
    </row>
    <row r="259" spans="1:20" x14ac:dyDescent="0.4">
      <c r="A259" s="5"/>
      <c r="B259" s="5"/>
      <c r="C259" s="5"/>
      <c r="D259" s="5"/>
      <c r="E259" s="5"/>
      <c r="F259" s="6"/>
      <c r="G259" s="7"/>
      <c r="H259" s="7"/>
      <c r="I259" s="5"/>
      <c r="J259" s="6"/>
      <c r="K259" s="6"/>
      <c r="L259" s="6"/>
      <c r="M259" s="8"/>
      <c r="N259" s="9"/>
      <c r="O259" s="8"/>
      <c r="P259" s="10"/>
      <c r="Q259" s="11"/>
      <c r="R259" s="8"/>
      <c r="S259" s="8"/>
      <c r="T259" s="9"/>
    </row>
    <row r="260" spans="1:20" x14ac:dyDescent="0.4">
      <c r="A260" s="5"/>
      <c r="B260" s="5"/>
      <c r="C260" s="5"/>
      <c r="D260" s="5"/>
      <c r="E260" s="5"/>
      <c r="F260" s="6"/>
      <c r="G260" s="7"/>
      <c r="H260" s="7"/>
      <c r="I260" s="5"/>
      <c r="J260" s="6"/>
      <c r="K260" s="6"/>
      <c r="L260" s="6"/>
      <c r="M260" s="8"/>
      <c r="N260" s="9"/>
      <c r="O260" s="8"/>
      <c r="P260" s="10"/>
      <c r="Q260" s="11"/>
      <c r="R260" s="8"/>
      <c r="S260" s="8"/>
      <c r="T260" s="9"/>
    </row>
    <row r="261" spans="1:20" x14ac:dyDescent="0.4">
      <c r="A261" s="5"/>
      <c r="B261" s="5"/>
      <c r="C261" s="5"/>
      <c r="D261" s="5"/>
      <c r="E261" s="5"/>
      <c r="F261" s="6"/>
      <c r="G261" s="5"/>
      <c r="H261" s="7"/>
      <c r="I261" s="5"/>
      <c r="J261" s="6"/>
      <c r="K261" s="6"/>
      <c r="L261" s="6"/>
      <c r="M261" s="8"/>
      <c r="N261" s="9"/>
      <c r="O261" s="8"/>
      <c r="P261" s="10"/>
      <c r="Q261" s="11"/>
      <c r="R261" s="8"/>
      <c r="S261" s="8"/>
      <c r="T261" s="9"/>
    </row>
    <row r="262" spans="1:20" x14ac:dyDescent="0.4">
      <c r="A262" s="5"/>
      <c r="B262" s="5"/>
      <c r="C262" s="5"/>
      <c r="D262" s="5"/>
      <c r="E262" s="5"/>
      <c r="F262" s="6"/>
      <c r="G262" s="7"/>
      <c r="H262" s="7"/>
      <c r="I262" s="5"/>
      <c r="J262" s="6"/>
      <c r="K262" s="6"/>
      <c r="L262" s="6"/>
      <c r="M262" s="8"/>
      <c r="N262" s="9"/>
      <c r="O262" s="8"/>
      <c r="P262" s="10"/>
      <c r="Q262" s="11"/>
      <c r="R262" s="8"/>
      <c r="S262" s="8"/>
      <c r="T262" s="9"/>
    </row>
    <row r="263" spans="1:20" x14ac:dyDescent="0.4">
      <c r="A263" s="5"/>
      <c r="B263" s="5"/>
      <c r="C263" s="5"/>
      <c r="D263" s="5"/>
      <c r="E263" s="5"/>
      <c r="F263" s="6"/>
      <c r="G263" s="7"/>
      <c r="H263" s="7"/>
      <c r="I263" s="5"/>
      <c r="J263" s="6"/>
      <c r="K263" s="6"/>
      <c r="L263" s="6"/>
      <c r="M263" s="8"/>
      <c r="N263" s="9"/>
      <c r="O263" s="8"/>
      <c r="P263" s="10"/>
      <c r="Q263" s="11"/>
      <c r="R263" s="8"/>
      <c r="S263" s="8"/>
      <c r="T263" s="9"/>
    </row>
    <row r="264" spans="1:20" x14ac:dyDescent="0.4">
      <c r="A264" s="5"/>
      <c r="B264" s="5"/>
      <c r="C264" s="5"/>
      <c r="D264" s="5"/>
      <c r="E264" s="5"/>
      <c r="F264" s="6"/>
      <c r="G264" s="7"/>
      <c r="H264" s="7"/>
      <c r="I264" s="5"/>
      <c r="J264" s="6"/>
      <c r="K264" s="6"/>
      <c r="L264" s="6"/>
      <c r="M264" s="8"/>
      <c r="N264" s="9"/>
      <c r="O264" s="8"/>
      <c r="P264" s="10"/>
      <c r="Q264" s="11"/>
      <c r="R264" s="8"/>
      <c r="S264" s="8"/>
      <c r="T264" s="9"/>
    </row>
    <row r="265" spans="1:20" x14ac:dyDescent="0.4">
      <c r="A265" s="5"/>
      <c r="B265" s="5"/>
      <c r="C265" s="5"/>
      <c r="D265" s="5"/>
      <c r="E265" s="5"/>
      <c r="F265" s="6"/>
      <c r="G265" s="7"/>
      <c r="H265" s="7"/>
      <c r="I265" s="5"/>
      <c r="J265" s="6"/>
      <c r="K265" s="6"/>
      <c r="L265" s="6"/>
      <c r="M265" s="8"/>
      <c r="N265" s="9"/>
      <c r="O265" s="8"/>
      <c r="P265" s="10"/>
      <c r="Q265" s="11"/>
      <c r="R265" s="8"/>
      <c r="S265" s="8"/>
      <c r="T265" s="9"/>
    </row>
    <row r="266" spans="1:20" x14ac:dyDescent="0.4">
      <c r="A266" s="5"/>
      <c r="B266" s="5"/>
      <c r="C266" s="5"/>
      <c r="D266" s="5"/>
      <c r="E266" s="5"/>
      <c r="F266" s="6"/>
      <c r="G266" s="7"/>
      <c r="H266" s="7"/>
      <c r="I266" s="5"/>
      <c r="J266" s="6"/>
      <c r="K266" s="6"/>
      <c r="L266" s="6"/>
      <c r="M266" s="8"/>
      <c r="N266" s="9"/>
      <c r="O266" s="8"/>
      <c r="P266" s="10"/>
      <c r="Q266" s="11"/>
      <c r="R266" s="8"/>
      <c r="S266" s="8"/>
      <c r="T266" s="9"/>
    </row>
    <row r="267" spans="1:20" x14ac:dyDescent="0.4">
      <c r="A267" s="5"/>
      <c r="B267" s="5"/>
      <c r="C267" s="5"/>
      <c r="D267" s="5"/>
      <c r="E267" s="5"/>
      <c r="F267" s="6"/>
      <c r="G267" s="7"/>
      <c r="H267" s="7"/>
      <c r="I267" s="5"/>
      <c r="J267" s="6"/>
      <c r="K267" s="6"/>
      <c r="L267" s="6"/>
      <c r="M267" s="8"/>
      <c r="N267" s="9"/>
      <c r="O267" s="8"/>
      <c r="P267" s="10"/>
      <c r="Q267" s="11"/>
      <c r="R267" s="8"/>
      <c r="S267" s="8"/>
      <c r="T267" s="9"/>
    </row>
    <row r="268" spans="1:20" x14ac:dyDescent="0.4">
      <c r="A268" s="5"/>
      <c r="B268" s="5"/>
      <c r="C268" s="5"/>
      <c r="D268" s="5"/>
      <c r="E268" s="5"/>
      <c r="F268" s="6"/>
      <c r="G268" s="7"/>
      <c r="H268" s="7"/>
      <c r="I268" s="5"/>
      <c r="J268" s="6"/>
      <c r="K268" s="6"/>
      <c r="L268" s="6"/>
      <c r="M268" s="8"/>
      <c r="N268" s="9"/>
      <c r="O268" s="8"/>
      <c r="P268" s="10"/>
      <c r="Q268" s="11"/>
      <c r="R268" s="8"/>
      <c r="S268" s="8"/>
      <c r="T268" s="9"/>
    </row>
    <row r="269" spans="1:20" x14ac:dyDescent="0.4">
      <c r="A269" s="5"/>
      <c r="B269" s="5"/>
      <c r="C269" s="5"/>
      <c r="D269" s="5"/>
      <c r="E269" s="5"/>
      <c r="F269" s="6"/>
      <c r="G269" s="7"/>
      <c r="H269" s="7"/>
      <c r="I269" s="5"/>
      <c r="J269" s="6"/>
      <c r="K269" s="6"/>
      <c r="L269" s="6"/>
      <c r="M269" s="8"/>
      <c r="N269" s="9"/>
      <c r="O269" s="8"/>
      <c r="P269" s="10"/>
      <c r="Q269" s="11"/>
      <c r="R269" s="8"/>
      <c r="S269" s="8"/>
      <c r="T269" s="9"/>
    </row>
    <row r="270" spans="1:20" x14ac:dyDescent="0.4">
      <c r="A270" s="5"/>
      <c r="B270" s="5"/>
      <c r="C270" s="5"/>
      <c r="D270" s="5"/>
      <c r="E270" s="5"/>
      <c r="F270" s="6"/>
      <c r="G270" s="7"/>
      <c r="H270" s="7"/>
      <c r="I270" s="5"/>
      <c r="J270" s="6"/>
      <c r="K270" s="6"/>
      <c r="L270" s="6"/>
      <c r="M270" s="8"/>
      <c r="N270" s="9"/>
      <c r="O270" s="8"/>
      <c r="P270" s="10"/>
      <c r="Q270" s="11"/>
      <c r="R270" s="8"/>
      <c r="S270" s="8"/>
      <c r="T270" s="9"/>
    </row>
    <row r="271" spans="1:20" x14ac:dyDescent="0.4">
      <c r="A271" s="5"/>
      <c r="B271" s="5"/>
      <c r="C271" s="5"/>
      <c r="D271" s="5"/>
      <c r="E271" s="5"/>
      <c r="F271" s="6"/>
      <c r="G271" s="7"/>
      <c r="H271" s="7"/>
      <c r="I271" s="5"/>
      <c r="J271" s="6"/>
      <c r="K271" s="6"/>
      <c r="L271" s="6"/>
      <c r="M271" s="8"/>
      <c r="N271" s="9"/>
      <c r="O271" s="8"/>
      <c r="P271" s="10"/>
      <c r="Q271" s="11"/>
      <c r="R271" s="8"/>
      <c r="S271" s="8"/>
      <c r="T271" s="9"/>
    </row>
    <row r="272" spans="1:20" x14ac:dyDescent="0.4">
      <c r="A272" s="5"/>
      <c r="B272" s="5"/>
      <c r="C272" s="5"/>
      <c r="D272" s="5"/>
      <c r="E272" s="5"/>
      <c r="F272" s="6"/>
      <c r="G272" s="7"/>
      <c r="H272" s="7"/>
      <c r="I272" s="5"/>
      <c r="J272" s="6"/>
      <c r="K272" s="6"/>
      <c r="L272" s="6"/>
      <c r="M272" s="8"/>
      <c r="N272" s="9"/>
      <c r="O272" s="8"/>
      <c r="P272" s="10"/>
      <c r="Q272" s="11"/>
      <c r="R272" s="8"/>
      <c r="S272" s="8"/>
      <c r="T272" s="9"/>
    </row>
    <row r="273" spans="1:20" x14ac:dyDescent="0.4">
      <c r="A273" s="5"/>
      <c r="B273" s="5"/>
      <c r="C273" s="5"/>
      <c r="D273" s="5"/>
      <c r="E273" s="5"/>
      <c r="F273" s="6"/>
      <c r="G273" s="7"/>
      <c r="H273" s="7"/>
      <c r="I273" s="5"/>
      <c r="J273" s="6"/>
      <c r="K273" s="6"/>
      <c r="L273" s="6"/>
      <c r="M273" s="8"/>
      <c r="N273" s="9"/>
      <c r="O273" s="8"/>
      <c r="P273" s="10"/>
      <c r="Q273" s="11"/>
      <c r="R273" s="8"/>
      <c r="S273" s="8"/>
      <c r="T273" s="9"/>
    </row>
    <row r="274" spans="1:20" x14ac:dyDescent="0.4">
      <c r="A274" s="5"/>
      <c r="B274" s="5"/>
      <c r="C274" s="5"/>
      <c r="D274" s="5"/>
      <c r="E274" s="5"/>
      <c r="F274" s="6"/>
      <c r="G274" s="7"/>
      <c r="H274" s="7"/>
      <c r="I274" s="5"/>
      <c r="J274" s="6"/>
      <c r="K274" s="6"/>
      <c r="L274" s="6"/>
      <c r="M274" s="8"/>
      <c r="N274" s="9"/>
      <c r="O274" s="8"/>
      <c r="P274" s="10"/>
      <c r="Q274" s="11"/>
      <c r="R274" s="8"/>
      <c r="S274" s="8"/>
      <c r="T274" s="9"/>
    </row>
    <row r="275" spans="1:20" x14ac:dyDescent="0.4">
      <c r="A275" s="5"/>
      <c r="B275" s="5"/>
      <c r="C275" s="5"/>
      <c r="D275" s="5"/>
      <c r="E275" s="5"/>
      <c r="F275" s="6"/>
      <c r="G275" s="7"/>
      <c r="H275" s="7"/>
      <c r="I275" s="5"/>
      <c r="J275" s="6"/>
      <c r="K275" s="6"/>
      <c r="L275" s="6"/>
      <c r="M275" s="8"/>
      <c r="N275" s="9"/>
      <c r="O275" s="8"/>
      <c r="P275" s="10"/>
      <c r="Q275" s="11"/>
      <c r="R275" s="8"/>
      <c r="S275" s="8"/>
      <c r="T275" s="9"/>
    </row>
    <row r="276" spans="1:20" x14ac:dyDescent="0.4">
      <c r="A276" s="5"/>
      <c r="B276" s="5"/>
      <c r="C276" s="5"/>
      <c r="D276" s="5"/>
      <c r="E276" s="5"/>
      <c r="F276" s="6"/>
      <c r="G276" s="7"/>
      <c r="H276" s="7"/>
      <c r="I276" s="5"/>
      <c r="J276" s="6"/>
      <c r="K276" s="6"/>
      <c r="L276" s="6"/>
      <c r="M276" s="8"/>
      <c r="N276" s="9"/>
      <c r="O276" s="8"/>
      <c r="P276" s="10"/>
      <c r="Q276" s="11"/>
      <c r="R276" s="8"/>
      <c r="S276" s="8"/>
      <c r="T276" s="18"/>
    </row>
    <row r="277" spans="1:20" x14ac:dyDescent="0.4">
      <c r="A277" s="5"/>
      <c r="B277" s="5"/>
      <c r="C277" s="5"/>
      <c r="D277" s="5"/>
      <c r="E277" s="5"/>
      <c r="F277" s="6"/>
      <c r="G277" s="7"/>
      <c r="H277" s="7"/>
      <c r="I277" s="5"/>
      <c r="J277" s="6"/>
      <c r="K277" s="6"/>
      <c r="L277" s="6"/>
      <c r="M277" s="8"/>
      <c r="N277" s="9"/>
      <c r="O277" s="8"/>
      <c r="P277" s="10"/>
      <c r="Q277" s="11"/>
      <c r="R277" s="8"/>
      <c r="S277" s="8"/>
      <c r="T277" s="9"/>
    </row>
    <row r="278" spans="1:20" x14ac:dyDescent="0.4">
      <c r="A278" s="5"/>
      <c r="B278" s="5"/>
      <c r="C278" s="5"/>
      <c r="D278" s="5"/>
      <c r="E278" s="5"/>
      <c r="F278" s="6"/>
      <c r="G278" s="7"/>
      <c r="H278" s="7"/>
      <c r="I278" s="5"/>
      <c r="J278" s="6"/>
      <c r="K278" s="6"/>
      <c r="L278" s="6"/>
      <c r="M278" s="8"/>
      <c r="N278" s="9"/>
      <c r="O278" s="8"/>
      <c r="P278" s="10"/>
      <c r="Q278" s="11"/>
      <c r="R278" s="8"/>
      <c r="S278" s="8"/>
      <c r="T278" s="9"/>
    </row>
    <row r="279" spans="1:20" x14ac:dyDescent="0.4">
      <c r="A279" s="5"/>
      <c r="B279" s="5"/>
      <c r="C279" s="5"/>
      <c r="D279" s="5"/>
      <c r="E279" s="5"/>
      <c r="F279" s="6"/>
      <c r="G279" s="7"/>
      <c r="H279" s="7"/>
      <c r="I279" s="5"/>
      <c r="J279" s="6"/>
      <c r="K279" s="6"/>
      <c r="L279" s="6"/>
      <c r="M279" s="8"/>
      <c r="N279" s="9"/>
      <c r="O279" s="8"/>
      <c r="P279" s="10"/>
      <c r="Q279" s="11"/>
      <c r="R279" s="8"/>
      <c r="S279" s="8"/>
      <c r="T279" s="9"/>
    </row>
    <row r="280" spans="1:20" x14ac:dyDescent="0.4">
      <c r="A280" s="5"/>
      <c r="B280" s="5"/>
      <c r="C280" s="5"/>
      <c r="D280" s="5"/>
      <c r="E280" s="5"/>
      <c r="F280" s="6"/>
      <c r="G280" s="7"/>
      <c r="H280" s="7"/>
      <c r="I280" s="5"/>
      <c r="J280" s="6"/>
      <c r="K280" s="6"/>
      <c r="L280" s="6"/>
      <c r="M280" s="8"/>
      <c r="N280" s="9"/>
      <c r="O280" s="8"/>
      <c r="P280" s="10"/>
      <c r="Q280" s="11"/>
      <c r="R280" s="8"/>
      <c r="S280" s="8"/>
      <c r="T280" s="9"/>
    </row>
    <row r="281" spans="1:20" x14ac:dyDescent="0.4">
      <c r="A281" s="5"/>
      <c r="B281" s="5"/>
      <c r="C281" s="5"/>
      <c r="D281" s="5"/>
      <c r="E281" s="5"/>
      <c r="F281" s="6"/>
      <c r="G281" s="7"/>
      <c r="H281" s="7"/>
      <c r="I281" s="5"/>
      <c r="J281" s="6"/>
      <c r="K281" s="6"/>
      <c r="L281" s="6"/>
      <c r="M281" s="8"/>
      <c r="N281" s="9"/>
      <c r="O281" s="8"/>
      <c r="P281" s="10"/>
      <c r="Q281" s="11"/>
      <c r="R281" s="8"/>
      <c r="S281" s="8"/>
      <c r="T281" s="9"/>
    </row>
    <row r="282" spans="1:20" x14ac:dyDescent="0.4">
      <c r="A282" s="5"/>
      <c r="B282" s="5"/>
      <c r="C282" s="5"/>
      <c r="D282" s="5"/>
      <c r="E282" s="5"/>
      <c r="F282" s="6"/>
      <c r="G282" s="7"/>
      <c r="H282" s="7"/>
      <c r="I282" s="5"/>
      <c r="J282" s="6"/>
      <c r="K282" s="6"/>
      <c r="L282" s="6"/>
      <c r="M282" s="8"/>
      <c r="N282" s="9"/>
      <c r="O282" s="8"/>
      <c r="P282" s="10"/>
      <c r="Q282" s="11"/>
      <c r="R282" s="8"/>
      <c r="S282" s="8"/>
      <c r="T282" s="9"/>
    </row>
    <row r="283" spans="1:20" x14ac:dyDescent="0.4">
      <c r="A283" s="5"/>
      <c r="B283" s="5"/>
      <c r="C283" s="5"/>
      <c r="D283" s="5"/>
      <c r="E283" s="5"/>
      <c r="F283" s="6"/>
      <c r="G283" s="7"/>
      <c r="H283" s="7"/>
      <c r="I283" s="5"/>
      <c r="J283" s="6"/>
      <c r="K283" s="6"/>
      <c r="L283" s="6"/>
      <c r="M283" s="8"/>
      <c r="N283" s="9"/>
      <c r="O283" s="8"/>
      <c r="P283" s="10"/>
      <c r="Q283" s="11"/>
      <c r="R283" s="8"/>
      <c r="S283" s="8"/>
      <c r="T283" s="9"/>
    </row>
    <row r="284" spans="1:20" x14ac:dyDescent="0.4">
      <c r="A284" s="5"/>
      <c r="B284" s="5"/>
      <c r="C284" s="5"/>
      <c r="D284" s="5"/>
      <c r="E284" s="5"/>
      <c r="F284" s="6"/>
      <c r="G284" s="7"/>
      <c r="H284" s="7"/>
      <c r="I284" s="5"/>
      <c r="J284" s="6"/>
      <c r="K284" s="6"/>
      <c r="L284" s="6"/>
      <c r="M284" s="8"/>
      <c r="N284" s="9"/>
      <c r="O284" s="8"/>
      <c r="P284" s="10"/>
      <c r="Q284" s="11"/>
      <c r="R284" s="8"/>
      <c r="S284" s="8"/>
      <c r="T284" s="9"/>
    </row>
    <row r="285" spans="1:20" x14ac:dyDescent="0.4">
      <c r="A285" s="5"/>
      <c r="B285" s="5"/>
      <c r="C285" s="5"/>
      <c r="D285" s="5"/>
      <c r="E285" s="5"/>
      <c r="F285" s="6"/>
      <c r="G285" s="7"/>
      <c r="H285" s="7"/>
      <c r="I285" s="5"/>
      <c r="J285" s="6"/>
      <c r="K285" s="6"/>
      <c r="L285" s="6"/>
      <c r="M285" s="8"/>
      <c r="N285" s="9"/>
      <c r="O285" s="8"/>
      <c r="P285" s="10"/>
      <c r="Q285" s="11"/>
      <c r="R285" s="8"/>
      <c r="S285" s="8"/>
      <c r="T285" s="9"/>
    </row>
    <row r="286" spans="1:20" x14ac:dyDescent="0.4">
      <c r="A286" s="5"/>
      <c r="B286" s="5"/>
      <c r="C286" s="5"/>
      <c r="D286" s="5"/>
      <c r="E286" s="5"/>
      <c r="F286" s="6"/>
      <c r="G286" s="7"/>
      <c r="H286" s="7"/>
      <c r="I286" s="5"/>
      <c r="J286" s="6"/>
      <c r="K286" s="6"/>
      <c r="L286" s="6"/>
      <c r="M286" s="8"/>
      <c r="N286" s="9"/>
      <c r="O286" s="8"/>
      <c r="P286" s="10"/>
      <c r="Q286" s="11"/>
      <c r="R286" s="8"/>
      <c r="S286" s="8"/>
      <c r="T286" s="9"/>
    </row>
    <row r="287" spans="1:20" x14ac:dyDescent="0.4">
      <c r="A287" s="5"/>
      <c r="B287" s="5"/>
      <c r="C287" s="5"/>
      <c r="D287" s="5"/>
      <c r="E287" s="5"/>
      <c r="F287" s="6"/>
      <c r="G287" s="7"/>
      <c r="H287" s="7"/>
      <c r="I287" s="5"/>
      <c r="J287" s="6"/>
      <c r="K287" s="6"/>
      <c r="L287" s="6"/>
      <c r="M287" s="8"/>
      <c r="N287" s="9"/>
      <c r="O287" s="8"/>
      <c r="P287" s="10"/>
      <c r="Q287" s="11"/>
      <c r="R287" s="8"/>
      <c r="S287" s="8"/>
      <c r="T287" s="9"/>
    </row>
    <row r="288" spans="1:20" x14ac:dyDescent="0.4">
      <c r="A288" s="5"/>
      <c r="B288" s="5"/>
      <c r="C288" s="5"/>
      <c r="D288" s="5"/>
      <c r="E288" s="5"/>
      <c r="F288" s="6"/>
      <c r="G288" s="7"/>
      <c r="H288" s="7"/>
      <c r="I288" s="5"/>
      <c r="J288" s="6"/>
      <c r="K288" s="6"/>
      <c r="L288" s="6"/>
      <c r="M288" s="8"/>
      <c r="N288" s="9"/>
      <c r="O288" s="8"/>
      <c r="P288" s="10"/>
      <c r="Q288" s="11"/>
      <c r="R288" s="8"/>
      <c r="S288" s="8"/>
      <c r="T288" s="9"/>
    </row>
    <row r="289" spans="1:21" x14ac:dyDescent="0.4">
      <c r="A289" s="5"/>
      <c r="B289" s="5"/>
      <c r="C289" s="5"/>
      <c r="D289" s="5"/>
      <c r="E289" s="5"/>
      <c r="F289" s="6"/>
      <c r="G289" s="7"/>
      <c r="H289" s="7"/>
      <c r="I289" s="5"/>
      <c r="J289" s="6"/>
      <c r="K289" s="6"/>
      <c r="L289" s="6"/>
      <c r="M289" s="8"/>
      <c r="N289" s="9"/>
      <c r="O289" s="8"/>
      <c r="P289" s="10"/>
      <c r="Q289" s="11"/>
      <c r="R289" s="8"/>
      <c r="S289" s="8"/>
      <c r="T289" s="9"/>
    </row>
    <row r="290" spans="1:21" x14ac:dyDescent="0.4">
      <c r="A290" s="5"/>
      <c r="B290" s="5"/>
      <c r="C290" s="5"/>
      <c r="D290" s="5"/>
      <c r="E290" s="5"/>
      <c r="F290" s="6"/>
      <c r="G290" s="7"/>
      <c r="H290" s="7"/>
      <c r="I290" s="5"/>
      <c r="J290" s="6"/>
      <c r="K290" s="6"/>
      <c r="L290" s="6"/>
      <c r="M290" s="8"/>
      <c r="N290" s="9"/>
      <c r="O290" s="8"/>
      <c r="P290" s="10"/>
      <c r="Q290" s="11"/>
      <c r="R290" s="8"/>
      <c r="S290" s="8"/>
      <c r="T290" s="9"/>
    </row>
    <row r="291" spans="1:21" x14ac:dyDescent="0.4">
      <c r="A291" s="5"/>
      <c r="B291" s="5"/>
      <c r="C291" s="5"/>
      <c r="D291" s="5"/>
      <c r="E291" s="5"/>
      <c r="F291" s="6"/>
      <c r="G291" s="7"/>
      <c r="H291" s="7"/>
      <c r="I291" s="5"/>
      <c r="J291" s="6"/>
      <c r="K291" s="6"/>
      <c r="L291" s="6"/>
      <c r="M291" s="8"/>
      <c r="N291" s="9"/>
      <c r="O291" s="8"/>
      <c r="P291" s="10"/>
      <c r="Q291" s="11"/>
      <c r="R291" s="8"/>
      <c r="S291" s="8"/>
      <c r="T291" s="9"/>
    </row>
    <row r="292" spans="1:21" x14ac:dyDescent="0.4">
      <c r="A292" s="5"/>
      <c r="B292" s="5"/>
      <c r="C292" s="5"/>
      <c r="D292" s="5"/>
      <c r="E292" s="5"/>
      <c r="F292" s="6"/>
      <c r="G292" s="7"/>
      <c r="H292" s="7"/>
      <c r="I292" s="5"/>
      <c r="J292" s="6"/>
      <c r="K292" s="6"/>
      <c r="L292" s="6"/>
      <c r="M292" s="8"/>
      <c r="N292" s="9"/>
      <c r="O292" s="8"/>
      <c r="P292" s="10"/>
      <c r="Q292" s="11"/>
      <c r="R292" s="8"/>
      <c r="S292" s="8"/>
      <c r="T292" s="8"/>
    </row>
    <row r="293" spans="1:21" x14ac:dyDescent="0.4">
      <c r="A293" s="5"/>
      <c r="B293" s="5"/>
      <c r="C293" s="5"/>
      <c r="D293" s="5"/>
      <c r="E293" s="5"/>
      <c r="F293" s="6"/>
      <c r="G293" s="7"/>
      <c r="H293" s="7"/>
      <c r="I293" s="5"/>
      <c r="J293" s="6"/>
      <c r="K293" s="6"/>
      <c r="L293" s="6"/>
      <c r="M293" s="8"/>
      <c r="N293" s="9"/>
      <c r="O293" s="8"/>
      <c r="P293" s="10"/>
      <c r="Q293" s="11"/>
      <c r="R293" s="8"/>
      <c r="S293" s="8"/>
      <c r="T293" s="8"/>
    </row>
    <row r="294" spans="1:21" x14ac:dyDescent="0.4">
      <c r="A294" s="5"/>
      <c r="B294" s="5"/>
      <c r="C294" s="5"/>
      <c r="D294" s="5"/>
      <c r="E294" s="5"/>
      <c r="F294" s="6"/>
      <c r="G294" s="7"/>
      <c r="H294" s="7"/>
      <c r="I294" s="5"/>
      <c r="J294" s="6"/>
      <c r="K294" s="6"/>
      <c r="L294" s="6"/>
      <c r="M294" s="8"/>
      <c r="N294" s="9"/>
      <c r="O294" s="8"/>
      <c r="P294" s="10"/>
      <c r="Q294" s="11"/>
      <c r="R294" s="8"/>
      <c r="S294" s="8"/>
      <c r="T294" s="9"/>
    </row>
    <row r="295" spans="1:21" x14ac:dyDescent="0.4">
      <c r="A295" s="5"/>
      <c r="B295" s="5"/>
      <c r="C295" s="5"/>
      <c r="D295" s="5"/>
      <c r="E295" s="5"/>
      <c r="F295" s="6"/>
      <c r="G295" s="7"/>
      <c r="H295" s="7"/>
      <c r="I295" s="5"/>
      <c r="J295" s="6"/>
      <c r="K295" s="6"/>
      <c r="L295" s="6"/>
      <c r="M295" s="8"/>
      <c r="N295" s="9"/>
      <c r="O295" s="8"/>
      <c r="P295" s="10"/>
      <c r="Q295" s="11"/>
      <c r="R295" s="8"/>
      <c r="S295" s="8"/>
      <c r="T295" s="9"/>
    </row>
    <row r="296" spans="1:21" x14ac:dyDescent="0.4">
      <c r="A296" s="5"/>
      <c r="B296" s="5"/>
      <c r="C296" s="5"/>
      <c r="D296" s="5"/>
      <c r="E296" s="5"/>
      <c r="F296" s="6"/>
      <c r="G296" s="7"/>
      <c r="H296" s="7"/>
      <c r="I296" s="5"/>
      <c r="J296" s="6"/>
      <c r="K296" s="6"/>
      <c r="L296" s="6"/>
      <c r="M296" s="8"/>
      <c r="N296" s="9"/>
      <c r="O296" s="8"/>
      <c r="P296" s="10"/>
      <c r="Q296" s="11"/>
      <c r="R296" s="8"/>
      <c r="S296" s="8"/>
      <c r="T296" s="9"/>
    </row>
    <row r="297" spans="1:21" x14ac:dyDescent="0.4">
      <c r="A297" s="5"/>
      <c r="B297" s="5"/>
      <c r="C297" s="5"/>
      <c r="D297" s="5"/>
      <c r="E297" s="5"/>
      <c r="F297" s="6"/>
      <c r="G297" s="7"/>
      <c r="H297" s="7"/>
      <c r="I297" s="5"/>
      <c r="J297" s="6"/>
      <c r="K297" s="6"/>
      <c r="L297" s="6"/>
      <c r="M297" s="8"/>
      <c r="N297" s="9"/>
      <c r="O297" s="8"/>
      <c r="P297" s="10"/>
      <c r="Q297" s="11"/>
      <c r="R297" s="8"/>
      <c r="S297" s="8"/>
      <c r="T297" s="9"/>
    </row>
    <row r="298" spans="1:21" x14ac:dyDescent="0.4">
      <c r="A298" s="5"/>
      <c r="B298" s="5"/>
      <c r="C298" s="5"/>
      <c r="D298" s="5"/>
      <c r="E298" s="5"/>
      <c r="F298" s="6"/>
      <c r="G298" s="7"/>
      <c r="H298" s="7"/>
      <c r="I298" s="5"/>
      <c r="J298" s="6"/>
      <c r="K298" s="6"/>
      <c r="L298" s="6"/>
      <c r="M298" s="8"/>
      <c r="N298" s="9"/>
      <c r="O298" s="8"/>
      <c r="P298" s="10"/>
      <c r="Q298" s="11"/>
      <c r="R298" s="8"/>
      <c r="S298" s="8"/>
      <c r="T298" s="9"/>
    </row>
    <row r="299" spans="1:21" x14ac:dyDescent="0.4">
      <c r="A299" s="5"/>
      <c r="B299" s="5"/>
      <c r="C299" s="5"/>
      <c r="D299" s="5"/>
      <c r="E299" s="5"/>
      <c r="F299" s="6"/>
      <c r="G299" s="7"/>
      <c r="H299" s="7"/>
      <c r="I299" s="5"/>
      <c r="J299" s="6"/>
      <c r="K299" s="6"/>
      <c r="L299" s="6"/>
      <c r="M299" s="8"/>
      <c r="N299" s="9"/>
      <c r="O299" s="8"/>
      <c r="P299" s="10"/>
      <c r="Q299" s="11"/>
      <c r="R299" s="8"/>
      <c r="S299" s="8"/>
      <c r="T299" s="9"/>
    </row>
    <row r="300" spans="1:21" x14ac:dyDescent="0.4">
      <c r="A300" s="5"/>
      <c r="B300" s="5"/>
      <c r="C300" s="5"/>
      <c r="D300" s="5"/>
      <c r="E300" s="5"/>
      <c r="F300" s="6"/>
      <c r="G300" s="7"/>
      <c r="H300" s="7"/>
      <c r="I300" s="5"/>
      <c r="J300" s="6"/>
      <c r="K300" s="6"/>
      <c r="L300" s="6"/>
      <c r="M300" s="8"/>
      <c r="N300" s="9"/>
      <c r="O300" s="8"/>
      <c r="P300" s="10"/>
      <c r="Q300" s="11"/>
      <c r="R300" s="8"/>
      <c r="S300" s="8"/>
      <c r="T300" s="9"/>
    </row>
    <row r="301" spans="1:21" x14ac:dyDescent="0.4">
      <c r="A301" s="5"/>
      <c r="B301" s="5"/>
      <c r="C301" s="5"/>
      <c r="D301" s="5"/>
      <c r="E301" s="5"/>
      <c r="F301" s="6"/>
      <c r="G301" s="7"/>
      <c r="H301" s="7"/>
      <c r="I301" s="5"/>
      <c r="J301" s="6"/>
      <c r="K301" s="6"/>
      <c r="L301" s="6"/>
      <c r="M301" s="8"/>
      <c r="N301" s="9"/>
      <c r="O301" s="8"/>
      <c r="P301" s="10"/>
      <c r="Q301" s="11"/>
      <c r="R301" s="8"/>
      <c r="S301" s="8"/>
      <c r="T301" s="9"/>
    </row>
    <row r="302" spans="1:21" x14ac:dyDescent="0.4">
      <c r="A302" s="5"/>
      <c r="B302" s="5"/>
      <c r="C302" s="5"/>
      <c r="D302" s="5"/>
      <c r="E302" s="5"/>
      <c r="F302" s="6"/>
      <c r="G302" s="7"/>
      <c r="H302" s="7"/>
      <c r="I302" s="5"/>
      <c r="J302" s="6"/>
      <c r="K302" s="6"/>
      <c r="L302" s="6"/>
      <c r="M302" s="8"/>
      <c r="N302" s="9"/>
      <c r="O302" s="8"/>
      <c r="P302" s="10"/>
      <c r="Q302" s="11"/>
      <c r="R302" s="8"/>
      <c r="S302" s="8"/>
      <c r="T302" s="9"/>
    </row>
    <row r="303" spans="1:21" x14ac:dyDescent="0.4">
      <c r="A303" s="5"/>
      <c r="B303" s="5"/>
      <c r="C303" s="5"/>
      <c r="D303" s="5"/>
      <c r="E303" s="5"/>
      <c r="F303" s="6"/>
      <c r="G303" s="7"/>
      <c r="H303" s="7"/>
      <c r="I303" s="5"/>
      <c r="J303" s="6"/>
      <c r="K303" s="6"/>
      <c r="L303" s="6"/>
      <c r="M303" s="8"/>
      <c r="N303" s="9"/>
      <c r="O303" s="8"/>
      <c r="P303" s="10"/>
      <c r="Q303" s="11"/>
      <c r="R303" s="8"/>
      <c r="S303" s="8"/>
      <c r="T303" s="9"/>
    </row>
    <row r="304" spans="1:21" x14ac:dyDescent="0.4">
      <c r="A304" s="5"/>
      <c r="B304" s="5"/>
      <c r="C304" s="5"/>
      <c r="D304" s="5"/>
      <c r="E304" s="5"/>
      <c r="F304" s="6"/>
      <c r="G304" s="7"/>
      <c r="H304" s="7"/>
      <c r="I304" s="5"/>
      <c r="J304" s="6"/>
      <c r="K304" s="6"/>
      <c r="L304" s="6"/>
      <c r="M304" s="8"/>
      <c r="N304" s="9"/>
      <c r="O304" s="8"/>
      <c r="P304" s="10"/>
      <c r="Q304" s="11"/>
      <c r="R304" s="8"/>
      <c r="S304" s="8"/>
      <c r="T304" s="14"/>
      <c r="U304" s="16"/>
    </row>
    <row r="305" spans="1:21" x14ac:dyDescent="0.4">
      <c r="A305" s="5"/>
      <c r="B305" s="5"/>
      <c r="C305" s="5"/>
      <c r="D305" s="5"/>
      <c r="E305" s="5"/>
      <c r="F305" s="6"/>
      <c r="G305" s="7"/>
      <c r="H305" s="7"/>
      <c r="I305" s="5"/>
      <c r="J305" s="6"/>
      <c r="K305" s="6"/>
      <c r="L305" s="6"/>
      <c r="M305" s="8"/>
      <c r="N305" s="9"/>
      <c r="O305" s="8"/>
      <c r="P305" s="10"/>
      <c r="Q305" s="11"/>
      <c r="R305" s="8"/>
      <c r="S305" s="8"/>
      <c r="T305" s="13"/>
      <c r="U305" s="16"/>
    </row>
    <row r="306" spans="1:21" x14ac:dyDescent="0.4">
      <c r="A306" s="5"/>
      <c r="B306" s="5"/>
      <c r="C306" s="5"/>
      <c r="D306" s="5"/>
      <c r="E306" s="5"/>
      <c r="F306" s="6"/>
      <c r="G306" s="7"/>
      <c r="H306" s="7"/>
      <c r="I306" s="5"/>
      <c r="J306" s="6"/>
      <c r="K306" s="6"/>
      <c r="L306" s="6"/>
      <c r="M306" s="8"/>
      <c r="N306" s="9"/>
      <c r="O306" s="8"/>
      <c r="P306" s="10"/>
      <c r="Q306" s="11"/>
      <c r="R306" s="8"/>
      <c r="S306" s="8"/>
      <c r="T306" s="13"/>
    </row>
    <row r="307" spans="1:21" x14ac:dyDescent="0.4">
      <c r="A307" s="5"/>
      <c r="B307" s="5"/>
      <c r="C307" s="5"/>
      <c r="D307" s="5"/>
      <c r="E307" s="5"/>
      <c r="F307" s="6"/>
      <c r="G307" s="7"/>
      <c r="H307" s="7"/>
      <c r="I307" s="5"/>
      <c r="J307" s="6"/>
      <c r="K307" s="6"/>
      <c r="L307" s="6"/>
      <c r="M307" s="8"/>
      <c r="N307" s="9"/>
      <c r="O307" s="8"/>
      <c r="P307" s="10"/>
      <c r="Q307" s="11"/>
      <c r="R307" s="8"/>
      <c r="S307" s="8"/>
      <c r="T307" s="13"/>
    </row>
    <row r="308" spans="1:21" x14ac:dyDescent="0.4">
      <c r="A308" s="5"/>
      <c r="B308" s="5"/>
      <c r="C308" s="5"/>
      <c r="D308" s="5"/>
      <c r="E308" s="5"/>
      <c r="F308" s="6"/>
      <c r="G308" s="7"/>
      <c r="H308" s="7"/>
      <c r="I308" s="5"/>
      <c r="J308" s="6"/>
      <c r="K308" s="6"/>
      <c r="L308" s="6"/>
      <c r="M308" s="8"/>
      <c r="N308" s="9"/>
      <c r="O308" s="8"/>
      <c r="P308" s="10"/>
      <c r="Q308" s="11"/>
      <c r="R308" s="8"/>
      <c r="S308" s="8"/>
      <c r="T308" s="13"/>
      <c r="U308" s="16"/>
    </row>
    <row r="309" spans="1:21" x14ac:dyDescent="0.4">
      <c r="A309" s="5"/>
      <c r="B309" s="5"/>
      <c r="C309" s="5"/>
      <c r="D309" s="5"/>
      <c r="E309" s="5"/>
      <c r="F309" s="6"/>
      <c r="G309" s="7"/>
      <c r="H309" s="7"/>
      <c r="I309" s="5"/>
      <c r="J309" s="6"/>
      <c r="K309" s="6"/>
      <c r="L309" s="6"/>
      <c r="M309" s="8"/>
      <c r="N309" s="9"/>
      <c r="O309" s="8"/>
      <c r="P309" s="10"/>
      <c r="Q309" s="11"/>
      <c r="R309" s="8"/>
      <c r="S309" s="8"/>
      <c r="T309" s="13"/>
    </row>
    <row r="310" spans="1:21" x14ac:dyDescent="0.4">
      <c r="A310" s="5"/>
      <c r="B310" s="5"/>
      <c r="C310" s="5"/>
      <c r="D310" s="5"/>
      <c r="E310" s="5"/>
      <c r="F310" s="6"/>
      <c r="G310" s="7"/>
      <c r="H310" s="7"/>
      <c r="I310" s="5"/>
      <c r="J310" s="6"/>
      <c r="K310" s="6"/>
      <c r="L310" s="6"/>
      <c r="M310" s="8"/>
      <c r="N310" s="9"/>
      <c r="O310" s="8"/>
      <c r="P310" s="10"/>
      <c r="Q310" s="11"/>
      <c r="R310" s="8"/>
      <c r="S310" s="8"/>
      <c r="T310" s="13"/>
    </row>
    <row r="311" spans="1:21" x14ac:dyDescent="0.4">
      <c r="A311" s="5"/>
      <c r="B311" s="5"/>
      <c r="C311" s="5"/>
      <c r="D311" s="5"/>
      <c r="E311" s="5"/>
      <c r="F311" s="6"/>
      <c r="G311" s="7"/>
      <c r="H311" s="7"/>
      <c r="I311" s="5"/>
      <c r="J311" s="6"/>
      <c r="K311" s="6"/>
      <c r="L311" s="6"/>
      <c r="M311" s="8"/>
      <c r="N311" s="9"/>
      <c r="O311" s="8"/>
      <c r="P311" s="10"/>
      <c r="Q311" s="11"/>
      <c r="R311" s="8"/>
      <c r="S311" s="8"/>
      <c r="T311" s="13"/>
    </row>
    <row r="312" spans="1:21" x14ac:dyDescent="0.4">
      <c r="A312" s="5"/>
      <c r="B312" s="5"/>
      <c r="C312" s="5"/>
      <c r="D312" s="5"/>
      <c r="E312" s="5"/>
      <c r="F312" s="6"/>
      <c r="G312" s="7"/>
      <c r="H312" s="7"/>
      <c r="I312" s="5"/>
      <c r="J312" s="6"/>
      <c r="K312" s="6"/>
      <c r="L312" s="6"/>
      <c r="M312" s="8"/>
      <c r="N312" s="9"/>
      <c r="O312" s="8"/>
      <c r="P312" s="10"/>
      <c r="Q312" s="11"/>
      <c r="R312" s="8"/>
      <c r="S312" s="8"/>
      <c r="T312" s="13"/>
    </row>
    <row r="313" spans="1:21" x14ac:dyDescent="0.4">
      <c r="A313" s="5"/>
      <c r="B313" s="5"/>
      <c r="C313" s="5"/>
      <c r="D313" s="5"/>
      <c r="E313" s="5"/>
      <c r="F313" s="6"/>
      <c r="G313" s="7"/>
      <c r="H313" s="7"/>
      <c r="I313" s="5"/>
      <c r="J313" s="6"/>
      <c r="K313" s="6"/>
      <c r="L313" s="6"/>
      <c r="M313" s="8"/>
      <c r="N313" s="9"/>
      <c r="O313" s="8"/>
      <c r="P313" s="10"/>
      <c r="Q313" s="11"/>
      <c r="R313" s="8"/>
      <c r="S313" s="8"/>
      <c r="T313" s="13"/>
    </row>
    <row r="314" spans="1:21" x14ac:dyDescent="0.4">
      <c r="A314" s="5"/>
      <c r="B314" s="5"/>
      <c r="C314" s="5"/>
      <c r="D314" s="5"/>
      <c r="E314" s="5"/>
      <c r="F314" s="6"/>
      <c r="G314" s="7"/>
      <c r="H314" s="7"/>
      <c r="I314" s="5"/>
      <c r="J314" s="6"/>
      <c r="K314" s="6"/>
      <c r="L314" s="6"/>
      <c r="M314" s="8"/>
      <c r="N314" s="9"/>
      <c r="O314" s="8"/>
      <c r="P314" s="10"/>
      <c r="Q314" s="11"/>
      <c r="R314" s="8"/>
      <c r="S314" s="8"/>
      <c r="T314" s="13"/>
    </row>
    <row r="315" spans="1:21" x14ac:dyDescent="0.4">
      <c r="A315" s="5"/>
      <c r="B315" s="5"/>
      <c r="C315" s="5"/>
      <c r="D315" s="5"/>
      <c r="E315" s="5"/>
      <c r="F315" s="6"/>
      <c r="G315" s="7"/>
      <c r="H315" s="7"/>
      <c r="I315" s="5"/>
      <c r="J315" s="6"/>
      <c r="K315" s="6"/>
      <c r="L315" s="6"/>
      <c r="M315" s="8"/>
      <c r="N315" s="9"/>
      <c r="O315" s="8"/>
      <c r="P315" s="10"/>
      <c r="Q315" s="11"/>
      <c r="R315" s="8"/>
      <c r="S315" s="8"/>
      <c r="T315" s="13"/>
    </row>
    <row r="316" spans="1:21" x14ac:dyDescent="0.4">
      <c r="A316" s="5"/>
      <c r="B316" s="5"/>
      <c r="C316" s="5"/>
      <c r="D316" s="5"/>
      <c r="E316" s="5"/>
      <c r="F316" s="6"/>
      <c r="G316" s="7"/>
      <c r="H316" s="7"/>
      <c r="I316" s="5"/>
      <c r="J316" s="6"/>
      <c r="K316" s="6"/>
      <c r="L316" s="6"/>
      <c r="M316" s="8"/>
      <c r="N316" s="9"/>
      <c r="O316" s="8"/>
      <c r="P316" s="10"/>
      <c r="Q316" s="11"/>
      <c r="R316" s="8"/>
      <c r="S316" s="8"/>
      <c r="T316" s="13"/>
    </row>
    <row r="317" spans="1:21" x14ac:dyDescent="0.4">
      <c r="A317" s="5"/>
      <c r="B317" s="5"/>
      <c r="C317" s="5"/>
      <c r="D317" s="5"/>
      <c r="E317" s="5"/>
      <c r="F317" s="6"/>
      <c r="G317" s="7"/>
      <c r="H317" s="7"/>
      <c r="I317" s="5"/>
      <c r="J317" s="6"/>
      <c r="K317" s="6"/>
      <c r="L317" s="6"/>
      <c r="M317" s="8"/>
      <c r="N317" s="9"/>
      <c r="O317" s="8"/>
      <c r="P317" s="10"/>
      <c r="Q317" s="11"/>
      <c r="R317" s="8"/>
      <c r="S317" s="8"/>
      <c r="T317" s="14"/>
    </row>
    <row r="318" spans="1:21" x14ac:dyDescent="0.4">
      <c r="A318" s="5"/>
      <c r="B318" s="5"/>
      <c r="C318" s="5"/>
      <c r="D318" s="5"/>
      <c r="E318" s="5"/>
      <c r="F318" s="6"/>
      <c r="G318" s="7"/>
      <c r="H318" s="7"/>
      <c r="I318" s="5"/>
      <c r="J318" s="6"/>
      <c r="K318" s="6"/>
      <c r="L318" s="6"/>
      <c r="M318" s="8"/>
      <c r="N318" s="9"/>
      <c r="O318" s="8"/>
      <c r="P318" s="10"/>
      <c r="Q318" s="11"/>
      <c r="R318" s="8"/>
      <c r="S318" s="8"/>
      <c r="T318" s="13"/>
    </row>
    <row r="319" spans="1:21" x14ac:dyDescent="0.4">
      <c r="A319" s="5"/>
      <c r="B319" s="5"/>
      <c r="C319" s="5"/>
      <c r="D319" s="5"/>
      <c r="E319" s="5"/>
      <c r="F319" s="6"/>
      <c r="G319" s="7"/>
      <c r="H319" s="7"/>
      <c r="I319" s="5"/>
      <c r="J319" s="6"/>
      <c r="K319" s="6"/>
      <c r="L319" s="6"/>
      <c r="M319" s="8"/>
      <c r="N319" s="9"/>
      <c r="O319" s="8"/>
      <c r="P319" s="10"/>
      <c r="Q319" s="11"/>
      <c r="R319" s="8"/>
      <c r="S319" s="8"/>
      <c r="T319" s="13"/>
    </row>
    <row r="320" spans="1:21" x14ac:dyDescent="0.4">
      <c r="A320" s="5"/>
      <c r="B320" s="5"/>
      <c r="C320" s="5"/>
      <c r="D320" s="5"/>
      <c r="E320" s="5"/>
      <c r="F320" s="6"/>
      <c r="G320" s="7"/>
      <c r="H320" s="7"/>
      <c r="I320" s="5"/>
      <c r="J320" s="6"/>
      <c r="K320" s="6"/>
      <c r="L320" s="6"/>
      <c r="M320" s="8"/>
      <c r="N320" s="9"/>
      <c r="O320" s="8"/>
      <c r="P320" s="10"/>
      <c r="Q320" s="11"/>
      <c r="R320" s="8"/>
      <c r="S320" s="8"/>
      <c r="T320" s="13"/>
    </row>
    <row r="321" spans="1:20" x14ac:dyDescent="0.4">
      <c r="A321" s="5"/>
      <c r="B321" s="5"/>
      <c r="C321" s="5"/>
      <c r="D321" s="5"/>
      <c r="E321" s="5"/>
      <c r="F321" s="6"/>
      <c r="G321" s="7"/>
      <c r="H321" s="7"/>
      <c r="I321" s="5"/>
      <c r="J321" s="6"/>
      <c r="K321" s="6"/>
      <c r="L321" s="6"/>
      <c r="M321" s="8"/>
      <c r="N321" s="9"/>
      <c r="O321" s="8"/>
      <c r="P321" s="10"/>
      <c r="Q321" s="11"/>
      <c r="R321" s="8"/>
      <c r="S321" s="8"/>
      <c r="T321" s="13"/>
    </row>
    <row r="322" spans="1:20" x14ac:dyDescent="0.4">
      <c r="A322" s="5"/>
      <c r="B322" s="5"/>
      <c r="C322" s="5"/>
      <c r="D322" s="5"/>
      <c r="E322" s="5"/>
      <c r="F322" s="6"/>
      <c r="G322" s="7"/>
      <c r="H322" s="7"/>
      <c r="I322" s="5"/>
      <c r="J322" s="6"/>
      <c r="K322" s="6"/>
      <c r="L322" s="6"/>
      <c r="M322" s="8"/>
      <c r="N322" s="9"/>
      <c r="O322" s="8"/>
      <c r="P322" s="10"/>
      <c r="Q322" s="11"/>
      <c r="R322" s="8"/>
      <c r="S322" s="8"/>
      <c r="T322" s="13"/>
    </row>
    <row r="323" spans="1:20" x14ac:dyDescent="0.4">
      <c r="A323" s="5"/>
      <c r="B323" s="5"/>
      <c r="C323" s="5"/>
      <c r="D323" s="5"/>
      <c r="E323" s="5"/>
      <c r="F323" s="6"/>
      <c r="G323" s="7"/>
      <c r="H323" s="7"/>
      <c r="I323" s="5"/>
      <c r="J323" s="6"/>
      <c r="K323" s="6"/>
      <c r="L323" s="6"/>
      <c r="M323" s="8"/>
      <c r="N323" s="9"/>
      <c r="O323" s="8"/>
      <c r="P323" s="10"/>
      <c r="Q323" s="11"/>
      <c r="R323" s="8"/>
      <c r="S323" s="8"/>
      <c r="T323" s="13"/>
    </row>
    <row r="324" spans="1:20" x14ac:dyDescent="0.4">
      <c r="A324" s="5"/>
      <c r="B324" s="5"/>
      <c r="C324" s="5"/>
      <c r="D324" s="5"/>
      <c r="E324" s="5"/>
      <c r="F324" s="6"/>
      <c r="G324" s="7"/>
      <c r="H324" s="7"/>
      <c r="I324" s="5"/>
      <c r="J324" s="6"/>
      <c r="K324" s="6"/>
      <c r="L324" s="6"/>
      <c r="M324" s="8"/>
      <c r="N324" s="9"/>
      <c r="O324" s="8"/>
      <c r="P324" s="10"/>
      <c r="Q324" s="11"/>
      <c r="R324" s="8"/>
      <c r="S324" s="8"/>
      <c r="T324" s="13"/>
    </row>
    <row r="325" spans="1:20" x14ac:dyDescent="0.4">
      <c r="A325" s="5"/>
      <c r="B325" s="5"/>
      <c r="C325" s="5"/>
      <c r="D325" s="5"/>
      <c r="E325" s="5"/>
      <c r="F325" s="6"/>
      <c r="G325" s="7"/>
      <c r="H325" s="7"/>
      <c r="I325" s="5"/>
      <c r="J325" s="6"/>
      <c r="K325" s="6"/>
      <c r="L325" s="6"/>
      <c r="M325" s="8"/>
      <c r="N325" s="9"/>
      <c r="O325" s="8"/>
      <c r="P325" s="10"/>
      <c r="Q325" s="11"/>
      <c r="R325" s="8"/>
      <c r="S325" s="8"/>
      <c r="T325" s="13"/>
    </row>
    <row r="326" spans="1:20" x14ac:dyDescent="0.4">
      <c r="A326" s="5"/>
      <c r="B326" s="5"/>
      <c r="C326" s="5"/>
      <c r="D326" s="5"/>
      <c r="E326" s="5"/>
      <c r="F326" s="6"/>
      <c r="G326" s="7"/>
      <c r="H326" s="7"/>
      <c r="I326" s="5"/>
      <c r="J326" s="6"/>
      <c r="K326" s="6"/>
      <c r="L326" s="6"/>
      <c r="M326" s="8"/>
      <c r="N326" s="9"/>
      <c r="O326" s="8"/>
      <c r="P326" s="10"/>
      <c r="Q326" s="11"/>
      <c r="R326" s="8"/>
      <c r="S326" s="8"/>
      <c r="T326" s="13"/>
    </row>
    <row r="327" spans="1:20" x14ac:dyDescent="0.4">
      <c r="A327" s="5"/>
      <c r="B327" s="5"/>
      <c r="C327" s="5"/>
      <c r="D327" s="5"/>
      <c r="E327" s="5"/>
      <c r="F327" s="6"/>
      <c r="G327" s="7"/>
      <c r="H327" s="7"/>
      <c r="I327" s="5"/>
      <c r="J327" s="6"/>
      <c r="K327" s="6"/>
      <c r="L327" s="6"/>
      <c r="M327" s="8"/>
      <c r="N327" s="9"/>
      <c r="O327" s="8"/>
      <c r="P327" s="10"/>
      <c r="Q327" s="11"/>
      <c r="R327" s="8"/>
      <c r="S327" s="8"/>
      <c r="T327" s="13"/>
    </row>
    <row r="328" spans="1:20" x14ac:dyDescent="0.4">
      <c r="A328" s="5"/>
      <c r="B328" s="5"/>
      <c r="C328" s="5"/>
      <c r="D328" s="5"/>
      <c r="E328" s="5"/>
      <c r="F328" s="6"/>
      <c r="G328" s="7"/>
      <c r="H328" s="7"/>
      <c r="I328" s="5"/>
      <c r="J328" s="6"/>
      <c r="K328" s="6"/>
      <c r="L328" s="6"/>
      <c r="M328" s="8"/>
      <c r="N328" s="9"/>
      <c r="O328" s="8"/>
      <c r="P328" s="10"/>
      <c r="Q328" s="11"/>
      <c r="R328" s="8"/>
      <c r="S328" s="8"/>
      <c r="T328" s="13"/>
    </row>
    <row r="329" spans="1:20" x14ac:dyDescent="0.4">
      <c r="A329" s="5"/>
      <c r="B329" s="5"/>
      <c r="C329" s="5"/>
      <c r="D329" s="5"/>
      <c r="E329" s="5"/>
      <c r="F329" s="6"/>
      <c r="G329" s="7"/>
      <c r="H329" s="7"/>
      <c r="I329" s="5"/>
      <c r="J329" s="6"/>
      <c r="K329" s="6"/>
      <c r="L329" s="6"/>
      <c r="M329" s="8"/>
      <c r="N329" s="9"/>
      <c r="O329" s="8"/>
      <c r="P329" s="10"/>
      <c r="Q329" s="11"/>
      <c r="R329" s="8"/>
      <c r="S329" s="8"/>
      <c r="T329" s="9"/>
    </row>
    <row r="330" spans="1:20" x14ac:dyDescent="0.4">
      <c r="A330" s="5"/>
      <c r="B330" s="5"/>
      <c r="C330" s="5"/>
      <c r="D330" s="5"/>
      <c r="E330" s="5"/>
      <c r="F330" s="6"/>
      <c r="G330" s="7"/>
      <c r="H330" s="7"/>
      <c r="I330" s="5"/>
      <c r="J330" s="6"/>
      <c r="K330" s="6"/>
      <c r="L330" s="6"/>
      <c r="M330" s="8"/>
      <c r="N330" s="9"/>
      <c r="O330" s="8"/>
      <c r="P330" s="10"/>
      <c r="Q330" s="11"/>
      <c r="R330" s="8"/>
      <c r="S330" s="8"/>
      <c r="T330" s="9"/>
    </row>
    <row r="331" spans="1:20" x14ac:dyDescent="0.4">
      <c r="A331" s="5"/>
      <c r="B331" s="5"/>
      <c r="C331" s="5"/>
      <c r="D331" s="5"/>
      <c r="E331" s="5"/>
      <c r="F331" s="6"/>
      <c r="G331" s="7"/>
      <c r="H331" s="7"/>
      <c r="I331" s="5"/>
      <c r="J331" s="6"/>
      <c r="K331" s="6"/>
      <c r="L331" s="6"/>
      <c r="M331" s="8"/>
      <c r="N331" s="9"/>
      <c r="O331" s="8"/>
      <c r="P331" s="10"/>
      <c r="Q331" s="11"/>
      <c r="R331" s="8"/>
      <c r="S331" s="8"/>
      <c r="T331" s="9"/>
    </row>
    <row r="332" spans="1:20" x14ac:dyDescent="0.4">
      <c r="A332" s="5"/>
      <c r="B332" s="5"/>
      <c r="C332" s="5"/>
      <c r="D332" s="5"/>
      <c r="E332" s="5"/>
      <c r="F332" s="6"/>
      <c r="G332" s="7"/>
      <c r="H332" s="7"/>
      <c r="I332" s="5"/>
      <c r="J332" s="6"/>
      <c r="K332" s="6"/>
      <c r="L332" s="6"/>
      <c r="M332" s="8"/>
      <c r="N332" s="9"/>
      <c r="O332" s="8"/>
      <c r="P332" s="10"/>
      <c r="Q332" s="11"/>
      <c r="R332" s="8"/>
      <c r="S332" s="8"/>
      <c r="T332" s="9"/>
    </row>
    <row r="333" spans="1:20" x14ac:dyDescent="0.4">
      <c r="A333" s="5"/>
      <c r="B333" s="5"/>
      <c r="C333" s="5"/>
      <c r="D333" s="5"/>
      <c r="E333" s="5"/>
      <c r="F333" s="6"/>
      <c r="G333" s="7"/>
      <c r="H333" s="7"/>
      <c r="I333" s="5"/>
      <c r="J333" s="6"/>
      <c r="K333" s="6"/>
      <c r="L333" s="6"/>
      <c r="M333" s="8"/>
      <c r="N333" s="9"/>
      <c r="O333" s="8"/>
      <c r="P333" s="10"/>
      <c r="Q333" s="11"/>
      <c r="R333" s="8"/>
      <c r="S333" s="8"/>
      <c r="T333" s="9"/>
    </row>
    <row r="334" spans="1:20" x14ac:dyDescent="0.4">
      <c r="A334" s="5"/>
      <c r="B334" s="5"/>
      <c r="C334" s="5"/>
      <c r="D334" s="5"/>
      <c r="E334" s="5"/>
      <c r="F334" s="6"/>
      <c r="G334" s="7"/>
      <c r="H334" s="7"/>
      <c r="I334" s="5"/>
      <c r="J334" s="6"/>
      <c r="K334" s="6"/>
      <c r="L334" s="6"/>
      <c r="M334" s="8"/>
      <c r="N334" s="9"/>
      <c r="O334" s="8"/>
      <c r="P334" s="10"/>
      <c r="Q334" s="11"/>
      <c r="R334" s="8"/>
      <c r="S334" s="8"/>
      <c r="T334" s="9"/>
    </row>
    <row r="335" spans="1:20" x14ac:dyDescent="0.4">
      <c r="A335" s="5"/>
      <c r="B335" s="5"/>
      <c r="C335" s="5"/>
      <c r="D335" s="5"/>
      <c r="E335" s="5"/>
      <c r="F335" s="6"/>
      <c r="G335" s="7"/>
      <c r="H335" s="7"/>
      <c r="I335" s="5"/>
      <c r="J335" s="6"/>
      <c r="K335" s="6"/>
      <c r="L335" s="6"/>
      <c r="M335" s="8"/>
      <c r="N335" s="9"/>
      <c r="O335" s="8"/>
      <c r="P335" s="10"/>
      <c r="Q335" s="11"/>
      <c r="R335" s="8"/>
      <c r="S335" s="8"/>
      <c r="T335" s="9"/>
    </row>
    <row r="336" spans="1:20" x14ac:dyDescent="0.4">
      <c r="A336" s="5"/>
      <c r="B336" s="5"/>
      <c r="C336" s="5"/>
      <c r="D336" s="5"/>
      <c r="E336" s="5"/>
      <c r="F336" s="6"/>
      <c r="G336" s="7"/>
      <c r="H336" s="7"/>
      <c r="I336" s="5"/>
      <c r="J336" s="6"/>
      <c r="K336" s="6"/>
      <c r="L336" s="6"/>
      <c r="M336" s="8"/>
      <c r="N336" s="9"/>
      <c r="O336" s="8"/>
      <c r="P336" s="10"/>
      <c r="Q336" s="11"/>
      <c r="R336" s="8"/>
      <c r="S336" s="8"/>
      <c r="T336" s="9"/>
    </row>
    <row r="337" spans="1:20" x14ac:dyDescent="0.4">
      <c r="A337" s="5"/>
      <c r="B337" s="5"/>
      <c r="C337" s="5"/>
      <c r="D337" s="5"/>
      <c r="E337" s="5"/>
      <c r="F337" s="6"/>
      <c r="G337" s="7"/>
      <c r="H337" s="7"/>
      <c r="I337" s="5"/>
      <c r="J337" s="6"/>
      <c r="K337" s="6"/>
      <c r="L337" s="6"/>
      <c r="M337" s="8"/>
      <c r="N337" s="9"/>
      <c r="O337" s="8"/>
      <c r="P337" s="10"/>
      <c r="Q337" s="11"/>
      <c r="R337" s="8"/>
      <c r="S337" s="8"/>
      <c r="T337" s="14"/>
    </row>
    <row r="338" spans="1:20" x14ac:dyDescent="0.4">
      <c r="A338" s="5"/>
      <c r="B338" s="5"/>
      <c r="C338" s="5"/>
      <c r="D338" s="5"/>
      <c r="E338" s="5"/>
      <c r="F338" s="6"/>
      <c r="G338" s="7"/>
      <c r="H338" s="7"/>
      <c r="I338" s="5"/>
      <c r="J338" s="6"/>
      <c r="K338" s="6"/>
      <c r="L338" s="6"/>
      <c r="M338" s="8"/>
      <c r="N338" s="9"/>
      <c r="O338" s="8"/>
      <c r="P338" s="10"/>
      <c r="Q338" s="11"/>
      <c r="R338" s="8"/>
      <c r="S338" s="8"/>
      <c r="T338" s="13"/>
    </row>
    <row r="339" spans="1:20" x14ac:dyDescent="0.4">
      <c r="A339" s="5"/>
      <c r="B339" s="5"/>
      <c r="C339" s="5"/>
      <c r="D339" s="5"/>
      <c r="E339" s="5"/>
      <c r="F339" s="6"/>
      <c r="G339" s="7"/>
      <c r="H339" s="7"/>
      <c r="I339" s="5"/>
      <c r="J339" s="6"/>
      <c r="K339" s="6"/>
      <c r="L339" s="6"/>
      <c r="M339" s="8"/>
      <c r="N339" s="9"/>
      <c r="O339" s="8"/>
      <c r="P339" s="10"/>
      <c r="Q339" s="11"/>
      <c r="R339" s="8"/>
      <c r="S339" s="8"/>
      <c r="T339" s="13"/>
    </row>
    <row r="340" spans="1:20" x14ac:dyDescent="0.4">
      <c r="A340" s="5"/>
      <c r="B340" s="5"/>
      <c r="C340" s="5"/>
      <c r="D340" s="5"/>
      <c r="E340" s="5"/>
      <c r="F340" s="6"/>
      <c r="G340" s="7"/>
      <c r="H340" s="7"/>
      <c r="I340" s="5"/>
      <c r="J340" s="6"/>
      <c r="K340" s="6"/>
      <c r="L340" s="6"/>
      <c r="M340" s="8"/>
      <c r="N340" s="9"/>
      <c r="O340" s="8"/>
      <c r="P340" s="10"/>
      <c r="Q340" s="11"/>
      <c r="R340" s="8"/>
      <c r="S340" s="8"/>
      <c r="T340" s="13"/>
    </row>
    <row r="341" spans="1:20" x14ac:dyDescent="0.4">
      <c r="A341" s="5"/>
      <c r="B341" s="5"/>
      <c r="C341" s="5"/>
      <c r="D341" s="5"/>
      <c r="E341" s="5"/>
      <c r="F341" s="6"/>
      <c r="G341" s="7"/>
      <c r="H341" s="7"/>
      <c r="I341" s="5"/>
      <c r="J341" s="6"/>
      <c r="K341" s="6"/>
      <c r="L341" s="6"/>
      <c r="M341" s="8"/>
      <c r="N341" s="9"/>
      <c r="O341" s="8"/>
      <c r="P341" s="10"/>
      <c r="Q341" s="11"/>
      <c r="R341" s="8"/>
      <c r="S341" s="8"/>
      <c r="T341" s="13"/>
    </row>
    <row r="342" spans="1:20" x14ac:dyDescent="0.4">
      <c r="A342" s="5"/>
      <c r="B342" s="5"/>
      <c r="C342" s="5"/>
      <c r="D342" s="5"/>
      <c r="E342" s="5"/>
      <c r="F342" s="6"/>
      <c r="G342" s="7"/>
      <c r="H342" s="7"/>
      <c r="I342" s="5"/>
      <c r="J342" s="6"/>
      <c r="K342" s="6"/>
      <c r="L342" s="6"/>
      <c r="M342" s="8"/>
      <c r="N342" s="9"/>
      <c r="O342" s="8"/>
      <c r="P342" s="10"/>
      <c r="Q342" s="11"/>
      <c r="R342" s="8"/>
      <c r="S342" s="8"/>
      <c r="T342" s="13"/>
    </row>
    <row r="343" spans="1:20" x14ac:dyDescent="0.4">
      <c r="A343" s="5"/>
      <c r="B343" s="5"/>
      <c r="C343" s="5"/>
      <c r="D343" s="5"/>
      <c r="E343" s="5"/>
      <c r="F343" s="6"/>
      <c r="G343" s="7"/>
      <c r="H343" s="7"/>
      <c r="I343" s="5"/>
      <c r="J343" s="6"/>
      <c r="K343" s="6"/>
      <c r="L343" s="6"/>
      <c r="M343" s="8"/>
      <c r="N343" s="9"/>
      <c r="O343" s="8"/>
      <c r="P343" s="10"/>
      <c r="Q343" s="11"/>
      <c r="R343" s="8"/>
      <c r="S343" s="8"/>
      <c r="T343" s="13"/>
    </row>
    <row r="344" spans="1:20" x14ac:dyDescent="0.4">
      <c r="A344" s="5"/>
      <c r="B344" s="5"/>
      <c r="C344" s="5"/>
      <c r="D344" s="5"/>
      <c r="E344" s="5"/>
      <c r="F344" s="6"/>
      <c r="G344" s="7"/>
      <c r="H344" s="7"/>
      <c r="I344" s="5"/>
      <c r="J344" s="6"/>
      <c r="K344" s="6"/>
      <c r="L344" s="6"/>
      <c r="M344" s="8"/>
      <c r="N344" s="9"/>
      <c r="O344" s="8"/>
      <c r="P344" s="10"/>
      <c r="Q344" s="11"/>
      <c r="R344" s="8"/>
      <c r="S344" s="8"/>
      <c r="T344" s="13"/>
    </row>
    <row r="345" spans="1:20" x14ac:dyDescent="0.4">
      <c r="A345" s="5"/>
      <c r="B345" s="5"/>
      <c r="C345" s="5"/>
      <c r="D345" s="5"/>
      <c r="E345" s="5"/>
      <c r="F345" s="6"/>
      <c r="G345" s="7"/>
      <c r="H345" s="7"/>
      <c r="I345" s="5"/>
      <c r="J345" s="6"/>
      <c r="K345" s="6"/>
      <c r="L345" s="6"/>
      <c r="M345" s="8"/>
      <c r="N345" s="9"/>
      <c r="O345" s="8"/>
      <c r="P345" s="10"/>
      <c r="Q345" s="11"/>
      <c r="R345" s="8"/>
      <c r="S345" s="8"/>
      <c r="T345" s="13"/>
    </row>
    <row r="346" spans="1:20" x14ac:dyDescent="0.4">
      <c r="A346" s="5"/>
      <c r="B346" s="5"/>
      <c r="C346" s="5"/>
      <c r="D346" s="5"/>
      <c r="E346" s="5"/>
      <c r="F346" s="6"/>
      <c r="G346" s="7"/>
      <c r="H346" s="7"/>
      <c r="I346" s="5"/>
      <c r="J346" s="6"/>
      <c r="K346" s="6"/>
      <c r="L346" s="6"/>
      <c r="M346" s="8"/>
      <c r="N346" s="9"/>
      <c r="O346" s="8"/>
      <c r="P346" s="10"/>
      <c r="Q346" s="11"/>
      <c r="R346" s="8"/>
      <c r="S346" s="8"/>
      <c r="T346" s="13"/>
    </row>
    <row r="347" spans="1:20" x14ac:dyDescent="0.4">
      <c r="A347" s="5"/>
      <c r="B347" s="5"/>
      <c r="C347" s="5"/>
      <c r="D347" s="5"/>
      <c r="E347" s="5"/>
      <c r="F347" s="6"/>
      <c r="G347" s="7"/>
      <c r="H347" s="7"/>
      <c r="I347" s="5"/>
      <c r="J347" s="6"/>
      <c r="K347" s="6"/>
      <c r="L347" s="6"/>
      <c r="M347" s="8"/>
      <c r="N347" s="9"/>
      <c r="O347" s="8"/>
      <c r="P347" s="10"/>
      <c r="Q347" s="11"/>
      <c r="R347" s="8"/>
      <c r="S347" s="8"/>
      <c r="T347" s="13"/>
    </row>
    <row r="348" spans="1:20" x14ac:dyDescent="0.4">
      <c r="A348" s="5"/>
      <c r="B348" s="5"/>
      <c r="C348" s="5"/>
      <c r="D348" s="5"/>
      <c r="E348" s="5"/>
      <c r="F348" s="6"/>
      <c r="G348" s="7"/>
      <c r="H348" s="7"/>
      <c r="I348" s="5"/>
      <c r="J348" s="6"/>
      <c r="K348" s="6"/>
      <c r="L348" s="6"/>
      <c r="M348" s="8"/>
      <c r="N348" s="9"/>
      <c r="O348" s="8"/>
      <c r="P348" s="10"/>
      <c r="Q348" s="11"/>
      <c r="R348" s="8"/>
      <c r="S348" s="8"/>
      <c r="T348" s="13"/>
    </row>
    <row r="349" spans="1:20" x14ac:dyDescent="0.4">
      <c r="A349" s="5"/>
      <c r="B349" s="5"/>
      <c r="C349" s="5"/>
      <c r="D349" s="5"/>
      <c r="E349" s="5"/>
      <c r="F349" s="6"/>
      <c r="G349" s="7"/>
      <c r="H349" s="7"/>
      <c r="I349" s="5"/>
      <c r="J349" s="6"/>
      <c r="K349" s="6"/>
      <c r="L349" s="6"/>
      <c r="M349" s="8"/>
      <c r="N349" s="9"/>
      <c r="O349" s="8"/>
      <c r="P349" s="10"/>
      <c r="Q349" s="11"/>
      <c r="R349" s="8"/>
      <c r="S349" s="8"/>
      <c r="T349" s="13"/>
    </row>
    <row r="350" spans="1:20" x14ac:dyDescent="0.4">
      <c r="A350" s="5"/>
      <c r="B350" s="5"/>
      <c r="C350" s="5"/>
      <c r="D350" s="5"/>
      <c r="E350" s="5"/>
      <c r="F350" s="6"/>
      <c r="G350" s="7"/>
      <c r="H350" s="7"/>
      <c r="I350" s="5"/>
      <c r="J350" s="6"/>
      <c r="K350" s="6"/>
      <c r="L350" s="6"/>
      <c r="M350" s="8"/>
      <c r="N350" s="9"/>
      <c r="O350" s="8"/>
      <c r="P350" s="10"/>
      <c r="Q350" s="11"/>
      <c r="R350" s="8"/>
      <c r="S350" s="8"/>
      <c r="T350" s="13"/>
    </row>
    <row r="351" spans="1:20" x14ac:dyDescent="0.4">
      <c r="A351" s="5"/>
      <c r="B351" s="5"/>
      <c r="C351" s="5"/>
      <c r="D351" s="5"/>
      <c r="E351" s="5"/>
      <c r="F351" s="6"/>
      <c r="G351" s="7"/>
      <c r="H351" s="7"/>
      <c r="I351" s="5"/>
      <c r="J351" s="6"/>
      <c r="K351" s="6"/>
      <c r="L351" s="6"/>
      <c r="M351" s="8"/>
      <c r="N351" s="9"/>
      <c r="O351" s="8"/>
      <c r="P351" s="10"/>
      <c r="Q351" s="11"/>
      <c r="R351" s="8"/>
      <c r="S351" s="8"/>
      <c r="T351" s="9"/>
    </row>
    <row r="352" spans="1:20" x14ac:dyDescent="0.4">
      <c r="A352" s="5"/>
      <c r="B352" s="5"/>
      <c r="C352" s="5"/>
      <c r="D352" s="5"/>
      <c r="E352" s="5"/>
      <c r="F352" s="6"/>
      <c r="G352" s="7"/>
      <c r="H352" s="7"/>
      <c r="I352" s="5"/>
      <c r="J352" s="6"/>
      <c r="K352" s="6"/>
      <c r="L352" s="6"/>
      <c r="M352" s="8"/>
      <c r="N352" s="9"/>
      <c r="O352" s="8"/>
      <c r="P352" s="10"/>
      <c r="Q352" s="11"/>
      <c r="R352" s="8"/>
      <c r="S352" s="8"/>
      <c r="T352" s="9"/>
    </row>
    <row r="353" spans="1:21" x14ac:dyDescent="0.4">
      <c r="A353" s="5"/>
      <c r="B353" s="5"/>
      <c r="C353" s="5"/>
      <c r="D353" s="5"/>
      <c r="E353" s="5"/>
      <c r="F353" s="6"/>
      <c r="G353" s="7"/>
      <c r="H353" s="7"/>
      <c r="I353" s="5"/>
      <c r="J353" s="6"/>
      <c r="K353" s="6"/>
      <c r="L353" s="6"/>
      <c r="M353" s="8"/>
      <c r="N353" s="9"/>
      <c r="O353" s="8"/>
      <c r="P353" s="10"/>
      <c r="Q353" s="11"/>
      <c r="R353" s="8"/>
      <c r="S353" s="8"/>
      <c r="T353" s="9"/>
      <c r="U353" s="17"/>
    </row>
    <row r="354" spans="1:21" x14ac:dyDescent="0.4">
      <c r="A354" s="5"/>
      <c r="B354" s="5"/>
      <c r="C354" s="5"/>
      <c r="D354" s="5"/>
      <c r="E354" s="5"/>
      <c r="F354" s="6"/>
      <c r="G354" s="7"/>
      <c r="H354" s="7"/>
      <c r="I354" s="5"/>
      <c r="J354" s="6"/>
      <c r="K354" s="6"/>
      <c r="L354" s="6"/>
      <c r="M354" s="8"/>
      <c r="N354" s="9"/>
      <c r="O354" s="8"/>
      <c r="P354" s="10"/>
      <c r="Q354" s="11"/>
      <c r="R354" s="8"/>
      <c r="S354" s="8"/>
      <c r="T354" s="9"/>
    </row>
    <row r="355" spans="1:21" x14ac:dyDescent="0.4">
      <c r="A355" s="5"/>
      <c r="B355" s="5"/>
      <c r="C355" s="5"/>
      <c r="D355" s="5"/>
      <c r="E355" s="5"/>
      <c r="F355" s="6"/>
      <c r="G355" s="7"/>
      <c r="H355" s="7"/>
      <c r="I355" s="5"/>
      <c r="J355" s="6"/>
      <c r="K355" s="6"/>
      <c r="L355" s="6"/>
      <c r="M355" s="8"/>
      <c r="N355" s="9"/>
      <c r="O355" s="8"/>
      <c r="P355" s="10"/>
      <c r="Q355" s="11"/>
      <c r="R355" s="8"/>
      <c r="S355" s="8"/>
      <c r="T355" s="9"/>
    </row>
    <row r="356" spans="1:21" x14ac:dyDescent="0.4">
      <c r="A356" s="5"/>
      <c r="B356" s="5"/>
      <c r="C356" s="5"/>
      <c r="D356" s="5"/>
      <c r="E356" s="5"/>
      <c r="F356" s="6"/>
      <c r="G356" s="7"/>
      <c r="H356" s="7"/>
      <c r="I356" s="5"/>
      <c r="J356" s="6"/>
      <c r="K356" s="6"/>
      <c r="L356" s="6"/>
      <c r="M356" s="8"/>
      <c r="N356" s="9"/>
      <c r="O356" s="8"/>
      <c r="P356" s="10"/>
      <c r="Q356" s="11"/>
      <c r="R356" s="8"/>
      <c r="S356" s="8"/>
      <c r="T356" s="8"/>
    </row>
    <row r="357" spans="1:21" x14ac:dyDescent="0.4">
      <c r="A357" s="5"/>
      <c r="B357" s="5"/>
      <c r="C357" s="5"/>
      <c r="D357" s="5"/>
      <c r="E357" s="5"/>
      <c r="F357" s="6"/>
      <c r="G357" s="7"/>
      <c r="H357" s="7"/>
      <c r="I357" s="5"/>
      <c r="J357" s="6"/>
      <c r="K357" s="6"/>
      <c r="L357" s="6"/>
      <c r="M357" s="8"/>
      <c r="N357" s="9"/>
      <c r="O357" s="8"/>
      <c r="P357" s="10"/>
      <c r="Q357" s="11"/>
      <c r="R357" s="8"/>
      <c r="S357" s="8"/>
      <c r="T357" s="8"/>
    </row>
    <row r="358" spans="1:21" x14ac:dyDescent="0.4">
      <c r="A358" s="5"/>
      <c r="B358" s="5"/>
      <c r="C358" s="5"/>
      <c r="D358" s="5"/>
      <c r="E358" s="5"/>
      <c r="F358" s="6"/>
      <c r="G358" s="7"/>
      <c r="H358" s="7"/>
      <c r="I358" s="5"/>
      <c r="J358" s="6"/>
      <c r="K358" s="6"/>
      <c r="L358" s="6"/>
      <c r="M358" s="8"/>
      <c r="N358" s="9"/>
      <c r="O358" s="8"/>
      <c r="P358" s="10"/>
      <c r="Q358" s="11"/>
      <c r="R358" s="8"/>
      <c r="S358" s="8"/>
      <c r="T358" s="8"/>
    </row>
    <row r="359" spans="1:21" x14ac:dyDescent="0.4">
      <c r="A359" s="5"/>
      <c r="B359" s="5"/>
      <c r="C359" s="5"/>
      <c r="D359" s="5"/>
      <c r="E359" s="5"/>
      <c r="F359" s="6"/>
      <c r="G359" s="7"/>
      <c r="H359" s="7"/>
      <c r="I359" s="5"/>
      <c r="J359" s="6"/>
      <c r="K359" s="6"/>
      <c r="L359" s="6"/>
      <c r="M359" s="8"/>
      <c r="N359" s="9"/>
      <c r="O359" s="8"/>
      <c r="P359" s="10"/>
      <c r="Q359" s="11"/>
      <c r="R359" s="8"/>
      <c r="S359" s="8"/>
      <c r="T359" s="8"/>
    </row>
    <row r="360" spans="1:21" x14ac:dyDescent="0.4">
      <c r="A360" s="5"/>
      <c r="B360" s="5"/>
      <c r="C360" s="5"/>
      <c r="D360" s="5"/>
      <c r="E360" s="5"/>
      <c r="F360" s="6"/>
      <c r="G360" s="7"/>
      <c r="H360" s="7"/>
      <c r="I360" s="5"/>
      <c r="J360" s="6"/>
      <c r="K360" s="6"/>
      <c r="L360" s="6"/>
      <c r="M360" s="8"/>
      <c r="N360" s="9"/>
      <c r="O360" s="8"/>
      <c r="P360" s="10"/>
      <c r="Q360" s="11"/>
      <c r="R360" s="8"/>
      <c r="S360" s="8"/>
      <c r="T360" s="14"/>
    </row>
    <row r="361" spans="1:21" x14ac:dyDescent="0.4">
      <c r="A361" s="5"/>
      <c r="B361" s="5"/>
      <c r="C361" s="5"/>
      <c r="D361" s="5"/>
      <c r="E361" s="5"/>
      <c r="F361" s="6"/>
      <c r="G361" s="7"/>
      <c r="H361" s="7"/>
      <c r="I361" s="5"/>
      <c r="J361" s="6"/>
      <c r="K361" s="6"/>
      <c r="L361" s="6"/>
      <c r="M361" s="8"/>
      <c r="N361" s="9"/>
      <c r="O361" s="8"/>
      <c r="P361" s="10"/>
      <c r="Q361" s="11"/>
      <c r="R361" s="8"/>
      <c r="S361" s="8"/>
      <c r="T361" s="13"/>
    </row>
    <row r="362" spans="1:21" x14ac:dyDescent="0.4">
      <c r="A362" s="5"/>
      <c r="B362" s="5"/>
      <c r="C362" s="5"/>
      <c r="D362" s="5"/>
      <c r="E362" s="5"/>
      <c r="F362" s="6"/>
      <c r="G362" s="7"/>
      <c r="H362" s="7"/>
      <c r="I362" s="5"/>
      <c r="J362" s="6"/>
      <c r="K362" s="6"/>
      <c r="L362" s="6"/>
      <c r="M362" s="8"/>
      <c r="N362" s="9"/>
      <c r="O362" s="8"/>
      <c r="P362" s="10"/>
      <c r="Q362" s="11"/>
      <c r="R362" s="8"/>
      <c r="S362" s="8"/>
      <c r="T362" s="13"/>
    </row>
    <row r="363" spans="1:21" x14ac:dyDescent="0.4">
      <c r="A363" s="5"/>
      <c r="B363" s="5"/>
      <c r="C363" s="5"/>
      <c r="D363" s="5"/>
      <c r="E363" s="5"/>
      <c r="F363" s="6"/>
      <c r="G363" s="7"/>
      <c r="H363" s="7"/>
      <c r="I363" s="5"/>
      <c r="J363" s="6"/>
      <c r="K363" s="6"/>
      <c r="L363" s="6"/>
      <c r="M363" s="8"/>
      <c r="N363" s="9"/>
      <c r="O363" s="8"/>
      <c r="P363" s="10"/>
      <c r="Q363" s="11"/>
      <c r="R363" s="8"/>
      <c r="S363" s="8"/>
      <c r="T363" s="13"/>
    </row>
    <row r="364" spans="1:21" x14ac:dyDescent="0.4">
      <c r="A364" s="5"/>
      <c r="B364" s="5"/>
      <c r="C364" s="5"/>
      <c r="D364" s="5"/>
      <c r="E364" s="5"/>
      <c r="F364" s="6"/>
      <c r="G364" s="7"/>
      <c r="H364" s="7"/>
      <c r="I364" s="5"/>
      <c r="J364" s="6"/>
      <c r="K364" s="6"/>
      <c r="L364" s="6"/>
      <c r="M364" s="8"/>
      <c r="N364" s="9"/>
      <c r="O364" s="8"/>
      <c r="P364" s="10"/>
      <c r="Q364" s="11"/>
      <c r="R364" s="8"/>
      <c r="S364" s="8"/>
      <c r="T364" s="13"/>
    </row>
    <row r="365" spans="1:21" x14ac:dyDescent="0.4">
      <c r="A365" s="5"/>
      <c r="B365" s="5"/>
      <c r="C365" s="5"/>
      <c r="D365" s="5"/>
      <c r="E365" s="5"/>
      <c r="F365" s="6"/>
      <c r="G365" s="7"/>
      <c r="H365" s="7"/>
      <c r="I365" s="5"/>
      <c r="J365" s="6"/>
      <c r="K365" s="6"/>
      <c r="L365" s="6"/>
      <c r="M365" s="8"/>
      <c r="N365" s="9"/>
      <c r="O365" s="8"/>
      <c r="P365" s="10"/>
      <c r="Q365" s="11"/>
      <c r="R365" s="8"/>
      <c r="S365" s="8"/>
      <c r="T365" s="13"/>
    </row>
    <row r="366" spans="1:21" x14ac:dyDescent="0.4">
      <c r="A366" s="5"/>
      <c r="B366" s="5"/>
      <c r="C366" s="5"/>
      <c r="D366" s="5"/>
      <c r="E366" s="5"/>
      <c r="F366" s="6"/>
      <c r="G366" s="7"/>
      <c r="H366" s="7"/>
      <c r="I366" s="5"/>
      <c r="J366" s="6"/>
      <c r="K366" s="6"/>
      <c r="L366" s="6"/>
      <c r="M366" s="8"/>
      <c r="N366" s="9"/>
      <c r="O366" s="8"/>
      <c r="P366" s="10"/>
      <c r="Q366" s="11"/>
      <c r="R366" s="8"/>
      <c r="S366" s="8"/>
      <c r="T366" s="9"/>
    </row>
    <row r="367" spans="1:21" x14ac:dyDescent="0.4">
      <c r="A367" s="5"/>
      <c r="B367" s="5"/>
      <c r="C367" s="5"/>
      <c r="D367" s="5"/>
      <c r="E367" s="5"/>
      <c r="F367" s="6"/>
      <c r="G367" s="7"/>
      <c r="H367" s="7"/>
      <c r="I367" s="5"/>
      <c r="J367" s="6"/>
      <c r="K367" s="6"/>
      <c r="L367" s="6"/>
      <c r="M367" s="8"/>
      <c r="N367" s="9"/>
      <c r="O367" s="8"/>
      <c r="P367" s="10"/>
      <c r="Q367" s="11"/>
      <c r="R367" s="8"/>
      <c r="S367" s="8"/>
      <c r="T367" s="13"/>
    </row>
    <row r="368" spans="1:21" x14ac:dyDescent="0.4">
      <c r="A368" s="5"/>
      <c r="B368" s="5"/>
      <c r="C368" s="5"/>
      <c r="D368" s="5"/>
      <c r="E368" s="5"/>
      <c r="F368" s="6"/>
      <c r="G368" s="7"/>
      <c r="H368" s="7"/>
      <c r="I368" s="5"/>
      <c r="J368" s="6"/>
      <c r="K368" s="6"/>
      <c r="L368" s="6"/>
      <c r="M368" s="8"/>
      <c r="N368" s="9"/>
      <c r="O368" s="8"/>
      <c r="P368" s="10"/>
      <c r="Q368" s="11"/>
      <c r="R368" s="8"/>
      <c r="S368" s="8"/>
      <c r="T368" s="9"/>
    </row>
    <row r="369" spans="1:20" x14ac:dyDescent="0.4">
      <c r="A369" s="5"/>
      <c r="B369" s="5"/>
      <c r="C369" s="5"/>
      <c r="D369" s="5"/>
      <c r="E369" s="5"/>
      <c r="F369" s="6"/>
      <c r="G369" s="7"/>
      <c r="H369" s="7"/>
      <c r="I369" s="5"/>
      <c r="J369" s="6"/>
      <c r="K369" s="6"/>
      <c r="L369" s="6"/>
      <c r="M369" s="8"/>
      <c r="N369" s="9"/>
      <c r="O369" s="8"/>
      <c r="P369" s="10"/>
      <c r="Q369" s="11"/>
      <c r="R369" s="8"/>
      <c r="S369" s="8"/>
      <c r="T369" s="9"/>
    </row>
    <row r="370" spans="1:20" x14ac:dyDescent="0.4">
      <c r="A370" s="5"/>
      <c r="B370" s="5"/>
      <c r="C370" s="5"/>
      <c r="D370" s="5"/>
      <c r="E370" s="5"/>
      <c r="F370" s="6"/>
      <c r="G370" s="7"/>
      <c r="H370" s="7"/>
      <c r="I370" s="5"/>
      <c r="J370" s="6"/>
      <c r="K370" s="6"/>
      <c r="L370" s="6"/>
      <c r="M370" s="8"/>
      <c r="N370" s="9"/>
      <c r="O370" s="8"/>
      <c r="P370" s="10"/>
      <c r="Q370" s="11"/>
      <c r="R370" s="8"/>
      <c r="S370" s="8"/>
      <c r="T370" s="9"/>
    </row>
    <row r="371" spans="1:20" x14ac:dyDescent="0.4">
      <c r="A371" s="5"/>
      <c r="B371" s="5"/>
      <c r="C371" s="5"/>
      <c r="D371" s="5"/>
      <c r="E371" s="5"/>
      <c r="F371" s="6"/>
      <c r="G371" s="7"/>
      <c r="H371" s="7"/>
      <c r="I371" s="5"/>
      <c r="J371" s="6"/>
      <c r="K371" s="6"/>
      <c r="L371" s="6"/>
      <c r="M371" s="8"/>
      <c r="N371" s="9"/>
      <c r="O371" s="8"/>
      <c r="P371" s="10"/>
      <c r="Q371" s="11"/>
      <c r="R371" s="8"/>
      <c r="S371" s="8"/>
      <c r="T371" s="9"/>
    </row>
    <row r="372" spans="1:20" x14ac:dyDescent="0.4">
      <c r="A372" s="5"/>
      <c r="B372" s="5"/>
      <c r="C372" s="5"/>
      <c r="D372" s="5"/>
      <c r="E372" s="5"/>
      <c r="F372" s="6"/>
      <c r="G372" s="7"/>
      <c r="H372" s="7"/>
      <c r="I372" s="5"/>
      <c r="J372" s="6"/>
      <c r="K372" s="6"/>
      <c r="L372" s="6"/>
      <c r="M372" s="8"/>
      <c r="N372" s="9"/>
      <c r="O372" s="8"/>
      <c r="P372" s="10"/>
      <c r="Q372" s="11"/>
      <c r="R372" s="8"/>
      <c r="S372" s="8"/>
      <c r="T372" s="9"/>
    </row>
    <row r="373" spans="1:20" x14ac:dyDescent="0.4">
      <c r="A373" s="5"/>
      <c r="B373" s="5"/>
      <c r="C373" s="5"/>
      <c r="D373" s="5"/>
      <c r="E373" s="5"/>
      <c r="F373" s="6"/>
      <c r="G373" s="7"/>
      <c r="H373" s="7"/>
      <c r="I373" s="5"/>
      <c r="J373" s="6"/>
      <c r="K373" s="6"/>
      <c r="L373" s="6"/>
      <c r="M373" s="8"/>
      <c r="N373" s="9"/>
      <c r="O373" s="8"/>
      <c r="P373" s="10"/>
      <c r="Q373" s="11"/>
      <c r="R373" s="8"/>
      <c r="S373" s="8"/>
      <c r="T373" s="9"/>
    </row>
    <row r="374" spans="1:20" x14ac:dyDescent="0.4">
      <c r="A374" s="5"/>
      <c r="B374" s="5"/>
      <c r="C374" s="5"/>
      <c r="D374" s="5"/>
      <c r="E374" s="5"/>
      <c r="F374" s="6"/>
      <c r="G374" s="7"/>
      <c r="H374" s="7"/>
      <c r="I374" s="5"/>
      <c r="J374" s="6"/>
      <c r="K374" s="6"/>
      <c r="L374" s="6"/>
      <c r="M374" s="8"/>
      <c r="N374" s="9"/>
      <c r="O374" s="8"/>
      <c r="P374" s="10"/>
      <c r="Q374" s="11"/>
      <c r="R374" s="8"/>
      <c r="S374" s="8"/>
      <c r="T374" s="9"/>
    </row>
    <row r="375" spans="1:20" x14ac:dyDescent="0.4">
      <c r="A375" s="5"/>
      <c r="B375" s="5"/>
      <c r="C375" s="5"/>
      <c r="D375" s="5"/>
      <c r="E375" s="5"/>
      <c r="F375" s="6"/>
      <c r="G375" s="7"/>
      <c r="H375" s="7"/>
      <c r="I375" s="5"/>
      <c r="J375" s="6"/>
      <c r="K375" s="6"/>
      <c r="L375" s="6"/>
      <c r="M375" s="8"/>
      <c r="N375" s="9"/>
      <c r="O375" s="8"/>
      <c r="P375" s="10"/>
      <c r="Q375" s="11"/>
      <c r="R375" s="8"/>
      <c r="S375" s="8"/>
      <c r="T375" s="9"/>
    </row>
    <row r="376" spans="1:20" x14ac:dyDescent="0.4">
      <c r="A376" s="5"/>
      <c r="B376" s="5"/>
      <c r="C376" s="5"/>
      <c r="D376" s="5"/>
      <c r="E376" s="5"/>
      <c r="F376" s="6"/>
      <c r="G376" s="7"/>
      <c r="H376" s="7"/>
      <c r="I376" s="5"/>
      <c r="J376" s="6"/>
      <c r="K376" s="6"/>
      <c r="L376" s="6"/>
      <c r="M376" s="8"/>
      <c r="N376" s="9"/>
      <c r="O376" s="8"/>
      <c r="P376" s="10"/>
      <c r="Q376" s="11"/>
      <c r="R376" s="8"/>
      <c r="S376" s="8"/>
      <c r="T376" s="9"/>
    </row>
    <row r="377" spans="1:20" x14ac:dyDescent="0.4">
      <c r="A377" s="5"/>
      <c r="B377" s="5"/>
      <c r="C377" s="5"/>
      <c r="D377" s="5"/>
      <c r="E377" s="5"/>
      <c r="F377" s="6"/>
      <c r="G377" s="7"/>
      <c r="H377" s="7"/>
      <c r="I377" s="5"/>
      <c r="J377" s="6"/>
      <c r="K377" s="6"/>
      <c r="L377" s="6"/>
      <c r="M377" s="8"/>
      <c r="N377" s="9"/>
      <c r="O377" s="8"/>
      <c r="P377" s="10"/>
      <c r="Q377" s="11"/>
      <c r="R377" s="8"/>
      <c r="S377" s="8"/>
      <c r="T377" s="9"/>
    </row>
    <row r="378" spans="1:20" x14ac:dyDescent="0.4">
      <c r="A378" s="5"/>
      <c r="B378" s="5"/>
      <c r="C378" s="5"/>
      <c r="D378" s="5"/>
      <c r="E378" s="5"/>
      <c r="F378" s="6"/>
      <c r="G378" s="7"/>
      <c r="H378" s="7"/>
      <c r="I378" s="5"/>
      <c r="J378" s="6"/>
      <c r="K378" s="6"/>
      <c r="L378" s="6"/>
      <c r="M378" s="8"/>
      <c r="N378" s="9"/>
      <c r="O378" s="8"/>
      <c r="P378" s="10"/>
      <c r="Q378" s="11"/>
      <c r="R378" s="8"/>
      <c r="S378" s="8"/>
      <c r="T378" s="9"/>
    </row>
    <row r="379" spans="1:20" x14ac:dyDescent="0.4">
      <c r="A379" s="5"/>
      <c r="B379" s="5"/>
      <c r="C379" s="5"/>
      <c r="D379" s="5"/>
      <c r="E379" s="5"/>
      <c r="F379" s="6"/>
      <c r="G379" s="7"/>
      <c r="H379" s="7"/>
      <c r="I379" s="5"/>
      <c r="J379" s="6"/>
      <c r="K379" s="6"/>
      <c r="L379" s="6"/>
      <c r="M379" s="8"/>
      <c r="N379" s="9"/>
      <c r="O379" s="8"/>
      <c r="P379" s="10"/>
      <c r="Q379" s="11"/>
      <c r="R379" s="8"/>
      <c r="S379" s="8"/>
      <c r="T379" s="9"/>
    </row>
    <row r="380" spans="1:20" x14ac:dyDescent="0.4">
      <c r="A380" s="5"/>
      <c r="B380" s="5"/>
      <c r="C380" s="5"/>
      <c r="D380" s="5"/>
      <c r="E380" s="5"/>
      <c r="F380" s="6"/>
      <c r="G380" s="7"/>
      <c r="H380" s="7"/>
      <c r="I380" s="5"/>
      <c r="J380" s="6"/>
      <c r="K380" s="6"/>
      <c r="L380" s="6"/>
      <c r="M380" s="8"/>
      <c r="N380" s="9"/>
      <c r="O380" s="8"/>
      <c r="P380" s="10"/>
      <c r="Q380" s="11"/>
      <c r="R380" s="8"/>
      <c r="S380" s="8"/>
      <c r="T380" s="9"/>
    </row>
    <row r="381" spans="1:20" x14ac:dyDescent="0.4">
      <c r="A381" s="5"/>
      <c r="B381" s="5"/>
      <c r="C381" s="5"/>
      <c r="D381" s="5"/>
      <c r="E381" s="5"/>
      <c r="F381" s="6"/>
      <c r="G381" s="7"/>
      <c r="H381" s="7"/>
      <c r="I381" s="5"/>
      <c r="J381" s="6"/>
      <c r="K381" s="6"/>
      <c r="L381" s="6"/>
      <c r="M381" s="8"/>
      <c r="N381" s="9"/>
      <c r="O381" s="8"/>
      <c r="P381" s="10"/>
      <c r="Q381" s="11"/>
      <c r="R381" s="8"/>
      <c r="S381" s="8"/>
      <c r="T381" s="9"/>
    </row>
    <row r="382" spans="1:20" x14ac:dyDescent="0.4">
      <c r="A382" s="5"/>
      <c r="B382" s="5"/>
      <c r="C382" s="5"/>
      <c r="D382" s="5"/>
      <c r="E382" s="5"/>
      <c r="F382" s="6"/>
      <c r="G382" s="7"/>
      <c r="H382" s="7"/>
      <c r="I382" s="5"/>
      <c r="J382" s="6"/>
      <c r="K382" s="6"/>
      <c r="L382" s="6"/>
      <c r="M382" s="8"/>
      <c r="N382" s="9"/>
      <c r="O382" s="8"/>
      <c r="P382" s="10"/>
      <c r="Q382" s="11"/>
      <c r="R382" s="8"/>
      <c r="S382" s="8"/>
      <c r="T382" s="9"/>
    </row>
    <row r="383" spans="1:20" x14ac:dyDescent="0.4">
      <c r="A383" s="5"/>
      <c r="B383" s="5"/>
      <c r="C383" s="5"/>
      <c r="D383" s="5"/>
      <c r="E383" s="5"/>
      <c r="F383" s="6"/>
      <c r="G383" s="7"/>
      <c r="H383" s="7"/>
      <c r="I383" s="5"/>
      <c r="J383" s="6"/>
      <c r="K383" s="6"/>
      <c r="L383" s="6"/>
      <c r="M383" s="8"/>
      <c r="N383" s="9"/>
      <c r="O383" s="8"/>
      <c r="P383" s="10"/>
      <c r="Q383" s="11"/>
      <c r="R383" s="8"/>
      <c r="S383" s="8"/>
      <c r="T383" s="9"/>
    </row>
    <row r="384" spans="1:20" x14ac:dyDescent="0.4">
      <c r="A384" s="5"/>
      <c r="B384" s="5"/>
      <c r="C384" s="5"/>
      <c r="D384" s="5"/>
      <c r="E384" s="5"/>
      <c r="F384" s="6"/>
      <c r="G384" s="7"/>
      <c r="H384" s="7"/>
      <c r="I384" s="5"/>
      <c r="J384" s="6"/>
      <c r="K384" s="6"/>
      <c r="L384" s="6"/>
      <c r="M384" s="8"/>
      <c r="N384" s="9"/>
      <c r="O384" s="8"/>
      <c r="P384" s="10"/>
      <c r="Q384" s="11"/>
      <c r="R384" s="8"/>
      <c r="S384" s="8"/>
      <c r="T384" s="9"/>
    </row>
    <row r="385" spans="1:20" x14ac:dyDescent="0.4">
      <c r="A385" s="5"/>
      <c r="B385" s="5"/>
      <c r="C385" s="5"/>
      <c r="D385" s="5"/>
      <c r="E385" s="5"/>
      <c r="F385" s="6"/>
      <c r="G385" s="7"/>
      <c r="H385" s="7"/>
      <c r="I385" s="5"/>
      <c r="J385" s="6"/>
      <c r="K385" s="6"/>
      <c r="L385" s="6"/>
      <c r="M385" s="8"/>
      <c r="N385" s="9"/>
      <c r="O385" s="8"/>
      <c r="P385" s="10"/>
      <c r="Q385" s="11"/>
      <c r="R385" s="8"/>
      <c r="S385" s="8"/>
      <c r="T385" s="9"/>
    </row>
    <row r="386" spans="1:20" x14ac:dyDescent="0.4">
      <c r="A386" s="5"/>
      <c r="B386" s="5"/>
      <c r="C386" s="5"/>
      <c r="D386" s="5"/>
      <c r="E386" s="5"/>
      <c r="F386" s="6"/>
      <c r="G386" s="7"/>
      <c r="H386" s="7"/>
      <c r="I386" s="5"/>
      <c r="J386" s="6"/>
      <c r="K386" s="6"/>
      <c r="L386" s="6"/>
      <c r="M386" s="8"/>
      <c r="N386" s="9"/>
      <c r="O386" s="8"/>
      <c r="P386" s="10"/>
      <c r="Q386" s="11"/>
      <c r="R386" s="8"/>
      <c r="S386" s="8"/>
      <c r="T386" s="9"/>
    </row>
    <row r="387" spans="1:20" x14ac:dyDescent="0.4">
      <c r="A387" s="5"/>
      <c r="B387" s="5"/>
      <c r="C387" s="5"/>
      <c r="D387" s="5"/>
      <c r="E387" s="5"/>
      <c r="F387" s="6"/>
      <c r="G387" s="7"/>
      <c r="H387" s="7"/>
      <c r="I387" s="5"/>
      <c r="J387" s="6"/>
      <c r="K387" s="6"/>
      <c r="L387" s="6"/>
      <c r="M387" s="8"/>
      <c r="N387" s="9"/>
      <c r="O387" s="8"/>
      <c r="P387" s="10"/>
      <c r="Q387" s="11"/>
      <c r="R387" s="8"/>
      <c r="S387" s="8"/>
      <c r="T387" s="9"/>
    </row>
    <row r="388" spans="1:20" x14ac:dyDescent="0.4">
      <c r="A388" s="5"/>
      <c r="B388" s="5"/>
      <c r="C388" s="5"/>
      <c r="D388" s="5"/>
      <c r="E388" s="5"/>
      <c r="F388" s="6"/>
      <c r="G388" s="7"/>
      <c r="H388" s="7"/>
      <c r="I388" s="5"/>
      <c r="J388" s="6"/>
      <c r="K388" s="6"/>
      <c r="L388" s="6"/>
      <c r="M388" s="8"/>
      <c r="N388" s="9"/>
      <c r="O388" s="8"/>
      <c r="P388" s="10"/>
      <c r="Q388" s="11"/>
      <c r="R388" s="8"/>
      <c r="S388" s="8"/>
      <c r="T388" s="9"/>
    </row>
    <row r="389" spans="1:20" x14ac:dyDescent="0.4">
      <c r="A389" s="5"/>
      <c r="B389" s="5"/>
      <c r="C389" s="5"/>
      <c r="D389" s="5"/>
      <c r="E389" s="5"/>
      <c r="F389" s="6"/>
      <c r="G389" s="7"/>
      <c r="H389" s="7"/>
      <c r="I389" s="5"/>
      <c r="J389" s="6"/>
      <c r="K389" s="6"/>
      <c r="L389" s="6"/>
      <c r="M389" s="8"/>
      <c r="N389" s="9"/>
      <c r="O389" s="8"/>
      <c r="P389" s="10"/>
      <c r="Q389" s="11"/>
      <c r="R389" s="8"/>
      <c r="S389" s="8"/>
      <c r="T389" s="9"/>
    </row>
    <row r="390" spans="1:20" x14ac:dyDescent="0.4">
      <c r="A390" s="5"/>
      <c r="B390" s="5"/>
      <c r="C390" s="5"/>
      <c r="D390" s="5"/>
      <c r="E390" s="5"/>
      <c r="F390" s="6"/>
      <c r="G390" s="7"/>
      <c r="H390" s="7"/>
      <c r="I390" s="5"/>
      <c r="J390" s="6"/>
      <c r="K390" s="6"/>
      <c r="L390" s="6"/>
      <c r="M390" s="8"/>
      <c r="N390" s="9"/>
      <c r="O390" s="8"/>
      <c r="P390" s="10"/>
      <c r="Q390" s="11"/>
      <c r="R390" s="8"/>
      <c r="S390" s="8"/>
      <c r="T390" s="9"/>
    </row>
    <row r="391" spans="1:20" x14ac:dyDescent="0.4">
      <c r="A391" s="5"/>
      <c r="B391" s="5"/>
      <c r="C391" s="5"/>
      <c r="D391" s="5"/>
      <c r="E391" s="5"/>
      <c r="F391" s="6"/>
      <c r="G391" s="7"/>
      <c r="H391" s="7"/>
      <c r="I391" s="5"/>
      <c r="J391" s="6"/>
      <c r="K391" s="6"/>
      <c r="L391" s="6"/>
      <c r="M391" s="8"/>
      <c r="N391" s="9"/>
      <c r="O391" s="8"/>
      <c r="P391" s="10"/>
      <c r="Q391" s="11"/>
      <c r="R391" s="8"/>
      <c r="S391" s="8"/>
      <c r="T391" s="9"/>
    </row>
    <row r="392" spans="1:20" x14ac:dyDescent="0.4">
      <c r="A392" s="5"/>
      <c r="B392" s="5"/>
      <c r="C392" s="5"/>
      <c r="D392" s="5"/>
      <c r="E392" s="5"/>
      <c r="F392" s="6"/>
      <c r="G392" s="7"/>
      <c r="H392" s="7"/>
      <c r="I392" s="5"/>
      <c r="J392" s="6"/>
      <c r="K392" s="6"/>
      <c r="L392" s="6"/>
      <c r="M392" s="8"/>
      <c r="N392" s="9"/>
      <c r="O392" s="8"/>
      <c r="P392" s="10"/>
      <c r="Q392" s="11"/>
      <c r="R392" s="8"/>
      <c r="S392" s="8"/>
      <c r="T392" s="9"/>
    </row>
    <row r="393" spans="1:20" x14ac:dyDescent="0.4">
      <c r="A393" s="5"/>
      <c r="B393" s="5"/>
      <c r="C393" s="5"/>
      <c r="D393" s="5"/>
      <c r="E393" s="5"/>
      <c r="F393" s="6"/>
      <c r="G393" s="7"/>
      <c r="H393" s="7"/>
      <c r="I393" s="5"/>
      <c r="J393" s="6"/>
      <c r="K393" s="6"/>
      <c r="L393" s="6"/>
      <c r="M393" s="8"/>
      <c r="N393" s="9"/>
      <c r="O393" s="8"/>
      <c r="P393" s="10"/>
      <c r="Q393" s="11"/>
      <c r="R393" s="8"/>
      <c r="S393" s="8"/>
      <c r="T393" s="9"/>
    </row>
    <row r="394" spans="1:20" x14ac:dyDescent="0.4">
      <c r="A394" s="5"/>
      <c r="B394" s="5"/>
      <c r="C394" s="5"/>
      <c r="D394" s="5"/>
      <c r="E394" s="5"/>
      <c r="F394" s="6"/>
      <c r="G394" s="7"/>
      <c r="H394" s="7"/>
      <c r="I394" s="5"/>
      <c r="J394" s="6"/>
      <c r="K394" s="6"/>
      <c r="L394" s="6"/>
      <c r="M394" s="8"/>
      <c r="N394" s="9"/>
      <c r="O394" s="8"/>
      <c r="P394" s="10"/>
      <c r="Q394" s="11"/>
      <c r="R394" s="8"/>
      <c r="S394" s="8"/>
      <c r="T394" s="9"/>
    </row>
    <row r="395" spans="1:20" x14ac:dyDescent="0.4">
      <c r="A395" s="5"/>
      <c r="B395" s="5"/>
      <c r="C395" s="5"/>
      <c r="D395" s="5"/>
      <c r="E395" s="5"/>
      <c r="F395" s="6"/>
      <c r="G395" s="7"/>
      <c r="H395" s="7"/>
      <c r="I395" s="5"/>
      <c r="J395" s="6"/>
      <c r="K395" s="6"/>
      <c r="L395" s="6"/>
      <c r="M395" s="8"/>
      <c r="N395" s="9"/>
      <c r="O395" s="8"/>
      <c r="P395" s="10"/>
      <c r="Q395" s="11"/>
      <c r="R395" s="8"/>
      <c r="S395" s="8"/>
      <c r="T395" s="9"/>
    </row>
    <row r="396" spans="1:20" x14ac:dyDescent="0.4">
      <c r="A396" s="5"/>
      <c r="B396" s="5"/>
      <c r="C396" s="5"/>
      <c r="D396" s="5"/>
      <c r="E396" s="5"/>
      <c r="F396" s="6"/>
      <c r="G396" s="7"/>
      <c r="H396" s="7"/>
      <c r="I396" s="5"/>
      <c r="J396" s="6"/>
      <c r="K396" s="6"/>
      <c r="L396" s="6"/>
      <c r="M396" s="8"/>
      <c r="N396" s="9"/>
      <c r="O396" s="8"/>
      <c r="P396" s="10"/>
      <c r="Q396" s="11"/>
      <c r="R396" s="8"/>
      <c r="S396" s="8"/>
      <c r="T396" s="9"/>
    </row>
    <row r="397" spans="1:20" x14ac:dyDescent="0.4">
      <c r="A397" s="5"/>
      <c r="B397" s="5"/>
      <c r="C397" s="5"/>
      <c r="D397" s="5"/>
      <c r="E397" s="5"/>
      <c r="F397" s="6"/>
      <c r="G397" s="7"/>
      <c r="H397" s="7"/>
      <c r="I397" s="5"/>
      <c r="J397" s="6"/>
      <c r="K397" s="6"/>
      <c r="L397" s="6"/>
      <c r="M397" s="8"/>
      <c r="N397" s="9"/>
      <c r="O397" s="8"/>
      <c r="P397" s="10"/>
      <c r="Q397" s="11"/>
      <c r="R397" s="8"/>
      <c r="S397" s="8"/>
      <c r="T397" s="14"/>
    </row>
    <row r="398" spans="1:20" x14ac:dyDescent="0.4">
      <c r="A398" s="5"/>
      <c r="B398" s="5"/>
      <c r="C398" s="5"/>
      <c r="D398" s="5"/>
      <c r="E398" s="5"/>
      <c r="F398" s="6"/>
      <c r="G398" s="7"/>
      <c r="H398" s="7"/>
      <c r="I398" s="5"/>
      <c r="J398" s="6"/>
      <c r="K398" s="6"/>
      <c r="L398" s="6"/>
      <c r="M398" s="8"/>
      <c r="N398" s="9"/>
      <c r="O398" s="8"/>
      <c r="P398" s="10"/>
      <c r="Q398" s="11"/>
      <c r="R398" s="8"/>
      <c r="S398" s="8"/>
      <c r="T398" s="13"/>
    </row>
    <row r="399" spans="1:20" x14ac:dyDescent="0.4">
      <c r="A399" s="5"/>
      <c r="B399" s="5"/>
      <c r="C399" s="5"/>
      <c r="D399" s="5"/>
      <c r="E399" s="5"/>
      <c r="F399" s="6"/>
      <c r="G399" s="7"/>
      <c r="H399" s="7"/>
      <c r="I399" s="5"/>
      <c r="J399" s="6"/>
      <c r="K399" s="6"/>
      <c r="L399" s="6"/>
      <c r="M399" s="8"/>
      <c r="N399" s="9"/>
      <c r="O399" s="8"/>
      <c r="P399" s="10"/>
      <c r="Q399" s="11"/>
      <c r="R399" s="8"/>
      <c r="S399" s="8"/>
      <c r="T399" s="13"/>
    </row>
    <row r="400" spans="1:20" x14ac:dyDescent="0.4">
      <c r="A400" s="5"/>
      <c r="B400" s="5"/>
      <c r="C400" s="5"/>
      <c r="D400" s="5"/>
      <c r="E400" s="5"/>
      <c r="F400" s="6"/>
      <c r="G400" s="7"/>
      <c r="H400" s="7"/>
      <c r="I400" s="5"/>
      <c r="J400" s="6"/>
      <c r="K400" s="6"/>
      <c r="L400" s="6"/>
      <c r="M400" s="8"/>
      <c r="N400" s="9"/>
      <c r="O400" s="8"/>
      <c r="P400" s="10"/>
      <c r="Q400" s="11"/>
      <c r="R400" s="8"/>
      <c r="S400" s="8"/>
      <c r="T400" s="13"/>
    </row>
    <row r="401" spans="1:20" x14ac:dyDescent="0.4">
      <c r="A401" s="5"/>
      <c r="B401" s="5"/>
      <c r="C401" s="5"/>
      <c r="D401" s="5"/>
      <c r="E401" s="5"/>
      <c r="F401" s="6"/>
      <c r="G401" s="7"/>
      <c r="H401" s="7"/>
      <c r="I401" s="5"/>
      <c r="J401" s="6"/>
      <c r="K401" s="6"/>
      <c r="L401" s="6"/>
      <c r="M401" s="8"/>
      <c r="N401" s="9"/>
      <c r="O401" s="8"/>
      <c r="P401" s="10"/>
      <c r="Q401" s="11"/>
      <c r="R401" s="8"/>
      <c r="S401" s="8"/>
      <c r="T401" s="13"/>
    </row>
    <row r="402" spans="1:20" x14ac:dyDescent="0.4">
      <c r="A402" s="5"/>
      <c r="B402" s="5"/>
      <c r="C402" s="5"/>
      <c r="D402" s="5"/>
      <c r="E402" s="5"/>
      <c r="F402" s="6"/>
      <c r="G402" s="7"/>
      <c r="H402" s="7"/>
      <c r="I402" s="5"/>
      <c r="J402" s="6"/>
      <c r="K402" s="6"/>
      <c r="L402" s="6"/>
      <c r="M402" s="8"/>
      <c r="N402" s="9"/>
      <c r="O402" s="8"/>
      <c r="P402" s="10"/>
      <c r="Q402" s="11"/>
      <c r="R402" s="8"/>
      <c r="S402" s="8"/>
      <c r="T402" s="13"/>
    </row>
    <row r="403" spans="1:20" x14ac:dyDescent="0.4">
      <c r="A403" s="5"/>
      <c r="B403" s="5"/>
      <c r="C403" s="5"/>
      <c r="D403" s="5"/>
      <c r="E403" s="5"/>
      <c r="F403" s="6"/>
      <c r="G403" s="7"/>
      <c r="H403" s="7"/>
      <c r="I403" s="5"/>
      <c r="J403" s="6"/>
      <c r="K403" s="6"/>
      <c r="L403" s="6"/>
      <c r="M403" s="8"/>
      <c r="N403" s="9"/>
      <c r="O403" s="8"/>
      <c r="P403" s="10"/>
      <c r="Q403" s="11"/>
      <c r="R403" s="8"/>
      <c r="S403" s="8"/>
      <c r="T403" s="13"/>
    </row>
    <row r="404" spans="1:20" x14ac:dyDescent="0.4">
      <c r="A404" s="5"/>
      <c r="B404" s="5"/>
      <c r="C404" s="5"/>
      <c r="D404" s="5"/>
      <c r="E404" s="5"/>
      <c r="F404" s="6"/>
      <c r="G404" s="7"/>
      <c r="H404" s="7"/>
      <c r="I404" s="5"/>
      <c r="J404" s="6"/>
      <c r="K404" s="6"/>
      <c r="L404" s="6"/>
      <c r="M404" s="8"/>
      <c r="N404" s="9"/>
      <c r="O404" s="8"/>
      <c r="P404" s="10"/>
      <c r="Q404" s="11"/>
      <c r="R404" s="8"/>
      <c r="S404" s="8"/>
      <c r="T404" s="13"/>
    </row>
    <row r="405" spans="1:20" x14ac:dyDescent="0.4">
      <c r="A405" s="5"/>
      <c r="B405" s="5"/>
      <c r="C405" s="5"/>
      <c r="D405" s="5"/>
      <c r="E405" s="5"/>
      <c r="F405" s="6"/>
      <c r="G405" s="7"/>
      <c r="H405" s="7"/>
      <c r="I405" s="5"/>
      <c r="J405" s="6"/>
      <c r="K405" s="6"/>
      <c r="L405" s="6"/>
      <c r="M405" s="8"/>
      <c r="N405" s="9"/>
      <c r="O405" s="8"/>
      <c r="P405" s="10"/>
      <c r="Q405" s="11"/>
      <c r="R405" s="8"/>
      <c r="S405" s="8"/>
      <c r="T405" s="13"/>
    </row>
    <row r="406" spans="1:20" x14ac:dyDescent="0.4">
      <c r="A406" s="5"/>
      <c r="B406" s="5"/>
      <c r="C406" s="5"/>
      <c r="D406" s="5"/>
      <c r="E406" s="5"/>
      <c r="F406" s="6"/>
      <c r="G406" s="7"/>
      <c r="H406" s="7"/>
      <c r="I406" s="5"/>
      <c r="J406" s="6"/>
      <c r="K406" s="6"/>
      <c r="L406" s="6"/>
      <c r="M406" s="8"/>
      <c r="N406" s="9"/>
      <c r="O406" s="8"/>
      <c r="P406" s="10"/>
      <c r="Q406" s="11"/>
      <c r="R406" s="8"/>
      <c r="S406" s="8"/>
      <c r="T406" s="13"/>
    </row>
    <row r="407" spans="1:20" x14ac:dyDescent="0.4">
      <c r="A407" s="5"/>
      <c r="B407" s="5"/>
      <c r="C407" s="5"/>
      <c r="D407" s="5"/>
      <c r="E407" s="5"/>
      <c r="F407" s="6"/>
      <c r="G407" s="7"/>
      <c r="H407" s="7"/>
      <c r="I407" s="5"/>
      <c r="J407" s="6"/>
      <c r="K407" s="6"/>
      <c r="L407" s="6"/>
      <c r="M407" s="8"/>
      <c r="N407" s="9"/>
      <c r="O407" s="8"/>
      <c r="P407" s="10"/>
      <c r="Q407" s="11"/>
      <c r="R407" s="8"/>
      <c r="S407" s="8"/>
      <c r="T407" s="13"/>
    </row>
    <row r="408" spans="1:20" x14ac:dyDescent="0.4">
      <c r="A408" s="5"/>
      <c r="B408" s="5"/>
      <c r="C408" s="5"/>
      <c r="D408" s="5"/>
      <c r="E408" s="5"/>
      <c r="F408" s="6"/>
      <c r="G408" s="7"/>
      <c r="H408" s="7"/>
      <c r="I408" s="5"/>
      <c r="J408" s="6"/>
      <c r="K408" s="6"/>
      <c r="L408" s="6"/>
      <c r="M408" s="8"/>
      <c r="N408" s="9"/>
      <c r="O408" s="8"/>
      <c r="P408" s="10"/>
      <c r="Q408" s="11"/>
      <c r="R408" s="8"/>
      <c r="S408" s="8"/>
      <c r="T408" s="13"/>
    </row>
    <row r="409" spans="1:20" x14ac:dyDescent="0.4">
      <c r="A409" s="5"/>
      <c r="B409" s="5"/>
      <c r="C409" s="5"/>
      <c r="D409" s="5"/>
      <c r="E409" s="5"/>
      <c r="F409" s="6"/>
      <c r="G409" s="7"/>
      <c r="H409" s="7"/>
      <c r="I409" s="5"/>
      <c r="J409" s="6"/>
      <c r="K409" s="6"/>
      <c r="L409" s="6"/>
      <c r="M409" s="8"/>
      <c r="N409" s="9"/>
      <c r="O409" s="8"/>
      <c r="P409" s="10"/>
      <c r="Q409" s="11"/>
      <c r="R409" s="8"/>
      <c r="S409" s="8"/>
      <c r="T409" s="9"/>
    </row>
    <row r="410" spans="1:20" x14ac:dyDescent="0.4">
      <c r="A410" s="5"/>
      <c r="B410" s="5"/>
      <c r="C410" s="5"/>
      <c r="D410" s="5"/>
      <c r="E410" s="5"/>
      <c r="F410" s="6"/>
      <c r="G410" s="7"/>
      <c r="H410" s="7"/>
      <c r="I410" s="5"/>
      <c r="J410" s="6"/>
      <c r="K410" s="6"/>
      <c r="L410" s="6"/>
      <c r="M410" s="8"/>
      <c r="N410" s="9"/>
      <c r="O410" s="8"/>
      <c r="P410" s="10"/>
      <c r="Q410" s="11"/>
      <c r="R410" s="8"/>
      <c r="S410" s="8"/>
      <c r="T410" s="9"/>
    </row>
    <row r="411" spans="1:20" x14ac:dyDescent="0.4">
      <c r="A411" s="5"/>
      <c r="B411" s="5"/>
      <c r="C411" s="5"/>
      <c r="D411" s="5"/>
      <c r="E411" s="5"/>
      <c r="F411" s="6"/>
      <c r="G411" s="7"/>
      <c r="H411" s="7"/>
      <c r="I411" s="5"/>
      <c r="J411" s="6"/>
      <c r="K411" s="6"/>
      <c r="L411" s="6"/>
      <c r="M411" s="8"/>
      <c r="N411" s="9"/>
      <c r="O411" s="8"/>
      <c r="P411" s="10"/>
      <c r="Q411" s="11"/>
      <c r="R411" s="8"/>
      <c r="S411" s="8"/>
      <c r="T411" s="9"/>
    </row>
    <row r="412" spans="1:20" x14ac:dyDescent="0.4">
      <c r="A412" s="5"/>
      <c r="B412" s="5"/>
      <c r="C412" s="5"/>
      <c r="D412" s="5"/>
      <c r="E412" s="5"/>
      <c r="F412" s="6"/>
      <c r="G412" s="7"/>
      <c r="H412" s="7"/>
      <c r="I412" s="5"/>
      <c r="J412" s="6"/>
      <c r="K412" s="6"/>
      <c r="L412" s="6"/>
      <c r="M412" s="8"/>
      <c r="N412" s="9"/>
      <c r="O412" s="8"/>
      <c r="P412" s="10"/>
      <c r="Q412" s="11"/>
      <c r="R412" s="8"/>
      <c r="S412" s="8"/>
      <c r="T412" s="9"/>
    </row>
    <row r="413" spans="1:20" x14ac:dyDescent="0.4">
      <c r="A413" s="5"/>
      <c r="B413" s="5"/>
      <c r="C413" s="5"/>
      <c r="D413" s="5"/>
      <c r="E413" s="5"/>
      <c r="F413" s="6"/>
      <c r="G413" s="7"/>
      <c r="H413" s="7"/>
      <c r="I413" s="5"/>
      <c r="J413" s="6"/>
      <c r="K413" s="6"/>
      <c r="L413" s="6"/>
      <c r="M413" s="8"/>
      <c r="N413" s="9"/>
      <c r="O413" s="8"/>
      <c r="P413" s="10"/>
      <c r="Q413" s="11"/>
      <c r="R413" s="8"/>
      <c r="S413" s="8"/>
      <c r="T413" s="9"/>
    </row>
    <row r="414" spans="1:20" x14ac:dyDescent="0.4">
      <c r="A414" s="5"/>
      <c r="B414" s="5"/>
      <c r="C414" s="5"/>
      <c r="D414" s="5"/>
      <c r="E414" s="5"/>
      <c r="F414" s="6"/>
      <c r="G414" s="7"/>
      <c r="H414" s="7"/>
      <c r="I414" s="5"/>
      <c r="J414" s="6"/>
      <c r="K414" s="6"/>
      <c r="L414" s="6"/>
      <c r="M414" s="8"/>
      <c r="N414" s="9"/>
      <c r="O414" s="8"/>
      <c r="P414" s="10"/>
      <c r="Q414" s="11"/>
      <c r="R414" s="8"/>
      <c r="S414" s="8"/>
      <c r="T414" s="9"/>
    </row>
    <row r="415" spans="1:20" x14ac:dyDescent="0.4">
      <c r="A415" s="5"/>
      <c r="B415" s="5"/>
      <c r="C415" s="5"/>
      <c r="D415" s="5"/>
      <c r="E415" s="5"/>
      <c r="F415" s="6"/>
      <c r="G415" s="7"/>
      <c r="H415" s="7"/>
      <c r="I415" s="5"/>
      <c r="J415" s="6"/>
      <c r="K415" s="6"/>
      <c r="L415" s="6"/>
      <c r="M415" s="8"/>
      <c r="N415" s="9"/>
      <c r="O415" s="8"/>
      <c r="P415" s="10"/>
      <c r="Q415" s="11"/>
      <c r="R415" s="8"/>
      <c r="S415" s="8"/>
      <c r="T415" s="9"/>
    </row>
    <row r="416" spans="1:20" x14ac:dyDescent="0.4">
      <c r="A416" s="5"/>
      <c r="B416" s="5"/>
      <c r="C416" s="5"/>
      <c r="D416" s="5"/>
      <c r="E416" s="5"/>
      <c r="F416" s="6"/>
      <c r="G416" s="7"/>
      <c r="H416" s="7"/>
      <c r="I416" s="5"/>
      <c r="J416" s="6"/>
      <c r="K416" s="6"/>
      <c r="L416" s="6"/>
      <c r="M416" s="8"/>
      <c r="N416" s="9"/>
      <c r="O416" s="8"/>
      <c r="P416" s="10"/>
      <c r="Q416" s="11"/>
      <c r="R416" s="8"/>
      <c r="S416" s="8"/>
      <c r="T416" s="9"/>
    </row>
    <row r="417" spans="1:21" x14ac:dyDescent="0.4">
      <c r="A417" s="5"/>
      <c r="B417" s="5"/>
      <c r="C417" s="5"/>
      <c r="D417" s="5"/>
      <c r="E417" s="5"/>
      <c r="F417" s="6"/>
      <c r="G417" s="7"/>
      <c r="H417" s="7"/>
      <c r="I417" s="5"/>
      <c r="J417" s="6"/>
      <c r="K417" s="6"/>
      <c r="L417" s="6"/>
      <c r="M417" s="8"/>
      <c r="N417" s="9"/>
      <c r="O417" s="8"/>
      <c r="P417" s="10"/>
      <c r="Q417" s="11"/>
      <c r="R417" s="8"/>
      <c r="S417" s="8"/>
      <c r="T417" s="9"/>
    </row>
    <row r="418" spans="1:21" x14ac:dyDescent="0.4">
      <c r="A418" s="5"/>
      <c r="B418" s="5"/>
      <c r="C418" s="5"/>
      <c r="D418" s="5"/>
      <c r="E418" s="5"/>
      <c r="F418" s="6"/>
      <c r="G418" s="7"/>
      <c r="H418" s="7"/>
      <c r="I418" s="5"/>
      <c r="J418" s="6"/>
      <c r="K418" s="6"/>
      <c r="L418" s="6"/>
      <c r="M418" s="8"/>
      <c r="N418" s="9"/>
      <c r="O418" s="8"/>
      <c r="P418" s="10"/>
      <c r="Q418" s="11"/>
      <c r="R418" s="8"/>
      <c r="S418" s="8"/>
      <c r="T418" s="9"/>
    </row>
    <row r="419" spans="1:21" x14ac:dyDescent="0.4">
      <c r="A419" s="5"/>
      <c r="B419" s="5"/>
      <c r="C419" s="5"/>
      <c r="D419" s="5"/>
      <c r="E419" s="5"/>
      <c r="F419" s="6"/>
      <c r="G419" s="7"/>
      <c r="H419" s="7"/>
      <c r="I419" s="5"/>
      <c r="J419" s="6"/>
      <c r="K419" s="6"/>
      <c r="L419" s="6"/>
      <c r="M419" s="8"/>
      <c r="N419" s="9"/>
      <c r="O419" s="8"/>
      <c r="P419" s="10"/>
      <c r="Q419" s="11"/>
      <c r="R419" s="8"/>
      <c r="S419" s="8"/>
      <c r="T419" s="9"/>
    </row>
    <row r="420" spans="1:21" x14ac:dyDescent="0.4">
      <c r="A420" s="5"/>
      <c r="B420" s="5"/>
      <c r="C420" s="5"/>
      <c r="D420" s="5"/>
      <c r="E420" s="5"/>
      <c r="F420" s="6"/>
      <c r="G420" s="7"/>
      <c r="H420" s="7"/>
      <c r="I420" s="5"/>
      <c r="J420" s="6"/>
      <c r="K420" s="6"/>
      <c r="L420" s="6"/>
      <c r="M420" s="8"/>
      <c r="N420" s="9"/>
      <c r="O420" s="8"/>
      <c r="P420" s="10"/>
      <c r="Q420" s="11"/>
      <c r="R420" s="8"/>
      <c r="S420" s="8"/>
      <c r="T420" s="9"/>
    </row>
    <row r="421" spans="1:21" x14ac:dyDescent="0.4">
      <c r="A421" s="5"/>
      <c r="B421" s="5"/>
      <c r="C421" s="5"/>
      <c r="D421" s="5"/>
      <c r="E421" s="5"/>
      <c r="F421" s="6"/>
      <c r="G421" s="7"/>
      <c r="H421" s="7"/>
      <c r="I421" s="5"/>
      <c r="J421" s="6"/>
      <c r="K421" s="6"/>
      <c r="L421" s="6"/>
      <c r="M421" s="8"/>
      <c r="N421" s="9"/>
      <c r="O421" s="8"/>
      <c r="P421" s="10"/>
      <c r="Q421" s="11"/>
      <c r="R421" s="8"/>
      <c r="S421" s="8"/>
      <c r="T421" s="9"/>
    </row>
    <row r="422" spans="1:21" x14ac:dyDescent="0.4">
      <c r="A422" s="5"/>
      <c r="B422" s="5"/>
      <c r="C422" s="5"/>
      <c r="D422" s="5"/>
      <c r="E422" s="5"/>
      <c r="F422" s="6"/>
      <c r="G422" s="7"/>
      <c r="H422" s="7"/>
      <c r="I422" s="5"/>
      <c r="J422" s="6"/>
      <c r="K422" s="6"/>
      <c r="L422" s="6"/>
      <c r="M422" s="8"/>
      <c r="N422" s="9"/>
      <c r="O422" s="8"/>
      <c r="P422" s="10"/>
      <c r="Q422" s="11"/>
      <c r="R422" s="8"/>
      <c r="S422" s="8"/>
      <c r="T422" s="9"/>
    </row>
    <row r="423" spans="1:21" x14ac:dyDescent="0.4">
      <c r="A423" s="5"/>
      <c r="B423" s="5"/>
      <c r="C423" s="5"/>
      <c r="D423" s="5"/>
      <c r="E423" s="5"/>
      <c r="F423" s="6"/>
      <c r="G423" s="7"/>
      <c r="H423" s="7"/>
      <c r="I423" s="5"/>
      <c r="J423" s="6"/>
      <c r="K423" s="6"/>
      <c r="L423" s="6"/>
      <c r="M423" s="8"/>
      <c r="N423" s="9"/>
      <c r="O423" s="8"/>
      <c r="P423" s="10"/>
      <c r="Q423" s="11"/>
      <c r="R423" s="8"/>
      <c r="S423" s="8"/>
      <c r="T423" s="9"/>
    </row>
    <row r="424" spans="1:21" x14ac:dyDescent="0.4">
      <c r="A424" s="5"/>
      <c r="B424" s="5"/>
      <c r="C424" s="5"/>
      <c r="D424" s="5"/>
      <c r="E424" s="5"/>
      <c r="F424" s="6"/>
      <c r="G424" s="7"/>
      <c r="H424" s="7"/>
      <c r="I424" s="5"/>
      <c r="J424" s="6"/>
      <c r="K424" s="6"/>
      <c r="L424" s="6"/>
      <c r="M424" s="8"/>
      <c r="N424" s="9"/>
      <c r="O424" s="8"/>
      <c r="P424" s="10"/>
      <c r="Q424" s="11"/>
      <c r="R424" s="8"/>
      <c r="S424" s="8"/>
      <c r="T424" s="9"/>
    </row>
    <row r="425" spans="1:21" x14ac:dyDescent="0.4">
      <c r="A425" s="5"/>
      <c r="B425" s="5"/>
      <c r="C425" s="5"/>
      <c r="D425" s="5"/>
      <c r="E425" s="5"/>
      <c r="F425" s="6"/>
      <c r="G425" s="7"/>
      <c r="H425" s="7"/>
      <c r="I425" s="5"/>
      <c r="J425" s="6"/>
      <c r="K425" s="6"/>
      <c r="L425" s="6"/>
      <c r="M425" s="8"/>
      <c r="N425" s="9"/>
      <c r="O425" s="8"/>
      <c r="P425" s="10"/>
      <c r="Q425" s="11"/>
      <c r="R425" s="8"/>
      <c r="S425" s="8"/>
      <c r="T425" s="8"/>
    </row>
    <row r="426" spans="1:21" x14ac:dyDescent="0.4">
      <c r="A426" s="5"/>
      <c r="B426" s="5"/>
      <c r="C426" s="5"/>
      <c r="D426" s="5"/>
      <c r="E426" s="5"/>
      <c r="F426" s="6"/>
      <c r="G426" s="7"/>
      <c r="H426" s="7"/>
      <c r="I426" s="5"/>
      <c r="J426" s="6"/>
      <c r="K426" s="6"/>
      <c r="L426" s="6"/>
      <c r="M426" s="8"/>
      <c r="N426" s="9"/>
      <c r="O426" s="8"/>
      <c r="P426" s="10"/>
      <c r="Q426" s="11"/>
      <c r="R426" s="8"/>
      <c r="S426" s="8"/>
      <c r="T426" s="13"/>
      <c r="U426" s="16"/>
    </row>
    <row r="427" spans="1:21" x14ac:dyDescent="0.4">
      <c r="A427" s="5"/>
      <c r="B427" s="5"/>
      <c r="C427" s="5"/>
      <c r="D427" s="5"/>
      <c r="E427" s="5"/>
      <c r="F427" s="6"/>
      <c r="G427" s="7"/>
      <c r="H427" s="7"/>
      <c r="I427" s="5"/>
      <c r="J427" s="6"/>
      <c r="K427" s="6"/>
      <c r="L427" s="6"/>
      <c r="M427" s="8"/>
      <c r="N427" s="9"/>
      <c r="O427" s="8"/>
      <c r="P427" s="10"/>
      <c r="Q427" s="11"/>
      <c r="R427" s="8"/>
      <c r="S427" s="8"/>
      <c r="T427" s="9"/>
    </row>
    <row r="428" spans="1:21" x14ac:dyDescent="0.4">
      <c r="A428" s="5"/>
      <c r="B428" s="5"/>
      <c r="C428" s="5"/>
      <c r="D428" s="5"/>
      <c r="E428" s="5"/>
      <c r="F428" s="6"/>
      <c r="G428" s="7"/>
      <c r="H428" s="7"/>
      <c r="I428" s="5"/>
      <c r="J428" s="6"/>
      <c r="K428" s="6"/>
      <c r="L428" s="6"/>
      <c r="M428" s="8"/>
      <c r="N428" s="9"/>
      <c r="O428" s="8"/>
      <c r="P428" s="10"/>
      <c r="Q428" s="11"/>
      <c r="R428" s="8"/>
      <c r="S428" s="8"/>
      <c r="T428" s="9"/>
    </row>
    <row r="429" spans="1:21" x14ac:dyDescent="0.4">
      <c r="A429" s="5"/>
      <c r="B429" s="5"/>
      <c r="C429" s="5"/>
      <c r="D429" s="5"/>
      <c r="E429" s="5"/>
      <c r="F429" s="6"/>
      <c r="G429" s="7"/>
      <c r="H429" s="7"/>
      <c r="I429" s="5"/>
      <c r="J429" s="6"/>
      <c r="K429" s="6"/>
      <c r="L429" s="6"/>
      <c r="M429" s="8"/>
      <c r="N429" s="9"/>
      <c r="O429" s="8"/>
      <c r="P429" s="10"/>
      <c r="Q429" s="11"/>
      <c r="R429" s="8"/>
      <c r="S429" s="8"/>
      <c r="T429" s="9"/>
    </row>
    <row r="430" spans="1:21" x14ac:dyDescent="0.4">
      <c r="A430" s="5"/>
      <c r="B430" s="5"/>
      <c r="C430" s="5"/>
      <c r="D430" s="5"/>
      <c r="E430" s="5"/>
      <c r="F430" s="6"/>
      <c r="G430" s="7"/>
      <c r="H430" s="7"/>
      <c r="I430" s="5"/>
      <c r="J430" s="6"/>
      <c r="K430" s="6"/>
      <c r="L430" s="6"/>
      <c r="M430" s="8"/>
      <c r="N430" s="9"/>
      <c r="O430" s="8"/>
      <c r="P430" s="10"/>
      <c r="Q430" s="11"/>
      <c r="R430" s="8"/>
      <c r="S430" s="8"/>
      <c r="T430" s="9"/>
    </row>
    <row r="431" spans="1:21" x14ac:dyDescent="0.4">
      <c r="A431" s="5"/>
      <c r="B431" s="5"/>
      <c r="C431" s="5"/>
      <c r="D431" s="5"/>
      <c r="E431" s="5"/>
      <c r="F431" s="6"/>
      <c r="G431" s="7"/>
      <c r="H431" s="7"/>
      <c r="I431" s="5"/>
      <c r="J431" s="6"/>
      <c r="K431" s="6"/>
      <c r="L431" s="6"/>
      <c r="M431" s="8"/>
      <c r="N431" s="9"/>
      <c r="O431" s="8"/>
      <c r="P431" s="10"/>
      <c r="Q431" s="11"/>
      <c r="R431" s="8"/>
      <c r="S431" s="8"/>
      <c r="T431" s="9"/>
    </row>
    <row r="432" spans="1:21" x14ac:dyDescent="0.4">
      <c r="A432" s="5"/>
      <c r="B432" s="5"/>
      <c r="C432" s="5"/>
      <c r="D432" s="5"/>
      <c r="E432" s="5"/>
      <c r="F432" s="6"/>
      <c r="G432" s="7"/>
      <c r="H432" s="7"/>
      <c r="I432" s="5"/>
      <c r="J432" s="6"/>
      <c r="K432" s="6"/>
      <c r="L432" s="6"/>
      <c r="M432" s="8"/>
      <c r="N432" s="9"/>
      <c r="O432" s="8"/>
      <c r="P432" s="10"/>
      <c r="Q432" s="11"/>
      <c r="R432" s="8"/>
      <c r="S432" s="8"/>
      <c r="T432" s="9"/>
    </row>
    <row r="433" spans="1:21" x14ac:dyDescent="0.4">
      <c r="A433" s="5"/>
      <c r="B433" s="5"/>
      <c r="C433" s="5"/>
      <c r="D433" s="5"/>
      <c r="E433" s="5"/>
      <c r="F433" s="6"/>
      <c r="G433" s="7"/>
      <c r="H433" s="7"/>
      <c r="I433" s="5"/>
      <c r="J433" s="6"/>
      <c r="K433" s="6"/>
      <c r="L433" s="6"/>
      <c r="M433" s="8"/>
      <c r="N433" s="9"/>
      <c r="O433" s="8"/>
      <c r="P433" s="10"/>
      <c r="Q433" s="11"/>
      <c r="R433" s="8"/>
      <c r="S433" s="8"/>
      <c r="T433" s="9"/>
    </row>
    <row r="434" spans="1:21" x14ac:dyDescent="0.4">
      <c r="A434" s="5"/>
      <c r="B434" s="5"/>
      <c r="C434" s="5"/>
      <c r="D434" s="5"/>
      <c r="E434" s="5"/>
      <c r="F434" s="6"/>
      <c r="G434" s="7"/>
      <c r="H434" s="7"/>
      <c r="I434" s="5"/>
      <c r="J434" s="6"/>
      <c r="K434" s="6"/>
      <c r="L434" s="6"/>
      <c r="M434" s="8"/>
      <c r="N434" s="9"/>
      <c r="O434" s="8"/>
      <c r="P434" s="10"/>
      <c r="Q434" s="11"/>
      <c r="R434" s="8"/>
      <c r="S434" s="8"/>
      <c r="T434" s="9"/>
    </row>
    <row r="435" spans="1:21" x14ac:dyDescent="0.4">
      <c r="A435" s="5"/>
      <c r="B435" s="5"/>
      <c r="C435" s="5"/>
      <c r="D435" s="5"/>
      <c r="E435" s="5"/>
      <c r="F435" s="6"/>
      <c r="G435" s="7"/>
      <c r="H435" s="7"/>
      <c r="I435" s="5"/>
      <c r="J435" s="6"/>
      <c r="K435" s="6"/>
      <c r="L435" s="6"/>
      <c r="M435" s="8"/>
      <c r="N435" s="9"/>
      <c r="O435" s="8"/>
      <c r="P435" s="10"/>
      <c r="Q435" s="11"/>
      <c r="R435" s="8"/>
      <c r="S435" s="8"/>
      <c r="T435" s="9"/>
    </row>
    <row r="436" spans="1:21" x14ac:dyDescent="0.4">
      <c r="A436" s="5"/>
      <c r="B436" s="5"/>
      <c r="C436" s="5"/>
      <c r="D436" s="5"/>
      <c r="E436" s="19"/>
      <c r="F436" s="6"/>
      <c r="G436" s="7"/>
      <c r="H436" s="7"/>
      <c r="I436" s="5"/>
      <c r="J436" s="6"/>
      <c r="K436" s="6"/>
      <c r="L436" s="6"/>
      <c r="M436" s="8"/>
      <c r="N436" s="9"/>
      <c r="O436" s="8"/>
      <c r="P436" s="10"/>
      <c r="Q436" s="11"/>
      <c r="R436" s="8"/>
      <c r="S436" s="8"/>
      <c r="T436" s="9"/>
    </row>
    <row r="437" spans="1:21" x14ac:dyDescent="0.4">
      <c r="A437" s="5"/>
      <c r="B437" s="5"/>
      <c r="C437" s="5"/>
      <c r="D437" s="5"/>
      <c r="E437" s="5"/>
      <c r="F437" s="6"/>
      <c r="G437" s="7"/>
      <c r="H437" s="7"/>
      <c r="I437" s="5"/>
      <c r="J437" s="6"/>
      <c r="K437" s="6"/>
      <c r="L437" s="6"/>
      <c r="M437" s="8"/>
      <c r="N437" s="9"/>
      <c r="O437" s="8"/>
      <c r="P437" s="10"/>
      <c r="Q437" s="11"/>
      <c r="R437" s="8"/>
      <c r="S437" s="8"/>
      <c r="T437" s="9"/>
    </row>
    <row r="438" spans="1:21" x14ac:dyDescent="0.4">
      <c r="A438" s="5"/>
      <c r="B438" s="5"/>
      <c r="C438" s="5"/>
      <c r="D438" s="5"/>
      <c r="E438" s="5"/>
      <c r="F438" s="6"/>
      <c r="G438" s="7"/>
      <c r="H438" s="7"/>
      <c r="I438" s="5"/>
      <c r="J438" s="6"/>
      <c r="K438" s="6"/>
      <c r="L438" s="6"/>
      <c r="M438" s="8"/>
      <c r="N438" s="9"/>
      <c r="O438" s="8"/>
      <c r="P438" s="10"/>
      <c r="Q438" s="11"/>
      <c r="R438" s="8"/>
      <c r="S438" s="8"/>
      <c r="T438" s="9"/>
    </row>
    <row r="439" spans="1:21" x14ac:dyDescent="0.4">
      <c r="A439" s="5"/>
      <c r="B439" s="5"/>
      <c r="C439" s="5"/>
      <c r="D439" s="5"/>
      <c r="E439" s="5"/>
      <c r="F439" s="6"/>
      <c r="G439" s="7"/>
      <c r="H439" s="7"/>
      <c r="I439" s="5"/>
      <c r="J439" s="6"/>
      <c r="K439" s="6"/>
      <c r="L439" s="6"/>
      <c r="M439" s="8"/>
      <c r="N439" s="9"/>
      <c r="O439" s="8"/>
      <c r="P439" s="10"/>
      <c r="Q439" s="11"/>
      <c r="R439" s="8"/>
      <c r="S439" s="8"/>
      <c r="T439" s="9"/>
    </row>
    <row r="440" spans="1:21" x14ac:dyDescent="0.4">
      <c r="A440" s="5"/>
      <c r="B440" s="5"/>
      <c r="C440" s="5"/>
      <c r="D440" s="5"/>
      <c r="E440" s="5"/>
      <c r="F440" s="6"/>
      <c r="G440" s="7"/>
      <c r="H440" s="7"/>
      <c r="I440" s="5"/>
      <c r="J440" s="6"/>
      <c r="K440" s="6"/>
      <c r="L440" s="6"/>
      <c r="M440" s="8"/>
      <c r="N440" s="9"/>
      <c r="O440" s="8"/>
      <c r="P440" s="10"/>
      <c r="Q440" s="11"/>
      <c r="R440" s="8"/>
      <c r="S440" s="8"/>
      <c r="T440" s="9"/>
    </row>
    <row r="441" spans="1:21" x14ac:dyDescent="0.4">
      <c r="A441" s="5"/>
      <c r="B441" s="5"/>
      <c r="C441" s="5"/>
      <c r="D441" s="5"/>
      <c r="E441" s="5"/>
      <c r="F441" s="6"/>
      <c r="G441" s="7"/>
      <c r="H441" s="7"/>
      <c r="I441" s="5"/>
      <c r="J441" s="6"/>
      <c r="K441" s="6"/>
      <c r="L441" s="6"/>
      <c r="M441" s="8"/>
      <c r="N441" s="9"/>
      <c r="O441" s="8"/>
      <c r="P441" s="10"/>
      <c r="Q441" s="11"/>
      <c r="R441" s="8"/>
      <c r="S441" s="8"/>
      <c r="T441" s="9"/>
    </row>
    <row r="442" spans="1:21" x14ac:dyDescent="0.4">
      <c r="A442" s="5"/>
      <c r="B442" s="5"/>
      <c r="C442" s="5"/>
      <c r="D442" s="5"/>
      <c r="E442" s="5"/>
      <c r="F442" s="6"/>
      <c r="G442" s="7"/>
      <c r="H442" s="7"/>
      <c r="I442" s="5"/>
      <c r="J442" s="6"/>
      <c r="K442" s="6"/>
      <c r="L442" s="6"/>
      <c r="M442" s="8"/>
      <c r="N442" s="9"/>
      <c r="O442" s="8"/>
      <c r="P442" s="10"/>
      <c r="Q442" s="11"/>
      <c r="R442" s="8"/>
      <c r="S442" s="8"/>
      <c r="T442" s="9"/>
    </row>
    <row r="443" spans="1:21" x14ac:dyDescent="0.4">
      <c r="A443" s="5"/>
      <c r="B443" s="5"/>
      <c r="C443" s="5"/>
      <c r="D443" s="5"/>
      <c r="E443" s="5"/>
      <c r="F443" s="6"/>
      <c r="G443" s="7"/>
      <c r="H443" s="7"/>
      <c r="I443" s="5"/>
      <c r="J443" s="6"/>
      <c r="K443" s="6"/>
      <c r="L443" s="6"/>
      <c r="M443" s="8"/>
      <c r="N443" s="9"/>
      <c r="O443" s="8"/>
      <c r="P443" s="10"/>
      <c r="Q443" s="11"/>
      <c r="R443" s="8"/>
      <c r="S443" s="8"/>
      <c r="T443" s="9"/>
    </row>
    <row r="444" spans="1:21" x14ac:dyDescent="0.4">
      <c r="A444" s="5"/>
      <c r="B444" s="5"/>
      <c r="C444" s="5"/>
      <c r="D444" s="5"/>
      <c r="E444" s="5"/>
      <c r="F444" s="6"/>
      <c r="G444" s="7"/>
      <c r="H444" s="7"/>
      <c r="I444" s="5"/>
      <c r="J444" s="6"/>
      <c r="K444" s="6"/>
      <c r="L444" s="6"/>
      <c r="M444" s="8"/>
      <c r="N444" s="9"/>
      <c r="O444" s="8"/>
      <c r="P444" s="10"/>
      <c r="Q444" s="11"/>
      <c r="R444" s="8"/>
      <c r="S444" s="8"/>
      <c r="T444" s="9"/>
    </row>
    <row r="445" spans="1:21" x14ac:dyDescent="0.4">
      <c r="A445" s="5"/>
      <c r="B445" s="5"/>
      <c r="C445" s="5"/>
      <c r="D445" s="5"/>
      <c r="E445" s="5"/>
      <c r="F445" s="6"/>
      <c r="G445" s="7"/>
      <c r="H445" s="7"/>
      <c r="I445" s="5"/>
      <c r="J445" s="6"/>
      <c r="K445" s="6"/>
      <c r="L445" s="6"/>
      <c r="M445" s="8"/>
      <c r="N445" s="9"/>
      <c r="O445" s="8"/>
      <c r="P445" s="10"/>
      <c r="Q445" s="11"/>
      <c r="R445" s="8"/>
      <c r="S445" s="8"/>
      <c r="T445" s="9"/>
      <c r="U445" s="16"/>
    </row>
    <row r="446" spans="1:21" x14ac:dyDescent="0.4">
      <c r="A446" s="5"/>
      <c r="B446" s="5"/>
      <c r="C446" s="5"/>
      <c r="D446" s="5"/>
      <c r="E446" s="5"/>
      <c r="F446" s="6"/>
      <c r="G446" s="7"/>
      <c r="H446" s="7"/>
      <c r="I446" s="5"/>
      <c r="J446" s="6"/>
      <c r="K446" s="6"/>
      <c r="L446" s="6"/>
      <c r="M446" s="8"/>
      <c r="N446" s="9"/>
      <c r="O446" s="8"/>
      <c r="P446" s="10"/>
      <c r="Q446" s="11"/>
      <c r="R446" s="8"/>
      <c r="S446" s="8"/>
      <c r="T446" s="9"/>
    </row>
    <row r="447" spans="1:21" x14ac:dyDescent="0.4">
      <c r="A447" s="5"/>
      <c r="B447" s="5"/>
      <c r="C447" s="5"/>
      <c r="D447" s="5"/>
      <c r="E447" s="5"/>
      <c r="F447" s="6"/>
      <c r="G447" s="7"/>
      <c r="H447" s="7"/>
      <c r="I447" s="5"/>
      <c r="J447" s="6"/>
      <c r="K447" s="6"/>
      <c r="L447" s="6"/>
      <c r="M447" s="8"/>
      <c r="N447" s="9"/>
      <c r="O447" s="8"/>
      <c r="P447" s="10"/>
      <c r="Q447" s="11"/>
      <c r="R447" s="8"/>
      <c r="S447" s="8"/>
      <c r="T447" s="9"/>
    </row>
    <row r="448" spans="1:21" x14ac:dyDescent="0.4">
      <c r="A448" s="5"/>
      <c r="B448" s="5"/>
      <c r="C448" s="5"/>
      <c r="D448" s="5"/>
      <c r="E448" s="5"/>
      <c r="F448" s="6"/>
      <c r="G448" s="7"/>
      <c r="H448" s="7"/>
      <c r="I448" s="5"/>
      <c r="J448" s="6"/>
      <c r="K448" s="6"/>
      <c r="L448" s="6"/>
      <c r="M448" s="8"/>
      <c r="N448" s="9"/>
      <c r="O448" s="8"/>
      <c r="P448" s="10"/>
      <c r="Q448" s="11"/>
      <c r="R448" s="8"/>
      <c r="S448" s="8"/>
      <c r="T448" s="9"/>
    </row>
    <row r="449" spans="1:20" x14ac:dyDescent="0.4">
      <c r="A449" s="5"/>
      <c r="B449" s="5"/>
      <c r="C449" s="5"/>
      <c r="D449" s="5"/>
      <c r="E449" s="5"/>
      <c r="F449" s="6"/>
      <c r="G449" s="7"/>
      <c r="H449" s="7"/>
      <c r="I449" s="5"/>
      <c r="J449" s="6"/>
      <c r="K449" s="6"/>
      <c r="L449" s="6"/>
      <c r="M449" s="8"/>
      <c r="N449" s="9"/>
      <c r="O449" s="8"/>
      <c r="P449" s="10"/>
      <c r="Q449" s="11"/>
      <c r="R449" s="8"/>
      <c r="S449" s="8"/>
      <c r="T449" s="14"/>
    </row>
    <row r="450" spans="1:20" x14ac:dyDescent="0.4">
      <c r="A450" s="5"/>
      <c r="B450" s="5"/>
      <c r="C450" s="5"/>
      <c r="D450" s="5"/>
      <c r="E450" s="5"/>
      <c r="F450" s="6"/>
      <c r="G450" s="7"/>
      <c r="H450" s="7"/>
      <c r="I450" s="5"/>
      <c r="J450" s="6"/>
      <c r="K450" s="6"/>
      <c r="L450" s="6"/>
      <c r="M450" s="8"/>
      <c r="N450" s="9"/>
      <c r="O450" s="8"/>
      <c r="P450" s="10"/>
      <c r="Q450" s="11"/>
      <c r="R450" s="8"/>
      <c r="S450" s="8"/>
      <c r="T450" s="13"/>
    </row>
    <row r="451" spans="1:20" x14ac:dyDescent="0.4">
      <c r="A451" s="5"/>
      <c r="B451" s="5"/>
      <c r="C451" s="5"/>
      <c r="D451" s="5"/>
      <c r="E451" s="5"/>
      <c r="F451" s="6"/>
      <c r="G451" s="7"/>
      <c r="H451" s="7"/>
      <c r="I451" s="5"/>
      <c r="J451" s="6"/>
      <c r="K451" s="6"/>
      <c r="L451" s="6"/>
      <c r="M451" s="8"/>
      <c r="N451" s="9"/>
      <c r="O451" s="8"/>
      <c r="P451" s="10"/>
      <c r="Q451" s="11"/>
      <c r="R451" s="8"/>
      <c r="S451" s="8"/>
      <c r="T451" s="13"/>
    </row>
    <row r="452" spans="1:20" x14ac:dyDescent="0.4">
      <c r="A452" s="5"/>
      <c r="B452" s="5"/>
      <c r="C452" s="5"/>
      <c r="D452" s="5"/>
      <c r="E452" s="5"/>
      <c r="F452" s="6"/>
      <c r="G452" s="7"/>
      <c r="H452" s="7"/>
      <c r="I452" s="5"/>
      <c r="J452" s="6"/>
      <c r="K452" s="6"/>
      <c r="L452" s="6"/>
      <c r="M452" s="8"/>
      <c r="N452" s="9"/>
      <c r="O452" s="8"/>
      <c r="P452" s="10"/>
      <c r="Q452" s="11"/>
      <c r="R452" s="8"/>
      <c r="S452" s="8"/>
      <c r="T452" s="13"/>
    </row>
    <row r="453" spans="1:20" x14ac:dyDescent="0.4">
      <c r="A453" s="5"/>
      <c r="B453" s="5"/>
      <c r="C453" s="5"/>
      <c r="D453" s="5"/>
      <c r="E453" s="5"/>
      <c r="F453" s="6"/>
      <c r="G453" s="7"/>
      <c r="H453" s="7"/>
      <c r="I453" s="5"/>
      <c r="J453" s="6"/>
      <c r="K453" s="6"/>
      <c r="L453" s="6"/>
      <c r="M453" s="8"/>
      <c r="N453" s="9"/>
      <c r="O453" s="8"/>
      <c r="P453" s="10"/>
      <c r="Q453" s="11"/>
      <c r="R453" s="8"/>
      <c r="S453" s="8"/>
      <c r="T453" s="13"/>
    </row>
    <row r="454" spans="1:20" x14ac:dyDescent="0.4">
      <c r="A454" s="5"/>
      <c r="B454" s="5"/>
      <c r="C454" s="5"/>
      <c r="D454" s="5"/>
      <c r="E454" s="5"/>
      <c r="F454" s="6"/>
      <c r="G454" s="7"/>
      <c r="H454" s="7"/>
      <c r="I454" s="5"/>
      <c r="J454" s="6"/>
      <c r="K454" s="6"/>
      <c r="L454" s="6"/>
      <c r="M454" s="8"/>
      <c r="N454" s="9"/>
      <c r="O454" s="8"/>
      <c r="P454" s="10"/>
      <c r="Q454" s="11"/>
      <c r="R454" s="8"/>
      <c r="S454" s="8"/>
      <c r="T454" s="13"/>
    </row>
    <row r="455" spans="1:20" x14ac:dyDescent="0.4">
      <c r="A455" s="5"/>
      <c r="B455" s="5"/>
      <c r="C455" s="5"/>
      <c r="D455" s="5"/>
      <c r="E455" s="5"/>
      <c r="F455" s="6"/>
      <c r="G455" s="7"/>
      <c r="H455" s="7"/>
      <c r="I455" s="5"/>
      <c r="J455" s="6"/>
      <c r="K455" s="6"/>
      <c r="L455" s="6"/>
      <c r="M455" s="8"/>
      <c r="N455" s="9"/>
      <c r="O455" s="8"/>
      <c r="P455" s="10"/>
      <c r="Q455" s="11"/>
      <c r="R455" s="8"/>
      <c r="S455" s="8"/>
      <c r="T455" s="13"/>
    </row>
    <row r="456" spans="1:20" x14ac:dyDescent="0.4">
      <c r="A456" s="5"/>
      <c r="B456" s="5"/>
      <c r="C456" s="5"/>
      <c r="D456" s="5"/>
      <c r="E456" s="5"/>
      <c r="F456" s="6"/>
      <c r="G456" s="7"/>
      <c r="H456" s="7"/>
      <c r="I456" s="5"/>
      <c r="J456" s="6"/>
      <c r="K456" s="6"/>
      <c r="L456" s="6"/>
      <c r="M456" s="8"/>
      <c r="N456" s="9"/>
      <c r="O456" s="8"/>
      <c r="P456" s="10"/>
      <c r="Q456" s="11"/>
      <c r="R456" s="8"/>
      <c r="S456" s="8"/>
      <c r="T456" s="13"/>
    </row>
    <row r="457" spans="1:20" x14ac:dyDescent="0.4">
      <c r="A457" s="5"/>
      <c r="B457" s="5"/>
      <c r="C457" s="5"/>
      <c r="D457" s="5"/>
      <c r="E457" s="5"/>
      <c r="F457" s="6"/>
      <c r="G457" s="7"/>
      <c r="H457" s="7"/>
      <c r="I457" s="5"/>
      <c r="J457" s="6"/>
      <c r="K457" s="6"/>
      <c r="L457" s="6"/>
      <c r="M457" s="8"/>
      <c r="N457" s="9"/>
      <c r="O457" s="8"/>
      <c r="P457" s="10"/>
      <c r="Q457" s="11"/>
      <c r="R457" s="8"/>
      <c r="S457" s="8"/>
      <c r="T457" s="13"/>
    </row>
    <row r="458" spans="1:20" x14ac:dyDescent="0.4">
      <c r="A458" s="5"/>
      <c r="B458" s="5"/>
      <c r="C458" s="5"/>
      <c r="D458" s="5"/>
      <c r="E458" s="5"/>
      <c r="F458" s="6"/>
      <c r="G458" s="7"/>
      <c r="H458" s="7"/>
      <c r="I458" s="5"/>
      <c r="J458" s="6"/>
      <c r="K458" s="6"/>
      <c r="L458" s="6"/>
      <c r="M458" s="8"/>
      <c r="N458" s="9"/>
      <c r="O458" s="8"/>
      <c r="P458" s="10"/>
      <c r="Q458" s="11"/>
      <c r="R458" s="8"/>
      <c r="S458" s="8"/>
      <c r="T458" s="9"/>
    </row>
    <row r="459" spans="1:20" x14ac:dyDescent="0.4">
      <c r="A459" s="5"/>
      <c r="B459" s="5"/>
      <c r="C459" s="5"/>
      <c r="D459" s="5"/>
      <c r="E459" s="5"/>
      <c r="F459" s="6"/>
      <c r="G459" s="7"/>
      <c r="H459" s="7"/>
      <c r="I459" s="5"/>
      <c r="J459" s="6"/>
      <c r="K459" s="6"/>
      <c r="L459" s="6"/>
      <c r="M459" s="8"/>
      <c r="N459" s="9"/>
      <c r="O459" s="8"/>
      <c r="P459" s="10"/>
      <c r="Q459" s="11"/>
      <c r="R459" s="8"/>
      <c r="S459" s="8"/>
      <c r="T459" s="9"/>
    </row>
    <row r="460" spans="1:20" x14ac:dyDescent="0.4">
      <c r="A460" s="5"/>
      <c r="B460" s="5"/>
      <c r="C460" s="5"/>
      <c r="D460" s="5"/>
      <c r="E460" s="5"/>
      <c r="F460" s="6"/>
      <c r="G460" s="7"/>
      <c r="H460" s="7"/>
      <c r="I460" s="5"/>
      <c r="J460" s="6"/>
      <c r="K460" s="6"/>
      <c r="L460" s="6"/>
      <c r="M460" s="8"/>
      <c r="N460" s="9"/>
      <c r="O460" s="8"/>
      <c r="P460" s="10"/>
      <c r="Q460" s="11"/>
      <c r="R460" s="8"/>
      <c r="S460" s="8"/>
      <c r="T460" s="9"/>
    </row>
    <row r="461" spans="1:20" x14ac:dyDescent="0.4">
      <c r="A461" s="5"/>
      <c r="B461" s="5"/>
      <c r="C461" s="5"/>
      <c r="D461" s="5"/>
      <c r="E461" s="5"/>
      <c r="F461" s="6"/>
      <c r="G461" s="7"/>
      <c r="H461" s="7"/>
      <c r="I461" s="5"/>
      <c r="J461" s="6"/>
      <c r="K461" s="6"/>
      <c r="L461" s="6"/>
      <c r="M461" s="8"/>
      <c r="N461" s="9"/>
      <c r="O461" s="8"/>
      <c r="P461" s="10"/>
      <c r="Q461" s="11"/>
      <c r="R461" s="8"/>
      <c r="S461" s="9"/>
      <c r="T461" s="9"/>
    </row>
    <row r="462" spans="1:20" x14ac:dyDescent="0.4">
      <c r="A462" s="5"/>
      <c r="B462" s="5"/>
      <c r="C462" s="5"/>
      <c r="D462" s="5"/>
      <c r="E462" s="5"/>
      <c r="F462" s="6"/>
      <c r="G462" s="7"/>
      <c r="H462" s="7"/>
      <c r="I462" s="5"/>
      <c r="J462" s="6"/>
      <c r="K462" s="6"/>
      <c r="L462" s="6"/>
      <c r="M462" s="8"/>
      <c r="N462" s="9"/>
      <c r="O462" s="8"/>
      <c r="P462" s="10"/>
      <c r="Q462" s="11"/>
      <c r="R462" s="8"/>
      <c r="S462" s="9"/>
      <c r="T462" s="9"/>
    </row>
    <row r="463" spans="1:20" x14ac:dyDescent="0.4">
      <c r="A463" s="5"/>
      <c r="B463" s="5"/>
      <c r="C463" s="5"/>
      <c r="D463" s="5"/>
      <c r="E463" s="5"/>
      <c r="F463" s="6"/>
      <c r="G463" s="7"/>
      <c r="H463" s="7"/>
      <c r="I463" s="5"/>
      <c r="J463" s="6"/>
      <c r="K463" s="6"/>
      <c r="L463" s="6"/>
      <c r="M463" s="8"/>
      <c r="N463" s="9"/>
      <c r="O463" s="8"/>
      <c r="P463" s="10"/>
      <c r="Q463" s="11"/>
      <c r="R463" s="8"/>
      <c r="S463" s="9"/>
      <c r="T463" s="9"/>
    </row>
    <row r="464" spans="1:20" x14ac:dyDescent="0.4">
      <c r="A464" s="5"/>
      <c r="B464" s="5"/>
      <c r="C464" s="5"/>
      <c r="D464" s="5"/>
      <c r="E464" s="5"/>
      <c r="F464" s="6"/>
      <c r="G464" s="7"/>
      <c r="H464" s="7"/>
      <c r="I464" s="5"/>
      <c r="J464" s="6"/>
      <c r="K464" s="6"/>
      <c r="L464" s="6"/>
      <c r="M464" s="8"/>
      <c r="N464" s="9"/>
      <c r="O464" s="8"/>
      <c r="P464" s="10"/>
      <c r="Q464" s="11"/>
      <c r="R464" s="8"/>
      <c r="S464" s="9"/>
      <c r="T464" s="9"/>
    </row>
    <row r="465" spans="1:20" x14ac:dyDescent="0.4">
      <c r="A465" s="5"/>
      <c r="B465" s="5"/>
      <c r="C465" s="5"/>
      <c r="D465" s="5"/>
      <c r="E465" s="5"/>
      <c r="F465" s="6"/>
      <c r="G465" s="7"/>
      <c r="H465" s="7"/>
      <c r="I465" s="5"/>
      <c r="J465" s="6"/>
      <c r="K465" s="6"/>
      <c r="L465" s="6"/>
      <c r="M465" s="8"/>
      <c r="N465" s="9"/>
      <c r="O465" s="8"/>
      <c r="P465" s="10"/>
      <c r="Q465" s="11"/>
      <c r="R465" s="8"/>
      <c r="S465" s="9"/>
      <c r="T465" s="9"/>
    </row>
    <row r="466" spans="1:20" x14ac:dyDescent="0.4">
      <c r="A466" s="5"/>
      <c r="B466" s="5"/>
      <c r="C466" s="5"/>
      <c r="D466" s="5"/>
      <c r="E466" s="5"/>
      <c r="F466" s="6"/>
      <c r="G466" s="7"/>
      <c r="H466" s="7"/>
      <c r="I466" s="5"/>
      <c r="J466" s="6"/>
      <c r="K466" s="6"/>
      <c r="L466" s="6"/>
      <c r="M466" s="8"/>
      <c r="N466" s="9"/>
      <c r="O466" s="8"/>
      <c r="P466" s="10"/>
      <c r="Q466" s="11"/>
      <c r="R466" s="8"/>
      <c r="S466" s="8"/>
      <c r="T466" s="9"/>
    </row>
    <row r="467" spans="1:20" x14ac:dyDescent="0.4">
      <c r="A467" s="5"/>
      <c r="B467" s="5"/>
      <c r="C467" s="5"/>
      <c r="D467" s="5"/>
      <c r="E467" s="5"/>
      <c r="F467" s="6"/>
      <c r="G467" s="7"/>
      <c r="H467" s="7"/>
      <c r="I467" s="5"/>
      <c r="J467" s="6"/>
      <c r="K467" s="6"/>
      <c r="L467" s="6"/>
      <c r="M467" s="8"/>
      <c r="N467" s="9"/>
      <c r="O467" s="8"/>
      <c r="P467" s="10"/>
      <c r="Q467" s="11"/>
      <c r="R467" s="8"/>
      <c r="S467" s="8"/>
      <c r="T467" s="9"/>
    </row>
    <row r="468" spans="1:20" x14ac:dyDescent="0.4">
      <c r="A468" s="5"/>
      <c r="B468" s="5"/>
      <c r="C468" s="5"/>
      <c r="D468" s="5"/>
      <c r="E468" s="5"/>
      <c r="F468" s="6"/>
      <c r="G468" s="7"/>
      <c r="H468" s="7"/>
      <c r="I468" s="5"/>
      <c r="J468" s="6"/>
      <c r="K468" s="6"/>
      <c r="L468" s="6"/>
      <c r="M468" s="8"/>
      <c r="N468" s="9"/>
      <c r="O468" s="8"/>
      <c r="P468" s="10"/>
      <c r="Q468" s="11"/>
      <c r="R468" s="8"/>
      <c r="S468" s="8"/>
      <c r="T468" s="9"/>
    </row>
    <row r="469" spans="1:20" x14ac:dyDescent="0.4">
      <c r="A469" s="5"/>
      <c r="B469" s="5"/>
      <c r="C469" s="5"/>
      <c r="D469" s="5"/>
      <c r="E469" s="5"/>
      <c r="F469" s="6"/>
      <c r="G469" s="7"/>
      <c r="H469" s="7"/>
      <c r="I469" s="5"/>
      <c r="J469" s="6"/>
      <c r="K469" s="6"/>
      <c r="L469" s="6"/>
      <c r="M469" s="8"/>
      <c r="N469" s="9"/>
      <c r="O469" s="8"/>
      <c r="P469" s="10"/>
      <c r="Q469" s="11"/>
      <c r="R469" s="8"/>
      <c r="S469" s="8"/>
      <c r="T469" s="9"/>
    </row>
    <row r="470" spans="1:20" x14ac:dyDescent="0.4">
      <c r="A470" s="5"/>
      <c r="B470" s="5"/>
      <c r="C470" s="5"/>
      <c r="D470" s="5"/>
      <c r="E470" s="5"/>
      <c r="F470" s="6"/>
      <c r="G470" s="7"/>
      <c r="H470" s="7"/>
      <c r="I470" s="5"/>
      <c r="J470" s="6"/>
      <c r="K470" s="6"/>
      <c r="L470" s="6"/>
      <c r="M470" s="8"/>
      <c r="N470" s="9"/>
      <c r="O470" s="8"/>
      <c r="P470" s="10"/>
      <c r="Q470" s="11"/>
      <c r="R470" s="8"/>
      <c r="S470" s="8"/>
      <c r="T470" s="9"/>
    </row>
    <row r="471" spans="1:20" x14ac:dyDescent="0.4">
      <c r="A471" s="5"/>
      <c r="B471" s="5"/>
      <c r="C471" s="5"/>
      <c r="D471" s="5"/>
      <c r="E471" s="5"/>
      <c r="F471" s="6"/>
      <c r="G471" s="7"/>
      <c r="H471" s="7"/>
      <c r="I471" s="5"/>
      <c r="J471" s="6"/>
      <c r="K471" s="6"/>
      <c r="L471" s="6"/>
      <c r="M471" s="8"/>
      <c r="N471" s="9"/>
      <c r="O471" s="8"/>
      <c r="P471" s="10"/>
      <c r="Q471" s="11"/>
      <c r="R471" s="8"/>
      <c r="S471" s="8"/>
      <c r="T471" s="9"/>
    </row>
    <row r="472" spans="1:20" x14ac:dyDescent="0.4">
      <c r="A472" s="5"/>
      <c r="B472" s="5"/>
      <c r="C472" s="5"/>
      <c r="D472" s="5"/>
      <c r="E472" s="5"/>
      <c r="F472" s="6"/>
      <c r="G472" s="7"/>
      <c r="H472" s="7"/>
      <c r="I472" s="5"/>
      <c r="J472" s="6"/>
      <c r="K472" s="6"/>
      <c r="L472" s="6"/>
      <c r="M472" s="8"/>
      <c r="N472" s="9"/>
      <c r="O472" s="8"/>
      <c r="P472" s="10"/>
      <c r="Q472" s="11"/>
      <c r="R472" s="8"/>
      <c r="S472" s="8"/>
      <c r="T472" s="9"/>
    </row>
    <row r="473" spans="1:20" x14ac:dyDescent="0.4">
      <c r="A473" s="5"/>
      <c r="B473" s="5"/>
      <c r="C473" s="5"/>
      <c r="D473" s="5"/>
      <c r="E473" s="5"/>
      <c r="F473" s="6"/>
      <c r="G473" s="7"/>
      <c r="H473" s="7"/>
      <c r="I473" s="5"/>
      <c r="J473" s="6"/>
      <c r="K473" s="6"/>
      <c r="L473" s="6"/>
      <c r="M473" s="8"/>
      <c r="N473" s="9"/>
      <c r="O473" s="8"/>
      <c r="P473" s="10"/>
      <c r="Q473" s="11"/>
      <c r="R473" s="8"/>
      <c r="S473" s="8"/>
      <c r="T473" s="9"/>
    </row>
    <row r="474" spans="1:20" x14ac:dyDescent="0.4">
      <c r="A474" s="5"/>
      <c r="B474" s="5"/>
      <c r="C474" s="5"/>
      <c r="D474" s="5"/>
      <c r="E474" s="5"/>
      <c r="F474" s="6"/>
      <c r="G474" s="7"/>
      <c r="H474" s="7"/>
      <c r="I474" s="5"/>
      <c r="J474" s="6"/>
      <c r="K474" s="6"/>
      <c r="L474" s="6"/>
      <c r="M474" s="8"/>
      <c r="N474" s="9"/>
      <c r="O474" s="8"/>
      <c r="P474" s="10"/>
      <c r="Q474" s="11"/>
      <c r="R474" s="8"/>
      <c r="S474" s="8"/>
      <c r="T474" s="9"/>
    </row>
    <row r="475" spans="1:20" x14ac:dyDescent="0.4">
      <c r="A475" s="5"/>
      <c r="B475" s="5"/>
      <c r="C475" s="5"/>
      <c r="D475" s="5"/>
      <c r="E475" s="5"/>
      <c r="F475" s="6"/>
      <c r="G475" s="7"/>
      <c r="H475" s="7"/>
      <c r="I475" s="5"/>
      <c r="J475" s="6"/>
      <c r="K475" s="6"/>
      <c r="L475" s="6"/>
      <c r="M475" s="8"/>
      <c r="N475" s="9"/>
      <c r="O475" s="8"/>
      <c r="P475" s="10"/>
      <c r="Q475" s="11"/>
      <c r="R475" s="8"/>
      <c r="S475" s="8"/>
      <c r="T475" s="9"/>
    </row>
    <row r="476" spans="1:20" x14ac:dyDescent="0.4">
      <c r="A476" s="5"/>
      <c r="B476" s="5"/>
      <c r="C476" s="5"/>
      <c r="D476" s="5"/>
      <c r="E476" s="5"/>
      <c r="F476" s="6"/>
      <c r="G476" s="7"/>
      <c r="H476" s="7"/>
      <c r="I476" s="5"/>
      <c r="J476" s="6"/>
      <c r="K476" s="6"/>
      <c r="L476" s="6"/>
      <c r="M476" s="8"/>
      <c r="N476" s="9"/>
      <c r="O476" s="8"/>
      <c r="P476" s="10"/>
      <c r="Q476" s="11"/>
      <c r="R476" s="8"/>
      <c r="S476" s="8"/>
      <c r="T476" s="9"/>
    </row>
    <row r="477" spans="1:20" x14ac:dyDescent="0.4">
      <c r="A477" s="5"/>
      <c r="B477" s="5"/>
      <c r="C477" s="5"/>
      <c r="D477" s="5"/>
      <c r="E477" s="5"/>
      <c r="F477" s="6"/>
      <c r="G477" s="7"/>
      <c r="H477" s="7"/>
      <c r="I477" s="5"/>
      <c r="J477" s="6"/>
      <c r="K477" s="6"/>
      <c r="L477" s="6"/>
      <c r="M477" s="8"/>
      <c r="N477" s="9"/>
      <c r="O477" s="8"/>
      <c r="P477" s="10"/>
      <c r="Q477" s="11"/>
      <c r="R477" s="8"/>
      <c r="S477" s="8"/>
      <c r="T477" s="9"/>
    </row>
    <row r="478" spans="1:20" x14ac:dyDescent="0.4">
      <c r="A478" s="5"/>
      <c r="B478" s="5"/>
      <c r="C478" s="5"/>
      <c r="D478" s="5"/>
      <c r="E478" s="5"/>
      <c r="F478" s="6"/>
      <c r="G478" s="7"/>
      <c r="H478" s="7"/>
      <c r="I478" s="5"/>
      <c r="J478" s="6"/>
      <c r="K478" s="6"/>
      <c r="L478" s="6"/>
      <c r="M478" s="8"/>
      <c r="N478" s="9"/>
      <c r="O478" s="8"/>
      <c r="P478" s="10"/>
      <c r="Q478" s="11"/>
      <c r="R478" s="8"/>
      <c r="S478" s="8"/>
      <c r="T478" s="9"/>
    </row>
    <row r="479" spans="1:20" x14ac:dyDescent="0.4">
      <c r="A479" s="5"/>
      <c r="B479" s="5"/>
      <c r="C479" s="5"/>
      <c r="D479" s="5"/>
      <c r="E479" s="5"/>
      <c r="F479" s="6"/>
      <c r="G479" s="7"/>
      <c r="H479" s="7"/>
      <c r="I479" s="5"/>
      <c r="J479" s="6"/>
      <c r="K479" s="6"/>
      <c r="L479" s="6"/>
      <c r="M479" s="8"/>
      <c r="N479" s="9"/>
      <c r="O479" s="8"/>
      <c r="P479" s="10"/>
      <c r="Q479" s="11"/>
      <c r="R479" s="8"/>
      <c r="S479" s="8"/>
      <c r="T479" s="9"/>
    </row>
    <row r="480" spans="1:20" x14ac:dyDescent="0.4">
      <c r="A480" s="5"/>
      <c r="B480" s="5"/>
      <c r="C480" s="5"/>
      <c r="D480" s="5"/>
      <c r="E480" s="5"/>
      <c r="F480" s="6"/>
      <c r="G480" s="7"/>
      <c r="H480" s="7"/>
      <c r="I480" s="5"/>
      <c r="J480" s="6"/>
      <c r="K480" s="6"/>
      <c r="L480" s="6"/>
      <c r="M480" s="8"/>
      <c r="N480" s="9"/>
      <c r="O480" s="8"/>
      <c r="P480" s="10"/>
      <c r="Q480" s="11"/>
      <c r="R480" s="8"/>
      <c r="S480" s="8"/>
      <c r="T480" s="9"/>
    </row>
    <row r="481" spans="1:20" x14ac:dyDescent="0.4">
      <c r="A481" s="5"/>
      <c r="B481" s="5"/>
      <c r="C481" s="5"/>
      <c r="D481" s="5"/>
      <c r="E481" s="5"/>
      <c r="F481" s="6"/>
      <c r="G481" s="7"/>
      <c r="H481" s="7"/>
      <c r="I481" s="5"/>
      <c r="J481" s="6"/>
      <c r="K481" s="6"/>
      <c r="L481" s="6"/>
      <c r="M481" s="8"/>
      <c r="N481" s="9"/>
      <c r="O481" s="8"/>
      <c r="P481" s="10"/>
      <c r="Q481" s="11"/>
      <c r="R481" s="8"/>
      <c r="S481" s="8"/>
      <c r="T481" s="9"/>
    </row>
    <row r="482" spans="1:20" x14ac:dyDescent="0.4">
      <c r="A482" s="5"/>
      <c r="B482" s="5"/>
      <c r="C482" s="5"/>
      <c r="D482" s="5"/>
      <c r="E482" s="5"/>
      <c r="F482" s="6"/>
      <c r="G482" s="7"/>
      <c r="H482" s="7"/>
      <c r="I482" s="5"/>
      <c r="J482" s="6"/>
      <c r="K482" s="6"/>
      <c r="L482" s="6"/>
      <c r="M482" s="8"/>
      <c r="N482" s="9"/>
      <c r="O482" s="8"/>
      <c r="P482" s="10"/>
      <c r="Q482" s="11"/>
      <c r="R482" s="8"/>
      <c r="S482" s="8"/>
      <c r="T482" s="9"/>
    </row>
    <row r="483" spans="1:20" x14ac:dyDescent="0.4">
      <c r="A483" s="5"/>
      <c r="B483" s="5"/>
      <c r="C483" s="5"/>
      <c r="D483" s="5"/>
      <c r="E483" s="5"/>
      <c r="F483" s="6"/>
      <c r="G483" s="7"/>
      <c r="H483" s="7"/>
      <c r="I483" s="5"/>
      <c r="J483" s="6"/>
      <c r="K483" s="6"/>
      <c r="L483" s="6"/>
      <c r="M483" s="8"/>
      <c r="N483" s="9"/>
      <c r="O483" s="8"/>
      <c r="P483" s="10"/>
      <c r="Q483" s="11"/>
      <c r="R483" s="8"/>
      <c r="S483" s="8"/>
      <c r="T483" s="9"/>
    </row>
    <row r="484" spans="1:20" x14ac:dyDescent="0.4">
      <c r="A484" s="5"/>
      <c r="B484" s="5"/>
      <c r="C484" s="5"/>
      <c r="D484" s="5"/>
      <c r="E484" s="5"/>
      <c r="F484" s="6"/>
      <c r="G484" s="7"/>
      <c r="H484" s="7"/>
      <c r="I484" s="5"/>
      <c r="J484" s="6"/>
      <c r="K484" s="6"/>
      <c r="L484" s="6"/>
      <c r="M484" s="8"/>
      <c r="N484" s="9"/>
      <c r="O484" s="8"/>
      <c r="P484" s="10"/>
      <c r="Q484" s="11"/>
      <c r="R484" s="8"/>
      <c r="S484" s="8"/>
      <c r="T484" s="9"/>
    </row>
    <row r="485" spans="1:20" x14ac:dyDescent="0.4">
      <c r="A485" s="5"/>
      <c r="B485" s="5"/>
      <c r="C485" s="5"/>
      <c r="D485" s="5"/>
      <c r="E485" s="5"/>
      <c r="F485" s="6"/>
      <c r="G485" s="7"/>
      <c r="H485" s="7"/>
      <c r="I485" s="5"/>
      <c r="J485" s="6"/>
      <c r="K485" s="6"/>
      <c r="L485" s="6"/>
      <c r="M485" s="8"/>
      <c r="N485" s="9"/>
      <c r="O485" s="8"/>
      <c r="P485" s="10"/>
      <c r="Q485" s="11"/>
      <c r="R485" s="8"/>
      <c r="S485" s="8"/>
      <c r="T485" s="9"/>
    </row>
    <row r="486" spans="1:20" x14ac:dyDescent="0.4">
      <c r="A486" s="5"/>
      <c r="B486" s="5"/>
      <c r="C486" s="5"/>
      <c r="D486" s="5"/>
      <c r="E486" s="5"/>
      <c r="F486" s="6"/>
      <c r="G486" s="7"/>
      <c r="H486" s="7"/>
      <c r="I486" s="5"/>
      <c r="J486" s="6"/>
      <c r="K486" s="6"/>
      <c r="L486" s="6"/>
      <c r="M486" s="8"/>
      <c r="N486" s="9"/>
      <c r="O486" s="8"/>
      <c r="P486" s="10"/>
      <c r="Q486" s="11"/>
      <c r="R486" s="8"/>
      <c r="S486" s="8"/>
      <c r="T486" s="9"/>
    </row>
    <row r="487" spans="1:20" x14ac:dyDescent="0.4">
      <c r="A487" s="5"/>
      <c r="B487" s="5"/>
      <c r="C487" s="5"/>
      <c r="D487" s="5"/>
      <c r="E487" s="5"/>
      <c r="F487" s="6"/>
      <c r="G487" s="7"/>
      <c r="H487" s="7"/>
      <c r="I487" s="5"/>
      <c r="J487" s="6"/>
      <c r="K487" s="6"/>
      <c r="L487" s="6"/>
      <c r="M487" s="8"/>
      <c r="N487" s="9"/>
      <c r="O487" s="8"/>
      <c r="P487" s="10"/>
      <c r="Q487" s="11"/>
      <c r="R487" s="8"/>
      <c r="S487" s="8"/>
      <c r="T487" s="9"/>
    </row>
    <row r="488" spans="1:20" x14ac:dyDescent="0.4">
      <c r="A488" s="5"/>
      <c r="B488" s="5"/>
      <c r="C488" s="5"/>
      <c r="D488" s="5"/>
      <c r="E488" s="5"/>
      <c r="F488" s="6"/>
      <c r="G488" s="7"/>
      <c r="H488" s="7"/>
      <c r="I488" s="5"/>
      <c r="J488" s="6"/>
      <c r="K488" s="6"/>
      <c r="L488" s="6"/>
      <c r="M488" s="8"/>
      <c r="N488" s="9"/>
      <c r="O488" s="8"/>
      <c r="P488" s="10"/>
      <c r="Q488" s="11"/>
      <c r="R488" s="8"/>
      <c r="S488" s="8"/>
      <c r="T488" s="9"/>
    </row>
    <row r="489" spans="1:20" x14ac:dyDescent="0.4">
      <c r="A489" s="5"/>
      <c r="B489" s="5"/>
      <c r="C489" s="5"/>
      <c r="D489" s="5"/>
      <c r="E489" s="5"/>
      <c r="F489" s="6"/>
      <c r="G489" s="7"/>
      <c r="H489" s="7"/>
      <c r="I489" s="5"/>
      <c r="J489" s="6"/>
      <c r="K489" s="6"/>
      <c r="L489" s="6"/>
      <c r="M489" s="8"/>
      <c r="N489" s="9"/>
      <c r="O489" s="8"/>
      <c r="P489" s="10"/>
      <c r="Q489" s="11"/>
      <c r="R489" s="8"/>
      <c r="S489" s="8"/>
      <c r="T489" s="9"/>
    </row>
    <row r="490" spans="1:20" x14ac:dyDescent="0.4">
      <c r="A490" s="5"/>
      <c r="B490" s="5"/>
      <c r="C490" s="5"/>
      <c r="D490" s="5"/>
      <c r="E490" s="5"/>
      <c r="F490" s="6"/>
      <c r="G490" s="7"/>
      <c r="H490" s="7"/>
      <c r="I490" s="5"/>
      <c r="J490" s="6"/>
      <c r="K490" s="6"/>
      <c r="L490" s="6"/>
      <c r="M490" s="8"/>
      <c r="N490" s="9"/>
      <c r="O490" s="8"/>
      <c r="P490" s="10"/>
      <c r="Q490" s="11"/>
      <c r="R490" s="8"/>
      <c r="S490" s="8"/>
      <c r="T490" s="9"/>
    </row>
    <row r="491" spans="1:20" x14ac:dyDescent="0.4">
      <c r="A491" s="5"/>
      <c r="B491" s="5"/>
      <c r="C491" s="5"/>
      <c r="D491" s="5"/>
      <c r="E491" s="5"/>
      <c r="F491" s="6"/>
      <c r="G491" s="7"/>
      <c r="H491" s="7"/>
      <c r="I491" s="5"/>
      <c r="J491" s="6"/>
      <c r="K491" s="6"/>
      <c r="L491" s="6"/>
      <c r="M491" s="8"/>
      <c r="N491" s="9"/>
      <c r="O491" s="8"/>
      <c r="P491" s="10"/>
      <c r="Q491" s="11"/>
      <c r="R491" s="8"/>
      <c r="S491" s="8"/>
      <c r="T491" s="9"/>
    </row>
    <row r="492" spans="1:20" x14ac:dyDescent="0.4">
      <c r="A492" s="5"/>
      <c r="B492" s="5"/>
      <c r="C492" s="5"/>
      <c r="D492" s="5"/>
      <c r="E492" s="5"/>
      <c r="F492" s="6"/>
      <c r="G492" s="7"/>
      <c r="H492" s="7"/>
      <c r="I492" s="5"/>
      <c r="J492" s="6"/>
      <c r="K492" s="6"/>
      <c r="L492" s="6"/>
      <c r="M492" s="8"/>
      <c r="N492" s="9"/>
      <c r="O492" s="8"/>
      <c r="P492" s="10"/>
      <c r="Q492" s="11"/>
      <c r="R492" s="8"/>
      <c r="S492" s="8"/>
      <c r="T492" s="9"/>
    </row>
    <row r="493" spans="1:20" x14ac:dyDescent="0.4">
      <c r="A493" s="5"/>
      <c r="B493" s="5"/>
      <c r="C493" s="5"/>
      <c r="D493" s="5"/>
      <c r="E493" s="5"/>
      <c r="F493" s="6"/>
      <c r="G493" s="7"/>
      <c r="H493" s="7"/>
      <c r="I493" s="5"/>
      <c r="J493" s="6"/>
      <c r="K493" s="6"/>
      <c r="L493" s="6"/>
      <c r="M493" s="8"/>
      <c r="N493" s="9"/>
      <c r="O493" s="8"/>
      <c r="P493" s="10"/>
      <c r="Q493" s="11"/>
      <c r="R493" s="8"/>
      <c r="S493" s="8"/>
      <c r="T493" s="9"/>
    </row>
    <row r="494" spans="1:20" x14ac:dyDescent="0.4">
      <c r="A494" s="5"/>
      <c r="B494" s="5"/>
      <c r="C494" s="5"/>
      <c r="D494" s="5"/>
      <c r="E494" s="5"/>
      <c r="F494" s="6"/>
      <c r="G494" s="7"/>
      <c r="H494" s="7"/>
      <c r="I494" s="5"/>
      <c r="J494" s="6"/>
      <c r="K494" s="6"/>
      <c r="L494" s="6"/>
      <c r="M494" s="8"/>
      <c r="N494" s="9"/>
      <c r="O494" s="8"/>
      <c r="P494" s="10"/>
      <c r="Q494" s="11"/>
      <c r="R494" s="8"/>
      <c r="S494" s="8"/>
      <c r="T494" s="9"/>
    </row>
    <row r="495" spans="1:20" x14ac:dyDescent="0.4">
      <c r="A495" s="5"/>
      <c r="B495" s="5"/>
      <c r="C495" s="5"/>
      <c r="D495" s="5"/>
      <c r="E495" s="5"/>
      <c r="F495" s="6"/>
      <c r="G495" s="7"/>
      <c r="H495" s="7"/>
      <c r="I495" s="5"/>
      <c r="J495" s="6"/>
      <c r="K495" s="6"/>
      <c r="L495" s="6"/>
      <c r="M495" s="8"/>
      <c r="N495" s="9"/>
      <c r="O495" s="8"/>
      <c r="P495" s="10"/>
      <c r="Q495" s="11"/>
      <c r="R495" s="8"/>
      <c r="S495" s="8"/>
      <c r="T495" s="9"/>
    </row>
    <row r="496" spans="1:20" x14ac:dyDescent="0.4">
      <c r="A496" s="5"/>
      <c r="B496" s="5"/>
      <c r="C496" s="5"/>
      <c r="D496" s="5"/>
      <c r="E496" s="5"/>
      <c r="F496" s="6"/>
      <c r="G496" s="7"/>
      <c r="H496" s="7"/>
      <c r="I496" s="5"/>
      <c r="J496" s="6"/>
      <c r="K496" s="6"/>
      <c r="L496" s="6"/>
      <c r="M496" s="8"/>
      <c r="N496" s="9"/>
      <c r="O496" s="8"/>
      <c r="P496" s="10"/>
      <c r="Q496" s="11"/>
      <c r="R496" s="8"/>
      <c r="S496" s="8"/>
      <c r="T496" s="9"/>
    </row>
    <row r="497" spans="1:20" x14ac:dyDescent="0.4">
      <c r="A497" s="5"/>
      <c r="B497" s="5"/>
      <c r="C497" s="5"/>
      <c r="D497" s="5"/>
      <c r="E497" s="5"/>
      <c r="F497" s="6"/>
      <c r="G497" s="7"/>
      <c r="H497" s="7"/>
      <c r="I497" s="5"/>
      <c r="J497" s="6"/>
      <c r="K497" s="6"/>
      <c r="L497" s="6"/>
      <c r="M497" s="8"/>
      <c r="N497" s="9"/>
      <c r="O497" s="8"/>
      <c r="P497" s="10"/>
      <c r="Q497" s="11"/>
      <c r="R497" s="8"/>
      <c r="S497" s="8"/>
      <c r="T497" s="9"/>
    </row>
    <row r="498" spans="1:20" x14ac:dyDescent="0.4">
      <c r="A498" s="5"/>
      <c r="B498" s="5"/>
      <c r="C498" s="5"/>
      <c r="D498" s="5"/>
      <c r="E498" s="5"/>
      <c r="F498" s="6"/>
      <c r="G498" s="7"/>
      <c r="H498" s="7"/>
      <c r="I498" s="5"/>
      <c r="J498" s="6"/>
      <c r="K498" s="6"/>
      <c r="L498" s="6"/>
      <c r="M498" s="8"/>
      <c r="N498" s="9"/>
      <c r="O498" s="8"/>
      <c r="P498" s="10"/>
      <c r="Q498" s="11"/>
      <c r="R498" s="8"/>
      <c r="S498" s="8"/>
      <c r="T498" s="9"/>
    </row>
    <row r="499" spans="1:20" x14ac:dyDescent="0.4">
      <c r="A499" s="5"/>
      <c r="B499" s="5"/>
      <c r="C499" s="5"/>
      <c r="D499" s="5"/>
      <c r="E499" s="5"/>
      <c r="F499" s="6"/>
      <c r="G499" s="7"/>
      <c r="H499" s="7"/>
      <c r="I499" s="5"/>
      <c r="J499" s="6"/>
      <c r="K499" s="6"/>
      <c r="L499" s="6"/>
      <c r="M499" s="8"/>
      <c r="N499" s="9"/>
      <c r="O499" s="8"/>
      <c r="P499" s="10"/>
      <c r="Q499" s="11"/>
      <c r="R499" s="8"/>
      <c r="S499" s="8"/>
      <c r="T499" s="9"/>
    </row>
    <row r="500" spans="1:20" x14ac:dyDescent="0.4">
      <c r="A500" s="5"/>
      <c r="B500" s="5"/>
      <c r="C500" s="5"/>
      <c r="D500" s="5"/>
      <c r="E500" s="5"/>
      <c r="F500" s="6"/>
      <c r="G500" s="7"/>
      <c r="H500" s="7"/>
      <c r="I500" s="5"/>
      <c r="J500" s="6"/>
      <c r="K500" s="6"/>
      <c r="L500" s="6"/>
      <c r="M500" s="8"/>
      <c r="N500" s="9"/>
      <c r="O500" s="8"/>
      <c r="P500" s="10"/>
      <c r="Q500" s="11"/>
      <c r="R500" s="8"/>
      <c r="S500" s="8"/>
      <c r="T500" s="9"/>
    </row>
    <row r="501" spans="1:20" x14ac:dyDescent="0.4">
      <c r="A501" s="5"/>
      <c r="B501" s="5"/>
      <c r="C501" s="5"/>
      <c r="D501" s="5"/>
      <c r="E501" s="5"/>
      <c r="F501" s="6"/>
      <c r="G501" s="7"/>
      <c r="H501" s="7"/>
      <c r="I501" s="5"/>
      <c r="J501" s="6"/>
      <c r="K501" s="6"/>
      <c r="L501" s="6"/>
      <c r="M501" s="8"/>
      <c r="N501" s="9"/>
      <c r="O501" s="8"/>
      <c r="P501" s="10"/>
      <c r="Q501" s="11"/>
      <c r="R501" s="8"/>
      <c r="S501" s="8"/>
      <c r="T501" s="13"/>
    </row>
    <row r="502" spans="1:20" x14ac:dyDescent="0.4">
      <c r="A502" s="5"/>
      <c r="B502" s="5"/>
      <c r="C502" s="5"/>
      <c r="D502" s="5"/>
      <c r="E502" s="5"/>
      <c r="F502" s="6"/>
      <c r="G502" s="7"/>
      <c r="H502" s="7"/>
      <c r="I502" s="5"/>
      <c r="J502" s="6"/>
      <c r="K502" s="6"/>
      <c r="L502" s="6"/>
      <c r="M502" s="8"/>
      <c r="N502" s="9"/>
      <c r="O502" s="8"/>
      <c r="P502" s="10"/>
      <c r="Q502" s="11"/>
      <c r="R502" s="8"/>
      <c r="S502" s="8"/>
      <c r="T502" s="9"/>
    </row>
    <row r="503" spans="1:20" x14ac:dyDescent="0.4">
      <c r="A503" s="5"/>
      <c r="B503" s="5"/>
      <c r="C503" s="5"/>
      <c r="D503" s="5"/>
      <c r="E503" s="5"/>
      <c r="F503" s="6"/>
      <c r="G503" s="7"/>
      <c r="H503" s="7"/>
      <c r="I503" s="5"/>
      <c r="J503" s="6"/>
      <c r="K503" s="6"/>
      <c r="L503" s="6"/>
      <c r="M503" s="8"/>
      <c r="N503" s="9"/>
      <c r="O503" s="8"/>
      <c r="P503" s="10"/>
      <c r="Q503" s="11"/>
      <c r="R503" s="8"/>
      <c r="S503" s="8"/>
      <c r="T503" s="9"/>
    </row>
    <row r="504" spans="1:20" x14ac:dyDescent="0.4">
      <c r="A504" s="5"/>
      <c r="B504" s="5"/>
      <c r="C504" s="5"/>
      <c r="D504" s="5"/>
      <c r="E504" s="5"/>
      <c r="F504" s="6"/>
      <c r="G504" s="7"/>
      <c r="H504" s="7"/>
      <c r="I504" s="5"/>
      <c r="J504" s="6"/>
      <c r="K504" s="6"/>
      <c r="L504" s="6"/>
      <c r="M504" s="8"/>
      <c r="N504" s="9"/>
      <c r="O504" s="8"/>
      <c r="P504" s="10"/>
      <c r="Q504" s="11"/>
      <c r="R504" s="8"/>
      <c r="S504" s="8"/>
      <c r="T504" s="9"/>
    </row>
    <row r="505" spans="1:20" x14ac:dyDescent="0.4">
      <c r="A505" s="5"/>
      <c r="B505" s="5"/>
      <c r="C505" s="5"/>
      <c r="D505" s="5"/>
      <c r="E505" s="5"/>
      <c r="F505" s="6"/>
      <c r="G505" s="7"/>
      <c r="H505" s="7"/>
      <c r="I505" s="5"/>
      <c r="J505" s="6"/>
      <c r="K505" s="6"/>
      <c r="L505" s="6"/>
      <c r="M505" s="8"/>
      <c r="N505" s="9"/>
      <c r="O505" s="8"/>
      <c r="P505" s="10"/>
      <c r="Q505" s="11"/>
      <c r="R505" s="8"/>
      <c r="S505" s="8"/>
      <c r="T505" s="9"/>
    </row>
    <row r="506" spans="1:20" x14ac:dyDescent="0.4">
      <c r="A506" s="5"/>
      <c r="B506" s="5"/>
      <c r="C506" s="5"/>
      <c r="D506" s="5"/>
      <c r="E506" s="5"/>
      <c r="F506" s="6"/>
      <c r="G506" s="7"/>
      <c r="H506" s="7"/>
      <c r="I506" s="5"/>
      <c r="J506" s="6"/>
      <c r="K506" s="6"/>
      <c r="L506" s="6"/>
      <c r="M506" s="8"/>
      <c r="N506" s="9"/>
      <c r="O506" s="8"/>
      <c r="P506" s="10"/>
      <c r="Q506" s="11"/>
      <c r="R506" s="8"/>
      <c r="S506" s="8"/>
      <c r="T506" s="9"/>
    </row>
    <row r="507" spans="1:20" x14ac:dyDescent="0.4">
      <c r="A507" s="5"/>
      <c r="B507" s="5"/>
      <c r="C507" s="5"/>
      <c r="D507" s="5"/>
      <c r="E507" s="5"/>
      <c r="F507" s="6"/>
      <c r="G507" s="7"/>
      <c r="H507" s="7"/>
      <c r="I507" s="5"/>
      <c r="J507" s="6"/>
      <c r="K507" s="6"/>
      <c r="L507" s="6"/>
      <c r="M507" s="8"/>
      <c r="N507" s="9"/>
      <c r="O507" s="8"/>
      <c r="P507" s="10"/>
      <c r="Q507" s="11"/>
      <c r="R507" s="8"/>
      <c r="S507" s="8"/>
      <c r="T507" s="9"/>
    </row>
    <row r="508" spans="1:20" x14ac:dyDescent="0.4">
      <c r="A508" s="5"/>
      <c r="B508" s="5"/>
      <c r="C508" s="5"/>
      <c r="D508" s="5"/>
      <c r="E508" s="5"/>
      <c r="F508" s="6"/>
      <c r="G508" s="7"/>
      <c r="H508" s="7"/>
      <c r="I508" s="5"/>
      <c r="J508" s="6"/>
      <c r="K508" s="6"/>
      <c r="L508" s="6"/>
      <c r="M508" s="8"/>
      <c r="N508" s="9"/>
      <c r="O508" s="8"/>
      <c r="P508" s="10"/>
      <c r="Q508" s="11"/>
      <c r="R508" s="8"/>
      <c r="S508" s="8"/>
      <c r="T508" s="9"/>
    </row>
    <row r="509" spans="1:20" x14ac:dyDescent="0.4">
      <c r="A509" s="5"/>
      <c r="B509" s="5"/>
      <c r="C509" s="5"/>
      <c r="D509" s="5"/>
      <c r="E509" s="5"/>
      <c r="F509" s="6"/>
      <c r="G509" s="7"/>
      <c r="H509" s="7"/>
      <c r="I509" s="5"/>
      <c r="J509" s="6"/>
      <c r="K509" s="6"/>
      <c r="L509" s="6"/>
      <c r="M509" s="8"/>
      <c r="N509" s="9"/>
      <c r="O509" s="8"/>
      <c r="P509" s="10"/>
      <c r="Q509" s="11"/>
      <c r="R509" s="8"/>
      <c r="S509" s="8"/>
      <c r="T509" s="9"/>
    </row>
    <row r="510" spans="1:20" x14ac:dyDescent="0.4">
      <c r="A510" s="5"/>
      <c r="B510" s="5"/>
      <c r="C510" s="5"/>
      <c r="D510" s="5"/>
      <c r="E510" s="5"/>
      <c r="F510" s="6"/>
      <c r="G510" s="7"/>
      <c r="H510" s="7"/>
      <c r="I510" s="5"/>
      <c r="J510" s="6"/>
      <c r="K510" s="6"/>
      <c r="L510" s="6"/>
      <c r="M510" s="8"/>
      <c r="N510" s="9"/>
      <c r="O510" s="8"/>
      <c r="P510" s="10"/>
      <c r="Q510" s="11"/>
      <c r="R510" s="8"/>
      <c r="S510" s="8"/>
      <c r="T510" s="9"/>
    </row>
    <row r="511" spans="1:20" x14ac:dyDescent="0.4">
      <c r="A511" s="5"/>
      <c r="B511" s="5"/>
      <c r="C511" s="5"/>
      <c r="D511" s="5"/>
      <c r="E511" s="5"/>
      <c r="F511" s="6"/>
      <c r="G511" s="7"/>
      <c r="H511" s="7"/>
      <c r="I511" s="5"/>
      <c r="J511" s="6"/>
      <c r="K511" s="6"/>
      <c r="L511" s="6"/>
      <c r="M511" s="8"/>
      <c r="N511" s="9"/>
      <c r="O511" s="8"/>
      <c r="P511" s="10"/>
      <c r="Q511" s="11"/>
      <c r="R511" s="8"/>
      <c r="S511" s="8"/>
      <c r="T511" s="9"/>
    </row>
    <row r="512" spans="1:20" x14ac:dyDescent="0.4">
      <c r="A512" s="5"/>
      <c r="B512" s="5"/>
      <c r="C512" s="5"/>
      <c r="D512" s="5"/>
      <c r="E512" s="5"/>
      <c r="F512" s="6"/>
      <c r="G512" s="7"/>
      <c r="H512" s="7"/>
      <c r="I512" s="5"/>
      <c r="J512" s="6"/>
      <c r="K512" s="6"/>
      <c r="L512" s="6"/>
      <c r="M512" s="8"/>
      <c r="N512" s="9"/>
      <c r="O512" s="8"/>
      <c r="P512" s="10"/>
      <c r="Q512" s="11"/>
      <c r="R512" s="8"/>
      <c r="S512" s="8"/>
      <c r="T512" s="9"/>
    </row>
    <row r="513" spans="1:21" x14ac:dyDescent="0.4">
      <c r="A513" s="5"/>
      <c r="B513" s="5"/>
      <c r="C513" s="5"/>
      <c r="D513" s="5"/>
      <c r="E513" s="5"/>
      <c r="F513" s="6"/>
      <c r="G513" s="7"/>
      <c r="H513" s="7"/>
      <c r="I513" s="5"/>
      <c r="J513" s="6"/>
      <c r="K513" s="6"/>
      <c r="L513" s="6"/>
      <c r="M513" s="8"/>
      <c r="N513" s="9"/>
      <c r="O513" s="8"/>
      <c r="P513" s="10"/>
      <c r="Q513" s="11"/>
      <c r="R513" s="8"/>
      <c r="S513" s="8"/>
      <c r="T513" s="9"/>
    </row>
    <row r="514" spans="1:21" x14ac:dyDescent="0.4">
      <c r="A514" s="5"/>
      <c r="B514" s="5"/>
      <c r="C514" s="5"/>
      <c r="D514" s="5"/>
      <c r="E514" s="5"/>
      <c r="F514" s="6"/>
      <c r="G514" s="7"/>
      <c r="H514" s="7"/>
      <c r="I514" s="5"/>
      <c r="J514" s="6"/>
      <c r="K514" s="6"/>
      <c r="L514" s="6"/>
      <c r="M514" s="8"/>
      <c r="N514" s="9"/>
      <c r="O514" s="8"/>
      <c r="P514" s="10"/>
      <c r="Q514" s="11"/>
      <c r="R514" s="8"/>
      <c r="S514" s="8"/>
      <c r="T514" s="9"/>
    </row>
    <row r="515" spans="1:21" x14ac:dyDescent="0.4">
      <c r="A515" s="5"/>
      <c r="B515" s="5"/>
      <c r="C515" s="5"/>
      <c r="D515" s="5"/>
      <c r="E515" s="5"/>
      <c r="F515" s="6"/>
      <c r="G515" s="7"/>
      <c r="H515" s="7"/>
      <c r="I515" s="5"/>
      <c r="J515" s="6"/>
      <c r="K515" s="6"/>
      <c r="L515" s="6"/>
      <c r="M515" s="8"/>
      <c r="N515" s="9"/>
      <c r="O515" s="8"/>
      <c r="P515" s="10"/>
      <c r="Q515" s="11"/>
      <c r="R515" s="8"/>
      <c r="S515" s="8"/>
      <c r="T515" s="9"/>
    </row>
    <row r="516" spans="1:21" x14ac:dyDescent="0.4">
      <c r="A516" s="5"/>
      <c r="B516" s="5"/>
      <c r="C516" s="5"/>
      <c r="D516" s="5"/>
      <c r="E516" s="5"/>
      <c r="F516" s="6"/>
      <c r="G516" s="7"/>
      <c r="H516" s="7"/>
      <c r="I516" s="5"/>
      <c r="J516" s="6"/>
      <c r="K516" s="6"/>
      <c r="L516" s="6"/>
      <c r="M516" s="8"/>
      <c r="N516" s="9"/>
      <c r="O516" s="8"/>
      <c r="P516" s="10"/>
      <c r="Q516" s="11"/>
      <c r="R516" s="8"/>
      <c r="S516" s="8"/>
      <c r="T516" s="9"/>
    </row>
    <row r="517" spans="1:21" x14ac:dyDescent="0.4">
      <c r="A517" s="5"/>
      <c r="B517" s="5"/>
      <c r="C517" s="5"/>
      <c r="D517" s="5"/>
      <c r="E517" s="5"/>
      <c r="F517" s="6"/>
      <c r="G517" s="7"/>
      <c r="H517" s="7"/>
      <c r="I517" s="5"/>
      <c r="J517" s="6"/>
      <c r="K517" s="6"/>
      <c r="L517" s="6"/>
      <c r="M517" s="8"/>
      <c r="N517" s="9"/>
      <c r="O517" s="8"/>
      <c r="P517" s="10"/>
      <c r="Q517" s="11"/>
      <c r="R517" s="8"/>
      <c r="S517" s="8"/>
      <c r="T517" s="9"/>
    </row>
    <row r="518" spans="1:21" x14ac:dyDescent="0.4">
      <c r="A518" s="5"/>
      <c r="B518" s="5"/>
      <c r="C518" s="5"/>
      <c r="D518" s="5"/>
      <c r="E518" s="5"/>
      <c r="F518" s="6"/>
      <c r="G518" s="7"/>
      <c r="H518" s="7"/>
      <c r="I518" s="5"/>
      <c r="J518" s="6"/>
      <c r="K518" s="6"/>
      <c r="L518" s="6"/>
      <c r="M518" s="8"/>
      <c r="N518" s="9"/>
      <c r="O518" s="8"/>
      <c r="P518" s="10"/>
      <c r="Q518" s="11"/>
      <c r="R518" s="8"/>
      <c r="S518" s="8"/>
      <c r="T518" s="9"/>
    </row>
    <row r="519" spans="1:21" x14ac:dyDescent="0.4">
      <c r="A519" s="5"/>
      <c r="B519" s="5"/>
      <c r="C519" s="5"/>
      <c r="D519" s="5"/>
      <c r="E519" s="5"/>
      <c r="F519" s="6"/>
      <c r="G519" s="7"/>
      <c r="H519" s="7"/>
      <c r="I519" s="5"/>
      <c r="J519" s="6"/>
      <c r="K519" s="6"/>
      <c r="L519" s="6"/>
      <c r="M519" s="8"/>
      <c r="N519" s="9"/>
      <c r="O519" s="8"/>
      <c r="P519" s="10"/>
      <c r="Q519" s="11"/>
      <c r="R519" s="8"/>
      <c r="S519" s="8"/>
      <c r="T519" s="9"/>
    </row>
    <row r="520" spans="1:21" x14ac:dyDescent="0.4">
      <c r="A520" s="5"/>
      <c r="B520" s="5"/>
      <c r="C520" s="5"/>
      <c r="D520" s="5"/>
      <c r="E520" s="5"/>
      <c r="F520" s="6"/>
      <c r="G520" s="7"/>
      <c r="H520" s="7"/>
      <c r="I520" s="5"/>
      <c r="J520" s="6"/>
      <c r="K520" s="6"/>
      <c r="L520" s="6"/>
      <c r="M520" s="8"/>
      <c r="N520" s="9"/>
      <c r="O520" s="8"/>
      <c r="P520" s="10"/>
      <c r="Q520" s="11"/>
      <c r="R520" s="8"/>
      <c r="S520" s="8"/>
      <c r="T520" s="9"/>
    </row>
    <row r="521" spans="1:21" x14ac:dyDescent="0.4">
      <c r="A521" s="5"/>
      <c r="B521" s="5"/>
      <c r="C521" s="5"/>
      <c r="D521" s="5"/>
      <c r="E521" s="5"/>
      <c r="F521" s="6"/>
      <c r="G521" s="7"/>
      <c r="H521" s="7"/>
      <c r="I521" s="5"/>
      <c r="J521" s="6"/>
      <c r="K521" s="6"/>
      <c r="L521" s="6"/>
      <c r="M521" s="8"/>
      <c r="N521" s="9"/>
      <c r="O521" s="8"/>
      <c r="P521" s="10"/>
      <c r="Q521" s="11"/>
      <c r="R521" s="8"/>
      <c r="S521" s="8"/>
      <c r="T521" s="9"/>
    </row>
    <row r="522" spans="1:21" x14ac:dyDescent="0.4">
      <c r="A522" s="5"/>
      <c r="B522" s="5"/>
      <c r="C522" s="5"/>
      <c r="D522" s="5"/>
      <c r="E522" s="5"/>
      <c r="F522" s="6"/>
      <c r="G522" s="7"/>
      <c r="H522" s="7"/>
      <c r="I522" s="5"/>
      <c r="J522" s="6"/>
      <c r="K522" s="6"/>
      <c r="L522" s="6"/>
      <c r="M522" s="8"/>
      <c r="N522" s="9"/>
      <c r="O522" s="8"/>
      <c r="P522" s="10"/>
      <c r="Q522" s="11"/>
      <c r="R522" s="8"/>
      <c r="S522" s="8"/>
      <c r="T522" s="9"/>
    </row>
    <row r="523" spans="1:21" x14ac:dyDescent="0.4">
      <c r="A523" s="5"/>
      <c r="B523" s="5"/>
      <c r="C523" s="5"/>
      <c r="D523" s="5"/>
      <c r="E523" s="5"/>
      <c r="F523" s="6"/>
      <c r="G523" s="7"/>
      <c r="H523" s="7"/>
      <c r="I523" s="5"/>
      <c r="J523" s="6"/>
      <c r="K523" s="6"/>
      <c r="L523" s="6"/>
      <c r="M523" s="8"/>
      <c r="N523" s="9"/>
      <c r="O523" s="8"/>
      <c r="P523" s="10"/>
      <c r="Q523" s="11"/>
      <c r="R523" s="8"/>
      <c r="S523" s="8"/>
      <c r="T523" s="9"/>
    </row>
    <row r="524" spans="1:21" x14ac:dyDescent="0.4">
      <c r="A524" s="5"/>
      <c r="B524" s="5"/>
      <c r="C524" s="5"/>
      <c r="D524" s="5"/>
      <c r="E524" s="5"/>
      <c r="F524" s="6"/>
      <c r="G524" s="7"/>
      <c r="H524" s="7"/>
      <c r="I524" s="5"/>
      <c r="J524" s="6"/>
      <c r="K524" s="6"/>
      <c r="L524" s="6"/>
      <c r="M524" s="8"/>
      <c r="N524" s="9"/>
      <c r="O524" s="8"/>
      <c r="P524" s="10"/>
      <c r="Q524" s="11"/>
      <c r="R524" s="8"/>
      <c r="S524" s="8"/>
      <c r="T524" s="9"/>
    </row>
    <row r="525" spans="1:21" x14ac:dyDescent="0.4">
      <c r="A525" s="5"/>
      <c r="B525" s="5"/>
      <c r="C525" s="5"/>
      <c r="D525" s="5"/>
      <c r="E525" s="5"/>
      <c r="F525" s="6"/>
      <c r="G525" s="7"/>
      <c r="H525" s="7"/>
      <c r="I525" s="5"/>
      <c r="J525" s="6"/>
      <c r="K525" s="6"/>
      <c r="L525" s="6"/>
      <c r="M525" s="8"/>
      <c r="N525" s="9"/>
      <c r="O525" s="8"/>
      <c r="P525" s="10"/>
      <c r="Q525" s="11"/>
      <c r="R525" s="8"/>
      <c r="S525" s="8"/>
      <c r="T525" s="13"/>
      <c r="U525" s="17"/>
    </row>
    <row r="526" spans="1:21" x14ac:dyDescent="0.4">
      <c r="A526" s="5"/>
      <c r="B526" s="5"/>
      <c r="C526" s="5"/>
      <c r="D526" s="5"/>
      <c r="E526" s="5"/>
      <c r="F526" s="6"/>
      <c r="G526" s="7"/>
      <c r="H526" s="7"/>
      <c r="I526" s="5"/>
      <c r="J526" s="6"/>
      <c r="K526" s="6"/>
      <c r="L526" s="6"/>
      <c r="M526" s="8"/>
      <c r="N526" s="9"/>
      <c r="O526" s="8"/>
      <c r="P526" s="10"/>
      <c r="Q526" s="11"/>
      <c r="R526" s="8"/>
      <c r="S526" s="8"/>
      <c r="T526" s="8"/>
    </row>
    <row r="527" spans="1:21" x14ac:dyDescent="0.4">
      <c r="A527" s="5"/>
      <c r="B527" s="5"/>
      <c r="C527" s="5"/>
      <c r="D527" s="5"/>
      <c r="E527" s="5"/>
      <c r="F527" s="6"/>
      <c r="G527" s="7"/>
      <c r="H527" s="7"/>
      <c r="I527" s="5"/>
      <c r="J527" s="6"/>
      <c r="K527" s="6"/>
      <c r="L527" s="6"/>
      <c r="M527" s="8"/>
      <c r="N527" s="9"/>
      <c r="O527" s="8"/>
      <c r="P527" s="10"/>
      <c r="Q527" s="11"/>
      <c r="R527" s="8"/>
      <c r="S527" s="8"/>
      <c r="T527" s="9"/>
    </row>
    <row r="528" spans="1:21" x14ac:dyDescent="0.4">
      <c r="A528" s="5"/>
      <c r="B528" s="5"/>
      <c r="C528" s="5"/>
      <c r="D528" s="5"/>
      <c r="E528" s="5"/>
      <c r="F528" s="6"/>
      <c r="G528" s="7"/>
      <c r="H528" s="7"/>
      <c r="I528" s="5"/>
      <c r="J528" s="6"/>
      <c r="K528" s="6"/>
      <c r="L528" s="6"/>
      <c r="M528" s="8"/>
      <c r="N528" s="9"/>
      <c r="O528" s="8"/>
      <c r="P528" s="10"/>
      <c r="Q528" s="11"/>
      <c r="R528" s="8"/>
      <c r="S528" s="8"/>
      <c r="T528" s="9"/>
    </row>
    <row r="529" spans="1:21" x14ac:dyDescent="0.4">
      <c r="A529" s="5"/>
      <c r="B529" s="5"/>
      <c r="C529" s="5"/>
      <c r="D529" s="5"/>
      <c r="E529" s="5"/>
      <c r="F529" s="6"/>
      <c r="G529" s="7"/>
      <c r="H529" s="7"/>
      <c r="I529" s="5"/>
      <c r="J529" s="6"/>
      <c r="K529" s="6"/>
      <c r="L529" s="6"/>
      <c r="M529" s="8"/>
      <c r="N529" s="9"/>
      <c r="O529" s="8"/>
      <c r="P529" s="10"/>
      <c r="Q529" s="11"/>
      <c r="R529" s="8"/>
      <c r="S529" s="8"/>
      <c r="T529" s="9"/>
    </row>
    <row r="530" spans="1:21" x14ac:dyDescent="0.4">
      <c r="A530" s="5"/>
      <c r="B530" s="5"/>
      <c r="C530" s="5"/>
      <c r="D530" s="5"/>
      <c r="E530" s="5"/>
      <c r="F530" s="6"/>
      <c r="G530" s="7"/>
      <c r="H530" s="7"/>
      <c r="I530" s="5"/>
      <c r="J530" s="6"/>
      <c r="K530" s="6"/>
      <c r="L530" s="6"/>
      <c r="M530" s="8"/>
      <c r="N530" s="9"/>
      <c r="O530" s="8"/>
      <c r="P530" s="10"/>
      <c r="Q530" s="11"/>
      <c r="R530" s="8"/>
      <c r="S530" s="8"/>
      <c r="T530" s="9"/>
    </row>
    <row r="531" spans="1:21" x14ac:dyDescent="0.4">
      <c r="A531" s="5"/>
      <c r="B531" s="5"/>
      <c r="C531" s="5"/>
      <c r="D531" s="5"/>
      <c r="E531" s="5"/>
      <c r="F531" s="6"/>
      <c r="G531" s="7"/>
      <c r="H531" s="7"/>
      <c r="I531" s="5"/>
      <c r="J531" s="6"/>
      <c r="K531" s="6"/>
      <c r="L531" s="6"/>
      <c r="M531" s="8"/>
      <c r="N531" s="9"/>
      <c r="O531" s="8"/>
      <c r="P531" s="10"/>
      <c r="Q531" s="11"/>
      <c r="R531" s="8"/>
      <c r="S531" s="8"/>
      <c r="T531" s="9"/>
    </row>
    <row r="532" spans="1:21" x14ac:dyDescent="0.4">
      <c r="A532" s="5"/>
      <c r="B532" s="5"/>
      <c r="C532" s="5"/>
      <c r="D532" s="5"/>
      <c r="E532" s="5"/>
      <c r="F532" s="6"/>
      <c r="G532" s="7"/>
      <c r="H532" s="7"/>
      <c r="I532" s="5"/>
      <c r="J532" s="6"/>
      <c r="K532" s="6"/>
      <c r="L532" s="6"/>
      <c r="M532" s="8"/>
      <c r="N532" s="9"/>
      <c r="O532" s="8"/>
      <c r="P532" s="10"/>
      <c r="Q532" s="11"/>
      <c r="R532" s="8"/>
      <c r="S532" s="8"/>
      <c r="T532" s="9"/>
    </row>
    <row r="533" spans="1:21" x14ac:dyDescent="0.4">
      <c r="A533" s="5"/>
      <c r="B533" s="20"/>
      <c r="C533" s="20"/>
      <c r="D533" s="20"/>
      <c r="E533" s="21"/>
      <c r="F533" s="22"/>
      <c r="G533" s="23"/>
      <c r="H533" s="23"/>
      <c r="I533" s="20"/>
      <c r="J533" s="24"/>
      <c r="K533" s="24"/>
      <c r="L533" s="24"/>
      <c r="M533" s="25"/>
      <c r="N533" s="26"/>
      <c r="O533" s="27"/>
      <c r="P533" s="28"/>
      <c r="Q533" s="29"/>
      <c r="R533" s="25"/>
      <c r="S533" s="8"/>
      <c r="T533" s="9"/>
    </row>
    <row r="534" spans="1:21" x14ac:dyDescent="0.4">
      <c r="A534" s="5"/>
      <c r="B534" s="20"/>
      <c r="C534" s="20"/>
      <c r="D534" s="30"/>
      <c r="E534" s="31"/>
      <c r="F534" s="32"/>
      <c r="G534" s="33"/>
      <c r="H534" s="33"/>
      <c r="I534" s="34"/>
      <c r="J534" s="35"/>
      <c r="K534" s="35"/>
      <c r="L534" s="35"/>
      <c r="M534" s="36"/>
      <c r="N534" s="37"/>
      <c r="O534" s="38"/>
      <c r="P534" s="39"/>
      <c r="Q534" s="40"/>
      <c r="R534" s="36"/>
      <c r="S534" s="8"/>
      <c r="T534" s="9"/>
    </row>
    <row r="535" spans="1:21" x14ac:dyDescent="0.4">
      <c r="A535" s="5"/>
      <c r="B535" s="132"/>
      <c r="C535" s="132"/>
      <c r="D535" s="41"/>
      <c r="E535" s="42"/>
      <c r="F535" s="43"/>
      <c r="G535" s="44"/>
      <c r="H535" s="44"/>
      <c r="I535" s="41"/>
      <c r="J535" s="45"/>
      <c r="K535" s="45"/>
      <c r="L535" s="45"/>
      <c r="M535" s="46"/>
      <c r="N535" s="47"/>
      <c r="O535" s="38"/>
      <c r="P535" s="48"/>
      <c r="Q535" s="49"/>
      <c r="R535" s="46"/>
      <c r="S535" s="8"/>
      <c r="T535" s="9"/>
    </row>
    <row r="536" spans="1:21" x14ac:dyDescent="0.4">
      <c r="A536" s="5"/>
      <c r="B536" s="132"/>
      <c r="C536" s="132"/>
      <c r="D536" s="41"/>
      <c r="E536" s="42"/>
      <c r="F536" s="43"/>
      <c r="G536" s="44"/>
      <c r="H536" s="44"/>
      <c r="I536" s="41"/>
      <c r="J536" s="45"/>
      <c r="K536" s="45"/>
      <c r="L536" s="45"/>
      <c r="M536" s="46"/>
      <c r="N536" s="47"/>
      <c r="O536" s="38"/>
      <c r="P536" s="48"/>
      <c r="Q536" s="49"/>
      <c r="R536" s="46"/>
      <c r="S536" s="8"/>
      <c r="T536" s="9"/>
    </row>
    <row r="537" spans="1:21" x14ac:dyDescent="0.4">
      <c r="A537" s="5"/>
      <c r="B537" s="132"/>
      <c r="C537" s="132"/>
      <c r="D537" s="41"/>
      <c r="E537" s="42"/>
      <c r="F537" s="43"/>
      <c r="G537" s="44"/>
      <c r="H537" s="44"/>
      <c r="I537" s="41"/>
      <c r="J537" s="45"/>
      <c r="K537" s="45"/>
      <c r="L537" s="45"/>
      <c r="M537" s="46"/>
      <c r="N537" s="47"/>
      <c r="O537" s="38"/>
      <c r="P537" s="48"/>
      <c r="Q537" s="49"/>
      <c r="R537" s="46"/>
      <c r="S537" s="9"/>
      <c r="T537" s="9"/>
    </row>
    <row r="538" spans="1:21" x14ac:dyDescent="0.4">
      <c r="A538" s="5"/>
      <c r="B538" s="132"/>
      <c r="C538" s="132"/>
      <c r="D538" s="41"/>
      <c r="E538" s="42"/>
      <c r="F538" s="43"/>
      <c r="G538" s="44"/>
      <c r="H538" s="44"/>
      <c r="I538" s="41"/>
      <c r="J538" s="45"/>
      <c r="K538" s="45"/>
      <c r="L538" s="45"/>
      <c r="M538" s="46"/>
      <c r="N538" s="47"/>
      <c r="O538" s="38"/>
      <c r="P538" s="48"/>
      <c r="Q538" s="49"/>
      <c r="R538" s="46"/>
      <c r="S538" s="9"/>
      <c r="T538" s="9"/>
    </row>
    <row r="539" spans="1:21" x14ac:dyDescent="0.4">
      <c r="A539" s="5"/>
      <c r="B539" s="132"/>
      <c r="C539" s="132"/>
      <c r="D539" s="41"/>
      <c r="E539" s="42"/>
      <c r="F539" s="43"/>
      <c r="G539" s="44"/>
      <c r="H539" s="44"/>
      <c r="I539" s="41"/>
      <c r="J539" s="45"/>
      <c r="K539" s="45"/>
      <c r="L539" s="45"/>
      <c r="M539" s="46"/>
      <c r="N539" s="47"/>
      <c r="O539" s="38"/>
      <c r="P539" s="48"/>
      <c r="Q539" s="49"/>
      <c r="R539" s="46"/>
      <c r="S539" s="9"/>
      <c r="T539" s="9"/>
    </row>
    <row r="540" spans="1:21" x14ac:dyDescent="0.4">
      <c r="A540" s="5"/>
      <c r="B540" s="132"/>
      <c r="C540" s="132"/>
      <c r="D540" s="41"/>
      <c r="E540" s="42"/>
      <c r="F540" s="43"/>
      <c r="G540" s="44"/>
      <c r="H540" s="44"/>
      <c r="I540" s="41"/>
      <c r="J540" s="45"/>
      <c r="K540" s="45"/>
      <c r="L540" s="45"/>
      <c r="M540" s="46"/>
      <c r="N540" s="47"/>
      <c r="O540" s="38"/>
      <c r="P540" s="48"/>
      <c r="Q540" s="49"/>
      <c r="R540" s="46"/>
      <c r="S540" s="9"/>
      <c r="T540" s="9"/>
    </row>
    <row r="541" spans="1:21" x14ac:dyDescent="0.4">
      <c r="A541" s="5"/>
      <c r="B541" s="132"/>
      <c r="C541" s="132"/>
      <c r="D541" s="41"/>
      <c r="E541" s="42"/>
      <c r="F541" s="43"/>
      <c r="G541" s="44"/>
      <c r="H541" s="44"/>
      <c r="I541" s="41"/>
      <c r="J541" s="45"/>
      <c r="K541" s="45"/>
      <c r="L541" s="45"/>
      <c r="M541" s="46"/>
      <c r="N541" s="47"/>
      <c r="O541" s="38"/>
      <c r="P541" s="48"/>
      <c r="Q541" s="49"/>
      <c r="R541" s="46"/>
      <c r="S541" s="9"/>
      <c r="T541" s="9"/>
    </row>
    <row r="542" spans="1:21" x14ac:dyDescent="0.4">
      <c r="A542" s="5"/>
      <c r="B542" s="20"/>
      <c r="C542" s="20"/>
      <c r="D542" s="30"/>
      <c r="E542" s="31"/>
      <c r="F542" s="32"/>
      <c r="G542" s="33"/>
      <c r="H542" s="33"/>
      <c r="I542" s="30"/>
      <c r="J542" s="35"/>
      <c r="K542" s="35"/>
      <c r="L542" s="35"/>
      <c r="M542" s="36"/>
      <c r="N542" s="37"/>
      <c r="O542" s="50"/>
      <c r="P542" s="48"/>
      <c r="Q542" s="40"/>
      <c r="R542" s="36"/>
      <c r="S542" s="9"/>
      <c r="T542" s="37"/>
    </row>
    <row r="543" spans="1:21" x14ac:dyDescent="0.4">
      <c r="A543" s="5"/>
      <c r="B543" s="132"/>
      <c r="C543" s="132"/>
      <c r="D543" s="41"/>
      <c r="E543" s="42"/>
      <c r="F543" s="43"/>
      <c r="G543" s="44"/>
      <c r="H543" s="44"/>
      <c r="I543" s="41"/>
      <c r="J543" s="45"/>
      <c r="K543" s="45"/>
      <c r="L543" s="45"/>
      <c r="M543" s="46"/>
      <c r="N543" s="47"/>
      <c r="O543" s="38"/>
      <c r="P543" s="48"/>
      <c r="Q543" s="49"/>
      <c r="R543" s="46"/>
      <c r="S543" s="9"/>
      <c r="T543" s="13"/>
      <c r="U543" s="17" t="s">
        <v>29</v>
      </c>
    </row>
    <row r="544" spans="1:21" x14ac:dyDescent="0.4">
      <c r="A544" s="5"/>
      <c r="B544" s="132"/>
      <c r="C544" s="132"/>
      <c r="D544" s="41"/>
      <c r="E544" s="42"/>
      <c r="F544" s="43"/>
      <c r="G544" s="44"/>
      <c r="H544" s="44"/>
      <c r="I544" s="41"/>
      <c r="J544" s="45"/>
      <c r="K544" s="45"/>
      <c r="L544" s="45"/>
      <c r="M544" s="46"/>
      <c r="N544" s="47"/>
      <c r="O544" s="38"/>
      <c r="P544" s="48"/>
      <c r="Q544" s="49"/>
      <c r="R544" s="46"/>
      <c r="S544" s="9"/>
      <c r="T544" s="47"/>
    </row>
    <row r="545" spans="1:20" x14ac:dyDescent="0.4">
      <c r="A545" s="5"/>
      <c r="B545" s="20"/>
      <c r="C545" s="20"/>
      <c r="D545" s="30"/>
      <c r="E545" s="31"/>
      <c r="F545" s="32"/>
      <c r="G545" s="33"/>
      <c r="H545" s="33"/>
      <c r="I545" s="30"/>
      <c r="J545" s="35"/>
      <c r="K545" s="35"/>
      <c r="L545" s="35"/>
      <c r="M545" s="36"/>
      <c r="N545" s="37"/>
      <c r="O545" s="50"/>
      <c r="P545" s="39"/>
      <c r="Q545" s="40"/>
      <c r="R545" s="36"/>
      <c r="S545" s="9"/>
      <c r="T545" s="9"/>
    </row>
    <row r="546" spans="1:20" x14ac:dyDescent="0.4">
      <c r="A546" s="5"/>
      <c r="B546" s="132"/>
      <c r="C546" s="132"/>
      <c r="D546" s="41"/>
      <c r="E546" s="42"/>
      <c r="F546" s="43"/>
      <c r="G546" s="44"/>
      <c r="H546" s="44"/>
      <c r="I546" s="41"/>
      <c r="J546" s="45"/>
      <c r="K546" s="45"/>
      <c r="L546" s="45"/>
      <c r="M546" s="46"/>
      <c r="N546" s="47"/>
      <c r="O546" s="38"/>
      <c r="P546" s="48"/>
      <c r="Q546" s="49"/>
      <c r="R546" s="46"/>
      <c r="S546" s="9"/>
      <c r="T546" s="9"/>
    </row>
    <row r="547" spans="1:20" x14ac:dyDescent="0.4">
      <c r="A547" s="5"/>
      <c r="B547" s="20"/>
      <c r="C547" s="20"/>
      <c r="D547" s="30"/>
      <c r="E547" s="31"/>
      <c r="F547" s="32"/>
      <c r="G547" s="33"/>
      <c r="H547" s="33"/>
      <c r="I547" s="30"/>
      <c r="J547" s="35"/>
      <c r="K547" s="35"/>
      <c r="L547" s="35"/>
      <c r="M547" s="36"/>
      <c r="N547" s="37"/>
      <c r="O547" s="50"/>
      <c r="P547" s="39"/>
      <c r="Q547" s="40"/>
      <c r="R547" s="36"/>
      <c r="S547" s="9"/>
      <c r="T547" s="9"/>
    </row>
    <row r="548" spans="1:20" x14ac:dyDescent="0.4">
      <c r="A548" s="5"/>
      <c r="B548" s="132"/>
      <c r="C548" s="132"/>
      <c r="D548" s="41"/>
      <c r="E548" s="42"/>
      <c r="F548" s="43"/>
      <c r="G548" s="44"/>
      <c r="H548" s="33"/>
      <c r="I548" s="41"/>
      <c r="J548" s="45"/>
      <c r="K548" s="45"/>
      <c r="L548" s="45"/>
      <c r="M548" s="46"/>
      <c r="N548" s="37"/>
      <c r="O548" s="38"/>
      <c r="P548" s="48"/>
      <c r="Q548" s="49"/>
      <c r="R548" s="46"/>
      <c r="S548" s="8"/>
      <c r="T548" s="9"/>
    </row>
    <row r="549" spans="1:20" x14ac:dyDescent="0.4">
      <c r="A549" s="5"/>
      <c r="B549" s="132"/>
      <c r="C549" s="132"/>
      <c r="D549" s="41"/>
      <c r="E549" s="42"/>
      <c r="F549" s="43"/>
      <c r="G549" s="44"/>
      <c r="H549" s="44"/>
      <c r="I549" s="41"/>
      <c r="J549" s="45"/>
      <c r="K549" s="45"/>
      <c r="L549" s="45"/>
      <c r="M549" s="46"/>
      <c r="N549" s="47"/>
      <c r="O549" s="38"/>
      <c r="P549" s="48"/>
      <c r="Q549" s="49"/>
      <c r="R549" s="46"/>
      <c r="S549" s="8"/>
      <c r="T549" s="8"/>
    </row>
    <row r="550" spans="1:20" x14ac:dyDescent="0.4">
      <c r="A550" s="5"/>
      <c r="B550" s="132"/>
      <c r="C550" s="132"/>
      <c r="D550" s="41"/>
      <c r="E550" s="42"/>
      <c r="F550" s="43"/>
      <c r="G550" s="44"/>
      <c r="H550" s="33"/>
      <c r="I550" s="41"/>
      <c r="J550" s="45"/>
      <c r="K550" s="45"/>
      <c r="L550" s="45"/>
      <c r="M550" s="46"/>
      <c r="N550" s="47"/>
      <c r="O550" s="38"/>
      <c r="P550" s="48"/>
      <c r="Q550" s="49"/>
      <c r="R550" s="46"/>
      <c r="S550" s="8"/>
      <c r="T550" s="9"/>
    </row>
    <row r="551" spans="1:20" x14ac:dyDescent="0.4">
      <c r="A551" s="5"/>
      <c r="B551" s="132"/>
      <c r="C551" s="132"/>
      <c r="D551" s="41"/>
      <c r="E551" s="42"/>
      <c r="F551" s="43"/>
      <c r="G551" s="44"/>
      <c r="H551" s="33"/>
      <c r="I551" s="41"/>
      <c r="J551" s="45"/>
      <c r="K551" s="45"/>
      <c r="L551" s="45"/>
      <c r="M551" s="46"/>
      <c r="N551" s="47"/>
      <c r="O551" s="38"/>
      <c r="P551" s="48"/>
      <c r="Q551" s="49"/>
      <c r="R551" s="46"/>
      <c r="S551" s="8"/>
      <c r="T551" s="9"/>
    </row>
    <row r="552" spans="1:20" x14ac:dyDescent="0.4">
      <c r="A552" s="5"/>
      <c r="B552" s="5"/>
      <c r="C552" s="5"/>
      <c r="D552" s="5"/>
      <c r="E552" s="5"/>
      <c r="F552" s="6"/>
      <c r="G552" s="7"/>
      <c r="H552" s="7"/>
      <c r="I552" s="5"/>
      <c r="J552" s="6"/>
      <c r="K552" s="6"/>
      <c r="L552" s="6"/>
      <c r="M552" s="8"/>
      <c r="N552" s="9"/>
      <c r="O552" s="8"/>
      <c r="P552" s="10"/>
      <c r="Q552" s="11"/>
      <c r="R552" s="8"/>
      <c r="S552" s="8"/>
      <c r="T552" s="14"/>
    </row>
    <row r="553" spans="1:20" x14ac:dyDescent="0.4">
      <c r="A553" s="5"/>
      <c r="B553" s="5"/>
      <c r="C553" s="5"/>
      <c r="D553" s="5"/>
      <c r="E553" s="5"/>
      <c r="F553" s="6"/>
      <c r="G553" s="7"/>
      <c r="H553" s="7"/>
      <c r="I553" s="5"/>
      <c r="J553" s="6"/>
      <c r="K553" s="6"/>
      <c r="L553" s="6"/>
      <c r="M553" s="8"/>
      <c r="N553" s="9"/>
      <c r="O553" s="8"/>
      <c r="P553" s="10"/>
      <c r="Q553" s="11"/>
      <c r="R553" s="8"/>
      <c r="S553" s="8"/>
      <c r="T553" s="13"/>
    </row>
    <row r="554" spans="1:20" x14ac:dyDescent="0.4">
      <c r="A554" s="5"/>
      <c r="B554" s="5"/>
      <c r="C554" s="5"/>
      <c r="D554" s="5"/>
      <c r="E554" s="5"/>
      <c r="F554" s="6"/>
      <c r="G554" s="7"/>
      <c r="H554" s="7"/>
      <c r="I554" s="5"/>
      <c r="J554" s="6"/>
      <c r="K554" s="6"/>
      <c r="L554" s="6"/>
      <c r="M554" s="8"/>
      <c r="N554" s="9"/>
      <c r="O554" s="8"/>
      <c r="P554" s="10"/>
      <c r="Q554" s="11"/>
      <c r="R554" s="8"/>
      <c r="S554" s="8"/>
      <c r="T554" s="13"/>
    </row>
    <row r="555" spans="1:20" x14ac:dyDescent="0.4">
      <c r="A555" s="5"/>
      <c r="B555" s="5"/>
      <c r="C555" s="5"/>
      <c r="D555" s="5"/>
      <c r="E555" s="5"/>
      <c r="F555" s="6"/>
      <c r="G555" s="7"/>
      <c r="H555" s="7"/>
      <c r="I555" s="5"/>
      <c r="J555" s="6"/>
      <c r="K555" s="6"/>
      <c r="L555" s="6"/>
      <c r="M555" s="8"/>
      <c r="N555" s="9"/>
      <c r="O555" s="8"/>
      <c r="P555" s="10"/>
      <c r="Q555" s="11"/>
      <c r="R555" s="8"/>
      <c r="S555" s="8"/>
      <c r="T555" s="13"/>
    </row>
    <row r="556" spans="1:20" x14ac:dyDescent="0.4">
      <c r="A556" s="5"/>
      <c r="B556" s="5"/>
      <c r="C556" s="5"/>
      <c r="D556" s="5"/>
      <c r="E556" s="5"/>
      <c r="F556" s="6"/>
      <c r="G556" s="7"/>
      <c r="H556" s="7"/>
      <c r="I556" s="5"/>
      <c r="J556" s="6"/>
      <c r="K556" s="6"/>
      <c r="L556" s="6"/>
      <c r="M556" s="8"/>
      <c r="N556" s="9"/>
      <c r="O556" s="8"/>
      <c r="P556" s="10"/>
      <c r="Q556" s="11"/>
      <c r="R556" s="8"/>
      <c r="S556" s="8"/>
      <c r="T556" s="13"/>
    </row>
    <row r="557" spans="1:20" x14ac:dyDescent="0.4">
      <c r="A557" s="5"/>
      <c r="B557" s="5"/>
      <c r="C557" s="5"/>
      <c r="D557" s="5"/>
      <c r="E557" s="5"/>
      <c r="F557" s="6"/>
      <c r="G557" s="7"/>
      <c r="H557" s="7"/>
      <c r="I557" s="5"/>
      <c r="J557" s="6"/>
      <c r="K557" s="6"/>
      <c r="L557" s="6"/>
      <c r="M557" s="8"/>
      <c r="N557" s="9"/>
      <c r="O557" s="8"/>
      <c r="P557" s="10"/>
      <c r="Q557" s="11"/>
      <c r="R557" s="8"/>
      <c r="S557" s="8"/>
      <c r="T557" s="9"/>
    </row>
    <row r="558" spans="1:20" x14ac:dyDescent="0.4">
      <c r="A558" s="5"/>
      <c r="B558" s="5"/>
      <c r="C558" s="5"/>
      <c r="D558" s="5"/>
      <c r="E558" s="5"/>
      <c r="F558" s="6"/>
      <c r="G558" s="7"/>
      <c r="H558" s="7"/>
      <c r="I558" s="5"/>
      <c r="J558" s="6"/>
      <c r="K558" s="6"/>
      <c r="L558" s="6"/>
      <c r="M558" s="8"/>
      <c r="N558" s="9"/>
      <c r="O558" s="8"/>
      <c r="P558" s="10"/>
      <c r="Q558" s="11"/>
      <c r="R558" s="8"/>
      <c r="S558" s="8"/>
      <c r="T558" s="9"/>
    </row>
    <row r="559" spans="1:20" x14ac:dyDescent="0.4">
      <c r="A559" s="5"/>
      <c r="B559" s="5"/>
      <c r="C559" s="5"/>
      <c r="D559" s="5"/>
      <c r="E559" s="5"/>
      <c r="F559" s="6"/>
      <c r="G559" s="7"/>
      <c r="H559" s="7"/>
      <c r="I559" s="5"/>
      <c r="J559" s="6"/>
      <c r="K559" s="6"/>
      <c r="L559" s="6"/>
      <c r="M559" s="8"/>
      <c r="N559" s="9"/>
      <c r="O559" s="8"/>
      <c r="P559" s="10"/>
      <c r="Q559" s="11"/>
      <c r="R559" s="8"/>
      <c r="S559" s="8"/>
      <c r="T559" s="9"/>
    </row>
    <row r="560" spans="1:20" x14ac:dyDescent="0.4">
      <c r="A560" s="5"/>
      <c r="B560" s="5"/>
      <c r="C560" s="5"/>
      <c r="D560" s="5"/>
      <c r="E560" s="5"/>
      <c r="F560" s="6"/>
      <c r="G560" s="7"/>
      <c r="H560" s="7"/>
      <c r="I560" s="5"/>
      <c r="J560" s="6"/>
      <c r="K560" s="6"/>
      <c r="L560" s="6"/>
      <c r="M560" s="8"/>
      <c r="N560" s="9"/>
      <c r="O560" s="8"/>
      <c r="P560" s="10"/>
      <c r="Q560" s="11"/>
      <c r="R560" s="8"/>
      <c r="S560" s="8"/>
      <c r="T560" s="9"/>
    </row>
    <row r="561" spans="1:21" x14ac:dyDescent="0.4">
      <c r="A561" s="5"/>
      <c r="B561" s="5"/>
      <c r="C561" s="5"/>
      <c r="D561" s="5"/>
      <c r="E561" s="5"/>
      <c r="F561" s="6"/>
      <c r="G561" s="7"/>
      <c r="H561" s="7"/>
      <c r="I561" s="5"/>
      <c r="J561" s="6"/>
      <c r="K561" s="6"/>
      <c r="L561" s="6"/>
      <c r="M561" s="8"/>
      <c r="N561" s="9"/>
      <c r="O561" s="8"/>
      <c r="P561" s="10"/>
      <c r="Q561" s="11"/>
      <c r="R561" s="8"/>
      <c r="S561" s="8"/>
      <c r="T561" s="9"/>
    </row>
    <row r="562" spans="1:21" x14ac:dyDescent="0.4">
      <c r="A562" s="5"/>
      <c r="B562" s="5"/>
      <c r="C562" s="5"/>
      <c r="D562" s="5"/>
      <c r="E562" s="5"/>
      <c r="F562" s="6"/>
      <c r="G562" s="7"/>
      <c r="H562" s="7"/>
      <c r="I562" s="5"/>
      <c r="J562" s="6"/>
      <c r="K562" s="6"/>
      <c r="L562" s="6"/>
      <c r="M562" s="8"/>
      <c r="N562" s="9"/>
      <c r="O562" s="8"/>
      <c r="P562" s="10"/>
      <c r="Q562" s="11"/>
      <c r="R562" s="8"/>
      <c r="S562" s="8"/>
      <c r="T562" s="9"/>
    </row>
    <row r="563" spans="1:21" x14ac:dyDescent="0.4">
      <c r="A563" s="5"/>
      <c r="B563" s="5"/>
      <c r="C563" s="5"/>
      <c r="D563" s="5"/>
      <c r="E563" s="5"/>
      <c r="F563" s="6"/>
      <c r="G563" s="7"/>
      <c r="H563" s="7"/>
      <c r="I563" s="5"/>
      <c r="J563" s="6"/>
      <c r="K563" s="6"/>
      <c r="L563" s="6"/>
      <c r="M563" s="8"/>
      <c r="N563" s="9"/>
      <c r="O563" s="8"/>
      <c r="P563" s="10"/>
      <c r="Q563" s="11"/>
      <c r="R563" s="8"/>
      <c r="S563" s="8"/>
      <c r="T563" s="9"/>
    </row>
    <row r="564" spans="1:21" x14ac:dyDescent="0.4">
      <c r="A564" s="5"/>
      <c r="B564" s="5"/>
      <c r="C564" s="5"/>
      <c r="D564" s="5"/>
      <c r="E564" s="5"/>
      <c r="F564" s="6"/>
      <c r="G564" s="7"/>
      <c r="H564" s="7"/>
      <c r="I564" s="5"/>
      <c r="J564" s="6"/>
      <c r="K564" s="6"/>
      <c r="L564" s="6"/>
      <c r="M564" s="8"/>
      <c r="N564" s="9"/>
      <c r="O564" s="8"/>
      <c r="P564" s="10"/>
      <c r="Q564" s="11"/>
      <c r="R564" s="8"/>
      <c r="S564" s="8"/>
      <c r="T564" s="9"/>
    </row>
    <row r="565" spans="1:21" x14ac:dyDescent="0.4">
      <c r="A565" s="5"/>
      <c r="B565" s="5"/>
      <c r="C565" s="5"/>
      <c r="D565" s="5"/>
      <c r="E565" s="5"/>
      <c r="F565" s="6"/>
      <c r="G565" s="7"/>
      <c r="H565" s="7"/>
      <c r="I565" s="5"/>
      <c r="J565" s="6"/>
      <c r="K565" s="6"/>
      <c r="L565" s="6"/>
      <c r="M565" s="8"/>
      <c r="N565" s="9"/>
      <c r="O565" s="8"/>
      <c r="P565" s="10"/>
      <c r="Q565" s="11"/>
      <c r="R565" s="8"/>
      <c r="S565" s="8"/>
      <c r="T565" s="9"/>
    </row>
    <row r="566" spans="1:21" x14ac:dyDescent="0.4">
      <c r="A566" s="5"/>
      <c r="B566" s="5"/>
      <c r="C566" s="5"/>
      <c r="D566" s="5"/>
      <c r="E566" s="5"/>
      <c r="F566" s="6"/>
      <c r="G566" s="7"/>
      <c r="H566" s="7"/>
      <c r="I566" s="5"/>
      <c r="J566" s="6"/>
      <c r="K566" s="6"/>
      <c r="L566" s="6"/>
      <c r="M566" s="8"/>
      <c r="N566" s="9"/>
      <c r="O566" s="8"/>
      <c r="P566" s="10"/>
      <c r="Q566" s="11"/>
      <c r="R566" s="8"/>
      <c r="S566" s="8"/>
      <c r="T566" s="9"/>
    </row>
    <row r="567" spans="1:21" x14ac:dyDescent="0.4">
      <c r="A567" s="5"/>
      <c r="B567" s="5"/>
      <c r="C567" s="5"/>
      <c r="D567" s="5"/>
      <c r="E567" s="5"/>
      <c r="F567" s="6"/>
      <c r="G567" s="7"/>
      <c r="H567" s="7"/>
      <c r="I567" s="5"/>
      <c r="J567" s="6"/>
      <c r="K567" s="6"/>
      <c r="L567" s="6"/>
      <c r="M567" s="8"/>
      <c r="N567" s="9"/>
      <c r="O567" s="8"/>
      <c r="P567" s="10"/>
      <c r="Q567" s="11"/>
      <c r="R567" s="8"/>
      <c r="S567" s="8"/>
      <c r="T567" s="9"/>
    </row>
    <row r="568" spans="1:21" x14ac:dyDescent="0.4">
      <c r="A568" s="5"/>
      <c r="B568" s="5"/>
      <c r="C568" s="5"/>
      <c r="D568" s="5"/>
      <c r="E568" s="5"/>
      <c r="F568" s="6"/>
      <c r="G568" s="7"/>
      <c r="H568" s="7"/>
      <c r="I568" s="5"/>
      <c r="J568" s="6"/>
      <c r="K568" s="6"/>
      <c r="L568" s="6"/>
      <c r="M568" s="8"/>
      <c r="N568" s="9"/>
      <c r="O568" s="8"/>
      <c r="P568" s="10"/>
      <c r="Q568" s="11"/>
      <c r="R568" s="8"/>
      <c r="S568" s="8"/>
      <c r="T568" s="9"/>
    </row>
    <row r="569" spans="1:21" x14ac:dyDescent="0.4">
      <c r="A569" s="5"/>
      <c r="B569" s="5"/>
      <c r="C569" s="5"/>
      <c r="D569" s="5"/>
      <c r="E569" s="5"/>
      <c r="F569" s="6"/>
      <c r="G569" s="7"/>
      <c r="H569" s="7"/>
      <c r="I569" s="5"/>
      <c r="J569" s="6"/>
      <c r="K569" s="6"/>
      <c r="L569" s="6"/>
      <c r="M569" s="8"/>
      <c r="N569" s="9"/>
      <c r="O569" s="8"/>
      <c r="P569" s="10"/>
      <c r="Q569" s="11"/>
      <c r="R569" s="8"/>
      <c r="S569" s="8"/>
      <c r="T569" s="9"/>
    </row>
    <row r="570" spans="1:21" x14ac:dyDescent="0.4">
      <c r="A570" s="5"/>
      <c r="B570" s="5"/>
      <c r="C570" s="5"/>
      <c r="D570" s="5"/>
      <c r="E570" s="5"/>
      <c r="F570" s="6"/>
      <c r="G570" s="7"/>
      <c r="H570" s="7"/>
      <c r="I570" s="5"/>
      <c r="J570" s="6"/>
      <c r="K570" s="6"/>
      <c r="L570" s="6"/>
      <c r="M570" s="8"/>
      <c r="N570" s="9"/>
      <c r="O570" s="8"/>
      <c r="P570" s="10"/>
      <c r="Q570" s="11"/>
      <c r="R570" s="8"/>
      <c r="S570" s="8"/>
      <c r="T570" s="9"/>
    </row>
    <row r="571" spans="1:21" x14ac:dyDescent="0.4">
      <c r="A571" s="5"/>
      <c r="B571" s="5"/>
      <c r="C571" s="5"/>
      <c r="D571" s="5"/>
      <c r="E571" s="5"/>
      <c r="F571" s="6"/>
      <c r="G571" s="7"/>
      <c r="H571" s="7"/>
      <c r="I571" s="5"/>
      <c r="J571" s="6"/>
      <c r="K571" s="6"/>
      <c r="L571" s="6"/>
      <c r="M571" s="8"/>
      <c r="N571" s="9"/>
      <c r="O571" s="8"/>
      <c r="P571" s="10"/>
      <c r="Q571" s="11"/>
      <c r="R571" s="8"/>
      <c r="S571" s="8"/>
      <c r="T571" s="13"/>
      <c r="U571" s="17"/>
    </row>
    <row r="572" spans="1:21" x14ac:dyDescent="0.4">
      <c r="A572" s="5"/>
      <c r="B572" s="5"/>
      <c r="C572" s="5"/>
      <c r="D572" s="5"/>
      <c r="E572" s="5"/>
      <c r="F572" s="6"/>
      <c r="G572" s="7"/>
      <c r="H572" s="7"/>
      <c r="I572" s="5"/>
      <c r="J572" s="6"/>
      <c r="K572" s="6"/>
      <c r="L572" s="6"/>
      <c r="M572" s="8"/>
      <c r="N572" s="9"/>
      <c r="O572" s="8"/>
      <c r="P572" s="10"/>
      <c r="Q572" s="11"/>
      <c r="R572" s="8"/>
      <c r="S572" s="8"/>
      <c r="T572" s="9"/>
    </row>
    <row r="573" spans="1:21" x14ac:dyDescent="0.4">
      <c r="A573" s="5"/>
      <c r="B573" s="5"/>
      <c r="C573" s="5"/>
      <c r="D573" s="5"/>
      <c r="E573" s="5"/>
      <c r="F573" s="6"/>
      <c r="G573" s="7"/>
      <c r="H573" s="7"/>
      <c r="I573" s="5"/>
      <c r="J573" s="6"/>
      <c r="K573" s="6"/>
      <c r="L573" s="6"/>
      <c r="M573" s="8"/>
      <c r="N573" s="9"/>
      <c r="O573" s="8"/>
      <c r="P573" s="10"/>
      <c r="Q573" s="11"/>
      <c r="R573" s="8"/>
      <c r="S573" s="8"/>
      <c r="T573" s="9"/>
    </row>
    <row r="574" spans="1:21" x14ac:dyDescent="0.4">
      <c r="A574" s="5"/>
      <c r="B574" s="5"/>
      <c r="C574" s="5"/>
      <c r="D574" s="5"/>
      <c r="E574" s="5"/>
      <c r="F574" s="6"/>
      <c r="G574" s="7"/>
      <c r="H574" s="7"/>
      <c r="I574" s="5"/>
      <c r="J574" s="6"/>
      <c r="K574" s="6"/>
      <c r="L574" s="6"/>
      <c r="M574" s="8"/>
      <c r="N574" s="9"/>
      <c r="O574" s="8"/>
      <c r="P574" s="10"/>
      <c r="Q574" s="11"/>
      <c r="R574" s="8"/>
      <c r="S574" s="8"/>
      <c r="T574" s="9"/>
    </row>
    <row r="575" spans="1:21" x14ac:dyDescent="0.4">
      <c r="A575" s="5"/>
      <c r="B575" s="5"/>
      <c r="C575" s="5"/>
      <c r="D575" s="5"/>
      <c r="E575" s="5"/>
      <c r="F575" s="6"/>
      <c r="G575" s="7"/>
      <c r="H575" s="7"/>
      <c r="I575" s="5"/>
      <c r="J575" s="6"/>
      <c r="K575" s="6"/>
      <c r="L575" s="6"/>
      <c r="M575" s="8"/>
      <c r="N575" s="9"/>
      <c r="O575" s="8"/>
      <c r="P575" s="10"/>
      <c r="Q575" s="11"/>
      <c r="R575" s="8"/>
      <c r="S575" s="8"/>
      <c r="T575" s="8"/>
    </row>
    <row r="576" spans="1:21" x14ac:dyDescent="0.4">
      <c r="A576" s="5"/>
      <c r="B576" s="5"/>
      <c r="C576" s="5"/>
      <c r="D576" s="5"/>
      <c r="E576" s="5"/>
      <c r="F576" s="6"/>
      <c r="G576" s="7"/>
      <c r="H576" s="7"/>
      <c r="I576" s="5"/>
      <c r="J576" s="6"/>
      <c r="K576" s="6"/>
      <c r="L576" s="6"/>
      <c r="M576" s="8"/>
      <c r="N576" s="9"/>
      <c r="O576" s="8"/>
      <c r="P576" s="10"/>
      <c r="Q576" s="11"/>
      <c r="R576" s="8"/>
      <c r="S576" s="8"/>
      <c r="T576" s="8"/>
    </row>
    <row r="577" spans="1:20" x14ac:dyDescent="0.4">
      <c r="A577" s="5"/>
      <c r="B577" s="5"/>
      <c r="C577" s="5"/>
      <c r="D577" s="5"/>
      <c r="E577" s="5"/>
      <c r="F577" s="6"/>
      <c r="G577" s="7"/>
      <c r="H577" s="7"/>
      <c r="I577" s="5"/>
      <c r="J577" s="6"/>
      <c r="K577" s="6"/>
      <c r="L577" s="6"/>
      <c r="M577" s="8"/>
      <c r="N577" s="9"/>
      <c r="O577" s="8"/>
      <c r="P577" s="10"/>
      <c r="Q577" s="11"/>
      <c r="R577" s="8"/>
      <c r="S577" s="8"/>
      <c r="T577" s="8"/>
    </row>
    <row r="578" spans="1:20" x14ac:dyDescent="0.4">
      <c r="A578" s="5"/>
      <c r="B578" s="5"/>
      <c r="C578" s="5"/>
      <c r="D578" s="5"/>
      <c r="E578" s="5"/>
      <c r="F578" s="6"/>
      <c r="G578" s="7"/>
      <c r="H578" s="7"/>
      <c r="I578" s="5"/>
      <c r="J578" s="6"/>
      <c r="K578" s="6"/>
      <c r="L578" s="6"/>
      <c r="M578" s="8"/>
      <c r="N578" s="9"/>
      <c r="O578" s="8"/>
      <c r="P578" s="10"/>
      <c r="Q578" s="11"/>
      <c r="R578" s="8"/>
      <c r="S578" s="8"/>
      <c r="T578" s="9"/>
    </row>
    <row r="579" spans="1:20" x14ac:dyDescent="0.4">
      <c r="A579" s="5"/>
      <c r="B579" s="5"/>
      <c r="C579" s="5"/>
      <c r="D579" s="5"/>
      <c r="E579" s="5"/>
      <c r="F579" s="6"/>
      <c r="G579" s="7"/>
      <c r="H579" s="7"/>
      <c r="I579" s="5"/>
      <c r="J579" s="6"/>
      <c r="K579" s="6"/>
      <c r="L579" s="6"/>
      <c r="M579" s="8"/>
      <c r="N579" s="9"/>
      <c r="O579" s="8"/>
      <c r="P579" s="10"/>
      <c r="Q579" s="11"/>
      <c r="R579" s="8"/>
      <c r="S579" s="8"/>
      <c r="T579" s="9"/>
    </row>
    <row r="580" spans="1:20" x14ac:dyDescent="0.4">
      <c r="A580" s="5"/>
      <c r="B580" s="5"/>
      <c r="C580" s="5"/>
      <c r="D580" s="5"/>
      <c r="E580" s="5"/>
      <c r="F580" s="6"/>
      <c r="G580" s="7"/>
      <c r="H580" s="7"/>
      <c r="I580" s="5"/>
      <c r="J580" s="6"/>
      <c r="K580" s="6"/>
      <c r="L580" s="6"/>
      <c r="M580" s="8"/>
      <c r="N580" s="9"/>
      <c r="O580" s="8"/>
      <c r="P580" s="10"/>
      <c r="Q580" s="11"/>
      <c r="R580" s="8"/>
      <c r="S580" s="8"/>
      <c r="T580" s="9"/>
    </row>
    <row r="581" spans="1:20" x14ac:dyDescent="0.4">
      <c r="A581" s="5"/>
      <c r="B581" s="5"/>
      <c r="C581" s="5"/>
      <c r="D581" s="5"/>
      <c r="E581" s="5"/>
      <c r="F581" s="6"/>
      <c r="G581" s="7"/>
      <c r="H581" s="7"/>
      <c r="I581" s="5"/>
      <c r="J581" s="6"/>
      <c r="K581" s="6"/>
      <c r="L581" s="6"/>
      <c r="M581" s="8"/>
      <c r="N581" s="9"/>
      <c r="O581" s="8"/>
      <c r="P581" s="10"/>
      <c r="Q581" s="11"/>
      <c r="R581" s="8"/>
      <c r="S581" s="8"/>
      <c r="T581" s="9"/>
    </row>
    <row r="582" spans="1:20" x14ac:dyDescent="0.4">
      <c r="A582" s="5"/>
      <c r="B582" s="5"/>
      <c r="C582" s="5"/>
      <c r="D582" s="5"/>
      <c r="E582" s="5"/>
      <c r="F582" s="6"/>
      <c r="G582" s="7"/>
      <c r="H582" s="7"/>
      <c r="I582" s="5"/>
      <c r="J582" s="6"/>
      <c r="K582" s="6"/>
      <c r="L582" s="6"/>
      <c r="M582" s="8"/>
      <c r="N582" s="9"/>
      <c r="O582" s="8"/>
      <c r="P582" s="10"/>
      <c r="Q582" s="11"/>
      <c r="R582" s="8"/>
      <c r="S582" s="8"/>
      <c r="T582" s="13"/>
    </row>
    <row r="583" spans="1:20" x14ac:dyDescent="0.4">
      <c r="A583" s="5"/>
      <c r="B583" s="5"/>
      <c r="C583" s="5"/>
      <c r="D583" s="5"/>
      <c r="E583" s="5"/>
      <c r="F583" s="6"/>
      <c r="G583" s="7"/>
      <c r="H583" s="7"/>
      <c r="I583" s="5"/>
      <c r="J583" s="6"/>
      <c r="K583" s="6"/>
      <c r="L583" s="6"/>
      <c r="M583" s="8"/>
      <c r="N583" s="9"/>
      <c r="O583" s="8"/>
      <c r="P583" s="10"/>
      <c r="Q583" s="11"/>
      <c r="R583" s="8"/>
      <c r="S583" s="8"/>
      <c r="T583" s="13"/>
    </row>
    <row r="584" spans="1:20" x14ac:dyDescent="0.4">
      <c r="A584" s="5"/>
      <c r="B584" s="5"/>
      <c r="C584" s="5"/>
      <c r="D584" s="5"/>
      <c r="E584" s="5"/>
      <c r="F584" s="6"/>
      <c r="G584" s="7"/>
      <c r="H584" s="7"/>
      <c r="I584" s="5"/>
      <c r="J584" s="6"/>
      <c r="K584" s="6"/>
      <c r="L584" s="6"/>
      <c r="M584" s="8"/>
      <c r="N584" s="9"/>
      <c r="O584" s="8"/>
      <c r="P584" s="10"/>
      <c r="Q584" s="11"/>
      <c r="R584" s="8"/>
      <c r="S584" s="8"/>
      <c r="T584" s="9"/>
    </row>
    <row r="585" spans="1:20" x14ac:dyDescent="0.4">
      <c r="A585" s="5"/>
      <c r="B585" s="5"/>
      <c r="C585" s="5"/>
      <c r="D585" s="5"/>
      <c r="E585" s="5"/>
      <c r="F585" s="6"/>
      <c r="G585" s="7"/>
      <c r="H585" s="7"/>
      <c r="I585" s="5"/>
      <c r="J585" s="6"/>
      <c r="K585" s="6"/>
      <c r="L585" s="6"/>
      <c r="M585" s="8"/>
      <c r="N585" s="9"/>
      <c r="O585" s="8"/>
      <c r="P585" s="10"/>
      <c r="Q585" s="11"/>
      <c r="R585" s="8"/>
      <c r="S585" s="8"/>
      <c r="T585" s="9"/>
    </row>
    <row r="586" spans="1:20" x14ac:dyDescent="0.4">
      <c r="A586" s="5"/>
      <c r="B586" s="5"/>
      <c r="C586" s="5"/>
      <c r="D586" s="5"/>
      <c r="E586" s="5"/>
      <c r="F586" s="6"/>
      <c r="G586" s="7"/>
      <c r="H586" s="7"/>
      <c r="I586" s="5"/>
      <c r="J586" s="6"/>
      <c r="K586" s="6"/>
      <c r="L586" s="6"/>
      <c r="M586" s="8"/>
      <c r="N586" s="9"/>
      <c r="O586" s="8"/>
      <c r="P586" s="10"/>
      <c r="Q586" s="11"/>
      <c r="R586" s="8"/>
      <c r="S586" s="8"/>
      <c r="T586" s="9"/>
    </row>
    <row r="587" spans="1:20" x14ac:dyDescent="0.4">
      <c r="A587" s="5"/>
      <c r="B587" s="5"/>
      <c r="C587" s="5"/>
      <c r="D587" s="5"/>
      <c r="E587" s="5"/>
      <c r="F587" s="6"/>
      <c r="G587" s="7"/>
      <c r="H587" s="7"/>
      <c r="I587" s="5"/>
      <c r="J587" s="6"/>
      <c r="K587" s="6"/>
      <c r="L587" s="6"/>
      <c r="M587" s="8"/>
      <c r="N587" s="9"/>
      <c r="O587" s="8"/>
      <c r="P587" s="10"/>
      <c r="Q587" s="11"/>
      <c r="R587" s="8"/>
      <c r="S587" s="8"/>
      <c r="T587" s="9"/>
    </row>
    <row r="588" spans="1:20" x14ac:dyDescent="0.4">
      <c r="A588" s="5"/>
      <c r="B588" s="5"/>
      <c r="C588" s="5"/>
      <c r="D588" s="5"/>
      <c r="E588" s="5"/>
      <c r="F588" s="6"/>
      <c r="G588" s="7"/>
      <c r="H588" s="7"/>
      <c r="I588" s="5"/>
      <c r="J588" s="6"/>
      <c r="K588" s="6"/>
      <c r="L588" s="6"/>
      <c r="M588" s="8"/>
      <c r="N588" s="9"/>
      <c r="O588" s="8"/>
      <c r="P588" s="10"/>
      <c r="Q588" s="11"/>
      <c r="R588" s="8"/>
      <c r="S588" s="8"/>
      <c r="T588" s="14"/>
    </row>
    <row r="589" spans="1:20" x14ac:dyDescent="0.4">
      <c r="A589" s="5"/>
      <c r="B589" s="5"/>
      <c r="C589" s="5"/>
      <c r="D589" s="5"/>
      <c r="E589" s="5"/>
      <c r="F589" s="6"/>
      <c r="G589" s="7"/>
      <c r="H589" s="7"/>
      <c r="I589" s="5"/>
      <c r="J589" s="6"/>
      <c r="K589" s="6"/>
      <c r="L589" s="6"/>
      <c r="M589" s="8"/>
      <c r="N589" s="9"/>
      <c r="O589" s="8"/>
      <c r="P589" s="10"/>
      <c r="Q589" s="11"/>
      <c r="R589" s="8"/>
      <c r="S589" s="8"/>
      <c r="T589" s="13"/>
    </row>
    <row r="590" spans="1:20" x14ac:dyDescent="0.4">
      <c r="A590" s="5"/>
      <c r="B590" s="5"/>
      <c r="C590" s="5"/>
      <c r="D590" s="5"/>
      <c r="E590" s="5"/>
      <c r="F590" s="6"/>
      <c r="G590" s="7"/>
      <c r="H590" s="7"/>
      <c r="I590" s="5"/>
      <c r="J590" s="6"/>
      <c r="K590" s="6"/>
      <c r="L590" s="6"/>
      <c r="M590" s="8"/>
      <c r="N590" s="9"/>
      <c r="O590" s="8"/>
      <c r="P590" s="10"/>
      <c r="Q590" s="11"/>
      <c r="R590" s="8"/>
      <c r="S590" s="8"/>
      <c r="T590" s="13"/>
    </row>
    <row r="591" spans="1:20" x14ac:dyDescent="0.4">
      <c r="A591" s="5"/>
      <c r="B591" s="5"/>
      <c r="C591" s="5"/>
      <c r="D591" s="5"/>
      <c r="E591" s="5"/>
      <c r="F591" s="6"/>
      <c r="G591" s="7"/>
      <c r="H591" s="7"/>
      <c r="I591" s="5"/>
      <c r="J591" s="6"/>
      <c r="K591" s="6"/>
      <c r="L591" s="6"/>
      <c r="M591" s="8"/>
      <c r="N591" s="9"/>
      <c r="O591" s="8"/>
      <c r="P591" s="10"/>
      <c r="Q591" s="11"/>
      <c r="R591" s="8"/>
      <c r="S591" s="8"/>
      <c r="T591" s="13"/>
    </row>
    <row r="592" spans="1:20" x14ac:dyDescent="0.4">
      <c r="A592" s="5"/>
      <c r="B592" s="5"/>
      <c r="C592" s="5"/>
      <c r="D592" s="5"/>
      <c r="E592" s="5"/>
      <c r="F592" s="6"/>
      <c r="G592" s="7"/>
      <c r="H592" s="7"/>
      <c r="I592" s="5"/>
      <c r="J592" s="6"/>
      <c r="K592" s="6"/>
      <c r="L592" s="6"/>
      <c r="M592" s="8"/>
      <c r="N592" s="9"/>
      <c r="O592" s="8"/>
      <c r="P592" s="10"/>
      <c r="Q592" s="11"/>
      <c r="R592" s="8"/>
      <c r="S592" s="8"/>
      <c r="T592" s="13"/>
    </row>
    <row r="593" spans="1:20" x14ac:dyDescent="0.4">
      <c r="A593" s="5"/>
      <c r="B593" s="5"/>
      <c r="C593" s="5"/>
      <c r="D593" s="5"/>
      <c r="E593" s="5"/>
      <c r="F593" s="6"/>
      <c r="G593" s="7"/>
      <c r="H593" s="7"/>
      <c r="I593" s="5"/>
      <c r="J593" s="6"/>
      <c r="K593" s="6"/>
      <c r="L593" s="6"/>
      <c r="M593" s="8"/>
      <c r="N593" s="9"/>
      <c r="O593" s="8"/>
      <c r="P593" s="10"/>
      <c r="Q593" s="11"/>
      <c r="R593" s="8"/>
      <c r="S593" s="8"/>
      <c r="T593" s="13"/>
    </row>
    <row r="594" spans="1:20" x14ac:dyDescent="0.4">
      <c r="A594" s="5"/>
      <c r="B594" s="5"/>
      <c r="C594" s="5"/>
      <c r="D594" s="5"/>
      <c r="E594" s="5"/>
      <c r="F594" s="6"/>
      <c r="G594" s="7"/>
      <c r="H594" s="7"/>
      <c r="I594" s="5"/>
      <c r="J594" s="6"/>
      <c r="K594" s="6"/>
      <c r="L594" s="6"/>
      <c r="M594" s="8"/>
      <c r="N594" s="9"/>
      <c r="O594" s="8"/>
      <c r="P594" s="10"/>
      <c r="Q594" s="11"/>
      <c r="R594" s="8"/>
      <c r="S594" s="8"/>
      <c r="T594" s="13"/>
    </row>
    <row r="595" spans="1:20" x14ac:dyDescent="0.4">
      <c r="A595" s="5"/>
      <c r="B595" s="5"/>
      <c r="C595" s="5"/>
      <c r="D595" s="5"/>
      <c r="E595" s="5"/>
      <c r="F595" s="6"/>
      <c r="G595" s="7"/>
      <c r="H595" s="7"/>
      <c r="I595" s="5"/>
      <c r="J595" s="6"/>
      <c r="K595" s="6"/>
      <c r="L595" s="6"/>
      <c r="M595" s="8"/>
      <c r="N595" s="9"/>
      <c r="O595" s="8"/>
      <c r="P595" s="10"/>
      <c r="Q595" s="11"/>
      <c r="R595" s="8"/>
      <c r="S595" s="8"/>
      <c r="T595" s="13"/>
    </row>
    <row r="596" spans="1:20" x14ac:dyDescent="0.4">
      <c r="A596" s="5"/>
      <c r="B596" s="5"/>
      <c r="C596" s="5"/>
      <c r="D596" s="5"/>
      <c r="E596" s="5"/>
      <c r="F596" s="6"/>
      <c r="G596" s="7"/>
      <c r="H596" s="7"/>
      <c r="I596" s="5"/>
      <c r="J596" s="6"/>
      <c r="K596" s="6"/>
      <c r="L596" s="6"/>
      <c r="M596" s="8"/>
      <c r="N596" s="9"/>
      <c r="O596" s="8"/>
      <c r="P596" s="10"/>
      <c r="Q596" s="11"/>
      <c r="R596" s="8"/>
      <c r="S596" s="8"/>
      <c r="T596" s="13"/>
    </row>
    <row r="597" spans="1:20" x14ac:dyDescent="0.4">
      <c r="A597" s="5"/>
      <c r="B597" s="5"/>
      <c r="C597" s="5"/>
      <c r="D597" s="5"/>
      <c r="E597" s="5"/>
      <c r="F597" s="6"/>
      <c r="G597" s="7"/>
      <c r="H597" s="7"/>
      <c r="I597" s="5"/>
      <c r="J597" s="6"/>
      <c r="K597" s="6"/>
      <c r="L597" s="6"/>
      <c r="M597" s="8"/>
      <c r="N597" s="9"/>
      <c r="O597" s="8"/>
      <c r="P597" s="10"/>
      <c r="Q597" s="11"/>
      <c r="R597" s="8"/>
      <c r="S597" s="8"/>
      <c r="T597" s="13"/>
    </row>
    <row r="598" spans="1:20" x14ac:dyDescent="0.4">
      <c r="A598" s="5"/>
      <c r="B598" s="5"/>
      <c r="C598" s="5"/>
      <c r="D598" s="5"/>
      <c r="E598" s="5"/>
      <c r="F598" s="6"/>
      <c r="G598" s="7"/>
      <c r="H598" s="7"/>
      <c r="I598" s="5"/>
      <c r="J598" s="6"/>
      <c r="K598" s="6"/>
      <c r="L598" s="6"/>
      <c r="M598" s="8"/>
      <c r="N598" s="9"/>
      <c r="O598" s="8"/>
      <c r="P598" s="10"/>
      <c r="Q598" s="11"/>
      <c r="R598" s="8"/>
      <c r="S598" s="8"/>
      <c r="T598" s="13"/>
    </row>
    <row r="599" spans="1:20" x14ac:dyDescent="0.4">
      <c r="A599" s="5"/>
      <c r="B599" s="5"/>
      <c r="C599" s="5"/>
      <c r="D599" s="5"/>
      <c r="E599" s="5"/>
      <c r="F599" s="6"/>
      <c r="G599" s="7"/>
      <c r="H599" s="7"/>
      <c r="I599" s="5"/>
      <c r="J599" s="6"/>
      <c r="K599" s="6"/>
      <c r="L599" s="6"/>
      <c r="M599" s="8"/>
      <c r="N599" s="9"/>
      <c r="O599" s="8"/>
      <c r="P599" s="10"/>
      <c r="Q599" s="11"/>
      <c r="R599" s="8"/>
      <c r="S599" s="8"/>
      <c r="T599" s="13"/>
    </row>
    <row r="600" spans="1:20" x14ac:dyDescent="0.4">
      <c r="A600" s="5"/>
      <c r="B600" s="5"/>
      <c r="C600" s="5"/>
      <c r="D600" s="5"/>
      <c r="E600" s="5"/>
      <c r="F600" s="6"/>
      <c r="G600" s="7"/>
      <c r="H600" s="7"/>
      <c r="I600" s="5"/>
      <c r="J600" s="6"/>
      <c r="K600" s="6"/>
      <c r="L600" s="6"/>
      <c r="M600" s="8"/>
      <c r="N600" s="9"/>
      <c r="O600" s="8"/>
      <c r="P600" s="10"/>
      <c r="Q600" s="11"/>
      <c r="R600" s="8"/>
      <c r="S600" s="8"/>
      <c r="T600" s="13"/>
    </row>
    <row r="601" spans="1:20" x14ac:dyDescent="0.4">
      <c r="A601" s="5"/>
      <c r="B601" s="5"/>
      <c r="C601" s="5"/>
      <c r="D601" s="5"/>
      <c r="E601" s="5"/>
      <c r="F601" s="6"/>
      <c r="G601" s="7"/>
      <c r="H601" s="7"/>
      <c r="I601" s="5"/>
      <c r="J601" s="6"/>
      <c r="K601" s="6"/>
      <c r="L601" s="6"/>
      <c r="M601" s="8"/>
      <c r="N601" s="9"/>
      <c r="O601" s="8"/>
      <c r="P601" s="10"/>
      <c r="Q601" s="11"/>
      <c r="R601" s="8"/>
      <c r="S601" s="8"/>
      <c r="T601" s="13"/>
    </row>
    <row r="602" spans="1:20" x14ac:dyDescent="0.4">
      <c r="A602" s="5"/>
      <c r="B602" s="5"/>
      <c r="C602" s="5"/>
      <c r="D602" s="5"/>
      <c r="E602" s="5"/>
      <c r="F602" s="6"/>
      <c r="G602" s="7"/>
      <c r="H602" s="7"/>
      <c r="I602" s="5"/>
      <c r="J602" s="6"/>
      <c r="K602" s="6"/>
      <c r="L602" s="6"/>
      <c r="M602" s="8"/>
      <c r="N602" s="9"/>
      <c r="O602" s="8"/>
      <c r="P602" s="10"/>
      <c r="Q602" s="11"/>
      <c r="R602" s="8"/>
      <c r="S602" s="8"/>
      <c r="T602" s="13"/>
    </row>
    <row r="603" spans="1:20" x14ac:dyDescent="0.4">
      <c r="A603" s="5"/>
      <c r="B603" s="5"/>
      <c r="C603" s="5"/>
      <c r="D603" s="5"/>
      <c r="E603" s="5"/>
      <c r="F603" s="6"/>
      <c r="G603" s="7"/>
      <c r="H603" s="7"/>
      <c r="I603" s="5"/>
      <c r="J603" s="6"/>
      <c r="K603" s="6"/>
      <c r="L603" s="6"/>
      <c r="M603" s="8"/>
      <c r="N603" s="9"/>
      <c r="O603" s="8"/>
      <c r="P603" s="10"/>
      <c r="Q603" s="11"/>
      <c r="R603" s="8"/>
      <c r="S603" s="8"/>
      <c r="T603" s="9"/>
    </row>
    <row r="604" spans="1:20" x14ac:dyDescent="0.4">
      <c r="A604" s="5"/>
      <c r="B604" s="5"/>
      <c r="C604" s="5"/>
      <c r="D604" s="5"/>
      <c r="E604" s="5"/>
      <c r="F604" s="6"/>
      <c r="G604" s="7"/>
      <c r="H604" s="7"/>
      <c r="I604" s="5"/>
      <c r="J604" s="6"/>
      <c r="K604" s="6"/>
      <c r="L604" s="6"/>
      <c r="M604" s="8"/>
      <c r="N604" s="9"/>
      <c r="O604" s="8"/>
      <c r="P604" s="10"/>
      <c r="Q604" s="11"/>
      <c r="R604" s="8"/>
      <c r="S604" s="8"/>
      <c r="T604" s="8"/>
    </row>
    <row r="605" spans="1:20" x14ac:dyDescent="0.4">
      <c r="A605" s="5"/>
      <c r="B605" s="5"/>
      <c r="C605" s="5"/>
      <c r="D605" s="5"/>
      <c r="E605" s="5"/>
      <c r="F605" s="6"/>
      <c r="G605" s="7"/>
      <c r="H605" s="7"/>
      <c r="I605" s="5"/>
      <c r="J605" s="6"/>
      <c r="K605" s="6"/>
      <c r="L605" s="6"/>
      <c r="M605" s="8"/>
      <c r="N605" s="9"/>
      <c r="O605" s="8"/>
      <c r="P605" s="10"/>
      <c r="Q605" s="11"/>
      <c r="R605" s="8"/>
      <c r="S605" s="8"/>
      <c r="T605" s="8"/>
    </row>
    <row r="606" spans="1:20" x14ac:dyDescent="0.4">
      <c r="A606" s="5"/>
      <c r="B606" s="5"/>
      <c r="C606" s="5"/>
      <c r="D606" s="5"/>
      <c r="E606" s="5"/>
      <c r="F606" s="6"/>
      <c r="G606" s="7"/>
      <c r="H606" s="7"/>
      <c r="I606" s="5"/>
      <c r="J606" s="6"/>
      <c r="K606" s="6"/>
      <c r="L606" s="6"/>
      <c r="M606" s="8"/>
      <c r="N606" s="9"/>
      <c r="O606" s="8"/>
      <c r="P606" s="10"/>
      <c r="Q606" s="11"/>
      <c r="R606" s="8"/>
      <c r="S606" s="8"/>
      <c r="T606" s="9"/>
    </row>
    <row r="607" spans="1:20" x14ac:dyDescent="0.4">
      <c r="A607" s="5"/>
      <c r="B607" s="5"/>
      <c r="C607" s="5"/>
      <c r="D607" s="5"/>
      <c r="E607" s="5"/>
      <c r="F607" s="6"/>
      <c r="G607" s="7"/>
      <c r="H607" s="7"/>
      <c r="I607" s="5"/>
      <c r="J607" s="6"/>
      <c r="K607" s="6"/>
      <c r="L607" s="6"/>
      <c r="M607" s="8"/>
      <c r="N607" s="9"/>
      <c r="O607" s="8"/>
      <c r="P607" s="10"/>
      <c r="Q607" s="11"/>
      <c r="R607" s="8"/>
      <c r="S607" s="8"/>
      <c r="T607" s="9"/>
    </row>
    <row r="608" spans="1:20" x14ac:dyDescent="0.4">
      <c r="A608" s="5"/>
      <c r="B608" s="5"/>
      <c r="C608" s="5"/>
      <c r="D608" s="5"/>
      <c r="E608" s="5"/>
      <c r="F608" s="6"/>
      <c r="G608" s="7"/>
      <c r="H608" s="7"/>
      <c r="I608" s="5"/>
      <c r="J608" s="6"/>
      <c r="K608" s="6"/>
      <c r="L608" s="6"/>
      <c r="M608" s="8"/>
      <c r="N608" s="9"/>
      <c r="O608" s="8"/>
      <c r="P608" s="10"/>
      <c r="Q608" s="11"/>
      <c r="R608" s="8"/>
      <c r="S608" s="8"/>
      <c r="T608" s="9"/>
    </row>
    <row r="609" spans="1:20" x14ac:dyDescent="0.4">
      <c r="A609" s="5"/>
      <c r="B609" s="5"/>
      <c r="C609" s="5"/>
      <c r="D609" s="5"/>
      <c r="E609" s="5"/>
      <c r="F609" s="6"/>
      <c r="G609" s="7"/>
      <c r="H609" s="7"/>
      <c r="I609" s="5"/>
      <c r="J609" s="6"/>
      <c r="K609" s="6"/>
      <c r="L609" s="6"/>
      <c r="M609" s="8"/>
      <c r="N609" s="9"/>
      <c r="O609" s="8"/>
      <c r="P609" s="10"/>
      <c r="Q609" s="11"/>
      <c r="R609" s="8"/>
      <c r="S609" s="8"/>
      <c r="T609" s="9"/>
    </row>
    <row r="610" spans="1:20" x14ac:dyDescent="0.4">
      <c r="A610" s="5"/>
      <c r="B610" s="5"/>
      <c r="C610" s="5"/>
      <c r="D610" s="5"/>
      <c r="E610" s="5"/>
      <c r="F610" s="6"/>
      <c r="G610" s="7"/>
      <c r="H610" s="7"/>
      <c r="I610" s="5"/>
      <c r="J610" s="6"/>
      <c r="K610" s="6"/>
      <c r="L610" s="6"/>
      <c r="M610" s="8"/>
      <c r="N610" s="9"/>
      <c r="O610" s="8"/>
      <c r="P610" s="10"/>
      <c r="Q610" s="11"/>
      <c r="R610" s="8"/>
      <c r="S610" s="8"/>
      <c r="T610" s="8"/>
    </row>
    <row r="611" spans="1:20" x14ac:dyDescent="0.4">
      <c r="A611" s="5"/>
      <c r="B611" s="5"/>
      <c r="C611" s="5"/>
      <c r="D611" s="5"/>
      <c r="E611" s="5"/>
      <c r="F611" s="6"/>
      <c r="G611" s="7"/>
      <c r="H611" s="7"/>
      <c r="I611" s="5"/>
      <c r="J611" s="6"/>
      <c r="K611" s="6"/>
      <c r="L611" s="6"/>
      <c r="M611" s="8"/>
      <c r="N611" s="9"/>
      <c r="O611" s="8"/>
      <c r="P611" s="10"/>
      <c r="Q611" s="11"/>
      <c r="R611" s="8"/>
      <c r="S611" s="8"/>
      <c r="T611" s="8"/>
    </row>
    <row r="612" spans="1:20" x14ac:dyDescent="0.4">
      <c r="A612" s="5"/>
      <c r="B612" s="5"/>
      <c r="C612" s="5"/>
      <c r="D612" s="5"/>
      <c r="E612" s="5"/>
      <c r="F612" s="6"/>
      <c r="G612" s="7"/>
      <c r="H612" s="7"/>
      <c r="I612" s="5"/>
      <c r="J612" s="6"/>
      <c r="K612" s="6"/>
      <c r="L612" s="6"/>
      <c r="M612" s="8"/>
      <c r="N612" s="9"/>
      <c r="O612" s="8"/>
      <c r="P612" s="10"/>
      <c r="Q612" s="11"/>
      <c r="R612" s="8"/>
      <c r="S612" s="8"/>
      <c r="T612" s="8"/>
    </row>
    <row r="613" spans="1:20" x14ac:dyDescent="0.4">
      <c r="A613" s="5"/>
      <c r="B613" s="5"/>
      <c r="C613" s="5"/>
      <c r="D613" s="5"/>
      <c r="E613" s="5"/>
      <c r="F613" s="6"/>
      <c r="G613" s="7"/>
      <c r="H613" s="7"/>
      <c r="I613" s="5"/>
      <c r="J613" s="6"/>
      <c r="K613" s="6"/>
      <c r="L613" s="6"/>
      <c r="M613" s="8"/>
      <c r="N613" s="9"/>
      <c r="O613" s="8"/>
      <c r="P613" s="10"/>
      <c r="Q613" s="11"/>
      <c r="R613" s="8"/>
      <c r="S613" s="8"/>
      <c r="T613" s="8"/>
    </row>
    <row r="614" spans="1:20" x14ac:dyDescent="0.4">
      <c r="A614" s="5"/>
      <c r="B614" s="5"/>
      <c r="C614" s="5"/>
      <c r="D614" s="5"/>
      <c r="E614" s="5"/>
      <c r="F614" s="6"/>
      <c r="G614" s="7"/>
      <c r="H614" s="7"/>
      <c r="I614" s="5"/>
      <c r="J614" s="6"/>
      <c r="K614" s="6"/>
      <c r="L614" s="6"/>
      <c r="M614" s="8"/>
      <c r="N614" s="9"/>
      <c r="O614" s="8"/>
      <c r="P614" s="10"/>
      <c r="Q614" s="11"/>
      <c r="R614" s="8"/>
      <c r="S614" s="8"/>
      <c r="T614" s="8"/>
    </row>
    <row r="615" spans="1:20" x14ac:dyDescent="0.4">
      <c r="A615" s="5"/>
      <c r="B615" s="5"/>
      <c r="C615" s="5"/>
      <c r="D615" s="5"/>
      <c r="E615" s="5"/>
      <c r="F615" s="6"/>
      <c r="G615" s="7"/>
      <c r="H615" s="7"/>
      <c r="I615" s="5"/>
      <c r="J615" s="6"/>
      <c r="K615" s="6"/>
      <c r="L615" s="6"/>
      <c r="M615" s="8"/>
      <c r="N615" s="9"/>
      <c r="O615" s="8"/>
      <c r="P615" s="10"/>
      <c r="Q615" s="11"/>
      <c r="R615" s="8"/>
      <c r="S615" s="8"/>
      <c r="T615" s="8"/>
    </row>
    <row r="616" spans="1:20" x14ac:dyDescent="0.4">
      <c r="A616" s="5"/>
      <c r="B616" s="5"/>
      <c r="C616" s="5"/>
      <c r="D616" s="5"/>
      <c r="E616" s="5"/>
      <c r="F616" s="6"/>
      <c r="G616" s="7"/>
      <c r="H616" s="7"/>
      <c r="I616" s="5"/>
      <c r="J616" s="6"/>
      <c r="K616" s="6"/>
      <c r="L616" s="6"/>
      <c r="M616" s="8"/>
      <c r="N616" s="9"/>
      <c r="O616" s="8"/>
      <c r="P616" s="10"/>
      <c r="Q616" s="11"/>
      <c r="R616" s="8"/>
      <c r="S616" s="8"/>
      <c r="T616" s="8"/>
    </row>
    <row r="617" spans="1:20" x14ac:dyDescent="0.4">
      <c r="A617" s="5"/>
      <c r="B617" s="5"/>
      <c r="C617" s="5"/>
      <c r="D617" s="5"/>
      <c r="E617" s="5"/>
      <c r="F617" s="6"/>
      <c r="G617" s="7"/>
      <c r="H617" s="7"/>
      <c r="I617" s="5"/>
      <c r="J617" s="6"/>
      <c r="K617" s="6"/>
      <c r="L617" s="6"/>
      <c r="M617" s="8"/>
      <c r="N617" s="9"/>
      <c r="O617" s="8"/>
      <c r="P617" s="10"/>
      <c r="Q617" s="11"/>
      <c r="R617" s="8"/>
      <c r="S617" s="8"/>
      <c r="T617" s="8"/>
    </row>
    <row r="618" spans="1:20" x14ac:dyDescent="0.4">
      <c r="A618" s="5"/>
      <c r="B618" s="5"/>
      <c r="C618" s="5"/>
      <c r="D618" s="5"/>
      <c r="E618" s="5"/>
      <c r="F618" s="6"/>
      <c r="G618" s="7"/>
      <c r="H618" s="7"/>
      <c r="I618" s="5"/>
      <c r="J618" s="6"/>
      <c r="K618" s="6"/>
      <c r="L618" s="6"/>
      <c r="M618" s="8"/>
      <c r="N618" s="9"/>
      <c r="O618" s="8"/>
      <c r="P618" s="10"/>
      <c r="Q618" s="11"/>
      <c r="R618" s="8"/>
      <c r="S618" s="8"/>
      <c r="T618" s="8"/>
    </row>
    <row r="619" spans="1:20" x14ac:dyDescent="0.4">
      <c r="A619" s="5"/>
      <c r="B619" s="5"/>
      <c r="C619" s="5"/>
      <c r="D619" s="5"/>
      <c r="E619" s="5"/>
      <c r="F619" s="6"/>
      <c r="G619" s="7"/>
      <c r="H619" s="7"/>
      <c r="I619" s="5"/>
      <c r="J619" s="6"/>
      <c r="K619" s="6"/>
      <c r="L619" s="6"/>
      <c r="M619" s="8"/>
      <c r="N619" s="9"/>
      <c r="O619" s="8"/>
      <c r="P619" s="10"/>
      <c r="Q619" s="11"/>
      <c r="R619" s="8"/>
      <c r="S619" s="8"/>
      <c r="T619" s="9"/>
    </row>
    <row r="620" spans="1:20" x14ac:dyDescent="0.4">
      <c r="A620" s="5"/>
      <c r="B620" s="5"/>
      <c r="C620" s="5"/>
      <c r="D620" s="5"/>
      <c r="E620" s="5"/>
      <c r="F620" s="6"/>
      <c r="G620" s="7"/>
      <c r="H620" s="7"/>
      <c r="I620" s="5"/>
      <c r="J620" s="6"/>
      <c r="K620" s="6"/>
      <c r="L620" s="6"/>
      <c r="M620" s="8"/>
      <c r="N620" s="9"/>
      <c r="O620" s="8"/>
      <c r="P620" s="10"/>
      <c r="Q620" s="11"/>
      <c r="R620" s="8"/>
      <c r="S620" s="8"/>
      <c r="T620" s="13"/>
    </row>
    <row r="621" spans="1:20" x14ac:dyDescent="0.4">
      <c r="A621" s="5"/>
      <c r="B621" s="5"/>
      <c r="C621" s="5"/>
      <c r="D621" s="5"/>
      <c r="E621" s="5"/>
      <c r="F621" s="6"/>
      <c r="G621" s="7"/>
      <c r="H621" s="7"/>
      <c r="I621" s="5"/>
      <c r="J621" s="6"/>
      <c r="K621" s="6"/>
      <c r="L621" s="6"/>
      <c r="M621" s="8"/>
      <c r="N621" s="9"/>
      <c r="O621" s="8"/>
      <c r="P621" s="10"/>
      <c r="Q621" s="11"/>
      <c r="R621" s="8"/>
      <c r="S621" s="8"/>
      <c r="T621" s="8"/>
    </row>
    <row r="622" spans="1:20" x14ac:dyDescent="0.4">
      <c r="A622" s="5"/>
      <c r="B622" s="5"/>
      <c r="C622" s="5"/>
      <c r="D622" s="5"/>
      <c r="E622" s="5"/>
      <c r="F622" s="6"/>
      <c r="G622" s="7"/>
      <c r="H622" s="7"/>
      <c r="I622" s="5"/>
      <c r="J622" s="6"/>
      <c r="K622" s="6"/>
      <c r="L622" s="6"/>
      <c r="M622" s="8"/>
      <c r="N622" s="9"/>
      <c r="O622" s="8"/>
      <c r="P622" s="10"/>
      <c r="Q622" s="11"/>
      <c r="R622" s="8"/>
      <c r="S622" s="8"/>
      <c r="T622" s="8"/>
    </row>
    <row r="623" spans="1:20" x14ac:dyDescent="0.4">
      <c r="A623" s="5"/>
      <c r="B623" s="5"/>
      <c r="C623" s="5"/>
      <c r="D623" s="5"/>
      <c r="E623" s="5"/>
      <c r="F623" s="6"/>
      <c r="G623" s="7"/>
      <c r="H623" s="7"/>
      <c r="I623" s="5"/>
      <c r="J623" s="6"/>
      <c r="K623" s="6"/>
      <c r="L623" s="6"/>
      <c r="M623" s="8"/>
      <c r="N623" s="9"/>
      <c r="O623" s="8"/>
      <c r="P623" s="10"/>
      <c r="Q623" s="11"/>
      <c r="R623" s="8"/>
      <c r="S623" s="8"/>
      <c r="T623" s="8"/>
    </row>
    <row r="624" spans="1:20" x14ac:dyDescent="0.4">
      <c r="A624" s="5"/>
      <c r="B624" s="5"/>
      <c r="C624" s="5"/>
      <c r="D624" s="5"/>
      <c r="E624" s="5"/>
      <c r="F624" s="6"/>
      <c r="G624" s="7"/>
      <c r="H624" s="7"/>
      <c r="I624" s="5"/>
      <c r="J624" s="6"/>
      <c r="K624" s="6"/>
      <c r="L624" s="6"/>
      <c r="M624" s="8"/>
      <c r="N624" s="9"/>
      <c r="O624" s="8"/>
      <c r="P624" s="10"/>
      <c r="Q624" s="11"/>
      <c r="R624" s="8"/>
      <c r="S624" s="8"/>
      <c r="T624" s="8"/>
    </row>
    <row r="625" spans="1:20" x14ac:dyDescent="0.4">
      <c r="A625" s="5"/>
      <c r="B625" s="5"/>
      <c r="C625" s="5"/>
      <c r="D625" s="5"/>
      <c r="E625" s="5"/>
      <c r="F625" s="6"/>
      <c r="G625" s="7"/>
      <c r="H625" s="7"/>
      <c r="I625" s="5"/>
      <c r="J625" s="6"/>
      <c r="K625" s="6"/>
      <c r="L625" s="6"/>
      <c r="M625" s="8"/>
      <c r="N625" s="9"/>
      <c r="O625" s="8"/>
      <c r="P625" s="10"/>
      <c r="Q625" s="11"/>
      <c r="R625" s="8"/>
      <c r="S625" s="8"/>
      <c r="T625" s="9"/>
    </row>
    <row r="626" spans="1:20" x14ac:dyDescent="0.4">
      <c r="A626" s="5"/>
      <c r="B626" s="5"/>
      <c r="C626" s="5"/>
      <c r="D626" s="5"/>
      <c r="E626" s="5"/>
      <c r="F626" s="6"/>
      <c r="G626" s="7"/>
      <c r="H626" s="7"/>
      <c r="I626" s="5"/>
      <c r="J626" s="6"/>
      <c r="K626" s="6"/>
      <c r="L626" s="6"/>
      <c r="M626" s="8"/>
      <c r="N626" s="9"/>
      <c r="O626" s="8"/>
      <c r="P626" s="10"/>
      <c r="Q626" s="11"/>
      <c r="R626" s="8"/>
      <c r="S626" s="8"/>
      <c r="T626" s="8"/>
    </row>
    <row r="627" spans="1:20" x14ac:dyDescent="0.4">
      <c r="A627" s="5"/>
      <c r="B627" s="5"/>
      <c r="C627" s="5"/>
      <c r="D627" s="5"/>
      <c r="E627" s="5"/>
      <c r="F627" s="6"/>
      <c r="G627" s="7"/>
      <c r="H627" s="7"/>
      <c r="I627" s="5"/>
      <c r="J627" s="6"/>
      <c r="K627" s="6"/>
      <c r="L627" s="6"/>
      <c r="M627" s="8"/>
      <c r="N627" s="9"/>
      <c r="O627" s="8"/>
      <c r="P627" s="10"/>
      <c r="Q627" s="11"/>
      <c r="R627" s="8"/>
      <c r="S627" s="8"/>
      <c r="T627" s="8"/>
    </row>
    <row r="628" spans="1:20" x14ac:dyDescent="0.4">
      <c r="A628" s="5"/>
      <c r="B628" s="5"/>
      <c r="C628" s="5"/>
      <c r="D628" s="5"/>
      <c r="E628" s="5"/>
      <c r="F628" s="6"/>
      <c r="G628" s="7"/>
      <c r="H628" s="7"/>
      <c r="I628" s="5"/>
      <c r="J628" s="6"/>
      <c r="K628" s="6"/>
      <c r="L628" s="6"/>
      <c r="M628" s="8"/>
      <c r="N628" s="9"/>
      <c r="O628" s="8"/>
      <c r="P628" s="10"/>
      <c r="Q628" s="11"/>
      <c r="R628" s="8"/>
      <c r="S628" s="8"/>
      <c r="T628" s="8"/>
    </row>
    <row r="629" spans="1:20" x14ac:dyDescent="0.4">
      <c r="A629" s="5"/>
      <c r="B629" s="5"/>
      <c r="C629" s="5"/>
      <c r="D629" s="5"/>
      <c r="E629" s="5"/>
      <c r="F629" s="6"/>
      <c r="G629" s="7"/>
      <c r="H629" s="7"/>
      <c r="I629" s="5"/>
      <c r="J629" s="6"/>
      <c r="K629" s="6"/>
      <c r="L629" s="6"/>
      <c r="M629" s="8"/>
      <c r="N629" s="9"/>
      <c r="O629" s="8"/>
      <c r="P629" s="10"/>
      <c r="Q629" s="11"/>
      <c r="R629" s="8"/>
      <c r="S629" s="8"/>
      <c r="T629" s="8"/>
    </row>
    <row r="630" spans="1:20" x14ac:dyDescent="0.4">
      <c r="A630" s="5"/>
      <c r="B630" s="5"/>
      <c r="C630" s="5"/>
      <c r="D630" s="5"/>
      <c r="E630" s="5"/>
      <c r="F630" s="6"/>
      <c r="G630" s="7"/>
      <c r="H630" s="7"/>
      <c r="I630" s="5"/>
      <c r="J630" s="6"/>
      <c r="K630" s="6"/>
      <c r="L630" s="6"/>
      <c r="M630" s="8"/>
      <c r="N630" s="9"/>
      <c r="O630" s="8"/>
      <c r="P630" s="10"/>
      <c r="Q630" s="11"/>
      <c r="R630" s="8"/>
      <c r="S630" s="8"/>
      <c r="T630" s="8"/>
    </row>
    <row r="631" spans="1:20" x14ac:dyDescent="0.4">
      <c r="A631" s="5"/>
      <c r="B631" s="5"/>
      <c r="C631" s="5"/>
      <c r="D631" s="5"/>
      <c r="E631" s="5"/>
      <c r="F631" s="6"/>
      <c r="G631" s="7"/>
      <c r="H631" s="7"/>
      <c r="I631" s="5"/>
      <c r="J631" s="6"/>
      <c r="K631" s="6"/>
      <c r="L631" s="6"/>
      <c r="M631" s="8"/>
      <c r="N631" s="9"/>
      <c r="O631" s="8"/>
      <c r="P631" s="10"/>
      <c r="Q631" s="11"/>
      <c r="R631" s="8"/>
      <c r="S631" s="8"/>
      <c r="T631" s="8"/>
    </row>
    <row r="632" spans="1:20" x14ac:dyDescent="0.4">
      <c r="A632" s="5"/>
      <c r="B632" s="5"/>
      <c r="C632" s="5"/>
      <c r="D632" s="5"/>
      <c r="E632" s="5"/>
      <c r="F632" s="6"/>
      <c r="G632" s="7"/>
      <c r="H632" s="7"/>
      <c r="I632" s="5"/>
      <c r="J632" s="6"/>
      <c r="K632" s="6"/>
      <c r="L632" s="6"/>
      <c r="M632" s="8"/>
      <c r="N632" s="9"/>
      <c r="O632" s="8"/>
      <c r="P632" s="10"/>
      <c r="Q632" s="11"/>
      <c r="R632" s="8"/>
      <c r="S632" s="8"/>
      <c r="T632" s="8"/>
    </row>
    <row r="633" spans="1:20" x14ac:dyDescent="0.4">
      <c r="A633" s="5"/>
      <c r="B633" s="5"/>
      <c r="C633" s="5"/>
      <c r="D633" s="5"/>
      <c r="E633" s="5"/>
      <c r="F633" s="6"/>
      <c r="G633" s="7"/>
      <c r="H633" s="7"/>
      <c r="I633" s="5"/>
      <c r="J633" s="6"/>
      <c r="K633" s="6"/>
      <c r="L633" s="6"/>
      <c r="M633" s="8"/>
      <c r="N633" s="9"/>
      <c r="O633" s="8"/>
      <c r="P633" s="10"/>
      <c r="Q633" s="11"/>
      <c r="R633" s="8"/>
      <c r="S633" s="8"/>
      <c r="T633" s="9"/>
    </row>
    <row r="634" spans="1:20" x14ac:dyDescent="0.4">
      <c r="A634" s="5"/>
      <c r="B634" s="5"/>
      <c r="C634" s="5"/>
      <c r="D634" s="5"/>
      <c r="E634" s="5"/>
      <c r="F634" s="6"/>
      <c r="G634" s="7"/>
      <c r="H634" s="7"/>
      <c r="I634" s="5"/>
      <c r="J634" s="6"/>
      <c r="K634" s="6"/>
      <c r="L634" s="6"/>
      <c r="M634" s="8"/>
      <c r="N634" s="9"/>
      <c r="O634" s="8"/>
      <c r="P634" s="10"/>
      <c r="Q634" s="11"/>
      <c r="R634" s="8"/>
      <c r="S634" s="8"/>
      <c r="T634" s="9"/>
    </row>
    <row r="635" spans="1:20" x14ac:dyDescent="0.4">
      <c r="A635" s="5"/>
      <c r="B635" s="5"/>
      <c r="C635" s="5"/>
      <c r="D635" s="5"/>
      <c r="E635" s="5"/>
      <c r="F635" s="6"/>
      <c r="G635" s="7"/>
      <c r="H635" s="7"/>
      <c r="I635" s="5"/>
      <c r="J635" s="6"/>
      <c r="K635" s="6"/>
      <c r="L635" s="6"/>
      <c r="M635" s="8"/>
      <c r="N635" s="9"/>
      <c r="O635" s="8"/>
      <c r="P635" s="10"/>
      <c r="Q635" s="11"/>
      <c r="R635" s="8"/>
      <c r="S635" s="8"/>
      <c r="T635" s="9"/>
    </row>
    <row r="636" spans="1:20" x14ac:dyDescent="0.4">
      <c r="A636" s="5"/>
      <c r="B636" s="5"/>
      <c r="C636" s="5"/>
      <c r="D636" s="5"/>
      <c r="E636" s="5"/>
      <c r="F636" s="6"/>
      <c r="G636" s="7"/>
      <c r="H636" s="7"/>
      <c r="I636" s="5"/>
      <c r="J636" s="6"/>
      <c r="K636" s="6"/>
      <c r="L636" s="6"/>
      <c r="M636" s="8"/>
      <c r="N636" s="9"/>
      <c r="O636" s="8"/>
      <c r="P636" s="10"/>
      <c r="Q636" s="11"/>
      <c r="R636" s="8"/>
      <c r="S636" s="8"/>
      <c r="T636" s="9"/>
    </row>
    <row r="637" spans="1:20" x14ac:dyDescent="0.4">
      <c r="A637" s="5"/>
      <c r="B637" s="5"/>
      <c r="C637" s="5"/>
      <c r="D637" s="5"/>
      <c r="E637" s="5"/>
      <c r="F637" s="6"/>
      <c r="G637" s="7"/>
      <c r="H637" s="7"/>
      <c r="I637" s="5"/>
      <c r="J637" s="6"/>
      <c r="K637" s="6"/>
      <c r="L637" s="6"/>
      <c r="M637" s="8"/>
      <c r="N637" s="9"/>
      <c r="O637" s="8"/>
      <c r="P637" s="10"/>
      <c r="Q637" s="11"/>
      <c r="R637" s="8"/>
      <c r="S637" s="8"/>
      <c r="T637" s="9"/>
    </row>
    <row r="638" spans="1:20" x14ac:dyDescent="0.4">
      <c r="A638" s="5"/>
      <c r="B638" s="5"/>
      <c r="C638" s="5"/>
      <c r="D638" s="5"/>
      <c r="E638" s="5"/>
      <c r="F638" s="6"/>
      <c r="G638" s="7"/>
      <c r="H638" s="7"/>
      <c r="I638" s="5"/>
      <c r="J638" s="6"/>
      <c r="K638" s="6"/>
      <c r="L638" s="6"/>
      <c r="M638" s="8"/>
      <c r="N638" s="9"/>
      <c r="O638" s="8"/>
      <c r="P638" s="10"/>
      <c r="Q638" s="11"/>
      <c r="R638" s="8"/>
      <c r="S638" s="8"/>
      <c r="T638" s="9"/>
    </row>
    <row r="639" spans="1:20" x14ac:dyDescent="0.4">
      <c r="A639" s="5"/>
      <c r="B639" s="5"/>
      <c r="C639" s="5"/>
      <c r="D639" s="5"/>
      <c r="E639" s="5"/>
      <c r="F639" s="6"/>
      <c r="G639" s="7"/>
      <c r="H639" s="7"/>
      <c r="I639" s="5"/>
      <c r="J639" s="6"/>
      <c r="K639" s="6"/>
      <c r="L639" s="6"/>
      <c r="M639" s="8"/>
      <c r="N639" s="9"/>
      <c r="O639" s="8"/>
      <c r="P639" s="10"/>
      <c r="Q639" s="11"/>
      <c r="R639" s="8"/>
      <c r="S639" s="8"/>
      <c r="T639" s="9"/>
    </row>
    <row r="640" spans="1:20" x14ac:dyDescent="0.4">
      <c r="A640" s="5"/>
      <c r="B640" s="20"/>
      <c r="C640" s="20"/>
      <c r="D640" s="30"/>
      <c r="E640" s="31"/>
      <c r="F640" s="32"/>
      <c r="G640" s="33"/>
      <c r="H640" s="33"/>
      <c r="I640" s="34"/>
      <c r="J640" s="35"/>
      <c r="K640" s="35"/>
      <c r="L640" s="35"/>
      <c r="M640" s="36"/>
      <c r="N640" s="37"/>
      <c r="O640" s="38"/>
      <c r="P640" s="39"/>
      <c r="Q640" s="40"/>
      <c r="R640" s="36"/>
      <c r="S640" s="8"/>
      <c r="T640" s="37"/>
    </row>
    <row r="641" spans="1:20" x14ac:dyDescent="0.4">
      <c r="A641" s="5"/>
      <c r="B641" s="132"/>
      <c r="C641" s="132"/>
      <c r="D641" s="41"/>
      <c r="E641" s="42"/>
      <c r="F641" s="43"/>
      <c r="G641" s="44"/>
      <c r="H641" s="44"/>
      <c r="I641" s="41"/>
      <c r="J641" s="45"/>
      <c r="K641" s="45"/>
      <c r="L641" s="45"/>
      <c r="M641" s="46"/>
      <c r="N641" s="47"/>
      <c r="O641" s="38"/>
      <c r="P641" s="48"/>
      <c r="Q641" s="49"/>
      <c r="R641" s="46"/>
      <c r="S641" s="8"/>
      <c r="T641" s="47"/>
    </row>
    <row r="642" spans="1:20" x14ac:dyDescent="0.4">
      <c r="A642" s="5"/>
      <c r="B642" s="132"/>
      <c r="C642" s="132"/>
      <c r="D642" s="41"/>
      <c r="E642" s="42"/>
      <c r="F642" s="43"/>
      <c r="G642" s="44"/>
      <c r="H642" s="44"/>
      <c r="I642" s="41"/>
      <c r="J642" s="45"/>
      <c r="K642" s="45"/>
      <c r="L642" s="45"/>
      <c r="M642" s="46"/>
      <c r="N642" s="47"/>
      <c r="O642" s="38"/>
      <c r="P642" s="48"/>
      <c r="Q642" s="49"/>
      <c r="R642" s="46"/>
      <c r="S642" s="8"/>
      <c r="T642" s="47"/>
    </row>
    <row r="643" spans="1:20" x14ac:dyDescent="0.4">
      <c r="A643" s="5"/>
      <c r="B643" s="132"/>
      <c r="C643" s="132"/>
      <c r="D643" s="41"/>
      <c r="E643" s="42"/>
      <c r="F643" s="43"/>
      <c r="G643" s="44"/>
      <c r="H643" s="44"/>
      <c r="I643" s="41"/>
      <c r="J643" s="45"/>
      <c r="K643" s="45"/>
      <c r="L643" s="45"/>
      <c r="M643" s="46"/>
      <c r="N643" s="47"/>
      <c r="O643" s="38"/>
      <c r="P643" s="48"/>
      <c r="Q643" s="49"/>
      <c r="R643" s="46"/>
      <c r="S643" s="8"/>
      <c r="T643" s="47"/>
    </row>
    <row r="644" spans="1:20" x14ac:dyDescent="0.4">
      <c r="A644" s="5"/>
      <c r="B644" s="132"/>
      <c r="C644" s="132"/>
      <c r="D644" s="41"/>
      <c r="E644" s="42"/>
      <c r="F644" s="43"/>
      <c r="G644" s="44"/>
      <c r="H644" s="44"/>
      <c r="I644" s="41"/>
      <c r="J644" s="45"/>
      <c r="K644" s="45"/>
      <c r="L644" s="45"/>
      <c r="M644" s="46"/>
      <c r="N644" s="47"/>
      <c r="O644" s="38"/>
      <c r="P644" s="48"/>
      <c r="Q644" s="49"/>
      <c r="R644" s="46"/>
      <c r="S644" s="8"/>
      <c r="T644" s="47"/>
    </row>
    <row r="645" spans="1:20" x14ac:dyDescent="0.4">
      <c r="A645" s="5"/>
      <c r="B645" s="132"/>
      <c r="C645" s="132"/>
      <c r="D645" s="41"/>
      <c r="E645" s="42"/>
      <c r="F645" s="43"/>
      <c r="G645" s="44"/>
      <c r="H645" s="44"/>
      <c r="I645" s="41"/>
      <c r="J645" s="45"/>
      <c r="K645" s="45"/>
      <c r="L645" s="45"/>
      <c r="M645" s="46"/>
      <c r="N645" s="47"/>
      <c r="O645" s="38"/>
      <c r="P645" s="48"/>
      <c r="Q645" s="49"/>
      <c r="R645" s="46"/>
      <c r="S645" s="8"/>
      <c r="T645" s="47"/>
    </row>
    <row r="646" spans="1:20" x14ac:dyDescent="0.4">
      <c r="A646" s="5"/>
      <c r="B646" s="132"/>
      <c r="C646" s="132"/>
      <c r="D646" s="41"/>
      <c r="E646" s="42"/>
      <c r="F646" s="43"/>
      <c r="G646" s="44"/>
      <c r="H646" s="44"/>
      <c r="I646" s="41"/>
      <c r="J646" s="45"/>
      <c r="K646" s="45"/>
      <c r="L646" s="45"/>
      <c r="M646" s="46"/>
      <c r="N646" s="47"/>
      <c r="O646" s="38"/>
      <c r="P646" s="48"/>
      <c r="Q646" s="49"/>
      <c r="R646" s="46"/>
      <c r="S646" s="8"/>
      <c r="T646" s="47"/>
    </row>
    <row r="647" spans="1:20" x14ac:dyDescent="0.4">
      <c r="A647" s="5"/>
      <c r="B647" s="132"/>
      <c r="C647" s="132"/>
      <c r="D647" s="41"/>
      <c r="E647" s="42"/>
      <c r="F647" s="43"/>
      <c r="G647" s="44"/>
      <c r="H647" s="44"/>
      <c r="I647" s="41"/>
      <c r="J647" s="45"/>
      <c r="K647" s="45"/>
      <c r="L647" s="45"/>
      <c r="M647" s="46"/>
      <c r="N647" s="47"/>
      <c r="O647" s="38"/>
      <c r="P647" s="48"/>
      <c r="Q647" s="49"/>
      <c r="R647" s="46"/>
      <c r="S647" s="8"/>
      <c r="T647" s="47"/>
    </row>
    <row r="648" spans="1:20" x14ac:dyDescent="0.4">
      <c r="A648" s="5"/>
      <c r="B648" s="132"/>
      <c r="C648" s="132"/>
      <c r="D648" s="41"/>
      <c r="E648" s="42"/>
      <c r="F648" s="43"/>
      <c r="G648" s="44"/>
      <c r="H648" s="44"/>
      <c r="I648" s="41"/>
      <c r="J648" s="45"/>
      <c r="K648" s="45"/>
      <c r="L648" s="45"/>
      <c r="M648" s="46"/>
      <c r="N648" s="47"/>
      <c r="O648" s="38"/>
      <c r="P648" s="48"/>
      <c r="Q648" s="49"/>
      <c r="R648" s="46"/>
      <c r="S648" s="8"/>
      <c r="T648" s="47"/>
    </row>
    <row r="649" spans="1:20" x14ac:dyDescent="0.4">
      <c r="A649" s="5"/>
      <c r="B649" s="20"/>
      <c r="C649" s="20"/>
      <c r="D649" s="30"/>
      <c r="E649" s="31"/>
      <c r="F649" s="32"/>
      <c r="G649" s="33"/>
      <c r="H649" s="33"/>
      <c r="I649" s="30"/>
      <c r="J649" s="35"/>
      <c r="K649" s="35"/>
      <c r="L649" s="35"/>
      <c r="M649" s="36"/>
      <c r="N649" s="37"/>
      <c r="O649" s="50"/>
      <c r="P649" s="48"/>
      <c r="Q649" s="40"/>
      <c r="R649" s="36"/>
      <c r="S649" s="8"/>
      <c r="T649" s="9"/>
    </row>
    <row r="650" spans="1:20" x14ac:dyDescent="0.4">
      <c r="A650" s="5"/>
      <c r="B650" s="132"/>
      <c r="C650" s="132"/>
      <c r="D650" s="41"/>
      <c r="E650" s="42"/>
      <c r="F650" s="43"/>
      <c r="G650" s="44"/>
      <c r="H650" s="44"/>
      <c r="I650" s="41"/>
      <c r="J650" s="45"/>
      <c r="K650" s="45"/>
      <c r="L650" s="45"/>
      <c r="M650" s="46"/>
      <c r="N650" s="47"/>
      <c r="O650" s="38"/>
      <c r="P650" s="48"/>
      <c r="Q650" s="49"/>
      <c r="R650" s="46"/>
      <c r="S650" s="8"/>
      <c r="T650" s="9"/>
    </row>
    <row r="651" spans="1:20" x14ac:dyDescent="0.4">
      <c r="A651" s="5"/>
      <c r="B651" s="132"/>
      <c r="C651" s="132"/>
      <c r="D651" s="41"/>
      <c r="E651" s="42"/>
      <c r="F651" s="43"/>
      <c r="G651" s="44"/>
      <c r="H651" s="44"/>
      <c r="I651" s="41"/>
      <c r="J651" s="45"/>
      <c r="K651" s="45"/>
      <c r="L651" s="45"/>
      <c r="M651" s="46"/>
      <c r="N651" s="47"/>
      <c r="O651" s="38"/>
      <c r="P651" s="48"/>
      <c r="Q651" s="49"/>
      <c r="R651" s="46"/>
      <c r="S651" s="8"/>
      <c r="T651" s="9"/>
    </row>
    <row r="652" spans="1:20" x14ac:dyDescent="0.4">
      <c r="A652" s="5"/>
      <c r="B652" s="132"/>
      <c r="C652" s="132"/>
      <c r="D652" s="41"/>
      <c r="E652" s="42"/>
      <c r="F652" s="43"/>
      <c r="G652" s="44"/>
      <c r="H652" s="44"/>
      <c r="I652" s="41"/>
      <c r="J652" s="45"/>
      <c r="K652" s="45"/>
      <c r="L652" s="45"/>
      <c r="M652" s="46"/>
      <c r="N652" s="47"/>
      <c r="O652" s="38"/>
      <c r="P652" s="48"/>
      <c r="Q652" s="49"/>
      <c r="R652" s="46"/>
      <c r="S652" s="8"/>
      <c r="T652" s="9"/>
    </row>
    <row r="653" spans="1:20" x14ac:dyDescent="0.4">
      <c r="A653" s="5"/>
      <c r="B653" s="20"/>
      <c r="C653" s="20"/>
      <c r="D653" s="30"/>
      <c r="E653" s="31"/>
      <c r="F653" s="32"/>
      <c r="G653" s="33"/>
      <c r="H653" s="33"/>
      <c r="I653" s="30"/>
      <c r="J653" s="35"/>
      <c r="K653" s="35"/>
      <c r="L653" s="35"/>
      <c r="M653" s="36"/>
      <c r="N653" s="37"/>
      <c r="O653" s="50"/>
      <c r="P653" s="39"/>
      <c r="Q653" s="40"/>
      <c r="R653" s="36"/>
      <c r="S653" s="8"/>
      <c r="T653" s="9"/>
    </row>
    <row r="654" spans="1:20" x14ac:dyDescent="0.4">
      <c r="A654" s="5"/>
      <c r="B654" s="132"/>
      <c r="C654" s="132"/>
      <c r="D654" s="41"/>
      <c r="E654" s="42"/>
      <c r="F654" s="43"/>
      <c r="G654" s="44"/>
      <c r="H654" s="44"/>
      <c r="I654" s="41"/>
      <c r="J654" s="45"/>
      <c r="K654" s="45"/>
      <c r="L654" s="45"/>
      <c r="M654" s="46"/>
      <c r="N654" s="47"/>
      <c r="O654" s="38"/>
      <c r="P654" s="48"/>
      <c r="Q654" s="49"/>
      <c r="R654" s="46"/>
      <c r="S654" s="8"/>
      <c r="T654" s="9"/>
    </row>
    <row r="655" spans="1:20" x14ac:dyDescent="0.4">
      <c r="A655" s="5"/>
      <c r="B655" s="132"/>
      <c r="C655" s="132"/>
      <c r="D655" s="41"/>
      <c r="E655" s="42"/>
      <c r="F655" s="43"/>
      <c r="G655" s="44"/>
      <c r="H655" s="44"/>
      <c r="I655" s="41"/>
      <c r="J655" s="45"/>
      <c r="K655" s="45"/>
      <c r="L655" s="45"/>
      <c r="M655" s="46"/>
      <c r="N655" s="47"/>
      <c r="O655" s="38"/>
      <c r="P655" s="48"/>
      <c r="Q655" s="49"/>
      <c r="R655" s="46"/>
      <c r="S655" s="8"/>
      <c r="T655" s="9"/>
    </row>
    <row r="656" spans="1:20" x14ac:dyDescent="0.4">
      <c r="A656" s="5"/>
      <c r="B656" s="20"/>
      <c r="C656" s="20"/>
      <c r="D656" s="30"/>
      <c r="E656" s="31"/>
      <c r="F656" s="32"/>
      <c r="G656" s="33"/>
      <c r="H656" s="33"/>
      <c r="I656" s="30"/>
      <c r="J656" s="35"/>
      <c r="K656" s="35"/>
      <c r="L656" s="35"/>
      <c r="M656" s="36"/>
      <c r="N656" s="37"/>
      <c r="O656" s="50"/>
      <c r="P656" s="39"/>
      <c r="Q656" s="40"/>
      <c r="R656" s="36"/>
      <c r="S656" s="8"/>
      <c r="T656" s="9"/>
    </row>
    <row r="657" spans="1:20" x14ac:dyDescent="0.4">
      <c r="A657" s="5"/>
      <c r="B657" s="132"/>
      <c r="C657" s="132"/>
      <c r="D657" s="41"/>
      <c r="E657" s="42"/>
      <c r="F657" s="43"/>
      <c r="G657" s="44"/>
      <c r="H657" s="33"/>
      <c r="I657" s="41"/>
      <c r="J657" s="45"/>
      <c r="K657" s="45"/>
      <c r="L657" s="45"/>
      <c r="M657" s="46"/>
      <c r="N657" s="37"/>
      <c r="O657" s="38"/>
      <c r="P657" s="48"/>
      <c r="Q657" s="49"/>
      <c r="R657" s="46"/>
      <c r="S657" s="8"/>
      <c r="T657" s="9"/>
    </row>
    <row r="658" spans="1:20" x14ac:dyDescent="0.4">
      <c r="A658" s="5"/>
      <c r="B658" s="132"/>
      <c r="C658" s="132"/>
      <c r="D658" s="41"/>
      <c r="E658" s="42"/>
      <c r="F658" s="43"/>
      <c r="G658" s="44"/>
      <c r="H658" s="44"/>
      <c r="I658" s="41"/>
      <c r="J658" s="45"/>
      <c r="K658" s="45"/>
      <c r="L658" s="45"/>
      <c r="M658" s="46"/>
      <c r="N658" s="47"/>
      <c r="O658" s="38"/>
      <c r="P658" s="48"/>
      <c r="Q658" s="49"/>
      <c r="R658" s="46"/>
      <c r="S658" s="8"/>
      <c r="T658" s="9"/>
    </row>
    <row r="659" spans="1:20" x14ac:dyDescent="0.4">
      <c r="A659" s="5"/>
      <c r="B659" s="132"/>
      <c r="C659" s="132"/>
      <c r="D659" s="41"/>
      <c r="E659" s="42"/>
      <c r="F659" s="43"/>
      <c r="G659" s="44"/>
      <c r="H659" s="44"/>
      <c r="I659" s="41"/>
      <c r="J659" s="45"/>
      <c r="K659" s="45"/>
      <c r="L659" s="45"/>
      <c r="M659" s="46"/>
      <c r="N659" s="47"/>
      <c r="O659" s="38"/>
      <c r="P659" s="48"/>
      <c r="Q659" s="49"/>
      <c r="R659" s="46"/>
      <c r="S659" s="8"/>
      <c r="T659" s="9"/>
    </row>
    <row r="660" spans="1:20" x14ac:dyDescent="0.4">
      <c r="A660" s="5"/>
      <c r="B660" s="132"/>
      <c r="C660" s="132"/>
      <c r="D660" s="41"/>
      <c r="E660" s="42"/>
      <c r="F660" s="43"/>
      <c r="G660" s="44"/>
      <c r="H660" s="44"/>
      <c r="I660" s="41"/>
      <c r="J660" s="45"/>
      <c r="K660" s="45"/>
      <c r="L660" s="45"/>
      <c r="M660" s="46"/>
      <c r="N660" s="47"/>
      <c r="O660" s="38"/>
      <c r="P660" s="48"/>
      <c r="Q660" s="49"/>
      <c r="R660" s="46"/>
      <c r="S660" s="8"/>
      <c r="T660" s="9"/>
    </row>
    <row r="661" spans="1:20" x14ac:dyDescent="0.4">
      <c r="A661" s="5"/>
      <c r="B661" s="132"/>
      <c r="C661" s="132"/>
      <c r="D661" s="41"/>
      <c r="E661" s="42"/>
      <c r="F661" s="43"/>
      <c r="G661" s="44"/>
      <c r="H661" s="44"/>
      <c r="I661" s="41"/>
      <c r="J661" s="45"/>
      <c r="K661" s="45"/>
      <c r="L661" s="45"/>
      <c r="M661" s="46"/>
      <c r="N661" s="47"/>
      <c r="O661" s="38"/>
      <c r="P661" s="48"/>
      <c r="Q661" s="49"/>
      <c r="R661" s="46"/>
      <c r="S661" s="8"/>
      <c r="T661" s="9"/>
    </row>
    <row r="662" spans="1:20" x14ac:dyDescent="0.4">
      <c r="A662" s="5"/>
      <c r="B662" s="132"/>
      <c r="C662" s="132"/>
      <c r="D662" s="41"/>
      <c r="E662" s="42"/>
      <c r="F662" s="43"/>
      <c r="G662" s="44"/>
      <c r="H662" s="44"/>
      <c r="I662" s="41"/>
      <c r="J662" s="45"/>
      <c r="K662" s="45"/>
      <c r="L662" s="45"/>
      <c r="M662" s="46"/>
      <c r="N662" s="47"/>
      <c r="O662" s="38"/>
      <c r="P662" s="48"/>
      <c r="Q662" s="49"/>
      <c r="R662" s="46"/>
      <c r="S662" s="8"/>
      <c r="T662" s="9"/>
    </row>
    <row r="663" spans="1:20" x14ac:dyDescent="0.4">
      <c r="A663" s="5"/>
      <c r="B663" s="132"/>
      <c r="C663" s="132"/>
      <c r="D663" s="41"/>
      <c r="E663" s="42"/>
      <c r="F663" s="43"/>
      <c r="G663" s="44"/>
      <c r="H663" s="44"/>
      <c r="I663" s="41"/>
      <c r="J663" s="45"/>
      <c r="K663" s="45"/>
      <c r="L663" s="45"/>
      <c r="M663" s="46"/>
      <c r="N663" s="47"/>
      <c r="O663" s="38"/>
      <c r="P663" s="48"/>
      <c r="Q663" s="49"/>
      <c r="R663" s="46"/>
      <c r="S663" s="8"/>
      <c r="T663" s="9"/>
    </row>
    <row r="664" spans="1:20" x14ac:dyDescent="0.4">
      <c r="A664" s="5"/>
      <c r="B664" s="132"/>
      <c r="C664" s="132"/>
      <c r="D664" s="41"/>
      <c r="E664" s="42"/>
      <c r="F664" s="43"/>
      <c r="G664" s="44"/>
      <c r="H664" s="44"/>
      <c r="I664" s="41"/>
      <c r="J664" s="45"/>
      <c r="K664" s="45"/>
      <c r="L664" s="45"/>
      <c r="M664" s="46"/>
      <c r="N664" s="47"/>
      <c r="O664" s="38"/>
      <c r="P664" s="48"/>
      <c r="Q664" s="49"/>
      <c r="R664" s="46"/>
      <c r="S664" s="8"/>
      <c r="T664" s="9"/>
    </row>
    <row r="665" spans="1:20" x14ac:dyDescent="0.4">
      <c r="A665" s="5"/>
      <c r="B665" s="132"/>
      <c r="C665" s="132"/>
      <c r="D665" s="41"/>
      <c r="E665" s="42"/>
      <c r="F665" s="43"/>
      <c r="G665" s="44"/>
      <c r="H665" s="44"/>
      <c r="I665" s="41"/>
      <c r="J665" s="45"/>
      <c r="K665" s="45"/>
      <c r="L665" s="45"/>
      <c r="M665" s="46"/>
      <c r="N665" s="47"/>
      <c r="O665" s="38"/>
      <c r="P665" s="48"/>
      <c r="Q665" s="49"/>
      <c r="R665" s="46"/>
      <c r="S665" s="8"/>
      <c r="T665" s="9"/>
    </row>
    <row r="666" spans="1:20" x14ac:dyDescent="0.4">
      <c r="A666" s="5"/>
      <c r="B666" s="5"/>
      <c r="C666" s="5"/>
      <c r="D666" s="5"/>
      <c r="E666" s="5"/>
      <c r="F666" s="6"/>
      <c r="G666" s="7"/>
      <c r="H666" s="7"/>
      <c r="I666" s="5"/>
      <c r="J666" s="6"/>
      <c r="K666" s="6"/>
      <c r="L666" s="6"/>
      <c r="M666" s="8"/>
      <c r="N666" s="9"/>
      <c r="O666" s="8"/>
      <c r="P666" s="10"/>
      <c r="Q666" s="11"/>
      <c r="R666" s="8"/>
      <c r="S666" s="8"/>
      <c r="T666" s="14"/>
    </row>
    <row r="667" spans="1:20" x14ac:dyDescent="0.4">
      <c r="A667" s="5"/>
      <c r="B667" s="5"/>
      <c r="C667" s="5"/>
      <c r="D667" s="5"/>
      <c r="E667" s="5"/>
      <c r="F667" s="6"/>
      <c r="G667" s="7"/>
      <c r="H667" s="7"/>
      <c r="I667" s="5"/>
      <c r="J667" s="6"/>
      <c r="K667" s="6"/>
      <c r="L667" s="6"/>
      <c r="M667" s="8"/>
      <c r="N667" s="9"/>
      <c r="O667" s="8"/>
      <c r="P667" s="10"/>
      <c r="Q667" s="11"/>
      <c r="R667" s="8"/>
      <c r="S667" s="8"/>
      <c r="T667" s="13"/>
    </row>
    <row r="668" spans="1:20" x14ac:dyDescent="0.4">
      <c r="A668" s="5"/>
      <c r="B668" s="5"/>
      <c r="C668" s="5"/>
      <c r="D668" s="5"/>
      <c r="E668" s="5"/>
      <c r="F668" s="6"/>
      <c r="G668" s="7"/>
      <c r="H668" s="7"/>
      <c r="I668" s="5"/>
      <c r="J668" s="6"/>
      <c r="K668" s="6"/>
      <c r="L668" s="6"/>
      <c r="M668" s="8"/>
      <c r="N668" s="9"/>
      <c r="O668" s="8"/>
      <c r="P668" s="10"/>
      <c r="Q668" s="11"/>
      <c r="R668" s="8"/>
      <c r="S668" s="8"/>
      <c r="T668" s="13"/>
    </row>
    <row r="669" spans="1:20" x14ac:dyDescent="0.4">
      <c r="A669" s="5"/>
      <c r="B669" s="5"/>
      <c r="C669" s="5"/>
      <c r="D669" s="5"/>
      <c r="E669" s="5"/>
      <c r="F669" s="6"/>
      <c r="G669" s="7"/>
      <c r="H669" s="7"/>
      <c r="I669" s="5"/>
      <c r="J669" s="6"/>
      <c r="K669" s="6"/>
      <c r="L669" s="6"/>
      <c r="M669" s="8"/>
      <c r="N669" s="9"/>
      <c r="O669" s="8"/>
      <c r="P669" s="10"/>
      <c r="Q669" s="11"/>
      <c r="R669" s="8"/>
      <c r="S669" s="8"/>
      <c r="T669" s="13"/>
    </row>
    <row r="670" spans="1:20" x14ac:dyDescent="0.4">
      <c r="A670" s="5"/>
      <c r="B670" s="5"/>
      <c r="C670" s="5"/>
      <c r="D670" s="5"/>
      <c r="E670" s="5"/>
      <c r="F670" s="6"/>
      <c r="G670" s="7"/>
      <c r="H670" s="7"/>
      <c r="I670" s="5"/>
      <c r="J670" s="6"/>
      <c r="K670" s="6"/>
      <c r="L670" s="6"/>
      <c r="M670" s="8"/>
      <c r="N670" s="9"/>
      <c r="O670" s="8"/>
      <c r="P670" s="10"/>
      <c r="Q670" s="11"/>
      <c r="R670" s="8"/>
      <c r="S670" s="8"/>
      <c r="T670" s="13"/>
    </row>
    <row r="671" spans="1:20" x14ac:dyDescent="0.4">
      <c r="A671" s="5"/>
      <c r="B671" s="5"/>
      <c r="C671" s="5"/>
      <c r="D671" s="5"/>
      <c r="E671" s="5"/>
      <c r="F671" s="6"/>
      <c r="G671" s="7"/>
      <c r="H671" s="7"/>
      <c r="I671" s="5"/>
      <c r="J671" s="6"/>
      <c r="K671" s="6"/>
      <c r="L671" s="6"/>
      <c r="M671" s="8"/>
      <c r="N671" s="9"/>
      <c r="O671" s="8"/>
      <c r="P671" s="10"/>
      <c r="Q671" s="11"/>
      <c r="R671" s="8"/>
      <c r="S671" s="8"/>
      <c r="T671" s="13"/>
    </row>
    <row r="672" spans="1:20" x14ac:dyDescent="0.4">
      <c r="A672" s="5"/>
      <c r="B672" s="5"/>
      <c r="C672" s="5"/>
      <c r="D672" s="5"/>
      <c r="E672" s="5"/>
      <c r="F672" s="6"/>
      <c r="G672" s="7"/>
      <c r="H672" s="7"/>
      <c r="I672" s="5"/>
      <c r="J672" s="6"/>
      <c r="K672" s="6"/>
      <c r="L672" s="6"/>
      <c r="M672" s="8"/>
      <c r="N672" s="9"/>
      <c r="O672" s="8"/>
      <c r="P672" s="10"/>
      <c r="Q672" s="11"/>
      <c r="R672" s="8"/>
      <c r="S672" s="8"/>
      <c r="T672" s="13"/>
    </row>
    <row r="673" spans="1:21" x14ac:dyDescent="0.4">
      <c r="A673" s="5"/>
      <c r="B673" s="5"/>
      <c r="C673" s="5"/>
      <c r="D673" s="5"/>
      <c r="E673" s="5"/>
      <c r="F673" s="6"/>
      <c r="G673" s="7"/>
      <c r="H673" s="7"/>
      <c r="I673" s="5"/>
      <c r="J673" s="6"/>
      <c r="K673" s="6"/>
      <c r="L673" s="6"/>
      <c r="M673" s="8"/>
      <c r="N673" s="9"/>
      <c r="O673" s="8"/>
      <c r="P673" s="10"/>
      <c r="Q673" s="11"/>
      <c r="R673" s="8"/>
      <c r="S673" s="8"/>
      <c r="T673" s="13"/>
      <c r="U673" s="17" t="s">
        <v>29</v>
      </c>
    </row>
    <row r="674" spans="1:21" x14ac:dyDescent="0.4">
      <c r="A674" s="5"/>
      <c r="B674" s="5"/>
      <c r="C674" s="5"/>
      <c r="D674" s="5"/>
      <c r="E674" s="5"/>
      <c r="F674" s="6"/>
      <c r="G674" s="7"/>
      <c r="H674" s="7"/>
      <c r="I674" s="5"/>
      <c r="J674" s="6"/>
      <c r="K674" s="6"/>
      <c r="L674" s="6"/>
      <c r="M674" s="8"/>
      <c r="N674" s="9"/>
      <c r="O674" s="8"/>
      <c r="P674" s="10"/>
      <c r="Q674" s="11"/>
      <c r="R674" s="8"/>
      <c r="S674" s="8"/>
      <c r="T674" s="13"/>
    </row>
    <row r="675" spans="1:21" x14ac:dyDescent="0.4">
      <c r="A675" s="5"/>
      <c r="B675" s="5"/>
      <c r="C675" s="5"/>
      <c r="D675" s="5"/>
      <c r="E675" s="5"/>
      <c r="F675" s="6"/>
      <c r="G675" s="7"/>
      <c r="H675" s="7"/>
      <c r="I675" s="5"/>
      <c r="J675" s="6"/>
      <c r="K675" s="6"/>
      <c r="L675" s="6"/>
      <c r="M675" s="8"/>
      <c r="N675" s="9"/>
      <c r="O675" s="8"/>
      <c r="P675" s="10"/>
      <c r="Q675" s="11"/>
      <c r="R675" s="8"/>
      <c r="S675" s="8"/>
      <c r="T675" s="13"/>
    </row>
    <row r="676" spans="1:21" x14ac:dyDescent="0.4">
      <c r="A676" s="5"/>
      <c r="B676" s="5"/>
      <c r="C676" s="5"/>
      <c r="D676" s="5"/>
      <c r="E676" s="5"/>
      <c r="F676" s="6"/>
      <c r="G676" s="7"/>
      <c r="H676" s="7"/>
      <c r="I676" s="5"/>
      <c r="J676" s="6"/>
      <c r="K676" s="6"/>
      <c r="L676" s="6"/>
      <c r="M676" s="8"/>
      <c r="N676" s="9"/>
      <c r="O676" s="8"/>
      <c r="P676" s="10"/>
      <c r="Q676" s="11"/>
      <c r="R676" s="8"/>
      <c r="S676" s="8"/>
      <c r="T676" s="13"/>
    </row>
    <row r="677" spans="1:21" x14ac:dyDescent="0.4">
      <c r="A677" s="5"/>
      <c r="B677" s="5"/>
      <c r="C677" s="5"/>
      <c r="D677" s="5"/>
      <c r="E677" s="5"/>
      <c r="F677" s="6"/>
      <c r="G677" s="7"/>
      <c r="H677" s="7"/>
      <c r="I677" s="5"/>
      <c r="J677" s="6"/>
      <c r="K677" s="6"/>
      <c r="L677" s="6"/>
      <c r="M677" s="8"/>
      <c r="N677" s="9"/>
      <c r="O677" s="8"/>
      <c r="P677" s="10"/>
      <c r="Q677" s="11"/>
      <c r="R677" s="8"/>
      <c r="S677" s="8"/>
      <c r="T677" s="13"/>
    </row>
    <row r="678" spans="1:21" x14ac:dyDescent="0.4">
      <c r="A678" s="5"/>
      <c r="B678" s="5"/>
      <c r="C678" s="5"/>
      <c r="D678" s="5"/>
      <c r="E678" s="5"/>
      <c r="F678" s="6"/>
      <c r="G678" s="7"/>
      <c r="H678" s="7"/>
      <c r="I678" s="5"/>
      <c r="J678" s="6"/>
      <c r="K678" s="6"/>
      <c r="L678" s="6"/>
      <c r="M678" s="8"/>
      <c r="N678" s="9"/>
      <c r="O678" s="8"/>
      <c r="P678" s="10"/>
      <c r="Q678" s="11"/>
      <c r="R678" s="8"/>
      <c r="S678" s="8"/>
      <c r="T678" s="13"/>
    </row>
    <row r="679" spans="1:21" x14ac:dyDescent="0.4">
      <c r="A679" s="5"/>
      <c r="B679" s="5"/>
      <c r="C679" s="5"/>
      <c r="D679" s="5"/>
      <c r="E679" s="5"/>
      <c r="F679" s="6"/>
      <c r="G679" s="7"/>
      <c r="H679" s="7"/>
      <c r="I679" s="5"/>
      <c r="J679" s="6"/>
      <c r="K679" s="6"/>
      <c r="L679" s="6"/>
      <c r="M679" s="8"/>
      <c r="N679" s="9"/>
      <c r="O679" s="8"/>
      <c r="P679" s="10"/>
      <c r="Q679" s="11"/>
      <c r="R679" s="8"/>
      <c r="S679" s="8"/>
      <c r="T679" s="13"/>
    </row>
    <row r="680" spans="1:21" x14ac:dyDescent="0.4">
      <c r="A680" s="5"/>
      <c r="B680" s="5"/>
      <c r="C680" s="5"/>
      <c r="D680" s="5"/>
      <c r="E680" s="5"/>
      <c r="F680" s="6"/>
      <c r="G680" s="7"/>
      <c r="H680" s="7"/>
      <c r="I680" s="5"/>
      <c r="J680" s="6"/>
      <c r="K680" s="6"/>
      <c r="L680" s="6"/>
      <c r="M680" s="8"/>
      <c r="N680" s="9"/>
      <c r="O680" s="8"/>
      <c r="P680" s="10"/>
      <c r="Q680" s="11"/>
      <c r="R680" s="8"/>
      <c r="S680" s="8"/>
      <c r="T680" s="13"/>
    </row>
    <row r="681" spans="1:21" x14ac:dyDescent="0.4">
      <c r="A681" s="5"/>
      <c r="B681" s="5"/>
      <c r="C681" s="5"/>
      <c r="D681" s="5"/>
      <c r="E681" s="5"/>
      <c r="F681" s="6"/>
      <c r="G681" s="7"/>
      <c r="H681" s="7"/>
      <c r="I681" s="5"/>
      <c r="J681" s="6"/>
      <c r="K681" s="6"/>
      <c r="L681" s="6"/>
      <c r="M681" s="8"/>
      <c r="N681" s="9"/>
      <c r="O681" s="8"/>
      <c r="P681" s="10"/>
      <c r="Q681" s="11"/>
      <c r="R681" s="8"/>
      <c r="S681" s="8"/>
      <c r="T681" s="9"/>
    </row>
    <row r="682" spans="1:21" x14ac:dyDescent="0.4">
      <c r="A682" s="5"/>
      <c r="B682" s="5"/>
      <c r="C682" s="5"/>
      <c r="D682" s="5"/>
      <c r="E682" s="5"/>
      <c r="F682" s="6"/>
      <c r="G682" s="7"/>
      <c r="H682" s="7"/>
      <c r="I682" s="5"/>
      <c r="J682" s="6"/>
      <c r="K682" s="6"/>
      <c r="L682" s="6"/>
      <c r="M682" s="8"/>
      <c r="N682" s="9"/>
      <c r="O682" s="8"/>
      <c r="P682" s="10"/>
      <c r="Q682" s="11"/>
      <c r="R682" s="8"/>
      <c r="S682" s="8"/>
      <c r="T682" s="9"/>
    </row>
    <row r="683" spans="1:21" x14ac:dyDescent="0.4">
      <c r="A683" s="5"/>
      <c r="B683" s="5"/>
      <c r="C683" s="5"/>
      <c r="D683" s="5"/>
      <c r="E683" s="5"/>
      <c r="F683" s="6"/>
      <c r="G683" s="7"/>
      <c r="H683" s="7"/>
      <c r="I683" s="5"/>
      <c r="J683" s="6"/>
      <c r="K683" s="6"/>
      <c r="L683" s="6"/>
      <c r="M683" s="8"/>
      <c r="N683" s="9"/>
      <c r="O683" s="8"/>
      <c r="P683" s="10"/>
      <c r="Q683" s="11"/>
      <c r="R683" s="8"/>
      <c r="S683" s="8"/>
      <c r="T683" s="9"/>
    </row>
    <row r="684" spans="1:21" x14ac:dyDescent="0.4">
      <c r="A684" s="5"/>
      <c r="B684" s="5"/>
      <c r="C684" s="5"/>
      <c r="D684" s="5"/>
      <c r="E684" s="5"/>
      <c r="F684" s="6"/>
      <c r="G684" s="7"/>
      <c r="H684" s="7"/>
      <c r="I684" s="5"/>
      <c r="J684" s="6"/>
      <c r="K684" s="6"/>
      <c r="L684" s="6"/>
      <c r="M684" s="8"/>
      <c r="N684" s="9"/>
      <c r="O684" s="8"/>
      <c r="P684" s="10"/>
      <c r="Q684" s="11"/>
      <c r="R684" s="8"/>
      <c r="S684" s="8"/>
      <c r="T684" s="9"/>
    </row>
    <row r="685" spans="1:21" x14ac:dyDescent="0.4">
      <c r="A685" s="5"/>
      <c r="B685" s="5"/>
      <c r="C685" s="5"/>
      <c r="D685" s="5"/>
      <c r="E685" s="5"/>
      <c r="F685" s="6"/>
      <c r="G685" s="7"/>
      <c r="H685" s="7"/>
      <c r="I685" s="5"/>
      <c r="J685" s="6"/>
      <c r="K685" s="6"/>
      <c r="L685" s="6"/>
      <c r="M685" s="8"/>
      <c r="N685" s="9"/>
      <c r="O685" s="8"/>
      <c r="P685" s="10"/>
      <c r="Q685" s="11"/>
      <c r="R685" s="8"/>
      <c r="S685" s="8"/>
      <c r="T685" s="9"/>
    </row>
    <row r="686" spans="1:21" x14ac:dyDescent="0.4">
      <c r="A686" s="5"/>
      <c r="B686" s="5"/>
      <c r="C686" s="5"/>
      <c r="D686" s="5"/>
      <c r="E686" s="5"/>
      <c r="F686" s="6"/>
      <c r="G686" s="7"/>
      <c r="H686" s="7"/>
      <c r="I686" s="5"/>
      <c r="J686" s="6"/>
      <c r="K686" s="6"/>
      <c r="L686" s="6"/>
      <c r="M686" s="8"/>
      <c r="N686" s="9"/>
      <c r="O686" s="8"/>
      <c r="P686" s="10"/>
      <c r="Q686" s="11"/>
      <c r="R686" s="8"/>
      <c r="S686" s="8"/>
      <c r="T686" s="9"/>
    </row>
    <row r="687" spans="1:21" x14ac:dyDescent="0.4">
      <c r="A687" s="5"/>
      <c r="B687" s="5"/>
      <c r="C687" s="5"/>
      <c r="D687" s="5"/>
      <c r="E687" s="5"/>
      <c r="F687" s="6"/>
      <c r="G687" s="7"/>
      <c r="H687" s="7"/>
      <c r="I687" s="5"/>
      <c r="J687" s="6"/>
      <c r="K687" s="6"/>
      <c r="L687" s="6"/>
      <c r="M687" s="8"/>
      <c r="N687" s="9"/>
      <c r="O687" s="8"/>
      <c r="P687" s="10"/>
      <c r="Q687" s="11"/>
      <c r="R687" s="8"/>
      <c r="S687" s="8"/>
      <c r="T687" s="9"/>
    </row>
    <row r="688" spans="1:21" x14ac:dyDescent="0.4">
      <c r="A688" s="5"/>
      <c r="B688" s="5"/>
      <c r="C688" s="5"/>
      <c r="D688" s="5"/>
      <c r="E688" s="5"/>
      <c r="F688" s="6"/>
      <c r="G688" s="7"/>
      <c r="H688" s="7"/>
      <c r="I688" s="5"/>
      <c r="J688" s="6"/>
      <c r="K688" s="6"/>
      <c r="L688" s="6"/>
      <c r="M688" s="8"/>
      <c r="N688" s="9"/>
      <c r="O688" s="8"/>
      <c r="P688" s="10"/>
      <c r="Q688" s="11"/>
      <c r="R688" s="8"/>
      <c r="S688" s="8"/>
      <c r="T688" s="9"/>
    </row>
    <row r="689" spans="1:20" x14ac:dyDescent="0.4">
      <c r="A689" s="5"/>
      <c r="B689" s="5"/>
      <c r="C689" s="5"/>
      <c r="D689" s="5"/>
      <c r="E689" s="5"/>
      <c r="F689" s="6"/>
      <c r="G689" s="7"/>
      <c r="H689" s="7"/>
      <c r="I689" s="5"/>
      <c r="J689" s="6"/>
      <c r="K689" s="6"/>
      <c r="L689" s="6"/>
      <c r="M689" s="8"/>
      <c r="N689" s="9"/>
      <c r="O689" s="8"/>
      <c r="P689" s="10"/>
      <c r="Q689" s="11"/>
      <c r="R689" s="8"/>
      <c r="S689" s="8"/>
      <c r="T689" s="9"/>
    </row>
    <row r="690" spans="1:20" x14ac:dyDescent="0.4">
      <c r="A690" s="5"/>
      <c r="B690" s="5"/>
      <c r="C690" s="5"/>
      <c r="D690" s="5"/>
      <c r="E690" s="5"/>
      <c r="F690" s="6"/>
      <c r="G690" s="7"/>
      <c r="H690" s="7"/>
      <c r="I690" s="5"/>
      <c r="J690" s="6"/>
      <c r="K690" s="6"/>
      <c r="L690" s="6"/>
      <c r="M690" s="8"/>
      <c r="N690" s="9"/>
      <c r="O690" s="8"/>
      <c r="P690" s="10"/>
      <c r="Q690" s="11"/>
      <c r="R690" s="8"/>
      <c r="S690" s="8"/>
      <c r="T690" s="9"/>
    </row>
    <row r="691" spans="1:20" x14ac:dyDescent="0.4">
      <c r="A691" s="5"/>
      <c r="B691" s="5"/>
      <c r="C691" s="5"/>
      <c r="D691" s="5"/>
      <c r="E691" s="5"/>
      <c r="F691" s="6"/>
      <c r="G691" s="7"/>
      <c r="H691" s="7"/>
      <c r="I691" s="5"/>
      <c r="J691" s="6"/>
      <c r="K691" s="6"/>
      <c r="L691" s="6"/>
      <c r="M691" s="8"/>
      <c r="N691" s="9"/>
      <c r="O691" s="8"/>
      <c r="P691" s="10"/>
      <c r="Q691" s="11"/>
      <c r="R691" s="8"/>
      <c r="S691" s="8"/>
      <c r="T691" s="9"/>
    </row>
    <row r="692" spans="1:20" x14ac:dyDescent="0.4">
      <c r="A692" s="5"/>
      <c r="B692" s="5"/>
      <c r="C692" s="5"/>
      <c r="D692" s="5"/>
      <c r="E692" s="5"/>
      <c r="F692" s="6"/>
      <c r="G692" s="7"/>
      <c r="H692" s="7"/>
      <c r="I692" s="5"/>
      <c r="J692" s="6"/>
      <c r="K692" s="6"/>
      <c r="L692" s="6"/>
      <c r="M692" s="8"/>
      <c r="N692" s="9"/>
      <c r="O692" s="8"/>
      <c r="P692" s="10"/>
      <c r="Q692" s="11"/>
      <c r="R692" s="8"/>
      <c r="S692" s="8"/>
      <c r="T692" s="9"/>
    </row>
    <row r="693" spans="1:20" x14ac:dyDescent="0.4">
      <c r="A693" s="5"/>
      <c r="B693" s="5"/>
      <c r="C693" s="5"/>
      <c r="D693" s="5"/>
      <c r="E693" s="5"/>
      <c r="F693" s="6"/>
      <c r="G693" s="7"/>
      <c r="H693" s="7"/>
      <c r="I693" s="5"/>
      <c r="J693" s="6"/>
      <c r="K693" s="6"/>
      <c r="L693" s="6"/>
      <c r="M693" s="8"/>
      <c r="N693" s="9"/>
      <c r="O693" s="8"/>
      <c r="P693" s="10"/>
      <c r="Q693" s="11"/>
      <c r="R693" s="8"/>
      <c r="S693" s="8"/>
      <c r="T693" s="9"/>
    </row>
    <row r="694" spans="1:20" x14ac:dyDescent="0.4">
      <c r="A694" s="5"/>
      <c r="B694" s="5"/>
      <c r="C694" s="5"/>
      <c r="D694" s="5"/>
      <c r="E694" s="5"/>
      <c r="F694" s="6"/>
      <c r="G694" s="7"/>
      <c r="H694" s="7"/>
      <c r="I694" s="5"/>
      <c r="J694" s="6"/>
      <c r="K694" s="6"/>
      <c r="L694" s="6"/>
      <c r="M694" s="8"/>
      <c r="N694" s="9"/>
      <c r="O694" s="8"/>
      <c r="P694" s="10"/>
      <c r="Q694" s="11"/>
      <c r="R694" s="8"/>
      <c r="S694" s="8"/>
      <c r="T694" s="9"/>
    </row>
    <row r="695" spans="1:20" x14ac:dyDescent="0.4">
      <c r="A695" s="5"/>
      <c r="B695" s="5"/>
      <c r="C695" s="5"/>
      <c r="D695" s="5"/>
      <c r="E695" s="5"/>
      <c r="F695" s="6"/>
      <c r="G695" s="7"/>
      <c r="H695" s="7"/>
      <c r="I695" s="5"/>
      <c r="J695" s="6"/>
      <c r="K695" s="6"/>
      <c r="L695" s="6"/>
      <c r="M695" s="8"/>
      <c r="N695" s="9"/>
      <c r="O695" s="8"/>
      <c r="P695" s="10"/>
      <c r="Q695" s="11"/>
      <c r="R695" s="8"/>
      <c r="S695" s="8"/>
      <c r="T695" s="9"/>
    </row>
    <row r="696" spans="1:20" x14ac:dyDescent="0.4">
      <c r="A696" s="5"/>
      <c r="B696" s="5"/>
      <c r="C696" s="5"/>
      <c r="D696" s="5"/>
      <c r="E696" s="5"/>
      <c r="F696" s="6"/>
      <c r="G696" s="7"/>
      <c r="H696" s="7"/>
      <c r="I696" s="5"/>
      <c r="J696" s="6"/>
      <c r="K696" s="6"/>
      <c r="L696" s="6"/>
      <c r="M696" s="8"/>
      <c r="N696" s="9"/>
      <c r="O696" s="8"/>
      <c r="P696" s="10"/>
      <c r="Q696" s="11"/>
      <c r="R696" s="8"/>
      <c r="S696" s="8"/>
      <c r="T696" s="9"/>
    </row>
    <row r="697" spans="1:20" x14ac:dyDescent="0.4">
      <c r="A697" s="5"/>
      <c r="B697" s="5"/>
      <c r="C697" s="5"/>
      <c r="D697" s="5"/>
      <c r="E697" s="5"/>
      <c r="F697" s="6"/>
      <c r="G697" s="7"/>
      <c r="H697" s="7"/>
      <c r="I697" s="5"/>
      <c r="J697" s="6"/>
      <c r="K697" s="6"/>
      <c r="L697" s="6"/>
      <c r="M697" s="8"/>
      <c r="N697" s="9"/>
      <c r="O697" s="8"/>
      <c r="P697" s="10"/>
      <c r="Q697" s="11"/>
      <c r="R697" s="8"/>
      <c r="S697" s="8"/>
      <c r="T697" s="9"/>
    </row>
    <row r="698" spans="1:20" x14ac:dyDescent="0.4">
      <c r="A698" s="5"/>
      <c r="B698" s="5"/>
      <c r="C698" s="5"/>
      <c r="D698" s="5"/>
      <c r="E698" s="5"/>
      <c r="F698" s="6"/>
      <c r="G698" s="7"/>
      <c r="H698" s="7"/>
      <c r="I698" s="5"/>
      <c r="J698" s="6"/>
      <c r="K698" s="6"/>
      <c r="L698" s="6"/>
      <c r="M698" s="8"/>
      <c r="N698" s="9"/>
      <c r="O698" s="8"/>
      <c r="P698" s="10"/>
      <c r="Q698" s="11"/>
      <c r="R698" s="8"/>
      <c r="S698" s="8"/>
      <c r="T698" s="9"/>
    </row>
    <row r="699" spans="1:20" x14ac:dyDescent="0.4">
      <c r="A699" s="5"/>
      <c r="B699" s="5"/>
      <c r="C699" s="5"/>
      <c r="D699" s="5"/>
      <c r="E699" s="5"/>
      <c r="F699" s="6"/>
      <c r="G699" s="7"/>
      <c r="H699" s="7"/>
      <c r="I699" s="5"/>
      <c r="J699" s="6"/>
      <c r="K699" s="6"/>
      <c r="L699" s="6"/>
      <c r="M699" s="8"/>
      <c r="N699" s="9"/>
      <c r="O699" s="8"/>
      <c r="P699" s="10"/>
      <c r="Q699" s="11"/>
      <c r="R699" s="8"/>
      <c r="S699" s="8"/>
      <c r="T699" s="9"/>
    </row>
    <row r="700" spans="1:20" x14ac:dyDescent="0.4">
      <c r="A700" s="5"/>
      <c r="B700" s="5"/>
      <c r="C700" s="5"/>
      <c r="D700" s="5"/>
      <c r="E700" s="5"/>
      <c r="F700" s="6"/>
      <c r="G700" s="7"/>
      <c r="H700" s="7"/>
      <c r="I700" s="5"/>
      <c r="J700" s="6"/>
      <c r="K700" s="6"/>
      <c r="L700" s="6"/>
      <c r="M700" s="8"/>
      <c r="N700" s="9"/>
      <c r="O700" s="8"/>
      <c r="P700" s="10"/>
      <c r="Q700" s="11"/>
      <c r="R700" s="8"/>
      <c r="S700" s="8"/>
      <c r="T700" s="9"/>
    </row>
    <row r="701" spans="1:20" x14ac:dyDescent="0.4">
      <c r="A701" s="5"/>
      <c r="B701" s="5"/>
      <c r="C701" s="5"/>
      <c r="D701" s="5"/>
      <c r="E701" s="5"/>
      <c r="F701" s="6"/>
      <c r="G701" s="7"/>
      <c r="H701" s="7"/>
      <c r="I701" s="5"/>
      <c r="J701" s="6"/>
      <c r="K701" s="6"/>
      <c r="L701" s="6"/>
      <c r="M701" s="8"/>
      <c r="N701" s="9"/>
      <c r="O701" s="8"/>
      <c r="P701" s="10"/>
      <c r="Q701" s="11"/>
      <c r="R701" s="8"/>
      <c r="S701" s="8"/>
      <c r="T701" s="26"/>
    </row>
    <row r="702" spans="1:20" x14ac:dyDescent="0.4">
      <c r="A702" s="5"/>
      <c r="B702" s="5"/>
      <c r="C702" s="5"/>
      <c r="D702" s="5"/>
      <c r="E702" s="5"/>
      <c r="F702" s="6"/>
      <c r="G702" s="7"/>
      <c r="H702" s="7"/>
      <c r="I702" s="5"/>
      <c r="J702" s="6"/>
      <c r="K702" s="6"/>
      <c r="L702" s="6"/>
      <c r="M702" s="8"/>
      <c r="N702" s="9"/>
      <c r="O702" s="8"/>
      <c r="P702" s="10"/>
      <c r="Q702" s="11"/>
      <c r="R702" s="8"/>
      <c r="S702" s="8"/>
      <c r="T702" s="14"/>
    </row>
    <row r="703" spans="1:20" x14ac:dyDescent="0.4">
      <c r="A703" s="5"/>
      <c r="B703" s="5"/>
      <c r="C703" s="5"/>
      <c r="D703" s="5"/>
      <c r="E703" s="5"/>
      <c r="F703" s="6"/>
      <c r="G703" s="7"/>
      <c r="H703" s="7"/>
      <c r="I703" s="5"/>
      <c r="J703" s="6"/>
      <c r="K703" s="6"/>
      <c r="L703" s="6"/>
      <c r="M703" s="8"/>
      <c r="N703" s="9"/>
      <c r="O703" s="8"/>
      <c r="P703" s="10"/>
      <c r="Q703" s="11"/>
      <c r="R703" s="8"/>
      <c r="S703" s="8"/>
      <c r="T703" s="13"/>
    </row>
    <row r="704" spans="1:20" x14ac:dyDescent="0.4">
      <c r="A704" s="5"/>
      <c r="B704" s="5"/>
      <c r="C704" s="5"/>
      <c r="D704" s="5"/>
      <c r="E704" s="5"/>
      <c r="F704" s="6"/>
      <c r="G704" s="7"/>
      <c r="H704" s="7"/>
      <c r="I704" s="5"/>
      <c r="J704" s="6"/>
      <c r="K704" s="6"/>
      <c r="L704" s="6"/>
      <c r="M704" s="8"/>
      <c r="N704" s="9"/>
      <c r="O704" s="8"/>
      <c r="P704" s="10"/>
      <c r="Q704" s="11"/>
      <c r="R704" s="8"/>
      <c r="S704" s="8"/>
      <c r="T704" s="13"/>
    </row>
    <row r="705" spans="1:20" x14ac:dyDescent="0.4">
      <c r="A705" s="5"/>
      <c r="B705" s="5"/>
      <c r="C705" s="5"/>
      <c r="D705" s="5"/>
      <c r="E705" s="5"/>
      <c r="F705" s="6"/>
      <c r="G705" s="7"/>
      <c r="H705" s="7"/>
      <c r="I705" s="5"/>
      <c r="J705" s="6"/>
      <c r="K705" s="6"/>
      <c r="L705" s="6"/>
      <c r="M705" s="8"/>
      <c r="N705" s="9"/>
      <c r="O705" s="8"/>
      <c r="P705" s="10"/>
      <c r="Q705" s="11"/>
      <c r="R705" s="8"/>
      <c r="S705" s="8"/>
      <c r="T705" s="13"/>
    </row>
    <row r="706" spans="1:20" x14ac:dyDescent="0.4">
      <c r="A706" s="5"/>
      <c r="B706" s="5"/>
      <c r="C706" s="5"/>
      <c r="D706" s="5"/>
      <c r="E706" s="5"/>
      <c r="F706" s="6"/>
      <c r="G706" s="7"/>
      <c r="H706" s="7"/>
      <c r="I706" s="5"/>
      <c r="J706" s="6"/>
      <c r="K706" s="6"/>
      <c r="L706" s="6"/>
      <c r="M706" s="8"/>
      <c r="N706" s="9"/>
      <c r="O706" s="8"/>
      <c r="P706" s="10"/>
      <c r="Q706" s="11"/>
      <c r="R706" s="8"/>
      <c r="S706" s="8"/>
      <c r="T706" s="13"/>
    </row>
    <row r="707" spans="1:20" x14ac:dyDescent="0.4">
      <c r="A707" s="5"/>
      <c r="B707" s="5"/>
      <c r="C707" s="5"/>
      <c r="D707" s="5"/>
      <c r="E707" s="5"/>
      <c r="F707" s="6"/>
      <c r="G707" s="7"/>
      <c r="H707" s="7"/>
      <c r="I707" s="5"/>
      <c r="J707" s="6"/>
      <c r="K707" s="6"/>
      <c r="L707" s="6"/>
      <c r="M707" s="8"/>
      <c r="N707" s="9"/>
      <c r="O707" s="8"/>
      <c r="P707" s="10"/>
      <c r="Q707" s="11"/>
      <c r="R707" s="8"/>
      <c r="S707" s="8"/>
      <c r="T707" s="13"/>
    </row>
    <row r="708" spans="1:20" x14ac:dyDescent="0.4">
      <c r="A708" s="5"/>
      <c r="B708" s="5"/>
      <c r="C708" s="5"/>
      <c r="D708" s="5"/>
      <c r="E708" s="5"/>
      <c r="F708" s="6"/>
      <c r="G708" s="7"/>
      <c r="H708" s="7"/>
      <c r="I708" s="5"/>
      <c r="J708" s="6"/>
      <c r="K708" s="6"/>
      <c r="L708" s="6"/>
      <c r="M708" s="8"/>
      <c r="N708" s="9"/>
      <c r="O708" s="8"/>
      <c r="P708" s="10"/>
      <c r="Q708" s="11"/>
      <c r="R708" s="8"/>
      <c r="S708" s="8"/>
      <c r="T708" s="13"/>
    </row>
    <row r="709" spans="1:20" x14ac:dyDescent="0.4">
      <c r="A709" s="5"/>
      <c r="B709" s="5"/>
      <c r="C709" s="5"/>
      <c r="D709" s="5"/>
      <c r="E709" s="5"/>
      <c r="F709" s="6"/>
      <c r="G709" s="7"/>
      <c r="H709" s="7"/>
      <c r="I709" s="5"/>
      <c r="J709" s="6"/>
      <c r="K709" s="6"/>
      <c r="L709" s="6"/>
      <c r="M709" s="8"/>
      <c r="N709" s="9"/>
      <c r="O709" s="8"/>
      <c r="P709" s="10"/>
      <c r="Q709" s="11"/>
      <c r="R709" s="8"/>
      <c r="S709" s="8"/>
      <c r="T709" s="13"/>
    </row>
    <row r="710" spans="1:20" x14ac:dyDescent="0.4">
      <c r="A710" s="5"/>
      <c r="B710" s="5"/>
      <c r="C710" s="5"/>
      <c r="D710" s="5"/>
      <c r="E710" s="5"/>
      <c r="F710" s="6"/>
      <c r="G710" s="7"/>
      <c r="H710" s="7"/>
      <c r="I710" s="5"/>
      <c r="J710" s="6"/>
      <c r="K710" s="6"/>
      <c r="L710" s="6"/>
      <c r="M710" s="8"/>
      <c r="N710" s="9"/>
      <c r="O710" s="8"/>
      <c r="P710" s="10"/>
      <c r="Q710" s="11"/>
      <c r="R710" s="8"/>
      <c r="S710" s="8"/>
      <c r="T710" s="13"/>
    </row>
    <row r="711" spans="1:20" x14ac:dyDescent="0.4">
      <c r="A711" s="5"/>
      <c r="B711" s="5"/>
      <c r="C711" s="5"/>
      <c r="D711" s="5"/>
      <c r="E711" s="5"/>
      <c r="F711" s="6"/>
      <c r="G711" s="7"/>
      <c r="H711" s="7"/>
      <c r="I711" s="5"/>
      <c r="J711" s="6"/>
      <c r="K711" s="6"/>
      <c r="L711" s="6"/>
      <c r="M711" s="8"/>
      <c r="N711" s="9"/>
      <c r="O711" s="8"/>
      <c r="P711" s="10"/>
      <c r="Q711" s="11"/>
      <c r="R711" s="8"/>
      <c r="S711" s="8"/>
      <c r="T711" s="13"/>
    </row>
    <row r="712" spans="1:20" x14ac:dyDescent="0.4">
      <c r="A712" s="5"/>
      <c r="B712" s="5"/>
      <c r="C712" s="5"/>
      <c r="D712" s="5"/>
      <c r="E712" s="5"/>
      <c r="F712" s="6"/>
      <c r="G712" s="7"/>
      <c r="H712" s="7"/>
      <c r="I712" s="5"/>
      <c r="J712" s="6"/>
      <c r="K712" s="6"/>
      <c r="L712" s="6"/>
      <c r="M712" s="8"/>
      <c r="N712" s="9"/>
      <c r="O712" s="8"/>
      <c r="P712" s="10"/>
      <c r="Q712" s="11"/>
      <c r="R712" s="8"/>
      <c r="S712" s="8"/>
      <c r="T712" s="13"/>
    </row>
    <row r="713" spans="1:20" x14ac:dyDescent="0.4">
      <c r="A713" s="5"/>
      <c r="B713" s="5"/>
      <c r="C713" s="5"/>
      <c r="D713" s="5"/>
      <c r="E713" s="5"/>
      <c r="F713" s="6"/>
      <c r="G713" s="7"/>
      <c r="H713" s="7"/>
      <c r="I713" s="5"/>
      <c r="J713" s="6"/>
      <c r="K713" s="6"/>
      <c r="L713" s="6"/>
      <c r="M713" s="8"/>
      <c r="N713" s="9"/>
      <c r="O713" s="8"/>
      <c r="P713" s="10"/>
      <c r="Q713" s="11"/>
      <c r="R713" s="8"/>
      <c r="S713" s="8"/>
      <c r="T713" s="13"/>
    </row>
    <row r="714" spans="1:20" x14ac:dyDescent="0.4">
      <c r="A714" s="5"/>
      <c r="B714" s="5"/>
      <c r="C714" s="5"/>
      <c r="D714" s="5"/>
      <c r="E714" s="5"/>
      <c r="F714" s="6"/>
      <c r="G714" s="7"/>
      <c r="H714" s="7"/>
      <c r="I714" s="5"/>
      <c r="J714" s="6"/>
      <c r="K714" s="6"/>
      <c r="L714" s="6"/>
      <c r="M714" s="8"/>
      <c r="N714" s="9"/>
      <c r="O714" s="8"/>
      <c r="P714" s="10"/>
      <c r="Q714" s="11"/>
      <c r="R714" s="8"/>
      <c r="S714" s="8"/>
      <c r="T714" s="13"/>
    </row>
    <row r="715" spans="1:20" x14ac:dyDescent="0.4">
      <c r="A715" s="5"/>
      <c r="B715" s="5"/>
      <c r="C715" s="5"/>
      <c r="D715" s="5"/>
      <c r="E715" s="5"/>
      <c r="F715" s="6"/>
      <c r="G715" s="7"/>
      <c r="H715" s="7"/>
      <c r="I715" s="5"/>
      <c r="J715" s="6"/>
      <c r="K715" s="6"/>
      <c r="L715" s="6"/>
      <c r="M715" s="8"/>
      <c r="N715" s="9"/>
      <c r="O715" s="8"/>
      <c r="P715" s="10"/>
      <c r="Q715" s="11"/>
      <c r="R715" s="8"/>
      <c r="S715" s="8"/>
      <c r="T715" s="9"/>
    </row>
    <row r="716" spans="1:20" x14ac:dyDescent="0.4">
      <c r="A716" s="5"/>
      <c r="B716" s="5"/>
      <c r="C716" s="5"/>
      <c r="D716" s="5"/>
      <c r="E716" s="51"/>
      <c r="F716" s="6"/>
      <c r="G716" s="7"/>
      <c r="H716" s="7"/>
      <c r="I716" s="5"/>
      <c r="J716" s="6"/>
      <c r="K716" s="6"/>
      <c r="L716" s="6"/>
      <c r="M716" s="8"/>
      <c r="N716" s="9"/>
      <c r="O716" s="8"/>
      <c r="P716" s="10"/>
      <c r="Q716" s="11"/>
      <c r="R716" s="8"/>
      <c r="S716" s="8"/>
      <c r="T716" s="9"/>
    </row>
    <row r="717" spans="1:20" x14ac:dyDescent="0.4">
      <c r="A717" s="5"/>
      <c r="B717" s="5"/>
      <c r="C717" s="5"/>
      <c r="D717" s="5"/>
      <c r="E717" s="5"/>
      <c r="F717" s="6"/>
      <c r="G717" s="7"/>
      <c r="H717" s="7"/>
      <c r="I717" s="5"/>
      <c r="J717" s="6"/>
      <c r="K717" s="6"/>
      <c r="L717" s="6"/>
      <c r="M717" s="8"/>
      <c r="N717" s="9"/>
      <c r="O717" s="8"/>
      <c r="P717" s="10"/>
      <c r="Q717" s="11"/>
      <c r="R717" s="8"/>
      <c r="S717" s="8"/>
      <c r="T717" s="9"/>
    </row>
    <row r="718" spans="1:20" x14ac:dyDescent="0.4">
      <c r="A718" s="5"/>
      <c r="B718" s="5"/>
      <c r="C718" s="5"/>
      <c r="D718" s="5"/>
      <c r="E718" s="5"/>
      <c r="F718" s="6"/>
      <c r="G718" s="7"/>
      <c r="H718" s="7"/>
      <c r="I718" s="5"/>
      <c r="J718" s="6"/>
      <c r="K718" s="6"/>
      <c r="L718" s="6"/>
      <c r="M718" s="8"/>
      <c r="N718" s="9"/>
      <c r="O718" s="8"/>
      <c r="P718" s="10"/>
      <c r="Q718" s="11"/>
      <c r="R718" s="8"/>
      <c r="S718" s="8"/>
      <c r="T718" s="9"/>
    </row>
    <row r="719" spans="1:20" x14ac:dyDescent="0.4">
      <c r="A719" s="5"/>
      <c r="B719" s="5"/>
      <c r="C719" s="5"/>
      <c r="D719" s="5"/>
      <c r="E719" s="5"/>
      <c r="F719" s="6"/>
      <c r="G719" s="7"/>
      <c r="H719" s="7"/>
      <c r="I719" s="5"/>
      <c r="J719" s="6"/>
      <c r="K719" s="6"/>
      <c r="L719" s="6"/>
      <c r="M719" s="8"/>
      <c r="N719" s="9"/>
      <c r="O719" s="8"/>
      <c r="P719" s="10"/>
      <c r="Q719" s="11"/>
      <c r="R719" s="8"/>
      <c r="S719" s="8"/>
      <c r="T719" s="9"/>
    </row>
    <row r="720" spans="1:20" x14ac:dyDescent="0.4">
      <c r="A720" s="5"/>
      <c r="B720" s="5"/>
      <c r="C720" s="5"/>
      <c r="D720" s="5"/>
      <c r="E720" s="5"/>
      <c r="F720" s="6"/>
      <c r="G720" s="7"/>
      <c r="H720" s="7"/>
      <c r="I720" s="5"/>
      <c r="J720" s="6"/>
      <c r="K720" s="6"/>
      <c r="L720" s="6"/>
      <c r="M720" s="8"/>
      <c r="N720" s="9"/>
      <c r="O720" s="8"/>
      <c r="P720" s="10"/>
      <c r="Q720" s="11"/>
      <c r="R720" s="8"/>
      <c r="S720" s="8"/>
      <c r="T720" s="9"/>
    </row>
    <row r="721" spans="1:23" x14ac:dyDescent="0.4">
      <c r="A721" s="5"/>
      <c r="B721" s="5"/>
      <c r="C721" s="5"/>
      <c r="D721" s="5"/>
      <c r="E721" s="5"/>
      <c r="F721" s="6"/>
      <c r="G721" s="7"/>
      <c r="H721" s="7"/>
      <c r="I721" s="5"/>
      <c r="J721" s="6"/>
      <c r="K721" s="6"/>
      <c r="L721" s="6"/>
      <c r="M721" s="8"/>
      <c r="N721" s="9"/>
      <c r="O721" s="8"/>
      <c r="P721" s="10"/>
      <c r="Q721" s="11"/>
      <c r="R721" s="8"/>
      <c r="S721" s="8"/>
      <c r="T721" s="9"/>
      <c r="W721" s="17"/>
    </row>
    <row r="722" spans="1:23" x14ac:dyDescent="0.4">
      <c r="A722" s="5"/>
      <c r="B722" s="5"/>
      <c r="C722" s="5"/>
      <c r="D722" s="5"/>
      <c r="E722" s="5"/>
      <c r="F722" s="6"/>
      <c r="G722" s="7"/>
      <c r="H722" s="7"/>
      <c r="I722" s="5"/>
      <c r="J722" s="6"/>
      <c r="K722" s="6"/>
      <c r="L722" s="6"/>
      <c r="M722" s="8"/>
      <c r="N722" s="9"/>
      <c r="O722" s="8"/>
      <c r="P722" s="10"/>
      <c r="Q722" s="11"/>
      <c r="R722" s="8"/>
      <c r="S722" s="8"/>
      <c r="T722" s="9"/>
    </row>
    <row r="723" spans="1:23" x14ac:dyDescent="0.4">
      <c r="A723" s="5"/>
      <c r="B723" s="5"/>
      <c r="C723" s="5"/>
      <c r="D723" s="5"/>
      <c r="E723" s="5"/>
      <c r="F723" s="6"/>
      <c r="G723" s="7"/>
      <c r="H723" s="7"/>
      <c r="I723" s="5"/>
      <c r="J723" s="6"/>
      <c r="K723" s="6"/>
      <c r="L723" s="6"/>
      <c r="M723" s="8"/>
      <c r="N723" s="9"/>
      <c r="O723" s="8"/>
      <c r="P723" s="10"/>
      <c r="Q723" s="11"/>
      <c r="R723" s="8"/>
      <c r="S723" s="8"/>
      <c r="T723" s="8"/>
    </row>
    <row r="724" spans="1:23" x14ac:dyDescent="0.4">
      <c r="A724" s="5"/>
      <c r="B724" s="5"/>
      <c r="C724" s="5"/>
      <c r="D724" s="5"/>
      <c r="E724" s="5"/>
      <c r="F724" s="6"/>
      <c r="G724" s="7"/>
      <c r="H724" s="7"/>
      <c r="I724" s="5"/>
      <c r="J724" s="6"/>
      <c r="K724" s="6"/>
      <c r="L724" s="6"/>
      <c r="M724" s="8"/>
      <c r="N724" s="9"/>
      <c r="O724" s="8"/>
      <c r="P724" s="10"/>
      <c r="Q724" s="11"/>
      <c r="R724" s="8"/>
      <c r="S724" s="8"/>
      <c r="T724" s="9"/>
    </row>
    <row r="725" spans="1:23" x14ac:dyDescent="0.4">
      <c r="A725" s="5"/>
      <c r="B725" s="5"/>
      <c r="C725" s="5"/>
      <c r="D725" s="5"/>
      <c r="E725" s="5"/>
      <c r="F725" s="6"/>
      <c r="G725" s="7"/>
      <c r="H725" s="7"/>
      <c r="I725" s="5"/>
      <c r="J725" s="6"/>
      <c r="K725" s="6"/>
      <c r="L725" s="6"/>
      <c r="M725" s="8"/>
      <c r="N725" s="9"/>
      <c r="O725" s="8"/>
      <c r="P725" s="10"/>
      <c r="Q725" s="11"/>
      <c r="R725" s="8"/>
      <c r="S725" s="8"/>
      <c r="T725" s="9"/>
    </row>
    <row r="726" spans="1:23" x14ac:dyDescent="0.4">
      <c r="A726" s="5"/>
      <c r="B726" s="5"/>
      <c r="C726" s="5"/>
      <c r="D726" s="5"/>
      <c r="E726" s="5"/>
      <c r="F726" s="6"/>
      <c r="G726" s="7"/>
      <c r="H726" s="7"/>
      <c r="I726" s="5"/>
      <c r="J726" s="6"/>
      <c r="K726" s="6"/>
      <c r="L726" s="6"/>
      <c r="M726" s="8"/>
      <c r="N726" s="9"/>
      <c r="O726" s="8"/>
      <c r="P726" s="10"/>
      <c r="Q726" s="11"/>
      <c r="R726" s="8"/>
      <c r="S726" s="8"/>
      <c r="T726" s="9"/>
    </row>
    <row r="727" spans="1:23" x14ac:dyDescent="0.4">
      <c r="A727" s="5"/>
      <c r="B727" s="5"/>
      <c r="C727" s="5"/>
      <c r="D727" s="5"/>
      <c r="E727" s="5"/>
      <c r="F727" s="6"/>
      <c r="G727" s="7"/>
      <c r="H727" s="7"/>
      <c r="I727" s="5"/>
      <c r="J727" s="6"/>
      <c r="K727" s="6"/>
      <c r="L727" s="6"/>
      <c r="M727" s="8"/>
      <c r="N727" s="9"/>
      <c r="O727" s="8"/>
      <c r="P727" s="10"/>
      <c r="Q727" s="11"/>
      <c r="R727" s="8"/>
      <c r="S727" s="8"/>
      <c r="T727" s="9"/>
    </row>
    <row r="728" spans="1:23" x14ac:dyDescent="0.4">
      <c r="A728" s="5"/>
      <c r="B728" s="5"/>
      <c r="C728" s="5"/>
      <c r="D728" s="5"/>
      <c r="E728" s="5"/>
      <c r="F728" s="6"/>
      <c r="G728" s="7"/>
      <c r="H728" s="7"/>
      <c r="I728" s="5"/>
      <c r="J728" s="6"/>
      <c r="K728" s="6"/>
      <c r="L728" s="6"/>
      <c r="M728" s="8"/>
      <c r="N728" s="9"/>
      <c r="O728" s="8"/>
      <c r="P728" s="10"/>
      <c r="Q728" s="11"/>
      <c r="R728" s="8"/>
      <c r="S728" s="8"/>
      <c r="T728" s="9"/>
    </row>
    <row r="729" spans="1:23" x14ac:dyDescent="0.4">
      <c r="A729" s="5"/>
      <c r="B729" s="5"/>
      <c r="C729" s="5"/>
      <c r="D729" s="5"/>
      <c r="E729" s="5"/>
      <c r="F729" s="6"/>
      <c r="G729" s="7"/>
      <c r="H729" s="7"/>
      <c r="I729" s="5"/>
      <c r="J729" s="6"/>
      <c r="K729" s="6"/>
      <c r="L729" s="6"/>
      <c r="M729" s="8"/>
      <c r="N729" s="9"/>
      <c r="O729" s="8"/>
      <c r="P729" s="10"/>
      <c r="Q729" s="11"/>
      <c r="R729" s="8"/>
      <c r="S729" s="8"/>
      <c r="T729" s="9"/>
    </row>
    <row r="730" spans="1:23" x14ac:dyDescent="0.4">
      <c r="A730" s="5"/>
      <c r="B730" s="5"/>
      <c r="C730" s="5"/>
      <c r="D730" s="5"/>
      <c r="E730" s="5"/>
      <c r="F730" s="6"/>
      <c r="G730" s="7"/>
      <c r="H730" s="7"/>
      <c r="I730" s="5"/>
      <c r="J730" s="6"/>
      <c r="K730" s="6"/>
      <c r="L730" s="6"/>
      <c r="M730" s="8"/>
      <c r="N730" s="9"/>
      <c r="O730" s="8"/>
      <c r="P730" s="10"/>
      <c r="Q730" s="11"/>
      <c r="R730" s="8"/>
      <c r="S730" s="8"/>
      <c r="T730" s="9"/>
    </row>
    <row r="731" spans="1:23" x14ac:dyDescent="0.4">
      <c r="A731" s="5"/>
      <c r="B731" s="5"/>
      <c r="C731" s="5"/>
      <c r="D731" s="5"/>
      <c r="E731" s="5"/>
      <c r="F731" s="6"/>
      <c r="G731" s="7"/>
      <c r="H731" s="7"/>
      <c r="I731" s="5"/>
      <c r="J731" s="6"/>
      <c r="K731" s="6"/>
      <c r="L731" s="6"/>
      <c r="M731" s="8"/>
      <c r="N731" s="9"/>
      <c r="O731" s="8"/>
      <c r="P731" s="10"/>
      <c r="Q731" s="11"/>
      <c r="R731" s="8"/>
      <c r="S731" s="8"/>
      <c r="T731" s="9"/>
    </row>
    <row r="732" spans="1:23" x14ac:dyDescent="0.4">
      <c r="A732" s="5"/>
      <c r="B732" s="5"/>
      <c r="C732" s="5"/>
      <c r="D732" s="5"/>
      <c r="E732" s="5"/>
      <c r="F732" s="6"/>
      <c r="G732" s="7"/>
      <c r="H732" s="7"/>
      <c r="I732" s="5"/>
      <c r="J732" s="6"/>
      <c r="K732" s="6"/>
      <c r="L732" s="6"/>
      <c r="M732" s="8"/>
      <c r="N732" s="9"/>
      <c r="O732" s="8"/>
      <c r="P732" s="10"/>
      <c r="Q732" s="11"/>
      <c r="R732" s="8"/>
      <c r="S732" s="8"/>
      <c r="T732" s="9"/>
    </row>
    <row r="733" spans="1:23" x14ac:dyDescent="0.4">
      <c r="A733" s="5"/>
      <c r="B733" s="5"/>
      <c r="C733" s="5"/>
      <c r="D733" s="5"/>
      <c r="E733" s="5"/>
      <c r="F733" s="6"/>
      <c r="G733" s="7"/>
      <c r="H733" s="7"/>
      <c r="I733" s="5"/>
      <c r="J733" s="6"/>
      <c r="K733" s="6"/>
      <c r="L733" s="6"/>
      <c r="M733" s="8"/>
      <c r="N733" s="9"/>
      <c r="O733" s="8"/>
      <c r="P733" s="10"/>
      <c r="Q733" s="11"/>
      <c r="R733" s="8"/>
      <c r="S733" s="8"/>
      <c r="T733" s="9"/>
    </row>
    <row r="734" spans="1:23" x14ac:dyDescent="0.4">
      <c r="A734" s="5"/>
      <c r="B734" s="5"/>
      <c r="C734" s="5"/>
      <c r="D734" s="5"/>
      <c r="E734" s="5"/>
      <c r="F734" s="6"/>
      <c r="G734" s="7"/>
      <c r="H734" s="7"/>
      <c r="I734" s="5"/>
      <c r="J734" s="6"/>
      <c r="K734" s="6"/>
      <c r="L734" s="6"/>
      <c r="M734" s="8"/>
      <c r="N734" s="9"/>
      <c r="O734" s="8"/>
      <c r="P734" s="10"/>
      <c r="Q734" s="11"/>
      <c r="R734" s="8"/>
      <c r="S734" s="8"/>
      <c r="T734" s="9"/>
    </row>
    <row r="735" spans="1:23" x14ac:dyDescent="0.4">
      <c r="A735" s="5"/>
      <c r="B735" s="5"/>
      <c r="C735" s="5"/>
      <c r="D735" s="5"/>
      <c r="E735" s="5"/>
      <c r="F735" s="6"/>
      <c r="G735" s="7"/>
      <c r="H735" s="7"/>
      <c r="I735" s="5"/>
      <c r="J735" s="6"/>
      <c r="K735" s="6"/>
      <c r="L735" s="6"/>
      <c r="M735" s="8"/>
      <c r="N735" s="9"/>
      <c r="O735" s="8"/>
      <c r="P735" s="10"/>
      <c r="Q735" s="11"/>
      <c r="R735" s="8"/>
      <c r="S735" s="8"/>
      <c r="T735" s="9"/>
    </row>
    <row r="736" spans="1:23" x14ac:dyDescent="0.4">
      <c r="A736" s="5"/>
      <c r="B736" s="5"/>
      <c r="C736" s="5"/>
      <c r="D736" s="5"/>
      <c r="E736" s="5"/>
      <c r="F736" s="6"/>
      <c r="G736" s="7"/>
      <c r="H736" s="7"/>
      <c r="I736" s="5"/>
      <c r="J736" s="6"/>
      <c r="K736" s="6"/>
      <c r="L736" s="6"/>
      <c r="M736" s="8"/>
      <c r="N736" s="9"/>
      <c r="O736" s="8"/>
      <c r="P736" s="10"/>
      <c r="Q736" s="11"/>
      <c r="R736" s="8"/>
      <c r="S736" s="8"/>
      <c r="T736" s="9"/>
    </row>
    <row r="737" spans="1:20" x14ac:dyDescent="0.4">
      <c r="A737" s="5"/>
      <c r="B737" s="5"/>
      <c r="C737" s="5"/>
      <c r="D737" s="5"/>
      <c r="E737" s="5"/>
      <c r="F737" s="6"/>
      <c r="G737" s="7"/>
      <c r="H737" s="7"/>
      <c r="I737" s="5"/>
      <c r="J737" s="6"/>
      <c r="K737" s="6"/>
      <c r="L737" s="6"/>
      <c r="M737" s="8"/>
      <c r="N737" s="9"/>
      <c r="O737" s="8"/>
      <c r="P737" s="10"/>
      <c r="Q737" s="11"/>
      <c r="R737" s="8"/>
      <c r="S737" s="8"/>
      <c r="T737" s="9"/>
    </row>
    <row r="738" spans="1:20" x14ac:dyDescent="0.4">
      <c r="A738" s="5"/>
      <c r="B738" s="5"/>
      <c r="C738" s="5"/>
      <c r="D738" s="5"/>
      <c r="E738" s="5"/>
      <c r="F738" s="6"/>
      <c r="G738" s="7"/>
      <c r="H738" s="7"/>
      <c r="I738" s="5"/>
      <c r="J738" s="6"/>
      <c r="K738" s="6"/>
      <c r="L738" s="6"/>
      <c r="M738" s="8"/>
      <c r="N738" s="9"/>
      <c r="O738" s="8"/>
      <c r="P738" s="10"/>
      <c r="Q738" s="11"/>
      <c r="R738" s="8"/>
      <c r="S738" s="8"/>
      <c r="T738" s="9"/>
    </row>
    <row r="739" spans="1:20" x14ac:dyDescent="0.4">
      <c r="A739" s="5"/>
      <c r="B739" s="5"/>
      <c r="C739" s="5"/>
      <c r="D739" s="5"/>
      <c r="E739" s="5"/>
      <c r="F739" s="6"/>
      <c r="G739" s="7"/>
      <c r="H739" s="7"/>
      <c r="I739" s="5"/>
      <c r="J739" s="6"/>
      <c r="K739" s="6"/>
      <c r="L739" s="6"/>
      <c r="M739" s="8"/>
      <c r="N739" s="9"/>
      <c r="O739" s="8"/>
      <c r="P739" s="10"/>
      <c r="Q739" s="11"/>
      <c r="R739" s="8"/>
      <c r="S739" s="8"/>
      <c r="T739" s="9"/>
    </row>
    <row r="740" spans="1:20" x14ac:dyDescent="0.4">
      <c r="A740" s="5"/>
      <c r="B740" s="5"/>
      <c r="C740" s="5"/>
      <c r="D740" s="5"/>
      <c r="E740" s="5"/>
      <c r="F740" s="6"/>
      <c r="G740" s="7"/>
      <c r="H740" s="7"/>
      <c r="I740" s="5"/>
      <c r="J740" s="6"/>
      <c r="K740" s="6"/>
      <c r="L740" s="6"/>
      <c r="M740" s="8"/>
      <c r="N740" s="9"/>
      <c r="O740" s="8"/>
      <c r="P740" s="10"/>
      <c r="Q740" s="11"/>
      <c r="R740" s="8"/>
      <c r="S740" s="8"/>
      <c r="T740" s="9"/>
    </row>
    <row r="741" spans="1:20" x14ac:dyDescent="0.4">
      <c r="A741" s="5"/>
      <c r="B741" s="5"/>
      <c r="C741" s="5"/>
      <c r="D741" s="5"/>
      <c r="E741" s="5"/>
      <c r="F741" s="6"/>
      <c r="G741" s="7"/>
      <c r="H741" s="7"/>
      <c r="I741" s="5"/>
      <c r="J741" s="6"/>
      <c r="K741" s="6"/>
      <c r="L741" s="6"/>
      <c r="M741" s="8"/>
      <c r="N741" s="9"/>
      <c r="O741" s="8"/>
      <c r="P741" s="10"/>
      <c r="Q741" s="11"/>
      <c r="R741" s="8"/>
      <c r="S741" s="8"/>
      <c r="T741" s="9"/>
    </row>
    <row r="742" spans="1:20" x14ac:dyDescent="0.4">
      <c r="A742" s="5"/>
      <c r="B742" s="5"/>
      <c r="C742" s="5"/>
      <c r="D742" s="5"/>
      <c r="E742" s="5"/>
      <c r="F742" s="6"/>
      <c r="G742" s="7"/>
      <c r="H742" s="7"/>
      <c r="I742" s="5"/>
      <c r="J742" s="6"/>
      <c r="K742" s="6"/>
      <c r="L742" s="6"/>
      <c r="M742" s="8"/>
      <c r="N742" s="9"/>
      <c r="O742" s="8"/>
      <c r="P742" s="10"/>
      <c r="Q742" s="11"/>
      <c r="R742" s="8"/>
      <c r="S742" s="8"/>
      <c r="T742" s="9"/>
    </row>
    <row r="743" spans="1:20" x14ac:dyDescent="0.4">
      <c r="A743" s="5"/>
      <c r="B743" s="5"/>
      <c r="C743" s="5"/>
      <c r="D743" s="5"/>
      <c r="E743" s="5"/>
      <c r="F743" s="6"/>
      <c r="G743" s="7"/>
      <c r="H743" s="7"/>
      <c r="I743" s="5"/>
      <c r="J743" s="6"/>
      <c r="K743" s="6"/>
      <c r="L743" s="6"/>
      <c r="M743" s="8"/>
      <c r="N743" s="9"/>
      <c r="O743" s="8"/>
      <c r="P743" s="10"/>
      <c r="Q743" s="11"/>
      <c r="R743" s="8"/>
      <c r="S743" s="8"/>
      <c r="T743" s="9"/>
    </row>
    <row r="744" spans="1:20" x14ac:dyDescent="0.4">
      <c r="A744" s="5"/>
      <c r="B744" s="5"/>
      <c r="C744" s="5"/>
      <c r="D744" s="5"/>
      <c r="E744" s="5"/>
      <c r="F744" s="6"/>
      <c r="G744" s="7"/>
      <c r="H744" s="7"/>
      <c r="I744" s="5"/>
      <c r="J744" s="6"/>
      <c r="K744" s="6"/>
      <c r="L744" s="6"/>
      <c r="M744" s="8"/>
      <c r="N744" s="9"/>
      <c r="O744" s="8"/>
      <c r="P744" s="10"/>
      <c r="Q744" s="11"/>
      <c r="R744" s="8"/>
      <c r="S744" s="8"/>
      <c r="T744" s="9"/>
    </row>
    <row r="745" spans="1:20" x14ac:dyDescent="0.4">
      <c r="A745" s="5"/>
      <c r="B745" s="5"/>
      <c r="C745" s="5"/>
      <c r="D745" s="5"/>
      <c r="E745" s="5"/>
      <c r="F745" s="6"/>
      <c r="G745" s="7"/>
      <c r="H745" s="7"/>
      <c r="I745" s="5"/>
      <c r="J745" s="6"/>
      <c r="K745" s="6"/>
      <c r="L745" s="6"/>
      <c r="M745" s="8"/>
      <c r="N745" s="9"/>
      <c r="O745" s="8"/>
      <c r="P745" s="10"/>
      <c r="Q745" s="11"/>
      <c r="R745" s="8"/>
      <c r="S745" s="8"/>
      <c r="T745" s="9"/>
    </row>
    <row r="746" spans="1:20" x14ac:dyDescent="0.4">
      <c r="A746" s="5"/>
      <c r="B746" s="5"/>
      <c r="C746" s="5"/>
      <c r="D746" s="5"/>
      <c r="E746" s="5"/>
      <c r="F746" s="6"/>
      <c r="G746" s="7"/>
      <c r="H746" s="7"/>
      <c r="I746" s="5"/>
      <c r="J746" s="6"/>
      <c r="K746" s="6"/>
      <c r="L746" s="6"/>
      <c r="M746" s="8"/>
      <c r="N746" s="9"/>
      <c r="O746" s="8"/>
      <c r="P746" s="10"/>
      <c r="Q746" s="11"/>
      <c r="R746" s="8"/>
      <c r="S746" s="8"/>
      <c r="T746" s="9"/>
    </row>
    <row r="747" spans="1:20" x14ac:dyDescent="0.4">
      <c r="A747" s="5"/>
      <c r="B747" s="5"/>
      <c r="C747" s="5"/>
      <c r="D747" s="5"/>
      <c r="E747" s="5"/>
      <c r="F747" s="6"/>
      <c r="G747" s="7"/>
      <c r="H747" s="7"/>
      <c r="I747" s="5"/>
      <c r="J747" s="6"/>
      <c r="K747" s="6"/>
      <c r="L747" s="6"/>
      <c r="M747" s="8"/>
      <c r="N747" s="9"/>
      <c r="O747" s="8"/>
      <c r="P747" s="10"/>
      <c r="Q747" s="11"/>
      <c r="R747" s="8"/>
      <c r="S747" s="8"/>
      <c r="T747" s="9"/>
    </row>
    <row r="748" spans="1:20" x14ac:dyDescent="0.4">
      <c r="A748" s="5"/>
      <c r="B748" s="5"/>
      <c r="C748" s="5"/>
      <c r="D748" s="5"/>
      <c r="E748" s="5"/>
      <c r="F748" s="6"/>
      <c r="G748" s="7"/>
      <c r="H748" s="7"/>
      <c r="I748" s="5"/>
      <c r="J748" s="6"/>
      <c r="K748" s="6"/>
      <c r="L748" s="6"/>
      <c r="M748" s="8"/>
      <c r="N748" s="9"/>
      <c r="O748" s="8"/>
      <c r="P748" s="10"/>
      <c r="Q748" s="11"/>
      <c r="R748" s="8"/>
      <c r="S748" s="8"/>
      <c r="T748" s="9"/>
    </row>
    <row r="749" spans="1:20" x14ac:dyDescent="0.4">
      <c r="A749" s="5"/>
      <c r="B749" s="5"/>
      <c r="C749" s="5"/>
      <c r="D749" s="5"/>
      <c r="E749" s="5"/>
      <c r="F749" s="6"/>
      <c r="G749" s="7"/>
      <c r="H749" s="7"/>
      <c r="I749" s="5"/>
      <c r="J749" s="6"/>
      <c r="K749" s="6"/>
      <c r="L749" s="6"/>
      <c r="M749" s="8"/>
      <c r="N749" s="9"/>
      <c r="O749" s="8"/>
      <c r="P749" s="10"/>
      <c r="Q749" s="11"/>
      <c r="R749" s="8"/>
      <c r="S749" s="8"/>
      <c r="T749" s="9"/>
    </row>
    <row r="750" spans="1:20" x14ac:dyDescent="0.4">
      <c r="A750" s="5"/>
      <c r="B750" s="5"/>
      <c r="C750" s="5"/>
      <c r="D750" s="5"/>
      <c r="E750" s="5"/>
      <c r="F750" s="6"/>
      <c r="G750" s="7"/>
      <c r="H750" s="7"/>
      <c r="I750" s="5"/>
      <c r="J750" s="6"/>
      <c r="K750" s="6"/>
      <c r="L750" s="6"/>
      <c r="M750" s="8"/>
      <c r="N750" s="9"/>
      <c r="O750" s="8"/>
      <c r="P750" s="10"/>
      <c r="Q750" s="11"/>
      <c r="R750" s="8"/>
      <c r="S750" s="8"/>
      <c r="T750" s="9"/>
    </row>
    <row r="751" spans="1:20" x14ac:dyDescent="0.4">
      <c r="A751" s="5"/>
      <c r="B751" s="5"/>
      <c r="C751" s="5"/>
      <c r="D751" s="5"/>
      <c r="E751" s="5"/>
      <c r="F751" s="6"/>
      <c r="G751" s="7"/>
      <c r="H751" s="7"/>
      <c r="I751" s="5"/>
      <c r="J751" s="6"/>
      <c r="K751" s="6"/>
      <c r="L751" s="6"/>
      <c r="M751" s="8"/>
      <c r="N751" s="9"/>
      <c r="O751" s="8"/>
      <c r="P751" s="10"/>
      <c r="Q751" s="11"/>
      <c r="R751" s="8"/>
      <c r="S751" s="8"/>
      <c r="T751" s="9"/>
    </row>
    <row r="752" spans="1:20" x14ac:dyDescent="0.4">
      <c r="A752" s="5"/>
      <c r="B752" s="5"/>
      <c r="C752" s="5"/>
      <c r="D752" s="5"/>
      <c r="E752" s="5"/>
      <c r="F752" s="6"/>
      <c r="G752" s="7"/>
      <c r="H752" s="7"/>
      <c r="I752" s="5"/>
      <c r="J752" s="6"/>
      <c r="K752" s="6"/>
      <c r="L752" s="6"/>
      <c r="M752" s="8"/>
      <c r="N752" s="9"/>
      <c r="O752" s="8"/>
      <c r="P752" s="10"/>
      <c r="Q752" s="11"/>
      <c r="R752" s="8"/>
      <c r="S752" s="8"/>
      <c r="T752" s="9"/>
    </row>
    <row r="753" spans="1:26" x14ac:dyDescent="0.4">
      <c r="A753" s="5"/>
      <c r="B753" s="5"/>
      <c r="C753" s="5"/>
      <c r="D753" s="5"/>
      <c r="E753" s="5"/>
      <c r="F753" s="6"/>
      <c r="G753" s="7"/>
      <c r="H753" s="7"/>
      <c r="I753" s="5"/>
      <c r="J753" s="6"/>
      <c r="K753" s="6"/>
      <c r="L753" s="6"/>
      <c r="M753" s="8"/>
      <c r="N753" s="9"/>
      <c r="O753" s="8"/>
      <c r="P753" s="10"/>
      <c r="Q753" s="11"/>
      <c r="R753" s="8"/>
      <c r="S753" s="8"/>
      <c r="T753" s="52"/>
    </row>
    <row r="754" spans="1:26" x14ac:dyDescent="0.4">
      <c r="A754" s="5"/>
      <c r="B754" s="5"/>
      <c r="C754" s="5"/>
      <c r="D754" s="5"/>
      <c r="E754" s="5"/>
      <c r="F754" s="6"/>
      <c r="G754" s="7"/>
      <c r="H754" s="7"/>
      <c r="I754" s="5"/>
      <c r="J754" s="6"/>
      <c r="K754" s="6"/>
      <c r="L754" s="6"/>
      <c r="M754" s="8"/>
      <c r="N754" s="9"/>
      <c r="O754" s="8"/>
      <c r="P754" s="10"/>
      <c r="Q754" s="11"/>
      <c r="R754" s="8"/>
      <c r="S754" s="8"/>
      <c r="T754" s="14"/>
    </row>
    <row r="755" spans="1:26" x14ac:dyDescent="0.4">
      <c r="A755" s="5"/>
      <c r="B755" s="5"/>
      <c r="C755" s="5"/>
      <c r="D755" s="5"/>
      <c r="E755" s="5"/>
      <c r="F755" s="6"/>
      <c r="G755" s="7"/>
      <c r="H755" s="7"/>
      <c r="I755" s="5"/>
      <c r="J755" s="6"/>
      <c r="K755" s="6"/>
      <c r="L755" s="6"/>
      <c r="M755" s="8"/>
      <c r="N755" s="9"/>
      <c r="O755" s="8"/>
      <c r="P755" s="10"/>
      <c r="Q755" s="11"/>
      <c r="R755" s="8"/>
      <c r="S755" s="8"/>
      <c r="T755" s="13"/>
    </row>
    <row r="756" spans="1:26" x14ac:dyDescent="0.4">
      <c r="A756" s="5"/>
      <c r="B756" s="5"/>
      <c r="C756" s="5"/>
      <c r="D756" s="5"/>
      <c r="E756" s="5"/>
      <c r="F756" s="6"/>
      <c r="G756" s="7"/>
      <c r="H756" s="7"/>
      <c r="I756" s="5"/>
      <c r="J756" s="6"/>
      <c r="K756" s="6"/>
      <c r="L756" s="6"/>
      <c r="M756" s="8"/>
      <c r="N756" s="9"/>
      <c r="O756" s="8"/>
      <c r="P756" s="10"/>
      <c r="Q756" s="11"/>
      <c r="R756" s="8"/>
      <c r="S756" s="8"/>
      <c r="T756" s="13"/>
    </row>
    <row r="757" spans="1:26" x14ac:dyDescent="0.4">
      <c r="A757" s="5"/>
      <c r="B757" s="5"/>
      <c r="C757" s="5"/>
      <c r="D757" s="5"/>
      <c r="E757" s="5"/>
      <c r="F757" s="6"/>
      <c r="G757" s="7"/>
      <c r="H757" s="7"/>
      <c r="I757" s="5"/>
      <c r="J757" s="6"/>
      <c r="K757" s="6"/>
      <c r="L757" s="6"/>
      <c r="M757" s="8"/>
      <c r="N757" s="9"/>
      <c r="O757" s="8"/>
      <c r="P757" s="10"/>
      <c r="Q757" s="11"/>
      <c r="R757" s="8"/>
      <c r="S757" s="8"/>
      <c r="T757" s="13"/>
    </row>
    <row r="758" spans="1:26" x14ac:dyDescent="0.4">
      <c r="A758" s="5"/>
      <c r="B758" s="5"/>
      <c r="C758" s="5"/>
      <c r="D758" s="5"/>
      <c r="E758" s="5"/>
      <c r="F758" s="6"/>
      <c r="G758" s="7"/>
      <c r="H758" s="7"/>
      <c r="I758" s="5"/>
      <c r="J758" s="6"/>
      <c r="K758" s="6"/>
      <c r="L758" s="6"/>
      <c r="M758" s="8"/>
      <c r="N758" s="9"/>
      <c r="O758" s="8"/>
      <c r="P758" s="10"/>
      <c r="Q758" s="11"/>
      <c r="R758" s="8"/>
      <c r="S758" s="8"/>
      <c r="T758" s="13"/>
    </row>
    <row r="759" spans="1:26" x14ac:dyDescent="0.4">
      <c r="A759" s="5"/>
      <c r="B759" s="5"/>
      <c r="C759" s="5"/>
      <c r="D759" s="5"/>
      <c r="E759" s="5"/>
      <c r="F759" s="6"/>
      <c r="G759" s="7"/>
      <c r="H759" s="7"/>
      <c r="I759" s="5"/>
      <c r="J759" s="6"/>
      <c r="K759" s="6"/>
      <c r="L759" s="6"/>
      <c r="M759" s="8"/>
      <c r="N759" s="9"/>
      <c r="O759" s="8"/>
      <c r="P759" s="10"/>
      <c r="Q759" s="11"/>
      <c r="R759" s="8"/>
      <c r="S759" s="8"/>
      <c r="T759" s="13"/>
    </row>
    <row r="760" spans="1:26" x14ac:dyDescent="0.4">
      <c r="A760" s="5"/>
      <c r="B760" s="5"/>
      <c r="C760" s="5"/>
      <c r="D760" s="5"/>
      <c r="E760" s="5"/>
      <c r="F760" s="6"/>
      <c r="G760" s="7"/>
      <c r="H760" s="7"/>
      <c r="I760" s="5"/>
      <c r="J760" s="6"/>
      <c r="K760" s="6"/>
      <c r="L760" s="6"/>
      <c r="M760" s="8"/>
      <c r="N760" s="9"/>
      <c r="O760" s="8"/>
      <c r="P760" s="10"/>
      <c r="Q760" s="11"/>
      <c r="R760" s="8"/>
      <c r="S760" s="8"/>
      <c r="T760" s="13"/>
    </row>
    <row r="761" spans="1:26" x14ac:dyDescent="0.4">
      <c r="A761" s="5"/>
      <c r="B761" s="5"/>
      <c r="C761" s="5"/>
      <c r="D761" s="5"/>
      <c r="E761" s="5"/>
      <c r="F761" s="6"/>
      <c r="G761" s="7"/>
      <c r="H761" s="7"/>
      <c r="I761" s="5"/>
      <c r="J761" s="6"/>
      <c r="K761" s="6"/>
      <c r="L761" s="6"/>
      <c r="M761" s="8"/>
      <c r="N761" s="9"/>
      <c r="O761" s="8"/>
      <c r="P761" s="10"/>
      <c r="Q761" s="11"/>
      <c r="R761" s="8"/>
      <c r="S761" s="8"/>
      <c r="T761" s="13"/>
    </row>
    <row r="762" spans="1:26" x14ac:dyDescent="0.4">
      <c r="A762" s="5"/>
      <c r="B762" s="5"/>
      <c r="C762" s="5"/>
      <c r="D762" s="5"/>
      <c r="E762" s="5"/>
      <c r="F762" s="6"/>
      <c r="G762" s="7"/>
      <c r="H762" s="7"/>
      <c r="I762" s="5"/>
      <c r="J762" s="6"/>
      <c r="K762" s="6"/>
      <c r="L762" s="6"/>
      <c r="M762" s="8"/>
      <c r="N762" s="9"/>
      <c r="O762" s="8"/>
      <c r="P762" s="10"/>
      <c r="Q762" s="11"/>
      <c r="R762" s="8"/>
      <c r="S762" s="8"/>
      <c r="T762" s="13"/>
    </row>
    <row r="763" spans="1:26" x14ac:dyDescent="0.4">
      <c r="A763" s="5"/>
      <c r="B763" s="5"/>
      <c r="C763" s="5"/>
      <c r="D763" s="5"/>
      <c r="E763" s="5"/>
      <c r="F763" s="6"/>
      <c r="G763" s="7"/>
      <c r="H763" s="7"/>
      <c r="I763" s="5"/>
      <c r="J763" s="6"/>
      <c r="K763" s="6"/>
      <c r="L763" s="6"/>
      <c r="M763" s="8"/>
      <c r="N763" s="9"/>
      <c r="O763" s="8"/>
      <c r="P763" s="10"/>
      <c r="Q763" s="11"/>
      <c r="R763" s="8"/>
      <c r="S763" s="8"/>
      <c r="T763" s="13"/>
    </row>
    <row r="764" spans="1:26" x14ac:dyDescent="0.4">
      <c r="A764" s="5"/>
      <c r="B764" s="5"/>
      <c r="C764" s="5"/>
      <c r="D764" s="5"/>
      <c r="E764" s="5"/>
      <c r="F764" s="6"/>
      <c r="G764" s="7"/>
      <c r="H764" s="7"/>
      <c r="I764" s="5"/>
      <c r="J764" s="6"/>
      <c r="K764" s="6"/>
      <c r="L764" s="6"/>
      <c r="M764" s="8"/>
      <c r="N764" s="9"/>
      <c r="O764" s="8"/>
      <c r="P764" s="10"/>
      <c r="Q764" s="11"/>
      <c r="R764" s="8"/>
      <c r="S764" s="8"/>
      <c r="T764" s="13"/>
    </row>
    <row r="765" spans="1:26" x14ac:dyDescent="0.4">
      <c r="A765" s="5"/>
      <c r="B765" s="5"/>
      <c r="C765" s="5"/>
      <c r="D765" s="5"/>
      <c r="E765" s="5"/>
      <c r="F765" s="6"/>
      <c r="G765" s="7"/>
      <c r="H765" s="7"/>
      <c r="I765" s="5"/>
      <c r="J765" s="6"/>
      <c r="K765" s="6"/>
      <c r="L765" s="6"/>
      <c r="M765" s="8"/>
      <c r="N765" s="9"/>
      <c r="O765" s="8"/>
      <c r="P765" s="10"/>
      <c r="Q765" s="11"/>
      <c r="R765" s="8"/>
      <c r="S765" s="8"/>
      <c r="T765" s="9"/>
      <c r="V765" s="53"/>
      <c r="W765" s="53"/>
      <c r="X765" s="54"/>
      <c r="Y765" s="54"/>
      <c r="Z765" s="55"/>
    </row>
    <row r="766" spans="1:26" x14ac:dyDescent="0.4">
      <c r="A766" s="5"/>
      <c r="B766" s="5"/>
      <c r="C766" s="5"/>
      <c r="D766" s="5"/>
      <c r="E766" s="5"/>
      <c r="F766" s="6"/>
      <c r="G766" s="7"/>
      <c r="H766" s="7"/>
      <c r="I766" s="5"/>
      <c r="J766" s="6"/>
      <c r="K766" s="6"/>
      <c r="L766" s="6"/>
      <c r="M766" s="8"/>
      <c r="N766" s="9"/>
      <c r="O766" s="8"/>
      <c r="P766" s="10"/>
      <c r="Q766" s="11"/>
      <c r="R766" s="8"/>
      <c r="S766" s="8"/>
      <c r="T766" s="9"/>
      <c r="V766" s="53"/>
      <c r="W766" s="53"/>
      <c r="X766" s="54"/>
      <c r="Y766" s="54"/>
      <c r="Z766" s="55"/>
    </row>
    <row r="767" spans="1:26" x14ac:dyDescent="0.4">
      <c r="A767" s="5"/>
      <c r="B767" s="5"/>
      <c r="C767" s="5"/>
      <c r="D767" s="5"/>
      <c r="E767" s="5"/>
      <c r="F767" s="6"/>
      <c r="G767" s="7"/>
      <c r="H767" s="7"/>
      <c r="I767" s="5"/>
      <c r="J767" s="6"/>
      <c r="K767" s="6"/>
      <c r="L767" s="6"/>
      <c r="M767" s="8"/>
      <c r="N767" s="9"/>
      <c r="O767" s="8"/>
      <c r="P767" s="10"/>
      <c r="Q767" s="11"/>
      <c r="R767" s="8"/>
      <c r="S767" s="8"/>
      <c r="T767" s="52"/>
      <c r="U767" s="16"/>
      <c r="V767" s="53"/>
      <c r="W767" s="53"/>
      <c r="X767" s="54"/>
      <c r="Y767" s="54"/>
      <c r="Z767" s="55"/>
    </row>
    <row r="768" spans="1:26" x14ac:dyDescent="0.4">
      <c r="A768" s="5"/>
      <c r="B768" s="5"/>
      <c r="C768" s="5"/>
      <c r="D768" s="5"/>
      <c r="E768" s="5"/>
      <c r="F768" s="6"/>
      <c r="G768" s="7"/>
      <c r="H768" s="7"/>
      <c r="I768" s="5"/>
      <c r="J768" s="6"/>
      <c r="K768" s="6"/>
      <c r="L768" s="6"/>
      <c r="M768" s="8"/>
      <c r="N768" s="9"/>
      <c r="O768" s="8"/>
      <c r="P768" s="10"/>
      <c r="Q768" s="11"/>
      <c r="R768" s="8"/>
      <c r="S768" s="8"/>
      <c r="T768" s="52"/>
      <c r="U768" s="16"/>
      <c r="V768" s="53"/>
      <c r="W768" s="53"/>
      <c r="X768" s="54"/>
      <c r="Y768" s="54"/>
      <c r="Z768" s="55"/>
    </row>
    <row r="769" spans="1:26" x14ac:dyDescent="0.4">
      <c r="A769" s="5"/>
      <c r="B769" s="5"/>
      <c r="C769" s="5"/>
      <c r="D769" s="5"/>
      <c r="E769" s="5"/>
      <c r="F769" s="6"/>
      <c r="G769" s="7"/>
      <c r="H769" s="7"/>
      <c r="I769" s="5"/>
      <c r="J769" s="6"/>
      <c r="K769" s="6"/>
      <c r="L769" s="6"/>
      <c r="M769" s="8"/>
      <c r="N769" s="9"/>
      <c r="O769" s="8"/>
      <c r="P769" s="10"/>
      <c r="Q769" s="11"/>
      <c r="R769" s="8"/>
      <c r="S769" s="8"/>
      <c r="T769" s="52"/>
      <c r="V769" s="53"/>
      <c r="W769" s="53"/>
      <c r="X769" s="54"/>
      <c r="Y769" s="54"/>
      <c r="Z769" s="55"/>
    </row>
    <row r="770" spans="1:26" x14ac:dyDescent="0.4">
      <c r="A770" s="5"/>
      <c r="B770" s="5"/>
      <c r="C770" s="5"/>
      <c r="D770" s="5"/>
      <c r="E770" s="5"/>
      <c r="F770" s="6"/>
      <c r="G770" s="7"/>
      <c r="H770" s="7"/>
      <c r="I770" s="5"/>
      <c r="J770" s="6"/>
      <c r="K770" s="6"/>
      <c r="L770" s="6"/>
      <c r="M770" s="8"/>
      <c r="N770" s="9"/>
      <c r="O770" s="8"/>
      <c r="P770" s="10"/>
      <c r="Q770" s="11"/>
      <c r="R770" s="8"/>
      <c r="S770" s="8"/>
      <c r="T770" s="52"/>
      <c r="V770" s="56"/>
      <c r="W770" s="56"/>
      <c r="X770" s="54"/>
      <c r="Y770" s="54"/>
      <c r="Z770" s="55"/>
    </row>
    <row r="771" spans="1:26" x14ac:dyDescent="0.4">
      <c r="A771" s="5"/>
      <c r="B771" s="5"/>
      <c r="C771" s="5"/>
      <c r="D771" s="5"/>
      <c r="E771" s="5"/>
      <c r="F771" s="6"/>
      <c r="G771" s="7"/>
      <c r="H771" s="7"/>
      <c r="I771" s="5"/>
      <c r="J771" s="6"/>
      <c r="K771" s="6"/>
      <c r="L771" s="6"/>
      <c r="M771" s="8"/>
      <c r="N771" s="9"/>
      <c r="O771" s="8"/>
      <c r="P771" s="10"/>
      <c r="Q771" s="11"/>
      <c r="R771" s="8"/>
      <c r="S771" s="8"/>
      <c r="T771" s="52"/>
    </row>
    <row r="772" spans="1:26" x14ac:dyDescent="0.4">
      <c r="A772" s="5"/>
      <c r="B772" s="5"/>
      <c r="C772" s="5"/>
      <c r="D772" s="5"/>
      <c r="E772" s="5"/>
      <c r="F772" s="6"/>
      <c r="G772" s="7"/>
      <c r="H772" s="7"/>
      <c r="I772" s="5"/>
      <c r="J772" s="6"/>
      <c r="K772" s="6"/>
      <c r="L772" s="6"/>
      <c r="M772" s="8"/>
      <c r="N772" s="9"/>
      <c r="O772" s="8"/>
      <c r="P772" s="10"/>
      <c r="Q772" s="11"/>
      <c r="R772" s="8"/>
      <c r="S772" s="8"/>
      <c r="T772" s="52"/>
    </row>
    <row r="773" spans="1:26" x14ac:dyDescent="0.4">
      <c r="A773" s="5"/>
      <c r="B773" s="5"/>
      <c r="C773" s="5"/>
      <c r="D773" s="5"/>
      <c r="E773" s="5"/>
      <c r="F773" s="6"/>
      <c r="G773" s="7"/>
      <c r="H773" s="7"/>
      <c r="I773" s="5"/>
      <c r="J773" s="6"/>
      <c r="K773" s="6"/>
      <c r="L773" s="6"/>
      <c r="M773" s="8"/>
      <c r="N773" s="9"/>
      <c r="O773" s="8"/>
      <c r="P773" s="10"/>
      <c r="Q773" s="11"/>
      <c r="R773" s="8"/>
      <c r="S773" s="8"/>
      <c r="T773" s="52"/>
    </row>
    <row r="774" spans="1:26" x14ac:dyDescent="0.4">
      <c r="A774" s="5"/>
      <c r="B774" s="5"/>
      <c r="C774" s="5"/>
      <c r="D774" s="5"/>
      <c r="E774" s="5"/>
      <c r="F774" s="6"/>
      <c r="G774" s="7"/>
      <c r="H774" s="7"/>
      <c r="I774" s="5"/>
      <c r="J774" s="6"/>
      <c r="K774" s="6"/>
      <c r="L774" s="6"/>
      <c r="M774" s="8"/>
      <c r="N774" s="9"/>
      <c r="O774" s="8"/>
      <c r="P774" s="10"/>
      <c r="Q774" s="11"/>
      <c r="R774" s="8"/>
      <c r="S774" s="8"/>
      <c r="T774" s="52"/>
    </row>
    <row r="775" spans="1:26" x14ac:dyDescent="0.4">
      <c r="A775" s="5"/>
      <c r="B775" s="5"/>
      <c r="C775" s="5"/>
      <c r="D775" s="5"/>
      <c r="E775" s="5"/>
      <c r="F775" s="6"/>
      <c r="G775" s="7"/>
      <c r="H775" s="7"/>
      <c r="I775" s="5"/>
      <c r="J775" s="6"/>
      <c r="K775" s="6"/>
      <c r="L775" s="6"/>
      <c r="M775" s="8"/>
      <c r="N775" s="9"/>
      <c r="O775" s="8"/>
      <c r="P775" s="10"/>
      <c r="Q775" s="11"/>
      <c r="R775" s="8"/>
      <c r="S775" s="8"/>
      <c r="T775" s="52"/>
    </row>
    <row r="776" spans="1:26" x14ac:dyDescent="0.4">
      <c r="A776" s="5"/>
      <c r="B776" s="5"/>
      <c r="C776" s="5"/>
      <c r="D776" s="5"/>
      <c r="E776" s="5"/>
      <c r="F776" s="6"/>
      <c r="G776" s="7"/>
      <c r="H776" s="7"/>
      <c r="I776" s="5"/>
      <c r="J776" s="6"/>
      <c r="K776" s="6"/>
      <c r="L776" s="6"/>
      <c r="M776" s="8"/>
      <c r="N776" s="9"/>
      <c r="O776" s="8"/>
      <c r="P776" s="10"/>
      <c r="Q776" s="11"/>
      <c r="R776" s="8"/>
      <c r="S776" s="8"/>
      <c r="T776" s="9"/>
    </row>
    <row r="777" spans="1:26" x14ac:dyDescent="0.75">
      <c r="V777" s="56"/>
      <c r="W777" s="56"/>
      <c r="X777" s="54"/>
      <c r="Y777" s="54"/>
      <c r="Z777" s="124"/>
    </row>
    <row r="780" spans="1:26" x14ac:dyDescent="0.75">
      <c r="V780" s="122"/>
      <c r="W780" s="123"/>
      <c r="X780" s="54"/>
      <c r="Y780" s="54"/>
      <c r="Z780" s="124"/>
    </row>
    <row r="781" spans="1:26" x14ac:dyDescent="0.75">
      <c r="V781" s="53"/>
      <c r="W781" s="53"/>
      <c r="X781" s="54"/>
      <c r="Y781" s="54"/>
      <c r="Z781" s="124"/>
    </row>
    <row r="782" spans="1:26" x14ac:dyDescent="0.75">
      <c r="V782" s="53"/>
      <c r="W782" s="123"/>
      <c r="X782" s="54"/>
      <c r="Y782" s="54"/>
      <c r="Z782" s="124"/>
    </row>
    <row r="783" spans="1:26" x14ac:dyDescent="0.75">
      <c r="V783" s="53"/>
      <c r="W783" s="53"/>
      <c r="X783" s="54"/>
      <c r="Y783" s="54"/>
      <c r="Z783" s="124"/>
    </row>
    <row r="784" spans="1:26" x14ac:dyDescent="0.75">
      <c r="V784" s="53"/>
      <c r="W784" s="123"/>
      <c r="X784" s="54"/>
      <c r="Y784" s="54"/>
      <c r="Z784" s="124"/>
    </row>
    <row r="785" spans="22:26" x14ac:dyDescent="0.75">
      <c r="V785" s="56"/>
      <c r="W785" s="56"/>
      <c r="X785" s="54"/>
      <c r="Y785" s="54"/>
      <c r="Z785" s="124"/>
    </row>
  </sheetData>
  <autoFilter ref="A1:T777" xr:uid="{6638A96F-F02D-4A9A-B153-C2A2EA434689}">
    <filterColumn colId="8" showButton="0"/>
    <filterColumn colId="9" showButton="0"/>
    <filterColumn colId="10" showButton="0"/>
    <filterColumn colId="11" showButton="0"/>
    <filterColumn colId="14" showButton="0"/>
    <filterColumn colId="15" showButton="0"/>
    <filterColumn colId="16" showButton="0"/>
    <filterColumn colId="17" showButton="0"/>
  </autoFilter>
  <mergeCells count="12">
    <mergeCell ref="H1:H2"/>
    <mergeCell ref="I1:M1"/>
    <mergeCell ref="N1:N2"/>
    <mergeCell ref="O1:S1"/>
    <mergeCell ref="T1:T2"/>
    <mergeCell ref="A1:A2"/>
    <mergeCell ref="D1:D2"/>
    <mergeCell ref="E1:E2"/>
    <mergeCell ref="F1:F2"/>
    <mergeCell ref="G1:G2"/>
    <mergeCell ref="B1:B2"/>
    <mergeCell ref="C1:C2"/>
  </mergeCells>
  <phoneticPr fontId="4" type="noConversion"/>
  <dataValidations disablePrompts="1" count="1">
    <dataValidation type="list" allowBlank="1" showInputMessage="1" showErrorMessage="1" sqref="O3:O776" xr:uid="{7B54E08A-5654-4845-888A-73A5CB5805FB}">
      <formula1>INDIRECT(U3)</formula1>
    </dataValidation>
  </dataValidations>
  <printOptions horizontalCentered="1"/>
  <pageMargins left="0.39370078740157483" right="0.23622047244094491" top="0.23622047244094491" bottom="0.23622047244094491" header="0.23622047244094491" footer="0.23622047244094491"/>
  <pageSetup paperSize="9" scale="45" orientation="landscape" r:id="rId1"/>
  <colBreaks count="1" manualBreakCount="1">
    <brk id="20"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28E9-5AA4-4AA5-89BE-10AB023E21A4}">
  <dimension ref="A1:AG327"/>
  <sheetViews>
    <sheetView zoomScale="70" zoomScaleNormal="70" workbookViewId="0">
      <selection activeCell="F11" sqref="F11"/>
    </sheetView>
  </sheetViews>
  <sheetFormatPr defaultRowHeight="17.25" x14ac:dyDescent="0.4"/>
  <cols>
    <col min="1" max="2" width="6.42578125" style="1" customWidth="1"/>
    <col min="3" max="3" width="12" style="1" customWidth="1"/>
    <col min="4" max="4" width="11.85546875" style="1" customWidth="1"/>
    <col min="5" max="5" width="9.140625" style="1"/>
    <col min="6" max="6" width="18.85546875" style="1" bestFit="1" customWidth="1"/>
    <col min="7" max="7" width="25.85546875" style="1" customWidth="1"/>
    <col min="8" max="12" width="9.140625" style="1"/>
    <col min="13" max="13" width="36.7109375" style="1" customWidth="1"/>
    <col min="14" max="18" width="9.140625" style="1"/>
    <col min="19" max="19" width="31.28515625" style="1" customWidth="1"/>
    <col min="20" max="20" width="19.5703125" style="1" customWidth="1"/>
    <col min="21" max="16384" width="9.140625" style="1"/>
  </cols>
  <sheetData>
    <row r="1" spans="1:19" ht="27" x14ac:dyDescent="0.4">
      <c r="A1" s="164" t="s">
        <v>0</v>
      </c>
      <c r="B1" s="166" t="s">
        <v>64</v>
      </c>
      <c r="C1" s="164" t="s">
        <v>1</v>
      </c>
      <c r="D1" s="164" t="s">
        <v>2</v>
      </c>
      <c r="E1" s="165" t="s">
        <v>3</v>
      </c>
      <c r="F1" s="165" t="s">
        <v>4</v>
      </c>
      <c r="G1" s="161" t="s">
        <v>5</v>
      </c>
      <c r="H1" s="161" t="s">
        <v>6</v>
      </c>
      <c r="I1" s="161"/>
      <c r="J1" s="161"/>
      <c r="K1" s="161"/>
      <c r="L1" s="161"/>
      <c r="M1" s="168" t="s">
        <v>7</v>
      </c>
      <c r="N1" s="168" t="s">
        <v>8</v>
      </c>
      <c r="O1" s="168"/>
      <c r="P1" s="168"/>
      <c r="Q1" s="168"/>
      <c r="R1" s="168"/>
      <c r="S1" s="169" t="s">
        <v>9</v>
      </c>
    </row>
    <row r="2" spans="1:19" ht="108" x14ac:dyDescent="0.4">
      <c r="A2" s="164"/>
      <c r="B2" s="167"/>
      <c r="C2" s="164"/>
      <c r="D2" s="164"/>
      <c r="E2" s="165"/>
      <c r="F2" s="165"/>
      <c r="G2" s="161"/>
      <c r="H2" s="63" t="s">
        <v>10</v>
      </c>
      <c r="I2" s="63" t="s">
        <v>11</v>
      </c>
      <c r="J2" s="63" t="s">
        <v>12</v>
      </c>
      <c r="K2" s="63" t="s">
        <v>13</v>
      </c>
      <c r="L2" s="63" t="s">
        <v>14</v>
      </c>
      <c r="M2" s="168"/>
      <c r="N2" s="64" t="s">
        <v>10</v>
      </c>
      <c r="O2" s="64" t="s">
        <v>11</v>
      </c>
      <c r="P2" s="64" t="s">
        <v>15</v>
      </c>
      <c r="Q2" s="64" t="s">
        <v>16</v>
      </c>
      <c r="R2" s="64" t="s">
        <v>17</v>
      </c>
      <c r="S2" s="169"/>
    </row>
    <row r="3" spans="1:19" ht="27" x14ac:dyDescent="0.4">
      <c r="A3" s="65"/>
      <c r="B3" s="65"/>
      <c r="C3" s="66"/>
      <c r="D3" s="66"/>
      <c r="E3" s="67"/>
      <c r="F3" s="68"/>
      <c r="G3" s="68"/>
      <c r="H3" s="66"/>
      <c r="I3" s="67"/>
      <c r="J3" s="67"/>
      <c r="K3" s="67"/>
      <c r="L3" s="66"/>
      <c r="M3" s="68"/>
      <c r="N3" s="66"/>
      <c r="O3" s="69"/>
      <c r="P3" s="67"/>
      <c r="Q3" s="66"/>
      <c r="R3" s="65"/>
      <c r="S3" s="70"/>
    </row>
    <row r="4" spans="1:19" ht="27" x14ac:dyDescent="0.4">
      <c r="A4" s="65"/>
      <c r="B4" s="65"/>
      <c r="C4" s="66"/>
      <c r="D4" s="66"/>
      <c r="E4" s="67"/>
      <c r="F4" s="68"/>
      <c r="G4" s="68"/>
      <c r="H4" s="66"/>
      <c r="I4" s="67"/>
      <c r="J4" s="67"/>
      <c r="K4" s="67"/>
      <c r="L4" s="66"/>
      <c r="M4" s="68"/>
      <c r="N4" s="66"/>
      <c r="O4" s="69"/>
      <c r="P4" s="67"/>
      <c r="Q4" s="66"/>
      <c r="R4" s="65"/>
      <c r="S4" s="70"/>
    </row>
    <row r="5" spans="1:19" ht="27" x14ac:dyDescent="0.4">
      <c r="A5" s="65"/>
      <c r="B5" s="65"/>
      <c r="C5" s="66"/>
      <c r="D5" s="66"/>
      <c r="E5" s="67"/>
      <c r="F5" s="68"/>
      <c r="G5" s="68"/>
      <c r="H5" s="66"/>
      <c r="I5" s="67"/>
      <c r="J5" s="67"/>
      <c r="K5" s="67"/>
      <c r="L5" s="66"/>
      <c r="M5" s="68"/>
      <c r="N5" s="66"/>
      <c r="O5" s="69"/>
      <c r="P5" s="67"/>
      <c r="Q5" s="66"/>
      <c r="R5" s="65"/>
      <c r="S5" s="68"/>
    </row>
    <row r="6" spans="1:19" ht="27" x14ac:dyDescent="0.4">
      <c r="A6" s="65"/>
      <c r="B6" s="65"/>
      <c r="C6" s="66"/>
      <c r="D6" s="66"/>
      <c r="E6" s="67"/>
      <c r="F6" s="68"/>
      <c r="G6" s="68"/>
      <c r="H6" s="66"/>
      <c r="I6" s="67"/>
      <c r="J6" s="67"/>
      <c r="K6" s="67"/>
      <c r="L6" s="66"/>
      <c r="M6" s="68"/>
      <c r="N6" s="66"/>
      <c r="O6" s="69"/>
      <c r="P6" s="67"/>
      <c r="Q6" s="66"/>
      <c r="R6" s="65"/>
      <c r="S6" s="70"/>
    </row>
    <row r="7" spans="1:19" ht="27" x14ac:dyDescent="0.4">
      <c r="A7" s="65"/>
      <c r="B7" s="65"/>
      <c r="C7" s="66"/>
      <c r="D7" s="66"/>
      <c r="E7" s="67"/>
      <c r="F7" s="68"/>
      <c r="G7" s="68"/>
      <c r="H7" s="66"/>
      <c r="I7" s="67"/>
      <c r="J7" s="67"/>
      <c r="K7" s="67"/>
      <c r="L7" s="66"/>
      <c r="M7" s="68"/>
      <c r="N7" s="66"/>
      <c r="O7" s="69"/>
      <c r="P7" s="67"/>
      <c r="Q7" s="66"/>
      <c r="R7" s="65"/>
      <c r="S7" s="70"/>
    </row>
    <row r="8" spans="1:19" ht="27" x14ac:dyDescent="0.4">
      <c r="A8" s="65"/>
      <c r="B8" s="65"/>
      <c r="C8" s="66"/>
      <c r="D8" s="66"/>
      <c r="E8" s="67"/>
      <c r="F8" s="68"/>
      <c r="G8" s="68"/>
      <c r="H8" s="66"/>
      <c r="I8" s="67"/>
      <c r="J8" s="67"/>
      <c r="K8" s="67"/>
      <c r="L8" s="66"/>
      <c r="M8" s="68"/>
      <c r="N8" s="66"/>
      <c r="O8" s="69"/>
      <c r="P8" s="67"/>
      <c r="Q8" s="66"/>
      <c r="R8" s="65"/>
      <c r="S8" s="70"/>
    </row>
    <row r="9" spans="1:19" ht="27" x14ac:dyDescent="0.4">
      <c r="A9" s="65"/>
      <c r="B9" s="65"/>
      <c r="C9" s="66"/>
      <c r="D9" s="66"/>
      <c r="E9" s="67"/>
      <c r="F9" s="68"/>
      <c r="G9" s="68"/>
      <c r="H9" s="66"/>
      <c r="I9" s="67"/>
      <c r="J9" s="67"/>
      <c r="K9" s="67"/>
      <c r="L9" s="66"/>
      <c r="M9" s="68"/>
      <c r="N9" s="66"/>
      <c r="O9" s="69"/>
      <c r="P9" s="67"/>
      <c r="Q9" s="66"/>
      <c r="R9" s="65"/>
      <c r="S9" s="70"/>
    </row>
    <row r="10" spans="1:19" ht="27" x14ac:dyDescent="0.4">
      <c r="A10" s="65"/>
      <c r="B10" s="65"/>
      <c r="C10" s="66"/>
      <c r="D10" s="66"/>
      <c r="E10" s="67"/>
      <c r="F10" s="68"/>
      <c r="G10" s="68"/>
      <c r="H10" s="66"/>
      <c r="I10" s="67"/>
      <c r="J10" s="67"/>
      <c r="K10" s="67"/>
      <c r="L10" s="66"/>
      <c r="M10" s="68"/>
      <c r="N10" s="66"/>
      <c r="O10" s="69"/>
      <c r="P10" s="67"/>
      <c r="Q10" s="66"/>
      <c r="R10" s="65"/>
      <c r="S10" s="70"/>
    </row>
    <row r="11" spans="1:19" ht="27" x14ac:dyDescent="0.4">
      <c r="A11" s="65"/>
      <c r="B11" s="65"/>
      <c r="C11" s="66"/>
      <c r="D11" s="66"/>
      <c r="E11" s="67"/>
      <c r="F11" s="68"/>
      <c r="G11" s="68"/>
      <c r="H11" s="66"/>
      <c r="I11" s="67"/>
      <c r="J11" s="67"/>
      <c r="K11" s="67"/>
      <c r="L11" s="66"/>
      <c r="M11" s="68"/>
      <c r="N11" s="66"/>
      <c r="O11" s="69"/>
      <c r="P11" s="67"/>
      <c r="Q11" s="66"/>
      <c r="R11" s="65"/>
      <c r="S11" s="70"/>
    </row>
    <row r="12" spans="1:19" ht="27" x14ac:dyDescent="0.4">
      <c r="A12" s="65"/>
      <c r="B12" s="65"/>
      <c r="C12" s="66"/>
      <c r="D12" s="66"/>
      <c r="E12" s="67"/>
      <c r="F12" s="68"/>
      <c r="G12" s="68"/>
      <c r="H12" s="66"/>
      <c r="I12" s="67"/>
      <c r="J12" s="67"/>
      <c r="K12" s="67"/>
      <c r="L12" s="66"/>
      <c r="M12" s="68"/>
      <c r="N12" s="66"/>
      <c r="O12" s="69"/>
      <c r="P12" s="67"/>
      <c r="Q12" s="66"/>
      <c r="R12" s="65"/>
      <c r="S12" s="68"/>
    </row>
    <row r="13" spans="1:19" ht="27" x14ac:dyDescent="0.4">
      <c r="A13" s="65"/>
      <c r="B13" s="65"/>
      <c r="C13" s="66"/>
      <c r="D13" s="66"/>
      <c r="E13" s="67"/>
      <c r="F13" s="68"/>
      <c r="G13" s="68"/>
      <c r="H13" s="66"/>
      <c r="I13" s="67"/>
      <c r="J13" s="67"/>
      <c r="K13" s="67"/>
      <c r="L13" s="66"/>
      <c r="M13" s="68"/>
      <c r="N13" s="66"/>
      <c r="O13" s="69"/>
      <c r="P13" s="67"/>
      <c r="Q13" s="66"/>
      <c r="R13" s="65"/>
      <c r="S13" s="68"/>
    </row>
    <row r="14" spans="1:19" ht="27" x14ac:dyDescent="0.4">
      <c r="A14" s="65"/>
      <c r="B14" s="65"/>
      <c r="C14" s="66"/>
      <c r="D14" s="66"/>
      <c r="E14" s="67"/>
      <c r="F14" s="68"/>
      <c r="G14" s="68"/>
      <c r="H14" s="66"/>
      <c r="I14" s="67"/>
      <c r="J14" s="67"/>
      <c r="K14" s="67"/>
      <c r="L14" s="66"/>
      <c r="M14" s="68"/>
      <c r="N14" s="66"/>
      <c r="O14" s="69"/>
      <c r="P14" s="67"/>
      <c r="Q14" s="66"/>
      <c r="R14" s="65"/>
      <c r="S14" s="68"/>
    </row>
    <row r="15" spans="1:19" ht="27" x14ac:dyDescent="0.4">
      <c r="A15" s="65"/>
      <c r="B15" s="65"/>
      <c r="C15" s="66"/>
      <c r="D15" s="66"/>
      <c r="E15" s="67"/>
      <c r="F15" s="68"/>
      <c r="G15" s="68"/>
      <c r="H15" s="66"/>
      <c r="I15" s="67"/>
      <c r="J15" s="67"/>
      <c r="K15" s="67"/>
      <c r="L15" s="66"/>
      <c r="M15" s="68"/>
      <c r="N15" s="66"/>
      <c r="O15" s="69"/>
      <c r="P15" s="67"/>
      <c r="Q15" s="66"/>
      <c r="R15" s="65"/>
      <c r="S15" s="65"/>
    </row>
    <row r="16" spans="1:19" ht="27" x14ac:dyDescent="0.4">
      <c r="A16" s="65"/>
      <c r="B16" s="65"/>
      <c r="C16" s="66"/>
      <c r="D16" s="66"/>
      <c r="E16" s="67"/>
      <c r="F16" s="68"/>
      <c r="G16" s="68"/>
      <c r="H16" s="66"/>
      <c r="I16" s="67"/>
      <c r="J16" s="67"/>
      <c r="K16" s="67"/>
      <c r="L16" s="66"/>
      <c r="M16" s="68"/>
      <c r="N16" s="66"/>
      <c r="O16" s="69"/>
      <c r="P16" s="67"/>
      <c r="Q16" s="66"/>
      <c r="R16" s="65"/>
      <c r="S16" s="120"/>
    </row>
    <row r="17" spans="1:19" ht="27" x14ac:dyDescent="0.4">
      <c r="A17" s="65"/>
      <c r="B17" s="65"/>
      <c r="C17" s="66"/>
      <c r="D17" s="66"/>
      <c r="E17" s="67"/>
      <c r="F17" s="68"/>
      <c r="G17" s="68"/>
      <c r="H17" s="66"/>
      <c r="I17" s="67"/>
      <c r="J17" s="67"/>
      <c r="K17" s="67"/>
      <c r="L17" s="66"/>
      <c r="M17" s="68"/>
      <c r="N17" s="66"/>
      <c r="O17" s="69"/>
      <c r="P17" s="67"/>
      <c r="Q17" s="66"/>
      <c r="R17" s="65"/>
      <c r="S17" s="65"/>
    </row>
    <row r="18" spans="1:19" ht="27" x14ac:dyDescent="0.4">
      <c r="A18" s="65"/>
      <c r="B18" s="65"/>
      <c r="C18" s="66"/>
      <c r="D18" s="66"/>
      <c r="E18" s="67"/>
      <c r="F18" s="68"/>
      <c r="G18" s="68"/>
      <c r="H18" s="66"/>
      <c r="I18" s="67"/>
      <c r="J18" s="67"/>
      <c r="K18" s="67"/>
      <c r="L18" s="66"/>
      <c r="M18" s="68"/>
      <c r="N18" s="66"/>
      <c r="O18" s="69"/>
      <c r="P18" s="67"/>
      <c r="Q18" s="66"/>
      <c r="R18" s="65"/>
      <c r="S18" s="70"/>
    </row>
    <row r="19" spans="1:19" ht="27" x14ac:dyDescent="0.4">
      <c r="A19" s="65"/>
      <c r="B19" s="65"/>
      <c r="C19" s="66"/>
      <c r="D19" s="66"/>
      <c r="E19" s="67"/>
      <c r="F19" s="68"/>
      <c r="G19" s="68"/>
      <c r="H19" s="66"/>
      <c r="I19" s="67"/>
      <c r="J19" s="67"/>
      <c r="K19" s="67"/>
      <c r="L19" s="66"/>
      <c r="M19" s="68"/>
      <c r="N19" s="66"/>
      <c r="O19" s="69"/>
      <c r="P19" s="67"/>
      <c r="Q19" s="66"/>
      <c r="R19" s="65"/>
      <c r="S19" s="68"/>
    </row>
    <row r="20" spans="1:19" ht="27" x14ac:dyDescent="0.4">
      <c r="A20" s="65"/>
      <c r="B20" s="65"/>
      <c r="C20" s="66"/>
      <c r="D20" s="66"/>
      <c r="E20" s="67"/>
      <c r="F20" s="68"/>
      <c r="G20" s="68"/>
      <c r="H20" s="66"/>
      <c r="I20" s="67"/>
      <c r="J20" s="67"/>
      <c r="K20" s="67"/>
      <c r="L20" s="66"/>
      <c r="M20" s="68"/>
      <c r="N20" s="66"/>
      <c r="O20" s="69"/>
      <c r="P20" s="67"/>
      <c r="Q20" s="66"/>
      <c r="R20" s="65"/>
      <c r="S20" s="68"/>
    </row>
    <row r="21" spans="1:19" ht="27" x14ac:dyDescent="0.4">
      <c r="A21" s="65"/>
      <c r="B21" s="65"/>
      <c r="C21" s="66"/>
      <c r="D21" s="66"/>
      <c r="E21" s="67"/>
      <c r="F21" s="68"/>
      <c r="G21" s="68"/>
      <c r="H21" s="66"/>
      <c r="I21" s="67"/>
      <c r="J21" s="67"/>
      <c r="K21" s="67"/>
      <c r="L21" s="66"/>
      <c r="M21" s="68"/>
      <c r="N21" s="66"/>
      <c r="O21" s="69"/>
      <c r="P21" s="67"/>
      <c r="Q21" s="66"/>
      <c r="R21" s="65"/>
      <c r="S21" s="68"/>
    </row>
    <row r="22" spans="1:19" ht="27" x14ac:dyDescent="0.4">
      <c r="A22" s="65"/>
      <c r="B22" s="65"/>
      <c r="C22" s="66"/>
      <c r="D22" s="66"/>
      <c r="E22" s="67"/>
      <c r="F22" s="68"/>
      <c r="G22" s="68"/>
      <c r="H22" s="66"/>
      <c r="I22" s="67"/>
      <c r="J22" s="67"/>
      <c r="K22" s="67"/>
      <c r="L22" s="66"/>
      <c r="M22" s="68"/>
      <c r="N22" s="66"/>
      <c r="O22" s="69"/>
      <c r="P22" s="67"/>
      <c r="Q22" s="66"/>
      <c r="R22" s="65"/>
      <c r="S22" s="68"/>
    </row>
    <row r="23" spans="1:19" ht="27" x14ac:dyDescent="0.4">
      <c r="A23" s="65"/>
      <c r="B23" s="65"/>
      <c r="C23" s="66"/>
      <c r="D23" s="66"/>
      <c r="E23" s="67"/>
      <c r="F23" s="68"/>
      <c r="G23" s="68"/>
      <c r="H23" s="66"/>
      <c r="I23" s="67"/>
      <c r="J23" s="67"/>
      <c r="K23" s="67"/>
      <c r="L23" s="66"/>
      <c r="M23" s="68"/>
      <c r="N23" s="66"/>
      <c r="O23" s="69"/>
      <c r="P23" s="67"/>
      <c r="Q23" s="66"/>
      <c r="R23" s="65"/>
      <c r="S23" s="68"/>
    </row>
    <row r="24" spans="1:19" ht="27" x14ac:dyDescent="0.4">
      <c r="A24" s="65"/>
      <c r="B24" s="65"/>
      <c r="C24" s="66"/>
      <c r="D24" s="66"/>
      <c r="E24" s="67"/>
      <c r="F24" s="68"/>
      <c r="G24" s="68"/>
      <c r="H24" s="66"/>
      <c r="I24" s="67"/>
      <c r="J24" s="67"/>
      <c r="K24" s="67"/>
      <c r="L24" s="66"/>
      <c r="M24" s="68"/>
      <c r="N24" s="66"/>
      <c r="O24" s="69"/>
      <c r="P24" s="67"/>
      <c r="Q24" s="66"/>
      <c r="R24" s="65"/>
      <c r="S24" s="68"/>
    </row>
    <row r="25" spans="1:19" ht="27" x14ac:dyDescent="0.4">
      <c r="A25" s="65"/>
      <c r="B25" s="65"/>
      <c r="C25" s="66"/>
      <c r="D25" s="66"/>
      <c r="E25" s="67"/>
      <c r="F25" s="68"/>
      <c r="G25" s="68"/>
      <c r="H25" s="66"/>
      <c r="I25" s="67"/>
      <c r="J25" s="67"/>
      <c r="K25" s="67"/>
      <c r="L25" s="66"/>
      <c r="M25" s="68"/>
      <c r="N25" s="66"/>
      <c r="O25" s="69"/>
      <c r="P25" s="67"/>
      <c r="Q25" s="66"/>
      <c r="R25" s="65"/>
      <c r="S25" s="68"/>
    </row>
    <row r="26" spans="1:19" ht="27" x14ac:dyDescent="0.4">
      <c r="A26" s="65"/>
      <c r="B26" s="65"/>
      <c r="C26" s="66"/>
      <c r="D26" s="66"/>
      <c r="E26" s="67"/>
      <c r="F26" s="68"/>
      <c r="G26" s="68"/>
      <c r="H26" s="66"/>
      <c r="I26" s="67"/>
      <c r="J26" s="67"/>
      <c r="K26" s="67"/>
      <c r="L26" s="66"/>
      <c r="M26" s="68"/>
      <c r="N26" s="66"/>
      <c r="O26" s="69"/>
      <c r="P26" s="67"/>
      <c r="Q26" s="66"/>
      <c r="R26" s="65"/>
      <c r="S26" s="68"/>
    </row>
    <row r="27" spans="1:19" ht="27" x14ac:dyDescent="0.4">
      <c r="A27" s="65"/>
      <c r="B27" s="65"/>
      <c r="C27" s="66"/>
      <c r="D27" s="66"/>
      <c r="E27" s="67"/>
      <c r="F27" s="68"/>
      <c r="G27" s="68"/>
      <c r="H27" s="66"/>
      <c r="I27" s="67"/>
      <c r="J27" s="67"/>
      <c r="K27" s="67"/>
      <c r="L27" s="66"/>
      <c r="M27" s="68"/>
      <c r="N27" s="66"/>
      <c r="O27" s="69"/>
      <c r="P27" s="67"/>
      <c r="Q27" s="66"/>
      <c r="R27" s="65"/>
      <c r="S27" s="68"/>
    </row>
    <row r="28" spans="1:19" ht="27" x14ac:dyDescent="0.4">
      <c r="A28" s="65"/>
      <c r="B28" s="65"/>
      <c r="C28" s="66"/>
      <c r="D28" s="66"/>
      <c r="E28" s="67"/>
      <c r="F28" s="68"/>
      <c r="G28" s="68"/>
      <c r="H28" s="66"/>
      <c r="I28" s="67"/>
      <c r="J28" s="67"/>
      <c r="K28" s="67"/>
      <c r="L28" s="66"/>
      <c r="M28" s="68"/>
      <c r="N28" s="66"/>
      <c r="O28" s="69"/>
      <c r="P28" s="67"/>
      <c r="Q28" s="66"/>
      <c r="R28" s="65"/>
      <c r="S28" s="68"/>
    </row>
    <row r="29" spans="1:19" ht="27" x14ac:dyDescent="0.4">
      <c r="A29" s="65"/>
      <c r="B29" s="65"/>
      <c r="C29" s="66"/>
      <c r="D29" s="66"/>
      <c r="E29" s="67"/>
      <c r="F29" s="68"/>
      <c r="G29" s="68"/>
      <c r="H29" s="66"/>
      <c r="I29" s="67"/>
      <c r="J29" s="67"/>
      <c r="K29" s="67"/>
      <c r="L29" s="71"/>
      <c r="M29" s="68"/>
      <c r="N29" s="66"/>
      <c r="O29" s="69"/>
      <c r="P29" s="67"/>
      <c r="Q29" s="71"/>
      <c r="R29" s="65"/>
      <c r="S29" s="68"/>
    </row>
    <row r="30" spans="1:19" ht="27" x14ac:dyDescent="0.4">
      <c r="A30" s="65"/>
      <c r="B30" s="65"/>
      <c r="C30" s="66"/>
      <c r="D30" s="66"/>
      <c r="E30" s="67"/>
      <c r="F30" s="68"/>
      <c r="G30" s="68"/>
      <c r="H30" s="66"/>
      <c r="I30" s="67"/>
      <c r="J30" s="67"/>
      <c r="K30" s="67"/>
      <c r="L30" s="71"/>
      <c r="M30" s="68"/>
      <c r="N30" s="66"/>
      <c r="O30" s="69"/>
      <c r="P30" s="67"/>
      <c r="Q30" s="71"/>
      <c r="R30" s="65"/>
      <c r="S30" s="68"/>
    </row>
    <row r="31" spans="1:19" ht="27" x14ac:dyDescent="0.4">
      <c r="A31" s="65"/>
      <c r="B31" s="65"/>
      <c r="C31" s="66"/>
      <c r="D31" s="66"/>
      <c r="E31" s="67"/>
      <c r="F31" s="68"/>
      <c r="G31" s="68"/>
      <c r="H31" s="66"/>
      <c r="I31" s="67"/>
      <c r="J31" s="67"/>
      <c r="K31" s="67"/>
      <c r="L31" s="71"/>
      <c r="M31" s="68"/>
      <c r="N31" s="66"/>
      <c r="O31" s="69"/>
      <c r="P31" s="67"/>
      <c r="Q31" s="71"/>
      <c r="R31" s="65"/>
      <c r="S31" s="68"/>
    </row>
    <row r="32" spans="1:19" ht="27" x14ac:dyDescent="0.4">
      <c r="A32" s="65"/>
      <c r="B32" s="65"/>
      <c r="C32" s="66"/>
      <c r="D32" s="66"/>
      <c r="E32" s="67"/>
      <c r="F32" s="68"/>
      <c r="G32" s="68"/>
      <c r="H32" s="66"/>
      <c r="I32" s="67"/>
      <c r="J32" s="67"/>
      <c r="K32" s="67"/>
      <c r="L32" s="66"/>
      <c r="M32" s="68"/>
      <c r="N32" s="66"/>
      <c r="O32" s="69"/>
      <c r="P32" s="67"/>
      <c r="Q32" s="66"/>
      <c r="R32" s="65"/>
      <c r="S32" s="68"/>
    </row>
    <row r="33" spans="1:19" ht="27" x14ac:dyDescent="0.4">
      <c r="A33" s="65"/>
      <c r="B33" s="65"/>
      <c r="C33" s="66"/>
      <c r="D33" s="66"/>
      <c r="E33" s="67"/>
      <c r="F33" s="68"/>
      <c r="G33" s="68"/>
      <c r="H33" s="66"/>
      <c r="I33" s="67"/>
      <c r="J33" s="67"/>
      <c r="K33" s="67"/>
      <c r="L33" s="66"/>
      <c r="M33" s="68"/>
      <c r="N33" s="66"/>
      <c r="O33" s="69"/>
      <c r="P33" s="67"/>
      <c r="Q33" s="66"/>
      <c r="R33" s="68"/>
      <c r="S33" s="68"/>
    </row>
    <row r="34" spans="1:19" ht="27" x14ac:dyDescent="0.4">
      <c r="A34" s="65"/>
      <c r="B34" s="65"/>
      <c r="C34" s="66"/>
      <c r="D34" s="66"/>
      <c r="E34" s="67"/>
      <c r="F34" s="68"/>
      <c r="G34" s="68"/>
      <c r="H34" s="66"/>
      <c r="I34" s="67"/>
      <c r="J34" s="67"/>
      <c r="K34" s="67"/>
      <c r="L34" s="66"/>
      <c r="M34" s="68"/>
      <c r="N34" s="66"/>
      <c r="O34" s="69"/>
      <c r="P34" s="67"/>
      <c r="Q34" s="66"/>
      <c r="R34" s="68"/>
      <c r="S34" s="68"/>
    </row>
    <row r="35" spans="1:19" ht="27" x14ac:dyDescent="0.4">
      <c r="A35" s="65"/>
      <c r="B35" s="65"/>
      <c r="C35" s="66"/>
      <c r="D35" s="66"/>
      <c r="E35" s="67"/>
      <c r="F35" s="68"/>
      <c r="G35" s="68"/>
      <c r="H35" s="66"/>
      <c r="I35" s="67"/>
      <c r="J35" s="67"/>
      <c r="K35" s="67"/>
      <c r="L35" s="66"/>
      <c r="M35" s="68"/>
      <c r="N35" s="66"/>
      <c r="O35" s="69"/>
      <c r="P35" s="67"/>
      <c r="Q35" s="66"/>
      <c r="R35" s="68"/>
      <c r="S35" s="68"/>
    </row>
    <row r="36" spans="1:19" ht="27" x14ac:dyDescent="0.4">
      <c r="A36" s="65"/>
      <c r="B36" s="65"/>
      <c r="C36" s="66"/>
      <c r="D36" s="66"/>
      <c r="E36" s="67"/>
      <c r="F36" s="68"/>
      <c r="G36" s="68"/>
      <c r="H36" s="66"/>
      <c r="I36" s="67"/>
      <c r="J36" s="67"/>
      <c r="K36" s="67"/>
      <c r="L36" s="66"/>
      <c r="M36" s="68"/>
      <c r="N36" s="66"/>
      <c r="O36" s="69"/>
      <c r="P36" s="67"/>
      <c r="Q36" s="66"/>
      <c r="R36" s="68"/>
      <c r="S36" s="68"/>
    </row>
    <row r="37" spans="1:19" ht="27" x14ac:dyDescent="0.4">
      <c r="A37" s="65"/>
      <c r="B37" s="65"/>
      <c r="C37" s="66"/>
      <c r="D37" s="66"/>
      <c r="E37" s="67"/>
      <c r="F37" s="68"/>
      <c r="G37" s="68"/>
      <c r="H37" s="66"/>
      <c r="I37" s="67"/>
      <c r="J37" s="67"/>
      <c r="K37" s="67"/>
      <c r="L37" s="66"/>
      <c r="M37" s="68"/>
      <c r="N37" s="66"/>
      <c r="O37" s="69"/>
      <c r="P37" s="67"/>
      <c r="Q37" s="66"/>
      <c r="R37" s="68"/>
      <c r="S37" s="68"/>
    </row>
    <row r="38" spans="1:19" ht="27" x14ac:dyDescent="0.4">
      <c r="A38" s="65"/>
      <c r="B38" s="65"/>
      <c r="C38" s="66"/>
      <c r="D38" s="66"/>
      <c r="E38" s="67"/>
      <c r="F38" s="68"/>
      <c r="G38" s="68"/>
      <c r="H38" s="66"/>
      <c r="I38" s="67"/>
      <c r="J38" s="67"/>
      <c r="K38" s="67"/>
      <c r="L38" s="66"/>
      <c r="M38" s="68"/>
      <c r="N38" s="66"/>
      <c r="O38" s="69"/>
      <c r="P38" s="67"/>
      <c r="Q38" s="66"/>
      <c r="R38" s="68"/>
      <c r="S38" s="68"/>
    </row>
    <row r="39" spans="1:19" ht="27" x14ac:dyDescent="0.4">
      <c r="A39" s="65"/>
      <c r="B39" s="65"/>
      <c r="C39" s="66"/>
      <c r="D39" s="66"/>
      <c r="E39" s="67"/>
      <c r="F39" s="68"/>
      <c r="G39" s="68"/>
      <c r="H39" s="66"/>
      <c r="I39" s="67"/>
      <c r="J39" s="67"/>
      <c r="K39" s="67"/>
      <c r="L39" s="66"/>
      <c r="M39" s="68"/>
      <c r="N39" s="66"/>
      <c r="O39" s="69"/>
      <c r="P39" s="67"/>
      <c r="Q39" s="66"/>
      <c r="R39" s="68"/>
      <c r="S39" s="68"/>
    </row>
    <row r="40" spans="1:19" ht="27" x14ac:dyDescent="0.4">
      <c r="A40" s="65"/>
      <c r="B40" s="65"/>
      <c r="C40" s="66"/>
      <c r="D40" s="66"/>
      <c r="E40" s="67"/>
      <c r="F40" s="68"/>
      <c r="G40" s="68"/>
      <c r="H40" s="66"/>
      <c r="I40" s="67"/>
      <c r="J40" s="67"/>
      <c r="K40" s="67"/>
      <c r="L40" s="66"/>
      <c r="M40" s="68"/>
      <c r="N40" s="66"/>
      <c r="O40" s="69"/>
      <c r="P40" s="67"/>
      <c r="Q40" s="66"/>
      <c r="R40" s="68"/>
      <c r="S40" s="68"/>
    </row>
    <row r="41" spans="1:19" ht="27" x14ac:dyDescent="0.4">
      <c r="A41" s="65"/>
      <c r="B41" s="65"/>
      <c r="C41" s="66"/>
      <c r="D41" s="66"/>
      <c r="E41" s="67"/>
      <c r="F41" s="73"/>
      <c r="G41" s="68"/>
      <c r="H41" s="66"/>
      <c r="I41" s="67"/>
      <c r="J41" s="67"/>
      <c r="K41" s="67"/>
      <c r="L41" s="66"/>
      <c r="M41" s="68"/>
      <c r="N41" s="66"/>
      <c r="O41" s="69"/>
      <c r="P41" s="67"/>
      <c r="Q41" s="66"/>
      <c r="R41" s="68"/>
      <c r="S41" s="68"/>
    </row>
    <row r="42" spans="1:19" ht="27" x14ac:dyDescent="0.4">
      <c r="A42" s="65"/>
      <c r="B42" s="65"/>
      <c r="C42" s="66"/>
      <c r="D42" s="66"/>
      <c r="E42" s="67"/>
      <c r="F42" s="68"/>
      <c r="G42" s="68"/>
      <c r="H42" s="66"/>
      <c r="I42" s="67"/>
      <c r="J42" s="67"/>
      <c r="K42" s="67"/>
      <c r="L42" s="66"/>
      <c r="M42" s="68"/>
      <c r="N42" s="66"/>
      <c r="O42" s="69"/>
      <c r="P42" s="67"/>
      <c r="Q42" s="66"/>
      <c r="R42" s="68"/>
      <c r="S42" s="68"/>
    </row>
    <row r="43" spans="1:19" ht="27" x14ac:dyDescent="0.4">
      <c r="A43" s="65"/>
      <c r="B43" s="65"/>
      <c r="C43" s="66"/>
      <c r="D43" s="66"/>
      <c r="E43" s="67"/>
      <c r="F43" s="68"/>
      <c r="G43" s="68"/>
      <c r="H43" s="66"/>
      <c r="I43" s="67"/>
      <c r="J43" s="67"/>
      <c r="K43" s="67"/>
      <c r="L43" s="66"/>
      <c r="M43" s="68"/>
      <c r="N43" s="66"/>
      <c r="O43" s="69"/>
      <c r="P43" s="67"/>
      <c r="Q43" s="66"/>
      <c r="R43" s="68"/>
      <c r="S43" s="68"/>
    </row>
    <row r="44" spans="1:19" ht="27" x14ac:dyDescent="0.4">
      <c r="A44" s="65"/>
      <c r="B44" s="65"/>
      <c r="C44" s="66"/>
      <c r="D44" s="66"/>
      <c r="E44" s="67"/>
      <c r="F44" s="68"/>
      <c r="G44" s="68"/>
      <c r="H44" s="66"/>
      <c r="I44" s="67"/>
      <c r="J44" s="67"/>
      <c r="K44" s="67"/>
      <c r="L44" s="66"/>
      <c r="M44" s="68"/>
      <c r="N44" s="66"/>
      <c r="O44" s="69"/>
      <c r="P44" s="67"/>
      <c r="Q44" s="66"/>
      <c r="R44" s="68"/>
      <c r="S44" s="68"/>
    </row>
    <row r="45" spans="1:19" ht="27" x14ac:dyDescent="0.4">
      <c r="A45" s="65"/>
      <c r="B45" s="65"/>
      <c r="C45" s="66"/>
      <c r="D45" s="66"/>
      <c r="E45" s="67"/>
      <c r="F45" s="68"/>
      <c r="G45" s="68"/>
      <c r="H45" s="66"/>
      <c r="I45" s="67"/>
      <c r="J45" s="67"/>
      <c r="K45" s="67"/>
      <c r="L45" s="66"/>
      <c r="M45" s="68"/>
      <c r="N45" s="66"/>
      <c r="O45" s="69"/>
      <c r="P45" s="67"/>
      <c r="Q45" s="66"/>
      <c r="R45" s="68"/>
      <c r="S45" s="68"/>
    </row>
    <row r="46" spans="1:19" ht="27" x14ac:dyDescent="0.4">
      <c r="A46" s="65"/>
      <c r="B46" s="65"/>
      <c r="C46" s="66"/>
      <c r="D46" s="66"/>
      <c r="E46" s="67"/>
      <c r="F46" s="68"/>
      <c r="G46" s="68"/>
      <c r="H46" s="66"/>
      <c r="I46" s="67"/>
      <c r="J46" s="67"/>
      <c r="K46" s="67"/>
      <c r="L46" s="66"/>
      <c r="M46" s="68"/>
      <c r="N46" s="66"/>
      <c r="O46" s="69"/>
      <c r="P46" s="67"/>
      <c r="Q46" s="66"/>
      <c r="R46" s="68"/>
      <c r="S46" s="68"/>
    </row>
    <row r="47" spans="1:19" ht="27" x14ac:dyDescent="0.4">
      <c r="A47" s="65"/>
      <c r="B47" s="65"/>
      <c r="C47" s="66"/>
      <c r="D47" s="66"/>
      <c r="E47" s="67"/>
      <c r="F47" s="68"/>
      <c r="G47" s="68"/>
      <c r="H47" s="66"/>
      <c r="I47" s="67"/>
      <c r="J47" s="67"/>
      <c r="K47" s="67"/>
      <c r="L47" s="66"/>
      <c r="M47" s="68"/>
      <c r="N47" s="66"/>
      <c r="O47" s="69"/>
      <c r="P47" s="67"/>
      <c r="Q47" s="66"/>
      <c r="R47" s="68"/>
      <c r="S47" s="68"/>
    </row>
    <row r="48" spans="1:19" ht="27" x14ac:dyDescent="0.4">
      <c r="A48" s="65"/>
      <c r="B48" s="65"/>
      <c r="C48" s="66"/>
      <c r="D48" s="66"/>
      <c r="E48" s="67"/>
      <c r="F48" s="68"/>
      <c r="G48" s="68"/>
      <c r="H48" s="66"/>
      <c r="I48" s="67"/>
      <c r="J48" s="67"/>
      <c r="K48" s="67"/>
      <c r="L48" s="66"/>
      <c r="M48" s="72"/>
      <c r="N48" s="66"/>
      <c r="O48" s="69"/>
      <c r="P48" s="67"/>
      <c r="Q48" s="66"/>
      <c r="R48" s="68"/>
      <c r="S48" s="68"/>
    </row>
    <row r="49" spans="1:19" ht="27" x14ac:dyDescent="0.4">
      <c r="A49" s="65"/>
      <c r="B49" s="65"/>
      <c r="C49" s="66"/>
      <c r="D49" s="66"/>
      <c r="E49" s="67"/>
      <c r="F49" s="68"/>
      <c r="G49" s="68"/>
      <c r="H49" s="66"/>
      <c r="I49" s="67"/>
      <c r="J49" s="67"/>
      <c r="K49" s="67"/>
      <c r="L49" s="66"/>
      <c r="M49" s="68"/>
      <c r="N49" s="66"/>
      <c r="O49" s="69"/>
      <c r="P49" s="67"/>
      <c r="Q49" s="66"/>
      <c r="R49" s="68"/>
      <c r="S49" s="68"/>
    </row>
    <row r="50" spans="1:19" ht="27" x14ac:dyDescent="0.4">
      <c r="A50" s="65"/>
      <c r="B50" s="65"/>
      <c r="C50" s="66"/>
      <c r="D50" s="66"/>
      <c r="E50" s="67"/>
      <c r="F50" s="68"/>
      <c r="G50" s="68"/>
      <c r="H50" s="66"/>
      <c r="I50" s="67"/>
      <c r="J50" s="67"/>
      <c r="K50" s="67"/>
      <c r="L50" s="66"/>
      <c r="M50" s="68"/>
      <c r="N50" s="66"/>
      <c r="O50" s="69"/>
      <c r="P50" s="67"/>
      <c r="Q50" s="66"/>
      <c r="R50" s="68"/>
      <c r="S50" s="68"/>
    </row>
    <row r="51" spans="1:19" ht="27" x14ac:dyDescent="0.4">
      <c r="A51" s="65"/>
      <c r="B51" s="65"/>
      <c r="C51" s="66"/>
      <c r="D51" s="66"/>
      <c r="E51" s="67"/>
      <c r="F51" s="68"/>
      <c r="G51" s="68"/>
      <c r="H51" s="66"/>
      <c r="I51" s="67"/>
      <c r="J51" s="67"/>
      <c r="K51" s="67"/>
      <c r="L51" s="66"/>
      <c r="M51" s="68"/>
      <c r="N51" s="66"/>
      <c r="O51" s="69"/>
      <c r="P51" s="67"/>
      <c r="Q51" s="66"/>
      <c r="R51" s="68"/>
      <c r="S51" s="68"/>
    </row>
    <row r="52" spans="1:19" ht="27" x14ac:dyDescent="0.4">
      <c r="A52" s="65"/>
      <c r="B52" s="65"/>
      <c r="C52" s="66"/>
      <c r="D52" s="66"/>
      <c r="E52" s="67"/>
      <c r="F52" s="68"/>
      <c r="G52" s="68"/>
      <c r="H52" s="66"/>
      <c r="I52" s="67"/>
      <c r="J52" s="67"/>
      <c r="K52" s="67"/>
      <c r="L52" s="66"/>
      <c r="M52" s="68"/>
      <c r="N52" s="66"/>
      <c r="O52" s="69"/>
      <c r="P52" s="67"/>
      <c r="Q52" s="66"/>
      <c r="R52" s="68"/>
      <c r="S52" s="68"/>
    </row>
    <row r="53" spans="1:19" ht="27" x14ac:dyDescent="0.4">
      <c r="A53" s="65"/>
      <c r="B53" s="65"/>
      <c r="C53" s="66"/>
      <c r="D53" s="66"/>
      <c r="E53" s="67"/>
      <c r="F53" s="68"/>
      <c r="G53" s="68"/>
      <c r="H53" s="66"/>
      <c r="I53" s="67"/>
      <c r="J53" s="67"/>
      <c r="K53" s="67"/>
      <c r="L53" s="66"/>
      <c r="M53" s="72"/>
      <c r="N53" s="66"/>
      <c r="O53" s="69"/>
      <c r="P53" s="67"/>
      <c r="Q53" s="66"/>
      <c r="R53" s="68"/>
      <c r="S53" s="68"/>
    </row>
    <row r="54" spans="1:19" ht="27" x14ac:dyDescent="0.4">
      <c r="A54" s="65"/>
      <c r="B54" s="65"/>
      <c r="C54" s="66"/>
      <c r="D54" s="66"/>
      <c r="E54" s="67"/>
      <c r="F54" s="68"/>
      <c r="G54" s="68"/>
      <c r="H54" s="66"/>
      <c r="I54" s="67"/>
      <c r="J54" s="67"/>
      <c r="K54" s="67"/>
      <c r="L54" s="66"/>
      <c r="M54" s="68"/>
      <c r="N54" s="66"/>
      <c r="O54" s="69"/>
      <c r="P54" s="67"/>
      <c r="Q54" s="66"/>
      <c r="R54" s="68"/>
      <c r="S54" s="68"/>
    </row>
    <row r="55" spans="1:19" ht="27" x14ac:dyDescent="0.4">
      <c r="A55" s="65"/>
      <c r="B55" s="65"/>
      <c r="C55" s="66"/>
      <c r="D55" s="66"/>
      <c r="E55" s="67"/>
      <c r="F55" s="68"/>
      <c r="G55" s="68"/>
      <c r="H55" s="66"/>
      <c r="I55" s="67"/>
      <c r="J55" s="67"/>
      <c r="K55" s="67"/>
      <c r="L55" s="66"/>
      <c r="M55" s="68"/>
      <c r="N55" s="66"/>
      <c r="O55" s="69"/>
      <c r="P55" s="67"/>
      <c r="Q55" s="66"/>
      <c r="R55" s="68"/>
      <c r="S55" s="68"/>
    </row>
    <row r="56" spans="1:19" ht="27" x14ac:dyDescent="0.4">
      <c r="A56" s="65"/>
      <c r="B56" s="65"/>
      <c r="C56" s="66"/>
      <c r="D56" s="66"/>
      <c r="E56" s="67"/>
      <c r="F56" s="68"/>
      <c r="G56" s="68"/>
      <c r="H56" s="66"/>
      <c r="I56" s="67"/>
      <c r="J56" s="67"/>
      <c r="K56" s="67"/>
      <c r="L56" s="66"/>
      <c r="M56" s="68"/>
      <c r="N56" s="66"/>
      <c r="O56" s="69"/>
      <c r="P56" s="67"/>
      <c r="Q56" s="66"/>
      <c r="R56" s="65"/>
      <c r="S56" s="68"/>
    </row>
    <row r="57" spans="1:19" ht="27" x14ac:dyDescent="0.4">
      <c r="A57" s="65"/>
      <c r="B57" s="65"/>
      <c r="C57" s="66"/>
      <c r="D57" s="66"/>
      <c r="E57" s="67"/>
      <c r="F57" s="68"/>
      <c r="G57" s="73"/>
      <c r="H57" s="66"/>
      <c r="I57" s="67"/>
      <c r="J57" s="67"/>
      <c r="K57" s="67"/>
      <c r="L57" s="66"/>
      <c r="M57" s="68"/>
      <c r="N57" s="66"/>
      <c r="O57" s="69"/>
      <c r="P57" s="67"/>
      <c r="Q57" s="66"/>
      <c r="R57" s="65"/>
      <c r="S57" s="68"/>
    </row>
    <row r="58" spans="1:19" ht="27" x14ac:dyDescent="0.4">
      <c r="A58" s="65"/>
      <c r="B58" s="65"/>
      <c r="C58" s="66"/>
      <c r="D58" s="66"/>
      <c r="E58" s="67"/>
      <c r="F58" s="68"/>
      <c r="G58" s="68"/>
      <c r="H58" s="66"/>
      <c r="I58" s="67"/>
      <c r="J58" s="67"/>
      <c r="K58" s="67"/>
      <c r="L58" s="66"/>
      <c r="M58" s="68"/>
      <c r="N58" s="66"/>
      <c r="O58" s="69"/>
      <c r="P58" s="67"/>
      <c r="Q58" s="66"/>
      <c r="R58" s="65"/>
      <c r="S58" s="68"/>
    </row>
    <row r="59" spans="1:19" ht="27" x14ac:dyDescent="0.4">
      <c r="A59" s="65"/>
      <c r="B59" s="65"/>
      <c r="C59" s="66"/>
      <c r="D59" s="66"/>
      <c r="E59" s="67"/>
      <c r="F59" s="68"/>
      <c r="G59" s="68"/>
      <c r="H59" s="66"/>
      <c r="I59" s="67"/>
      <c r="J59" s="67"/>
      <c r="K59" s="67"/>
      <c r="L59" s="66"/>
      <c r="M59" s="68"/>
      <c r="N59" s="66"/>
      <c r="O59" s="69"/>
      <c r="P59" s="67"/>
      <c r="Q59" s="66"/>
      <c r="R59" s="65"/>
      <c r="S59" s="68"/>
    </row>
    <row r="60" spans="1:19" ht="27" x14ac:dyDescent="0.4">
      <c r="A60" s="65"/>
      <c r="B60" s="65"/>
      <c r="C60" s="66"/>
      <c r="D60" s="66"/>
      <c r="E60" s="67"/>
      <c r="F60" s="68"/>
      <c r="G60" s="68"/>
      <c r="H60" s="66"/>
      <c r="I60" s="67"/>
      <c r="J60" s="67"/>
      <c r="K60" s="67"/>
      <c r="L60" s="66"/>
      <c r="M60" s="68"/>
      <c r="N60" s="66"/>
      <c r="O60" s="69"/>
      <c r="P60" s="67"/>
      <c r="Q60" s="66"/>
      <c r="R60" s="65"/>
      <c r="S60" s="68"/>
    </row>
    <row r="61" spans="1:19" ht="27" x14ac:dyDescent="0.4">
      <c r="A61" s="65"/>
      <c r="B61" s="65"/>
      <c r="C61" s="66"/>
      <c r="D61" s="66"/>
      <c r="E61" s="67"/>
      <c r="F61" s="68"/>
      <c r="G61" s="68"/>
      <c r="H61" s="66"/>
      <c r="I61" s="67"/>
      <c r="J61" s="67"/>
      <c r="K61" s="67"/>
      <c r="L61" s="66"/>
      <c r="M61" s="68"/>
      <c r="N61" s="66"/>
      <c r="O61" s="69"/>
      <c r="P61" s="67"/>
      <c r="Q61" s="66"/>
      <c r="R61" s="65"/>
      <c r="S61" s="68"/>
    </row>
    <row r="62" spans="1:19" ht="27" x14ac:dyDescent="0.4">
      <c r="A62" s="65"/>
      <c r="B62" s="65"/>
      <c r="C62" s="66"/>
      <c r="D62" s="66"/>
      <c r="E62" s="67"/>
      <c r="F62" s="68"/>
      <c r="G62" s="68"/>
      <c r="H62" s="66"/>
      <c r="I62" s="67"/>
      <c r="J62" s="67"/>
      <c r="K62" s="67"/>
      <c r="L62" s="66"/>
      <c r="M62" s="68"/>
      <c r="N62" s="66"/>
      <c r="O62" s="69"/>
      <c r="P62" s="67"/>
      <c r="Q62" s="66"/>
      <c r="R62" s="65"/>
      <c r="S62" s="68"/>
    </row>
    <row r="63" spans="1:19" ht="27" x14ac:dyDescent="0.4">
      <c r="A63" s="65"/>
      <c r="B63" s="65"/>
      <c r="C63" s="66"/>
      <c r="D63" s="66"/>
      <c r="E63" s="67"/>
      <c r="F63" s="68"/>
      <c r="G63" s="68"/>
      <c r="H63" s="66"/>
      <c r="I63" s="67"/>
      <c r="J63" s="67"/>
      <c r="K63" s="67"/>
      <c r="L63" s="66"/>
      <c r="M63" s="68"/>
      <c r="N63" s="66"/>
      <c r="O63" s="69"/>
      <c r="P63" s="67"/>
      <c r="Q63" s="66"/>
      <c r="R63" s="65"/>
      <c r="S63" s="68"/>
    </row>
    <row r="64" spans="1:19" ht="27" x14ac:dyDescent="0.4">
      <c r="A64" s="65"/>
      <c r="B64" s="65"/>
      <c r="C64" s="66"/>
      <c r="D64" s="66"/>
      <c r="E64" s="67"/>
      <c r="F64" s="68"/>
      <c r="G64" s="68"/>
      <c r="H64" s="66"/>
      <c r="I64" s="67"/>
      <c r="J64" s="67"/>
      <c r="K64" s="67"/>
      <c r="L64" s="66"/>
      <c r="M64" s="68"/>
      <c r="N64" s="66"/>
      <c r="O64" s="69"/>
      <c r="P64" s="67"/>
      <c r="Q64" s="66"/>
      <c r="R64" s="65"/>
      <c r="S64" s="68"/>
    </row>
    <row r="65" spans="1:19" ht="27" x14ac:dyDescent="0.4">
      <c r="A65" s="65"/>
      <c r="B65" s="65"/>
      <c r="C65" s="66"/>
      <c r="D65" s="66"/>
      <c r="E65" s="67"/>
      <c r="F65" s="68"/>
      <c r="G65" s="68"/>
      <c r="H65" s="66"/>
      <c r="I65" s="67"/>
      <c r="J65" s="67"/>
      <c r="K65" s="67"/>
      <c r="L65" s="66"/>
      <c r="M65" s="68"/>
      <c r="N65" s="66"/>
      <c r="O65" s="69"/>
      <c r="P65" s="67"/>
      <c r="Q65" s="66"/>
      <c r="R65" s="65"/>
      <c r="S65" s="68"/>
    </row>
    <row r="66" spans="1:19" ht="27" x14ac:dyDescent="0.4">
      <c r="A66" s="65"/>
      <c r="B66" s="65"/>
      <c r="C66" s="66"/>
      <c r="D66" s="66"/>
      <c r="E66" s="67"/>
      <c r="F66" s="68"/>
      <c r="G66" s="68"/>
      <c r="H66" s="66"/>
      <c r="I66" s="67"/>
      <c r="J66" s="67"/>
      <c r="K66" s="67"/>
      <c r="L66" s="66"/>
      <c r="M66" s="68"/>
      <c r="N66" s="66"/>
      <c r="O66" s="69"/>
      <c r="P66" s="67"/>
      <c r="Q66" s="66"/>
      <c r="R66" s="65"/>
      <c r="S66" s="68"/>
    </row>
    <row r="67" spans="1:19" ht="27" x14ac:dyDescent="0.4">
      <c r="A67" s="65"/>
      <c r="B67" s="65"/>
      <c r="C67" s="66"/>
      <c r="D67" s="66"/>
      <c r="E67" s="67"/>
      <c r="F67" s="68"/>
      <c r="G67" s="68"/>
      <c r="H67" s="66"/>
      <c r="I67" s="67"/>
      <c r="J67" s="67"/>
      <c r="K67" s="67"/>
      <c r="L67" s="66"/>
      <c r="M67" s="68"/>
      <c r="N67" s="66"/>
      <c r="O67" s="69"/>
      <c r="P67" s="67"/>
      <c r="Q67" s="66"/>
      <c r="R67" s="65"/>
      <c r="S67" s="68"/>
    </row>
    <row r="68" spans="1:19" ht="27" x14ac:dyDescent="0.4">
      <c r="A68" s="65"/>
      <c r="B68" s="65"/>
      <c r="C68" s="66"/>
      <c r="D68" s="66"/>
      <c r="E68" s="67"/>
      <c r="F68" s="68"/>
      <c r="G68" s="68"/>
      <c r="H68" s="66"/>
      <c r="I68" s="67"/>
      <c r="J68" s="67"/>
      <c r="K68" s="67"/>
      <c r="L68" s="66"/>
      <c r="M68" s="68"/>
      <c r="N68" s="66"/>
      <c r="O68" s="69"/>
      <c r="P68" s="67"/>
      <c r="Q68" s="66"/>
      <c r="R68" s="65"/>
      <c r="S68" s="68"/>
    </row>
    <row r="69" spans="1:19" ht="27" x14ac:dyDescent="0.4">
      <c r="A69" s="65"/>
      <c r="B69" s="65"/>
      <c r="C69" s="66"/>
      <c r="D69" s="66"/>
      <c r="E69" s="67"/>
      <c r="F69" s="68"/>
      <c r="G69" s="68"/>
      <c r="H69" s="66"/>
      <c r="I69" s="67"/>
      <c r="J69" s="67"/>
      <c r="K69" s="67"/>
      <c r="L69" s="66"/>
      <c r="M69" s="68"/>
      <c r="N69" s="66"/>
      <c r="O69" s="69"/>
      <c r="P69" s="67"/>
      <c r="Q69" s="66"/>
      <c r="R69" s="65"/>
      <c r="S69" s="68"/>
    </row>
    <row r="70" spans="1:19" ht="27" x14ac:dyDescent="0.4">
      <c r="A70" s="65"/>
      <c r="B70" s="65"/>
      <c r="C70" s="66"/>
      <c r="D70" s="66"/>
      <c r="E70" s="67"/>
      <c r="F70" s="68"/>
      <c r="G70" s="68"/>
      <c r="H70" s="66"/>
      <c r="I70" s="67"/>
      <c r="J70" s="67"/>
      <c r="K70" s="67"/>
      <c r="L70" s="66"/>
      <c r="M70" s="68"/>
      <c r="N70" s="66"/>
      <c r="O70" s="69"/>
      <c r="P70" s="67"/>
      <c r="Q70" s="66"/>
      <c r="R70" s="65"/>
      <c r="S70" s="68"/>
    </row>
    <row r="71" spans="1:19" ht="27" x14ac:dyDescent="0.4">
      <c r="A71" s="65"/>
      <c r="B71" s="65"/>
      <c r="C71" s="66"/>
      <c r="D71" s="66"/>
      <c r="E71" s="67"/>
      <c r="F71" s="68"/>
      <c r="G71" s="68"/>
      <c r="H71" s="66"/>
      <c r="I71" s="67"/>
      <c r="J71" s="67"/>
      <c r="K71" s="67"/>
      <c r="L71" s="66"/>
      <c r="M71" s="68"/>
      <c r="N71" s="66"/>
      <c r="O71" s="69"/>
      <c r="P71" s="67"/>
      <c r="Q71" s="66"/>
      <c r="R71" s="65"/>
      <c r="S71" s="68"/>
    </row>
    <row r="72" spans="1:19" ht="27" x14ac:dyDescent="0.4">
      <c r="A72" s="65"/>
      <c r="B72" s="65"/>
      <c r="C72" s="66"/>
      <c r="D72" s="66"/>
      <c r="E72" s="67"/>
      <c r="F72" s="68"/>
      <c r="G72" s="68"/>
      <c r="H72" s="66"/>
      <c r="I72" s="67"/>
      <c r="J72" s="67"/>
      <c r="K72" s="67"/>
      <c r="L72" s="66"/>
      <c r="M72" s="68"/>
      <c r="N72" s="66"/>
      <c r="O72" s="69"/>
      <c r="P72" s="67"/>
      <c r="Q72" s="66"/>
      <c r="R72" s="65"/>
      <c r="S72" s="68"/>
    </row>
    <row r="73" spans="1:19" ht="27" x14ac:dyDescent="0.4">
      <c r="A73" s="65"/>
      <c r="B73" s="65"/>
      <c r="C73" s="66"/>
      <c r="D73" s="66"/>
      <c r="E73" s="67"/>
      <c r="F73" s="68"/>
      <c r="G73" s="68"/>
      <c r="H73" s="66"/>
      <c r="I73" s="67"/>
      <c r="J73" s="67"/>
      <c r="K73" s="67"/>
      <c r="L73" s="66"/>
      <c r="M73" s="68"/>
      <c r="N73" s="66"/>
      <c r="O73" s="69"/>
      <c r="P73" s="67"/>
      <c r="Q73" s="66"/>
      <c r="R73" s="65"/>
      <c r="S73" s="68"/>
    </row>
    <row r="74" spans="1:19" ht="27" x14ac:dyDescent="0.4">
      <c r="A74" s="65"/>
      <c r="B74" s="65"/>
      <c r="C74" s="66"/>
      <c r="D74" s="66"/>
      <c r="E74" s="67"/>
      <c r="F74" s="68"/>
      <c r="G74" s="68"/>
      <c r="H74" s="66"/>
      <c r="I74" s="67"/>
      <c r="J74" s="67"/>
      <c r="K74" s="67"/>
      <c r="L74" s="66"/>
      <c r="M74" s="68"/>
      <c r="N74" s="66"/>
      <c r="O74" s="69"/>
      <c r="P74" s="67"/>
      <c r="Q74" s="66"/>
      <c r="R74" s="65"/>
      <c r="S74" s="68"/>
    </row>
    <row r="75" spans="1:19" ht="27" x14ac:dyDescent="0.4">
      <c r="A75" s="65"/>
      <c r="B75" s="65"/>
      <c r="C75" s="66"/>
      <c r="D75" s="66"/>
      <c r="E75" s="67"/>
      <c r="F75" s="68"/>
      <c r="G75" s="68"/>
      <c r="H75" s="66"/>
      <c r="I75" s="67"/>
      <c r="J75" s="67"/>
      <c r="K75" s="67"/>
      <c r="L75" s="66"/>
      <c r="M75" s="68"/>
      <c r="N75" s="66"/>
      <c r="O75" s="69"/>
      <c r="P75" s="67"/>
      <c r="Q75" s="66"/>
      <c r="R75" s="65"/>
      <c r="S75" s="68"/>
    </row>
    <row r="76" spans="1:19" ht="27" x14ac:dyDescent="0.4">
      <c r="A76" s="65"/>
      <c r="B76" s="65"/>
      <c r="C76" s="66"/>
      <c r="D76" s="66"/>
      <c r="E76" s="67"/>
      <c r="F76" s="68"/>
      <c r="G76" s="68"/>
      <c r="H76" s="66"/>
      <c r="I76" s="67"/>
      <c r="J76" s="67"/>
      <c r="K76" s="67"/>
      <c r="L76" s="66"/>
      <c r="M76" s="68"/>
      <c r="N76" s="66"/>
      <c r="O76" s="69"/>
      <c r="P76" s="67"/>
      <c r="Q76" s="66"/>
      <c r="R76" s="65"/>
      <c r="S76" s="68"/>
    </row>
    <row r="77" spans="1:19" ht="27" x14ac:dyDescent="0.4">
      <c r="A77" s="65"/>
      <c r="B77" s="65"/>
      <c r="C77" s="66"/>
      <c r="D77" s="66"/>
      <c r="E77" s="67"/>
      <c r="F77" s="68"/>
      <c r="G77" s="68"/>
      <c r="H77" s="66"/>
      <c r="I77" s="67"/>
      <c r="J77" s="67"/>
      <c r="K77" s="67"/>
      <c r="L77" s="66"/>
      <c r="M77" s="68"/>
      <c r="N77" s="66"/>
      <c r="O77" s="69"/>
      <c r="P77" s="67"/>
      <c r="Q77" s="66"/>
      <c r="R77" s="65"/>
      <c r="S77" s="68"/>
    </row>
    <row r="78" spans="1:19" ht="27" x14ac:dyDescent="0.4">
      <c r="A78" s="65"/>
      <c r="B78" s="65"/>
      <c r="C78" s="66"/>
      <c r="D78" s="66"/>
      <c r="E78" s="67"/>
      <c r="F78" s="68"/>
      <c r="G78" s="68"/>
      <c r="H78" s="66"/>
      <c r="I78" s="67"/>
      <c r="J78" s="67"/>
      <c r="K78" s="67"/>
      <c r="L78" s="66"/>
      <c r="M78" s="68"/>
      <c r="N78" s="66"/>
      <c r="O78" s="69"/>
      <c r="P78" s="67"/>
      <c r="Q78" s="66"/>
      <c r="R78" s="65"/>
      <c r="S78" s="68"/>
    </row>
    <row r="79" spans="1:19" ht="27" x14ac:dyDescent="0.4">
      <c r="A79" s="65"/>
      <c r="B79" s="65"/>
      <c r="C79" s="66"/>
      <c r="D79" s="66"/>
      <c r="E79" s="67"/>
      <c r="F79" s="68"/>
      <c r="G79" s="68"/>
      <c r="H79" s="66"/>
      <c r="I79" s="67"/>
      <c r="J79" s="67"/>
      <c r="K79" s="67"/>
      <c r="L79" s="66"/>
      <c r="M79" s="68"/>
      <c r="N79" s="66"/>
      <c r="O79" s="69"/>
      <c r="P79" s="67"/>
      <c r="Q79" s="66"/>
      <c r="R79" s="65"/>
      <c r="S79" s="68"/>
    </row>
    <row r="80" spans="1:19" ht="27" x14ac:dyDescent="0.4">
      <c r="A80" s="65"/>
      <c r="B80" s="65"/>
      <c r="C80" s="66"/>
      <c r="D80" s="66"/>
      <c r="E80" s="67"/>
      <c r="F80" s="68"/>
      <c r="G80" s="68"/>
      <c r="H80" s="66"/>
      <c r="I80" s="67"/>
      <c r="J80" s="67"/>
      <c r="K80" s="67"/>
      <c r="L80" s="66"/>
      <c r="M80" s="68"/>
      <c r="N80" s="66"/>
      <c r="O80" s="69"/>
      <c r="P80" s="67"/>
      <c r="Q80" s="66"/>
      <c r="R80" s="65"/>
      <c r="S80" s="65"/>
    </row>
    <row r="81" spans="1:19" ht="27" x14ac:dyDescent="0.4">
      <c r="A81" s="65"/>
      <c r="B81" s="65"/>
      <c r="C81" s="66"/>
      <c r="D81" s="66"/>
      <c r="E81" s="67"/>
      <c r="F81" s="68"/>
      <c r="G81" s="68"/>
      <c r="H81" s="66"/>
      <c r="I81" s="67"/>
      <c r="J81" s="67"/>
      <c r="K81" s="67"/>
      <c r="L81" s="66"/>
      <c r="M81" s="68"/>
      <c r="N81" s="66"/>
      <c r="O81" s="69"/>
      <c r="P81" s="67"/>
      <c r="Q81" s="66"/>
      <c r="R81" s="65"/>
      <c r="S81" s="65"/>
    </row>
    <row r="82" spans="1:19" ht="27" x14ac:dyDescent="0.4">
      <c r="A82" s="65"/>
      <c r="B82" s="65"/>
      <c r="C82" s="66"/>
      <c r="D82" s="66"/>
      <c r="E82" s="67"/>
      <c r="F82" s="68"/>
      <c r="G82" s="68"/>
      <c r="H82" s="66"/>
      <c r="I82" s="67"/>
      <c r="J82" s="67"/>
      <c r="K82" s="67"/>
      <c r="L82" s="66"/>
      <c r="M82" s="68"/>
      <c r="N82" s="66"/>
      <c r="O82" s="69"/>
      <c r="P82" s="67"/>
      <c r="Q82" s="66"/>
      <c r="R82" s="65"/>
      <c r="S82" s="65"/>
    </row>
    <row r="83" spans="1:19" ht="27" x14ac:dyDescent="0.4">
      <c r="A83" s="65"/>
      <c r="B83" s="65"/>
      <c r="C83" s="66"/>
      <c r="D83" s="66"/>
      <c r="E83" s="67"/>
      <c r="F83" s="68"/>
      <c r="G83" s="68"/>
      <c r="H83" s="66"/>
      <c r="I83" s="67"/>
      <c r="J83" s="67"/>
      <c r="K83" s="67"/>
      <c r="L83" s="66"/>
      <c r="M83" s="68"/>
      <c r="N83" s="66"/>
      <c r="O83" s="69"/>
      <c r="P83" s="67"/>
      <c r="Q83" s="66"/>
      <c r="R83" s="65"/>
      <c r="S83" s="65"/>
    </row>
    <row r="84" spans="1:19" ht="27" x14ac:dyDescent="0.4">
      <c r="A84" s="65"/>
      <c r="B84" s="65"/>
      <c r="C84" s="66"/>
      <c r="D84" s="66"/>
      <c r="E84" s="67"/>
      <c r="F84" s="68"/>
      <c r="G84" s="68"/>
      <c r="H84" s="66"/>
      <c r="I84" s="67"/>
      <c r="J84" s="67"/>
      <c r="K84" s="67"/>
      <c r="L84" s="66"/>
      <c r="M84" s="68"/>
      <c r="N84" s="66"/>
      <c r="O84" s="69"/>
      <c r="P84" s="67"/>
      <c r="Q84" s="66"/>
      <c r="R84" s="65"/>
      <c r="S84" s="70"/>
    </row>
    <row r="85" spans="1:19" ht="27" x14ac:dyDescent="0.4">
      <c r="A85" s="65"/>
      <c r="B85" s="65"/>
      <c r="C85" s="66"/>
      <c r="D85" s="66"/>
      <c r="E85" s="67"/>
      <c r="F85" s="68"/>
      <c r="G85" s="68"/>
      <c r="H85" s="66"/>
      <c r="I85" s="67"/>
      <c r="J85" s="67"/>
      <c r="K85" s="67"/>
      <c r="L85" s="66"/>
      <c r="M85" s="68"/>
      <c r="N85" s="66"/>
      <c r="O85" s="69"/>
      <c r="P85" s="67"/>
      <c r="Q85" s="66"/>
      <c r="R85" s="65"/>
      <c r="S85" s="70"/>
    </row>
    <row r="86" spans="1:19" ht="27" x14ac:dyDescent="0.4">
      <c r="A86" s="65"/>
      <c r="B86" s="65"/>
      <c r="C86" s="66"/>
      <c r="D86" s="66"/>
      <c r="E86" s="67"/>
      <c r="F86" s="68"/>
      <c r="G86" s="68"/>
      <c r="H86" s="66"/>
      <c r="I86" s="67"/>
      <c r="J86" s="67"/>
      <c r="K86" s="67"/>
      <c r="L86" s="66"/>
      <c r="M86" s="68"/>
      <c r="N86" s="66"/>
      <c r="O86" s="69"/>
      <c r="P86" s="67"/>
      <c r="Q86" s="66"/>
      <c r="R86" s="65"/>
      <c r="S86" s="70"/>
    </row>
    <row r="87" spans="1:19" ht="27" x14ac:dyDescent="0.4">
      <c r="A87" s="65"/>
      <c r="B87" s="65"/>
      <c r="C87" s="66"/>
      <c r="D87" s="66"/>
      <c r="E87" s="67"/>
      <c r="F87" s="68"/>
      <c r="G87" s="68"/>
      <c r="H87" s="66"/>
      <c r="I87" s="67"/>
      <c r="J87" s="67"/>
      <c r="K87" s="67"/>
      <c r="L87" s="66"/>
      <c r="M87" s="68"/>
      <c r="N87" s="66"/>
      <c r="O87" s="69"/>
      <c r="P87" s="67"/>
      <c r="Q87" s="66"/>
      <c r="R87" s="65"/>
      <c r="S87" s="70"/>
    </row>
    <row r="88" spans="1:19" ht="27" x14ac:dyDescent="0.4">
      <c r="A88" s="65"/>
      <c r="B88" s="65"/>
      <c r="C88" s="66"/>
      <c r="D88" s="66"/>
      <c r="E88" s="67"/>
      <c r="F88" s="68"/>
      <c r="G88" s="68"/>
      <c r="H88" s="66"/>
      <c r="I88" s="67"/>
      <c r="J88" s="67"/>
      <c r="K88" s="67"/>
      <c r="L88" s="66"/>
      <c r="M88" s="68"/>
      <c r="N88" s="66"/>
      <c r="O88" s="69"/>
      <c r="P88" s="67"/>
      <c r="Q88" s="66"/>
      <c r="R88" s="65"/>
      <c r="S88" s="70"/>
    </row>
    <row r="89" spans="1:19" ht="27" x14ac:dyDescent="0.4">
      <c r="A89" s="65"/>
      <c r="B89" s="65"/>
      <c r="C89" s="66"/>
      <c r="D89" s="66"/>
      <c r="E89" s="67"/>
      <c r="F89" s="68"/>
      <c r="G89" s="68"/>
      <c r="H89" s="66"/>
      <c r="I89" s="67"/>
      <c r="J89" s="67"/>
      <c r="K89" s="67"/>
      <c r="L89" s="66"/>
      <c r="M89" s="68"/>
      <c r="N89" s="66"/>
      <c r="O89" s="69"/>
      <c r="P89" s="67"/>
      <c r="Q89" s="66"/>
      <c r="R89" s="65"/>
      <c r="S89" s="70"/>
    </row>
    <row r="90" spans="1:19" ht="27" x14ac:dyDescent="0.4">
      <c r="A90" s="65"/>
      <c r="B90" s="65"/>
      <c r="C90" s="66"/>
      <c r="D90" s="66"/>
      <c r="E90" s="67"/>
      <c r="F90" s="68"/>
      <c r="G90" s="68"/>
      <c r="H90" s="66"/>
      <c r="I90" s="67"/>
      <c r="J90" s="67"/>
      <c r="K90" s="67"/>
      <c r="L90" s="66"/>
      <c r="M90" s="68"/>
      <c r="N90" s="66"/>
      <c r="O90" s="69"/>
      <c r="P90" s="67"/>
      <c r="Q90" s="66"/>
      <c r="R90" s="65"/>
      <c r="S90" s="70"/>
    </row>
    <row r="91" spans="1:19" ht="27" x14ac:dyDescent="0.4">
      <c r="A91" s="65"/>
      <c r="B91" s="65"/>
      <c r="C91" s="66"/>
      <c r="D91" s="66"/>
      <c r="E91" s="67"/>
      <c r="F91" s="68"/>
      <c r="G91" s="68"/>
      <c r="H91" s="66"/>
      <c r="I91" s="67"/>
      <c r="J91" s="67"/>
      <c r="K91" s="67"/>
      <c r="L91" s="66"/>
      <c r="M91" s="68"/>
      <c r="N91" s="66"/>
      <c r="O91" s="69"/>
      <c r="P91" s="67"/>
      <c r="Q91" s="66"/>
      <c r="R91" s="65"/>
      <c r="S91" s="70"/>
    </row>
    <row r="92" spans="1:19" ht="27" x14ac:dyDescent="0.4">
      <c r="A92" s="65"/>
      <c r="B92" s="65"/>
      <c r="C92" s="66"/>
      <c r="D92" s="66"/>
      <c r="E92" s="67"/>
      <c r="F92" s="68"/>
      <c r="G92" s="68"/>
      <c r="H92" s="66"/>
      <c r="I92" s="67"/>
      <c r="J92" s="67"/>
      <c r="K92" s="67"/>
      <c r="L92" s="66"/>
      <c r="M92" s="68"/>
      <c r="N92" s="66"/>
      <c r="O92" s="69"/>
      <c r="P92" s="67"/>
      <c r="Q92" s="66"/>
      <c r="R92" s="65"/>
      <c r="S92" s="70"/>
    </row>
    <row r="93" spans="1:19" ht="27" x14ac:dyDescent="0.4">
      <c r="A93" s="65"/>
      <c r="B93" s="65"/>
      <c r="C93" s="66"/>
      <c r="D93" s="66"/>
      <c r="E93" s="67"/>
      <c r="F93" s="68"/>
      <c r="G93" s="68"/>
      <c r="H93" s="66"/>
      <c r="I93" s="67"/>
      <c r="J93" s="67"/>
      <c r="K93" s="67"/>
      <c r="L93" s="66"/>
      <c r="M93" s="68"/>
      <c r="N93" s="66"/>
      <c r="O93" s="69"/>
      <c r="P93" s="67"/>
      <c r="Q93" s="66"/>
      <c r="R93" s="65"/>
      <c r="S93" s="70"/>
    </row>
    <row r="94" spans="1:19" ht="27" x14ac:dyDescent="0.4">
      <c r="A94" s="65"/>
      <c r="B94" s="65"/>
      <c r="C94" s="66"/>
      <c r="D94" s="66"/>
      <c r="E94" s="67"/>
      <c r="F94" s="68"/>
      <c r="G94" s="68"/>
      <c r="H94" s="66"/>
      <c r="I94" s="67"/>
      <c r="J94" s="67"/>
      <c r="K94" s="67"/>
      <c r="L94" s="66"/>
      <c r="M94" s="68"/>
      <c r="N94" s="66"/>
      <c r="O94" s="69"/>
      <c r="P94" s="67"/>
      <c r="Q94" s="66"/>
      <c r="R94" s="65"/>
      <c r="S94" s="70"/>
    </row>
    <row r="95" spans="1:19" ht="27" x14ac:dyDescent="0.4">
      <c r="A95" s="65"/>
      <c r="B95" s="65"/>
      <c r="C95" s="66"/>
      <c r="D95" s="66"/>
      <c r="E95" s="67"/>
      <c r="F95" s="68"/>
      <c r="G95" s="68"/>
      <c r="H95" s="66"/>
      <c r="I95" s="67"/>
      <c r="J95" s="67"/>
      <c r="K95" s="67"/>
      <c r="L95" s="66"/>
      <c r="M95" s="68"/>
      <c r="N95" s="66"/>
      <c r="O95" s="69"/>
      <c r="P95" s="67"/>
      <c r="Q95" s="66"/>
      <c r="R95" s="65"/>
      <c r="S95" s="70"/>
    </row>
    <row r="96" spans="1:19" ht="27" x14ac:dyDescent="0.4">
      <c r="A96" s="65"/>
      <c r="B96" s="65"/>
      <c r="C96" s="66"/>
      <c r="D96" s="66"/>
      <c r="E96" s="67"/>
      <c r="F96" s="68"/>
      <c r="G96" s="68"/>
      <c r="H96" s="66"/>
      <c r="I96" s="67"/>
      <c r="J96" s="67"/>
      <c r="K96" s="67"/>
      <c r="L96" s="66"/>
      <c r="M96" s="68"/>
      <c r="N96" s="66"/>
      <c r="O96" s="69"/>
      <c r="P96" s="67"/>
      <c r="Q96" s="66"/>
      <c r="R96" s="65"/>
      <c r="S96" s="70"/>
    </row>
    <row r="97" spans="1:19" ht="27" x14ac:dyDescent="0.4">
      <c r="A97" s="65"/>
      <c r="B97" s="65"/>
      <c r="C97" s="66"/>
      <c r="D97" s="66"/>
      <c r="E97" s="67"/>
      <c r="F97" s="68"/>
      <c r="G97" s="68"/>
      <c r="H97" s="66"/>
      <c r="I97" s="67"/>
      <c r="J97" s="67"/>
      <c r="K97" s="67"/>
      <c r="L97" s="66"/>
      <c r="M97" s="68"/>
      <c r="N97" s="66"/>
      <c r="O97" s="69"/>
      <c r="P97" s="67"/>
      <c r="Q97" s="66"/>
      <c r="R97" s="65"/>
      <c r="S97" s="70"/>
    </row>
    <row r="98" spans="1:19" ht="27" x14ac:dyDescent="0.4">
      <c r="A98" s="65"/>
      <c r="B98" s="65"/>
      <c r="C98" s="66"/>
      <c r="D98" s="66"/>
      <c r="E98" s="67"/>
      <c r="F98" s="68"/>
      <c r="G98" s="68"/>
      <c r="H98" s="66"/>
      <c r="I98" s="67"/>
      <c r="J98" s="67"/>
      <c r="K98" s="67"/>
      <c r="L98" s="66"/>
      <c r="M98" s="68"/>
      <c r="N98" s="66"/>
      <c r="O98" s="69"/>
      <c r="P98" s="67"/>
      <c r="Q98" s="66"/>
      <c r="R98" s="65"/>
      <c r="S98" s="70"/>
    </row>
    <row r="99" spans="1:19" ht="27" x14ac:dyDescent="0.4">
      <c r="A99" s="65"/>
      <c r="B99" s="65"/>
      <c r="C99" s="66"/>
      <c r="D99" s="66"/>
      <c r="E99" s="67"/>
      <c r="F99" s="68"/>
      <c r="G99" s="68"/>
      <c r="H99" s="66"/>
      <c r="I99" s="67"/>
      <c r="J99" s="67"/>
      <c r="K99" s="67"/>
      <c r="L99" s="66"/>
      <c r="M99" s="68"/>
      <c r="N99" s="66"/>
      <c r="O99" s="69"/>
      <c r="P99" s="67"/>
      <c r="Q99" s="66"/>
      <c r="R99" s="65"/>
      <c r="S99" s="70"/>
    </row>
    <row r="100" spans="1:19" ht="27" x14ac:dyDescent="0.4">
      <c r="A100" s="65"/>
      <c r="B100" s="65"/>
      <c r="C100" s="66"/>
      <c r="D100" s="66"/>
      <c r="E100" s="67"/>
      <c r="F100" s="68"/>
      <c r="G100" s="68"/>
      <c r="H100" s="66"/>
      <c r="I100" s="67"/>
      <c r="J100" s="67"/>
      <c r="K100" s="67"/>
      <c r="L100" s="66"/>
      <c r="M100" s="68"/>
      <c r="N100" s="66"/>
      <c r="O100" s="69"/>
      <c r="P100" s="67"/>
      <c r="Q100" s="66"/>
      <c r="R100" s="65"/>
      <c r="S100" s="70"/>
    </row>
    <row r="101" spans="1:19" ht="27" x14ac:dyDescent="0.4">
      <c r="A101" s="65"/>
      <c r="B101" s="65"/>
      <c r="C101" s="66"/>
      <c r="D101" s="66"/>
      <c r="E101" s="67"/>
      <c r="F101" s="68"/>
      <c r="G101" s="68"/>
      <c r="H101" s="66"/>
      <c r="I101" s="67"/>
      <c r="J101" s="67"/>
      <c r="K101" s="67"/>
      <c r="L101" s="66"/>
      <c r="M101" s="68"/>
      <c r="N101" s="66"/>
      <c r="O101" s="69"/>
      <c r="P101" s="67"/>
      <c r="Q101" s="66"/>
      <c r="R101" s="65"/>
      <c r="S101" s="70"/>
    </row>
    <row r="102" spans="1:19" ht="27" x14ac:dyDescent="0.4">
      <c r="A102" s="65"/>
      <c r="B102" s="65"/>
      <c r="C102" s="66"/>
      <c r="D102" s="66"/>
      <c r="E102" s="67"/>
      <c r="F102" s="68"/>
      <c r="G102" s="68"/>
      <c r="H102" s="66"/>
      <c r="I102" s="67"/>
      <c r="J102" s="67"/>
      <c r="K102" s="67"/>
      <c r="L102" s="66"/>
      <c r="M102" s="68"/>
      <c r="N102" s="66"/>
      <c r="O102" s="69"/>
      <c r="P102" s="67"/>
      <c r="Q102" s="66"/>
      <c r="R102" s="65"/>
      <c r="S102" s="70"/>
    </row>
    <row r="103" spans="1:19" ht="27" x14ac:dyDescent="0.4">
      <c r="A103" s="65"/>
      <c r="B103" s="65"/>
      <c r="C103" s="66"/>
      <c r="D103" s="66"/>
      <c r="E103" s="67"/>
      <c r="F103" s="68"/>
      <c r="G103" s="68"/>
      <c r="H103" s="66"/>
      <c r="I103" s="67"/>
      <c r="J103" s="67"/>
      <c r="K103" s="67"/>
      <c r="L103" s="66"/>
      <c r="M103" s="68"/>
      <c r="N103" s="66"/>
      <c r="O103" s="69"/>
      <c r="P103" s="67"/>
      <c r="Q103" s="66"/>
      <c r="R103" s="65"/>
      <c r="S103" s="70"/>
    </row>
    <row r="104" spans="1:19" ht="27" x14ac:dyDescent="0.4">
      <c r="A104" s="65"/>
      <c r="B104" s="65"/>
      <c r="C104" s="66"/>
      <c r="D104" s="66"/>
      <c r="E104" s="67"/>
      <c r="F104" s="68"/>
      <c r="G104" s="68"/>
      <c r="H104" s="66"/>
      <c r="I104" s="67"/>
      <c r="J104" s="67"/>
      <c r="K104" s="67"/>
      <c r="L104" s="66"/>
      <c r="M104" s="68"/>
      <c r="N104" s="66"/>
      <c r="O104" s="69"/>
      <c r="P104" s="67"/>
      <c r="Q104" s="66"/>
      <c r="R104" s="65"/>
      <c r="S104" s="70"/>
    </row>
    <row r="105" spans="1:19" ht="27" x14ac:dyDescent="0.4">
      <c r="A105" s="65"/>
      <c r="B105" s="65"/>
      <c r="C105" s="66"/>
      <c r="D105" s="66"/>
      <c r="E105" s="67"/>
      <c r="F105" s="68"/>
      <c r="G105" s="68"/>
      <c r="H105" s="66"/>
      <c r="I105" s="67"/>
      <c r="J105" s="67"/>
      <c r="K105" s="67"/>
      <c r="L105" s="66"/>
      <c r="M105" s="68"/>
      <c r="N105" s="66"/>
      <c r="O105" s="69"/>
      <c r="P105" s="67"/>
      <c r="Q105" s="66"/>
      <c r="R105" s="65"/>
      <c r="S105" s="70"/>
    </row>
    <row r="106" spans="1:19" ht="27" x14ac:dyDescent="0.4">
      <c r="A106" s="65"/>
      <c r="B106" s="65"/>
      <c r="C106" s="66"/>
      <c r="D106" s="66"/>
      <c r="E106" s="67"/>
      <c r="F106" s="68"/>
      <c r="G106" s="68"/>
      <c r="H106" s="66"/>
      <c r="I106" s="67"/>
      <c r="J106" s="67"/>
      <c r="K106" s="67"/>
      <c r="L106" s="66"/>
      <c r="M106" s="68"/>
      <c r="N106" s="66"/>
      <c r="O106" s="69"/>
      <c r="P106" s="67"/>
      <c r="Q106" s="66"/>
      <c r="R106" s="65"/>
      <c r="S106" s="70"/>
    </row>
    <row r="107" spans="1:19" ht="27" x14ac:dyDescent="0.4">
      <c r="A107" s="65"/>
      <c r="B107" s="65"/>
      <c r="C107" s="66"/>
      <c r="D107" s="66"/>
      <c r="E107" s="67"/>
      <c r="F107" s="68"/>
      <c r="G107" s="68"/>
      <c r="H107" s="66"/>
      <c r="I107" s="67"/>
      <c r="J107" s="67"/>
      <c r="K107" s="67"/>
      <c r="L107" s="66"/>
      <c r="M107" s="68"/>
      <c r="N107" s="66"/>
      <c r="O107" s="69"/>
      <c r="P107" s="67"/>
      <c r="Q107" s="66"/>
      <c r="R107" s="65"/>
      <c r="S107" s="70"/>
    </row>
    <row r="108" spans="1:19" ht="27" x14ac:dyDescent="0.4">
      <c r="A108" s="65"/>
      <c r="B108" s="65"/>
      <c r="C108" s="66"/>
      <c r="D108" s="66"/>
      <c r="E108" s="67"/>
      <c r="F108" s="68"/>
      <c r="G108" s="68"/>
      <c r="H108" s="66"/>
      <c r="I108" s="67"/>
      <c r="J108" s="67"/>
      <c r="K108" s="67"/>
      <c r="L108" s="66"/>
      <c r="M108" s="68"/>
      <c r="N108" s="66"/>
      <c r="O108" s="69"/>
      <c r="P108" s="67"/>
      <c r="Q108" s="66"/>
      <c r="R108" s="65"/>
      <c r="S108" s="70"/>
    </row>
    <row r="109" spans="1:19" ht="27" x14ac:dyDescent="0.4">
      <c r="A109" s="65"/>
      <c r="B109" s="65"/>
      <c r="C109" s="66"/>
      <c r="D109" s="66"/>
      <c r="E109" s="67"/>
      <c r="F109" s="68"/>
      <c r="G109" s="68"/>
      <c r="H109" s="66"/>
      <c r="I109" s="67"/>
      <c r="J109" s="67"/>
      <c r="K109" s="67"/>
      <c r="L109" s="66"/>
      <c r="M109" s="68"/>
      <c r="N109" s="66"/>
      <c r="O109" s="69"/>
      <c r="P109" s="67"/>
      <c r="Q109" s="66"/>
      <c r="R109" s="65"/>
      <c r="S109" s="70"/>
    </row>
    <row r="110" spans="1:19" ht="27" x14ac:dyDescent="0.4">
      <c r="A110" s="65"/>
      <c r="B110" s="65"/>
      <c r="C110" s="66"/>
      <c r="D110" s="66"/>
      <c r="E110" s="67"/>
      <c r="F110" s="68"/>
      <c r="G110" s="68"/>
      <c r="H110" s="66"/>
      <c r="I110" s="67"/>
      <c r="J110" s="67"/>
      <c r="K110" s="67"/>
      <c r="L110" s="66"/>
      <c r="M110" s="68"/>
      <c r="N110" s="66"/>
      <c r="O110" s="69"/>
      <c r="P110" s="67"/>
      <c r="Q110" s="66"/>
      <c r="R110" s="65"/>
      <c r="S110" s="70"/>
    </row>
    <row r="111" spans="1:19" ht="27" x14ac:dyDescent="0.4">
      <c r="A111" s="65"/>
      <c r="B111" s="65"/>
      <c r="C111" s="66"/>
      <c r="D111" s="66"/>
      <c r="E111" s="67"/>
      <c r="F111" s="68"/>
      <c r="G111" s="68"/>
      <c r="H111" s="66"/>
      <c r="I111" s="67"/>
      <c r="J111" s="67"/>
      <c r="K111" s="67"/>
      <c r="L111" s="66"/>
      <c r="M111" s="68"/>
      <c r="N111" s="66"/>
      <c r="O111" s="69"/>
      <c r="P111" s="67"/>
      <c r="Q111" s="66"/>
      <c r="R111" s="65"/>
      <c r="S111" s="70"/>
    </row>
    <row r="112" spans="1:19" ht="27" x14ac:dyDescent="0.4">
      <c r="A112" s="65"/>
      <c r="B112" s="65"/>
      <c r="C112" s="66"/>
      <c r="D112" s="66"/>
      <c r="E112" s="67"/>
      <c r="F112" s="68"/>
      <c r="G112" s="68"/>
      <c r="H112" s="66"/>
      <c r="I112" s="67"/>
      <c r="J112" s="67"/>
      <c r="K112" s="67"/>
      <c r="L112" s="66"/>
      <c r="M112" s="68"/>
      <c r="N112" s="66"/>
      <c r="O112" s="69"/>
      <c r="P112" s="67"/>
      <c r="Q112" s="66"/>
      <c r="R112" s="65"/>
      <c r="S112" s="70"/>
    </row>
    <row r="113" spans="1:19" ht="27" x14ac:dyDescent="0.4">
      <c r="A113" s="65"/>
      <c r="B113" s="65"/>
      <c r="C113" s="66"/>
      <c r="D113" s="66"/>
      <c r="E113" s="67"/>
      <c r="F113" s="68"/>
      <c r="G113" s="68"/>
      <c r="H113" s="66"/>
      <c r="I113" s="67"/>
      <c r="J113" s="67"/>
      <c r="K113" s="67"/>
      <c r="L113" s="66"/>
      <c r="M113" s="68"/>
      <c r="N113" s="66"/>
      <c r="O113" s="69"/>
      <c r="P113" s="67"/>
      <c r="Q113" s="66"/>
      <c r="R113" s="65"/>
      <c r="S113" s="70"/>
    </row>
    <row r="114" spans="1:19" ht="27" x14ac:dyDescent="0.4">
      <c r="A114" s="65"/>
      <c r="B114" s="65"/>
      <c r="C114" s="66"/>
      <c r="D114" s="66"/>
      <c r="E114" s="67"/>
      <c r="F114" s="68"/>
      <c r="G114" s="68"/>
      <c r="H114" s="66"/>
      <c r="I114" s="67"/>
      <c r="J114" s="67"/>
      <c r="K114" s="67"/>
      <c r="L114" s="66"/>
      <c r="M114" s="68"/>
      <c r="N114" s="66"/>
      <c r="O114" s="69"/>
      <c r="P114" s="67"/>
      <c r="Q114" s="66"/>
      <c r="R114" s="65"/>
      <c r="S114" s="70"/>
    </row>
    <row r="115" spans="1:19" ht="27" x14ac:dyDescent="0.4">
      <c r="A115" s="65"/>
      <c r="B115" s="65"/>
      <c r="C115" s="66"/>
      <c r="D115" s="66"/>
      <c r="E115" s="67"/>
      <c r="F115" s="68"/>
      <c r="G115" s="68"/>
      <c r="H115" s="66"/>
      <c r="I115" s="67"/>
      <c r="J115" s="67"/>
      <c r="K115" s="67"/>
      <c r="L115" s="66"/>
      <c r="M115" s="68"/>
      <c r="N115" s="66"/>
      <c r="O115" s="69"/>
      <c r="P115" s="67"/>
      <c r="Q115" s="66"/>
      <c r="R115" s="65"/>
      <c r="S115" s="70"/>
    </row>
    <row r="116" spans="1:19" ht="27" x14ac:dyDescent="0.4">
      <c r="A116" s="65"/>
      <c r="B116" s="65"/>
      <c r="C116" s="66"/>
      <c r="D116" s="66"/>
      <c r="E116" s="67"/>
      <c r="F116" s="68"/>
      <c r="G116" s="68"/>
      <c r="H116" s="66"/>
      <c r="I116" s="67"/>
      <c r="J116" s="67"/>
      <c r="K116" s="67"/>
      <c r="L116" s="66"/>
      <c r="M116" s="68"/>
      <c r="N116" s="66"/>
      <c r="O116" s="69"/>
      <c r="P116" s="67"/>
      <c r="Q116" s="66"/>
      <c r="R116" s="65"/>
      <c r="S116" s="70"/>
    </row>
    <row r="117" spans="1:19" ht="27" x14ac:dyDescent="0.4">
      <c r="A117" s="65"/>
      <c r="B117" s="65"/>
      <c r="C117" s="66"/>
      <c r="D117" s="66"/>
      <c r="E117" s="67"/>
      <c r="F117" s="68"/>
      <c r="G117" s="68"/>
      <c r="H117" s="66"/>
      <c r="I117" s="67"/>
      <c r="J117" s="67"/>
      <c r="K117" s="67"/>
      <c r="L117" s="66"/>
      <c r="M117" s="68"/>
      <c r="N117" s="66"/>
      <c r="O117" s="69"/>
      <c r="P117" s="67"/>
      <c r="Q117" s="66"/>
      <c r="R117" s="65"/>
      <c r="S117" s="70"/>
    </row>
    <row r="118" spans="1:19" ht="27" x14ac:dyDescent="0.4">
      <c r="A118" s="65"/>
      <c r="B118" s="65"/>
      <c r="C118" s="66"/>
      <c r="D118" s="66"/>
      <c r="E118" s="67"/>
      <c r="F118" s="68"/>
      <c r="G118" s="68"/>
      <c r="H118" s="66"/>
      <c r="I118" s="67"/>
      <c r="J118" s="67"/>
      <c r="K118" s="67"/>
      <c r="L118" s="66"/>
      <c r="M118" s="68"/>
      <c r="N118" s="66"/>
      <c r="O118" s="69"/>
      <c r="P118" s="67"/>
      <c r="Q118" s="66"/>
      <c r="R118" s="65"/>
      <c r="S118" s="70"/>
    </row>
    <row r="119" spans="1:19" ht="27" x14ac:dyDescent="0.4">
      <c r="A119" s="65"/>
      <c r="B119" s="65"/>
      <c r="C119" s="66"/>
      <c r="D119" s="66"/>
      <c r="E119" s="67"/>
      <c r="F119" s="68"/>
      <c r="G119" s="68"/>
      <c r="H119" s="66"/>
      <c r="I119" s="67"/>
      <c r="J119" s="67"/>
      <c r="K119" s="67"/>
      <c r="L119" s="66"/>
      <c r="M119" s="68"/>
      <c r="N119" s="66"/>
      <c r="O119" s="69"/>
      <c r="P119" s="67"/>
      <c r="Q119" s="66"/>
      <c r="R119" s="65"/>
      <c r="S119" s="70"/>
    </row>
    <row r="120" spans="1:19" ht="27" x14ac:dyDescent="0.4">
      <c r="A120" s="65"/>
      <c r="B120" s="65"/>
      <c r="C120" s="66"/>
      <c r="D120" s="66"/>
      <c r="E120" s="67"/>
      <c r="F120" s="68"/>
      <c r="G120" s="68"/>
      <c r="H120" s="66"/>
      <c r="I120" s="67"/>
      <c r="J120" s="67"/>
      <c r="K120" s="67"/>
      <c r="L120" s="66"/>
      <c r="M120" s="68"/>
      <c r="N120" s="66"/>
      <c r="O120" s="69"/>
      <c r="P120" s="67"/>
      <c r="Q120" s="66"/>
      <c r="R120" s="65"/>
      <c r="S120" s="70"/>
    </row>
    <row r="121" spans="1:19" ht="27" x14ac:dyDescent="0.4">
      <c r="A121" s="65"/>
      <c r="B121" s="65"/>
      <c r="C121" s="66"/>
      <c r="D121" s="66"/>
      <c r="E121" s="67"/>
      <c r="F121" s="68"/>
      <c r="G121" s="68"/>
      <c r="H121" s="66"/>
      <c r="I121" s="67"/>
      <c r="J121" s="67"/>
      <c r="K121" s="67"/>
      <c r="L121" s="66"/>
      <c r="M121" s="68"/>
      <c r="N121" s="66"/>
      <c r="O121" s="69"/>
      <c r="P121" s="67"/>
      <c r="Q121" s="66"/>
      <c r="R121" s="65"/>
      <c r="S121" s="70"/>
    </row>
    <row r="122" spans="1:19" ht="27" x14ac:dyDescent="0.4">
      <c r="A122" s="65"/>
      <c r="B122" s="65"/>
      <c r="C122" s="66"/>
      <c r="D122" s="66"/>
      <c r="E122" s="67"/>
      <c r="F122" s="68"/>
      <c r="G122" s="68"/>
      <c r="H122" s="66"/>
      <c r="I122" s="67"/>
      <c r="J122" s="67"/>
      <c r="K122" s="67"/>
      <c r="L122" s="66"/>
      <c r="M122" s="68"/>
      <c r="N122" s="66"/>
      <c r="O122" s="69"/>
      <c r="P122" s="67"/>
      <c r="Q122" s="66"/>
      <c r="R122" s="65"/>
      <c r="S122" s="70"/>
    </row>
    <row r="123" spans="1:19" ht="27" x14ac:dyDescent="0.4">
      <c r="A123" s="65"/>
      <c r="B123" s="65"/>
      <c r="C123" s="66"/>
      <c r="D123" s="66"/>
      <c r="E123" s="67"/>
      <c r="F123" s="68"/>
      <c r="G123" s="68"/>
      <c r="H123" s="66"/>
      <c r="I123" s="67"/>
      <c r="J123" s="67"/>
      <c r="K123" s="67"/>
      <c r="L123" s="66"/>
      <c r="M123" s="68"/>
      <c r="N123" s="66"/>
      <c r="O123" s="69"/>
      <c r="P123" s="67"/>
      <c r="Q123" s="66"/>
      <c r="R123" s="65"/>
      <c r="S123" s="68"/>
    </row>
    <row r="124" spans="1:19" ht="27" x14ac:dyDescent="0.4">
      <c r="A124" s="65"/>
      <c r="B124" s="65"/>
      <c r="C124" s="66"/>
      <c r="D124" s="66"/>
      <c r="E124" s="67"/>
      <c r="F124" s="68"/>
      <c r="G124" s="68"/>
      <c r="H124" s="66"/>
      <c r="I124" s="67"/>
      <c r="J124" s="67"/>
      <c r="K124" s="67"/>
      <c r="L124" s="66"/>
      <c r="M124" s="68"/>
      <c r="N124" s="66"/>
      <c r="O124" s="69"/>
      <c r="P124" s="67"/>
      <c r="Q124" s="66"/>
      <c r="R124" s="65"/>
      <c r="S124" s="70"/>
    </row>
    <row r="125" spans="1:19" ht="27" x14ac:dyDescent="0.4">
      <c r="A125" s="65"/>
      <c r="B125" s="65"/>
      <c r="C125" s="66"/>
      <c r="D125" s="66"/>
      <c r="E125" s="67"/>
      <c r="F125" s="68"/>
      <c r="G125" s="68"/>
      <c r="H125" s="66"/>
      <c r="I125" s="67"/>
      <c r="J125" s="67"/>
      <c r="K125" s="67"/>
      <c r="L125" s="66"/>
      <c r="M125" s="68"/>
      <c r="N125" s="66"/>
      <c r="O125" s="69"/>
      <c r="P125" s="67"/>
      <c r="Q125" s="66"/>
      <c r="R125" s="65"/>
      <c r="S125" s="70"/>
    </row>
    <row r="126" spans="1:19" ht="27" x14ac:dyDescent="0.4">
      <c r="A126" s="65"/>
      <c r="B126" s="65"/>
      <c r="C126" s="66"/>
      <c r="D126" s="66"/>
      <c r="E126" s="67"/>
      <c r="F126" s="68"/>
      <c r="G126" s="68"/>
      <c r="H126" s="66"/>
      <c r="I126" s="67"/>
      <c r="J126" s="67"/>
      <c r="K126" s="67"/>
      <c r="L126" s="66"/>
      <c r="M126" s="68"/>
      <c r="N126" s="66"/>
      <c r="O126" s="69"/>
      <c r="P126" s="67"/>
      <c r="Q126" s="66"/>
      <c r="R126" s="65"/>
      <c r="S126" s="70"/>
    </row>
    <row r="127" spans="1:19" ht="27" x14ac:dyDescent="0.4">
      <c r="A127" s="65"/>
      <c r="B127" s="65"/>
      <c r="C127" s="66"/>
      <c r="D127" s="66"/>
      <c r="E127" s="67"/>
      <c r="F127" s="68"/>
      <c r="G127" s="68"/>
      <c r="H127" s="66"/>
      <c r="I127" s="67"/>
      <c r="J127" s="67"/>
      <c r="K127" s="67"/>
      <c r="L127" s="66"/>
      <c r="M127" s="68"/>
      <c r="N127" s="66"/>
      <c r="O127" s="69"/>
      <c r="P127" s="67"/>
      <c r="Q127" s="66"/>
      <c r="R127" s="65"/>
      <c r="S127" s="70"/>
    </row>
    <row r="128" spans="1:19" ht="27" x14ac:dyDescent="0.4">
      <c r="A128" s="65"/>
      <c r="B128" s="65"/>
      <c r="C128" s="66"/>
      <c r="D128" s="66"/>
      <c r="E128" s="67"/>
      <c r="F128" s="68"/>
      <c r="G128" s="68"/>
      <c r="H128" s="66"/>
      <c r="I128" s="67"/>
      <c r="J128" s="67"/>
      <c r="K128" s="67"/>
      <c r="L128" s="66"/>
      <c r="M128" s="68"/>
      <c r="N128" s="66"/>
      <c r="O128" s="69"/>
      <c r="P128" s="67"/>
      <c r="Q128" s="66"/>
      <c r="R128" s="65"/>
      <c r="S128" s="68"/>
    </row>
    <row r="129" spans="1:19" ht="27" x14ac:dyDescent="0.4">
      <c r="A129" s="65"/>
      <c r="B129" s="65"/>
      <c r="C129" s="66"/>
      <c r="D129" s="66"/>
      <c r="E129" s="67"/>
      <c r="F129" s="68"/>
      <c r="G129" s="68"/>
      <c r="H129" s="66"/>
      <c r="I129" s="67"/>
      <c r="J129" s="67"/>
      <c r="K129" s="67"/>
      <c r="L129" s="66"/>
      <c r="M129" s="68"/>
      <c r="N129" s="66"/>
      <c r="O129" s="69"/>
      <c r="P129" s="67"/>
      <c r="Q129" s="66"/>
      <c r="R129" s="65"/>
      <c r="S129" s="68"/>
    </row>
    <row r="130" spans="1:19" ht="27" x14ac:dyDescent="0.4">
      <c r="A130" s="65"/>
      <c r="B130" s="65"/>
      <c r="C130" s="66"/>
      <c r="D130" s="66"/>
      <c r="E130" s="67"/>
      <c r="F130" s="68"/>
      <c r="G130" s="68"/>
      <c r="H130" s="66"/>
      <c r="I130" s="67"/>
      <c r="J130" s="67"/>
      <c r="K130" s="67"/>
      <c r="L130" s="66"/>
      <c r="M130" s="68"/>
      <c r="N130" s="66"/>
      <c r="O130" s="69"/>
      <c r="P130" s="67"/>
      <c r="Q130" s="66"/>
      <c r="R130" s="65"/>
      <c r="S130" s="68"/>
    </row>
    <row r="131" spans="1:19" ht="27" x14ac:dyDescent="0.4">
      <c r="A131" s="65"/>
      <c r="B131" s="65"/>
      <c r="C131" s="66"/>
      <c r="D131" s="66"/>
      <c r="E131" s="67"/>
      <c r="F131" s="68"/>
      <c r="G131" s="68"/>
      <c r="H131" s="66"/>
      <c r="I131" s="67"/>
      <c r="J131" s="67"/>
      <c r="K131" s="67"/>
      <c r="L131" s="66"/>
      <c r="M131" s="68"/>
      <c r="N131" s="66"/>
      <c r="O131" s="69"/>
      <c r="P131" s="67"/>
      <c r="Q131" s="66"/>
      <c r="R131" s="65"/>
      <c r="S131" s="68"/>
    </row>
    <row r="132" spans="1:19" ht="27" x14ac:dyDescent="0.4">
      <c r="A132" s="65"/>
      <c r="B132" s="65"/>
      <c r="C132" s="66"/>
      <c r="D132" s="66"/>
      <c r="E132" s="67"/>
      <c r="F132" s="68"/>
      <c r="G132" s="68"/>
      <c r="H132" s="66"/>
      <c r="I132" s="67"/>
      <c r="J132" s="67"/>
      <c r="K132" s="67"/>
      <c r="L132" s="66"/>
      <c r="M132" s="68"/>
      <c r="N132" s="66"/>
      <c r="O132" s="69"/>
      <c r="P132" s="67"/>
      <c r="Q132" s="66"/>
      <c r="R132" s="65"/>
      <c r="S132" s="68"/>
    </row>
    <row r="133" spans="1:19" ht="27" x14ac:dyDescent="0.4">
      <c r="A133" s="65"/>
      <c r="B133" s="65"/>
      <c r="C133" s="66"/>
      <c r="D133" s="66"/>
      <c r="E133" s="67"/>
      <c r="F133" s="68"/>
      <c r="G133" s="68"/>
      <c r="H133" s="66"/>
      <c r="I133" s="67"/>
      <c r="J133" s="67"/>
      <c r="K133" s="67"/>
      <c r="L133" s="66"/>
      <c r="M133" s="68"/>
      <c r="N133" s="66"/>
      <c r="O133" s="69"/>
      <c r="P133" s="67"/>
      <c r="Q133" s="66"/>
      <c r="R133" s="65"/>
      <c r="S133" s="68"/>
    </row>
    <row r="134" spans="1:19" ht="27" x14ac:dyDescent="0.4">
      <c r="A134" s="65"/>
      <c r="B134" s="65"/>
      <c r="C134" s="66"/>
      <c r="D134" s="66"/>
      <c r="E134" s="67"/>
      <c r="F134" s="68"/>
      <c r="G134" s="68"/>
      <c r="H134" s="66"/>
      <c r="I134" s="67"/>
      <c r="J134" s="67"/>
      <c r="K134" s="67"/>
      <c r="L134" s="66"/>
      <c r="M134" s="68"/>
      <c r="N134" s="66"/>
      <c r="O134" s="69"/>
      <c r="P134" s="67"/>
      <c r="Q134" s="66"/>
      <c r="R134" s="65"/>
      <c r="S134" s="68"/>
    </row>
    <row r="135" spans="1:19" ht="27" x14ac:dyDescent="0.4">
      <c r="A135" s="65"/>
      <c r="B135" s="65"/>
      <c r="C135" s="66"/>
      <c r="D135" s="66"/>
      <c r="E135" s="67"/>
      <c r="F135" s="68"/>
      <c r="G135" s="68"/>
      <c r="H135" s="66"/>
      <c r="I135" s="67"/>
      <c r="J135" s="67"/>
      <c r="K135" s="67"/>
      <c r="L135" s="66"/>
      <c r="M135" s="68"/>
      <c r="N135" s="66"/>
      <c r="O135" s="69"/>
      <c r="P135" s="67"/>
      <c r="Q135" s="66"/>
      <c r="R135" s="65"/>
      <c r="S135" s="68"/>
    </row>
    <row r="136" spans="1:19" ht="27" x14ac:dyDescent="0.4">
      <c r="A136" s="65"/>
      <c r="B136" s="65"/>
      <c r="C136" s="66"/>
      <c r="D136" s="66"/>
      <c r="E136" s="67"/>
      <c r="F136" s="68"/>
      <c r="G136" s="68"/>
      <c r="H136" s="66"/>
      <c r="I136" s="67"/>
      <c r="J136" s="67"/>
      <c r="K136" s="67"/>
      <c r="L136" s="66"/>
      <c r="M136" s="68"/>
      <c r="N136" s="66"/>
      <c r="O136" s="69"/>
      <c r="P136" s="67"/>
      <c r="Q136" s="66"/>
      <c r="R136" s="65"/>
      <c r="S136" s="68"/>
    </row>
    <row r="137" spans="1:19" ht="27" x14ac:dyDescent="0.4">
      <c r="A137" s="65"/>
      <c r="B137" s="65"/>
      <c r="C137" s="66"/>
      <c r="D137" s="66"/>
      <c r="E137" s="67"/>
      <c r="F137" s="68"/>
      <c r="G137" s="68"/>
      <c r="H137" s="66"/>
      <c r="I137" s="67"/>
      <c r="J137" s="67"/>
      <c r="K137" s="67"/>
      <c r="L137" s="66"/>
      <c r="M137" s="68"/>
      <c r="N137" s="66"/>
      <c r="O137" s="69"/>
      <c r="P137" s="67"/>
      <c r="Q137" s="66"/>
      <c r="R137" s="65"/>
      <c r="S137" s="68"/>
    </row>
    <row r="138" spans="1:19" ht="27" x14ac:dyDescent="0.4">
      <c r="A138" s="65"/>
      <c r="B138" s="65"/>
      <c r="C138" s="66"/>
      <c r="D138" s="66"/>
      <c r="E138" s="67"/>
      <c r="F138" s="68"/>
      <c r="G138" s="68"/>
      <c r="H138" s="66"/>
      <c r="I138" s="67"/>
      <c r="J138" s="67"/>
      <c r="K138" s="67"/>
      <c r="L138" s="66"/>
      <c r="M138" s="68"/>
      <c r="N138" s="66"/>
      <c r="O138" s="69"/>
      <c r="P138" s="67"/>
      <c r="Q138" s="66"/>
      <c r="R138" s="65"/>
      <c r="S138" s="68"/>
    </row>
    <row r="139" spans="1:19" ht="27" x14ac:dyDescent="0.4">
      <c r="A139" s="65"/>
      <c r="B139" s="65"/>
      <c r="C139" s="66"/>
      <c r="D139" s="66"/>
      <c r="E139" s="67"/>
      <c r="F139" s="68"/>
      <c r="G139" s="68"/>
      <c r="H139" s="66"/>
      <c r="I139" s="67"/>
      <c r="J139" s="67"/>
      <c r="K139" s="67"/>
      <c r="L139" s="66"/>
      <c r="M139" s="68"/>
      <c r="N139" s="66"/>
      <c r="O139" s="69"/>
      <c r="P139" s="67"/>
      <c r="Q139" s="66"/>
      <c r="R139" s="65"/>
      <c r="S139" s="68"/>
    </row>
    <row r="140" spans="1:19" ht="27" x14ac:dyDescent="0.4">
      <c r="A140" s="65"/>
      <c r="B140" s="65"/>
      <c r="C140" s="66"/>
      <c r="D140" s="66"/>
      <c r="E140" s="67"/>
      <c r="F140" s="68"/>
      <c r="G140" s="68"/>
      <c r="H140" s="66"/>
      <c r="I140" s="67"/>
      <c r="J140" s="67"/>
      <c r="K140" s="67"/>
      <c r="L140" s="66"/>
      <c r="M140" s="68"/>
      <c r="N140" s="66"/>
      <c r="O140" s="69"/>
      <c r="P140" s="67"/>
      <c r="Q140" s="66"/>
      <c r="R140" s="65"/>
      <c r="S140" s="68"/>
    </row>
    <row r="141" spans="1:19" ht="27" x14ac:dyDescent="0.4">
      <c r="A141" s="65"/>
      <c r="B141" s="65"/>
      <c r="C141" s="66"/>
      <c r="D141" s="66"/>
      <c r="E141" s="67"/>
      <c r="F141" s="68"/>
      <c r="G141" s="68"/>
      <c r="H141" s="66"/>
      <c r="I141" s="67"/>
      <c r="J141" s="67"/>
      <c r="K141" s="67"/>
      <c r="L141" s="66"/>
      <c r="M141" s="68"/>
      <c r="N141" s="66"/>
      <c r="O141" s="69"/>
      <c r="P141" s="67"/>
      <c r="Q141" s="66"/>
      <c r="R141" s="65"/>
      <c r="S141" s="68"/>
    </row>
    <row r="142" spans="1:19" ht="27" x14ac:dyDescent="0.4">
      <c r="A142" s="65"/>
      <c r="B142" s="65"/>
      <c r="C142" s="66"/>
      <c r="D142" s="66"/>
      <c r="E142" s="67"/>
      <c r="F142" s="68"/>
      <c r="G142" s="68"/>
      <c r="H142" s="66"/>
      <c r="I142" s="67"/>
      <c r="J142" s="67"/>
      <c r="K142" s="67"/>
      <c r="L142" s="66"/>
      <c r="M142" s="68"/>
      <c r="N142" s="66"/>
      <c r="O142" s="69"/>
      <c r="P142" s="67"/>
      <c r="Q142" s="66"/>
      <c r="R142" s="65"/>
      <c r="S142" s="70"/>
    </row>
    <row r="143" spans="1:19" ht="27" x14ac:dyDescent="0.4">
      <c r="A143" s="65"/>
      <c r="B143" s="65"/>
      <c r="C143" s="66"/>
      <c r="D143" s="66"/>
      <c r="E143" s="67"/>
      <c r="F143" s="68"/>
      <c r="G143" s="68"/>
      <c r="H143" s="66"/>
      <c r="I143" s="67"/>
      <c r="J143" s="67"/>
      <c r="K143" s="67"/>
      <c r="L143" s="66"/>
      <c r="M143" s="68"/>
      <c r="N143" s="66"/>
      <c r="O143" s="69"/>
      <c r="P143" s="67"/>
      <c r="Q143" s="66"/>
      <c r="R143" s="65"/>
      <c r="S143" s="70"/>
    </row>
    <row r="144" spans="1:19" ht="27" x14ac:dyDescent="0.4">
      <c r="A144" s="65"/>
      <c r="B144" s="65"/>
      <c r="C144" s="66"/>
      <c r="D144" s="66"/>
      <c r="E144" s="67"/>
      <c r="F144" s="68"/>
      <c r="G144" s="68"/>
      <c r="H144" s="66"/>
      <c r="I144" s="67"/>
      <c r="J144" s="67"/>
      <c r="K144" s="67"/>
      <c r="L144" s="66"/>
      <c r="M144" s="68"/>
      <c r="N144" s="66"/>
      <c r="O144" s="69"/>
      <c r="P144" s="67"/>
      <c r="Q144" s="66"/>
      <c r="R144" s="65"/>
      <c r="S144" s="68"/>
    </row>
    <row r="145" spans="1:19" ht="27" x14ac:dyDescent="0.4">
      <c r="A145" s="65"/>
      <c r="B145" s="65"/>
      <c r="C145" s="66"/>
      <c r="D145" s="66"/>
      <c r="E145" s="67"/>
      <c r="F145" s="68"/>
      <c r="G145" s="68"/>
      <c r="H145" s="66"/>
      <c r="I145" s="67"/>
      <c r="J145" s="67"/>
      <c r="K145" s="67"/>
      <c r="L145" s="66"/>
      <c r="M145" s="68"/>
      <c r="N145" s="66"/>
      <c r="O145" s="69"/>
      <c r="P145" s="67"/>
      <c r="Q145" s="66"/>
      <c r="R145" s="65"/>
      <c r="S145" s="68"/>
    </row>
    <row r="146" spans="1:19" ht="27" x14ac:dyDescent="0.4">
      <c r="A146" s="65"/>
      <c r="B146" s="65"/>
      <c r="C146" s="66"/>
      <c r="D146" s="66"/>
      <c r="E146" s="67"/>
      <c r="F146" s="68"/>
      <c r="G146" s="68"/>
      <c r="H146" s="66"/>
      <c r="I146" s="67"/>
      <c r="J146" s="67"/>
      <c r="K146" s="67"/>
      <c r="L146" s="66"/>
      <c r="M146" s="68"/>
      <c r="N146" s="66"/>
      <c r="O146" s="69"/>
      <c r="P146" s="67"/>
      <c r="Q146" s="66"/>
      <c r="R146" s="65"/>
      <c r="S146" s="68"/>
    </row>
    <row r="147" spans="1:19" ht="27" x14ac:dyDescent="0.4">
      <c r="A147" s="65"/>
      <c r="B147" s="65"/>
      <c r="C147" s="66"/>
      <c r="D147" s="66"/>
      <c r="E147" s="67"/>
      <c r="F147" s="68"/>
      <c r="G147" s="68"/>
      <c r="H147" s="66"/>
      <c r="I147" s="67"/>
      <c r="J147" s="67"/>
      <c r="K147" s="67"/>
      <c r="L147" s="66"/>
      <c r="M147" s="68"/>
      <c r="N147" s="66"/>
      <c r="O147" s="69"/>
      <c r="P147" s="67"/>
      <c r="Q147" s="66"/>
      <c r="R147" s="65"/>
      <c r="S147" s="68"/>
    </row>
    <row r="148" spans="1:19" ht="27" x14ac:dyDescent="0.4">
      <c r="A148" s="65"/>
      <c r="B148" s="65"/>
      <c r="C148" s="66"/>
      <c r="D148" s="66"/>
      <c r="E148" s="67"/>
      <c r="F148" s="68"/>
      <c r="G148" s="68"/>
      <c r="H148" s="66"/>
      <c r="I148" s="67"/>
      <c r="J148" s="67"/>
      <c r="K148" s="67"/>
      <c r="L148" s="66"/>
      <c r="M148" s="68"/>
      <c r="N148" s="66"/>
      <c r="O148" s="69"/>
      <c r="P148" s="67"/>
      <c r="Q148" s="66"/>
      <c r="R148" s="65"/>
      <c r="S148" s="68"/>
    </row>
    <row r="149" spans="1:19" ht="27" x14ac:dyDescent="0.4">
      <c r="A149" s="65"/>
      <c r="B149" s="65"/>
      <c r="C149" s="66"/>
      <c r="D149" s="66"/>
      <c r="E149" s="67"/>
      <c r="F149" s="68"/>
      <c r="G149" s="68"/>
      <c r="H149" s="66"/>
      <c r="I149" s="67"/>
      <c r="J149" s="67"/>
      <c r="K149" s="67"/>
      <c r="L149" s="66"/>
      <c r="M149" s="68"/>
      <c r="N149" s="66"/>
      <c r="O149" s="69"/>
      <c r="P149" s="67"/>
      <c r="Q149" s="66"/>
      <c r="R149" s="65"/>
      <c r="S149" s="68"/>
    </row>
    <row r="150" spans="1:19" ht="27" x14ac:dyDescent="0.4">
      <c r="A150" s="65"/>
      <c r="B150" s="65"/>
      <c r="C150" s="66"/>
      <c r="D150" s="66"/>
      <c r="E150" s="67"/>
      <c r="F150" s="68"/>
      <c r="G150" s="68"/>
      <c r="H150" s="66"/>
      <c r="I150" s="67"/>
      <c r="J150" s="67"/>
      <c r="K150" s="67"/>
      <c r="L150" s="66"/>
      <c r="M150" s="68"/>
      <c r="N150" s="66"/>
      <c r="O150" s="69"/>
      <c r="P150" s="67"/>
      <c r="Q150" s="66"/>
      <c r="R150" s="65"/>
      <c r="S150" s="68"/>
    </row>
    <row r="151" spans="1:19" ht="27" x14ac:dyDescent="0.4">
      <c r="A151" s="65"/>
      <c r="B151" s="65"/>
      <c r="C151" s="66"/>
      <c r="D151" s="66"/>
      <c r="E151" s="67"/>
      <c r="F151" s="68"/>
      <c r="G151" s="68"/>
      <c r="H151" s="66"/>
      <c r="I151" s="67"/>
      <c r="J151" s="67"/>
      <c r="K151" s="67"/>
      <c r="L151" s="66"/>
      <c r="M151" s="68"/>
      <c r="N151" s="66"/>
      <c r="O151" s="69"/>
      <c r="P151" s="67"/>
      <c r="Q151" s="66"/>
      <c r="R151" s="65"/>
      <c r="S151" s="68"/>
    </row>
    <row r="152" spans="1:19" ht="27" x14ac:dyDescent="0.4">
      <c r="A152" s="65"/>
      <c r="B152" s="65"/>
      <c r="C152" s="66"/>
      <c r="D152" s="66"/>
      <c r="E152" s="67"/>
      <c r="F152" s="68"/>
      <c r="G152" s="68"/>
      <c r="H152" s="66"/>
      <c r="I152" s="67"/>
      <c r="J152" s="67"/>
      <c r="K152" s="67"/>
      <c r="L152" s="66"/>
      <c r="M152" s="68"/>
      <c r="N152" s="66"/>
      <c r="O152" s="69"/>
      <c r="P152" s="67"/>
      <c r="Q152" s="66"/>
      <c r="R152" s="65"/>
      <c r="S152" s="68"/>
    </row>
    <row r="153" spans="1:19" ht="27" x14ac:dyDescent="0.4">
      <c r="A153" s="65"/>
      <c r="B153" s="65"/>
      <c r="C153" s="66"/>
      <c r="D153" s="66"/>
      <c r="E153" s="67"/>
      <c r="F153" s="68"/>
      <c r="G153" s="68"/>
      <c r="H153" s="66"/>
      <c r="I153" s="67"/>
      <c r="J153" s="67"/>
      <c r="K153" s="67"/>
      <c r="L153" s="66"/>
      <c r="M153" s="68"/>
      <c r="N153" s="66"/>
      <c r="O153" s="69"/>
      <c r="P153" s="67"/>
      <c r="Q153" s="66"/>
      <c r="R153" s="65"/>
      <c r="S153" s="68"/>
    </row>
    <row r="154" spans="1:19" ht="27" x14ac:dyDescent="0.4">
      <c r="A154" s="65"/>
      <c r="B154" s="65"/>
      <c r="C154" s="66"/>
      <c r="D154" s="66"/>
      <c r="E154" s="67"/>
      <c r="F154" s="68"/>
      <c r="G154" s="68"/>
      <c r="H154" s="66"/>
      <c r="I154" s="67"/>
      <c r="J154" s="67"/>
      <c r="K154" s="67"/>
      <c r="L154" s="66"/>
      <c r="M154" s="68"/>
      <c r="N154" s="66"/>
      <c r="O154" s="69"/>
      <c r="P154" s="67"/>
      <c r="Q154" s="66"/>
      <c r="R154" s="65"/>
      <c r="S154" s="68"/>
    </row>
    <row r="155" spans="1:19" ht="27" x14ac:dyDescent="0.4">
      <c r="A155" s="65"/>
      <c r="B155" s="65"/>
      <c r="C155" s="66"/>
      <c r="D155" s="66"/>
      <c r="E155" s="67"/>
      <c r="F155" s="68"/>
      <c r="G155" s="68"/>
      <c r="H155" s="66"/>
      <c r="I155" s="67"/>
      <c r="J155" s="67"/>
      <c r="K155" s="67"/>
      <c r="L155" s="66"/>
      <c r="M155" s="68"/>
      <c r="N155" s="66"/>
      <c r="O155" s="69"/>
      <c r="P155" s="67"/>
      <c r="Q155" s="66"/>
      <c r="R155" s="65"/>
      <c r="S155" s="68"/>
    </row>
    <row r="156" spans="1:19" ht="27" x14ac:dyDescent="0.4">
      <c r="A156" s="65"/>
      <c r="B156" s="65"/>
      <c r="C156" s="66"/>
      <c r="D156" s="66"/>
      <c r="E156" s="67"/>
      <c r="F156" s="68"/>
      <c r="G156" s="68"/>
      <c r="H156" s="66"/>
      <c r="I156" s="67"/>
      <c r="J156" s="67"/>
      <c r="K156" s="67"/>
      <c r="L156" s="66"/>
      <c r="M156" s="68"/>
      <c r="N156" s="66"/>
      <c r="O156" s="69"/>
      <c r="P156" s="67"/>
      <c r="Q156" s="66"/>
      <c r="R156" s="65"/>
      <c r="S156" s="68"/>
    </row>
    <row r="157" spans="1:19" ht="27" x14ac:dyDescent="0.4">
      <c r="A157" s="65"/>
      <c r="B157" s="65"/>
      <c r="C157" s="66"/>
      <c r="D157" s="66"/>
      <c r="E157" s="67"/>
      <c r="F157" s="68"/>
      <c r="G157" s="68"/>
      <c r="H157" s="66"/>
      <c r="I157" s="67"/>
      <c r="J157" s="67"/>
      <c r="K157" s="67"/>
      <c r="L157" s="66"/>
      <c r="M157" s="68"/>
      <c r="N157" s="66"/>
      <c r="O157" s="69"/>
      <c r="P157" s="67"/>
      <c r="Q157" s="66"/>
      <c r="R157" s="65"/>
      <c r="S157" s="68"/>
    </row>
    <row r="158" spans="1:19" ht="27" x14ac:dyDescent="0.4">
      <c r="A158" s="65"/>
      <c r="B158" s="65"/>
      <c r="C158" s="66"/>
      <c r="D158" s="66"/>
      <c r="E158" s="67"/>
      <c r="F158" s="68"/>
      <c r="G158" s="68"/>
      <c r="H158" s="66"/>
      <c r="I158" s="67"/>
      <c r="J158" s="67"/>
      <c r="K158" s="67"/>
      <c r="L158" s="66"/>
      <c r="M158" s="68"/>
      <c r="N158" s="66"/>
      <c r="O158" s="69"/>
      <c r="P158" s="67"/>
      <c r="Q158" s="66"/>
      <c r="R158" s="65"/>
      <c r="S158" s="68"/>
    </row>
    <row r="159" spans="1:19" ht="27" x14ac:dyDescent="0.4">
      <c r="A159" s="65"/>
      <c r="B159" s="65"/>
      <c r="C159" s="66"/>
      <c r="D159" s="66"/>
      <c r="E159" s="67"/>
      <c r="F159" s="68"/>
      <c r="G159" s="68"/>
      <c r="H159" s="66"/>
      <c r="I159" s="67"/>
      <c r="J159" s="67"/>
      <c r="K159" s="67"/>
      <c r="L159" s="66"/>
      <c r="M159" s="68"/>
      <c r="N159" s="66"/>
      <c r="O159" s="69"/>
      <c r="P159" s="67"/>
      <c r="Q159" s="66"/>
      <c r="R159" s="65"/>
      <c r="S159" s="68"/>
    </row>
    <row r="160" spans="1:19" ht="27" x14ac:dyDescent="0.4">
      <c r="A160" s="65"/>
      <c r="B160" s="65"/>
      <c r="C160" s="66"/>
      <c r="D160" s="66"/>
      <c r="E160" s="67"/>
      <c r="F160" s="68"/>
      <c r="G160" s="68"/>
      <c r="H160" s="66"/>
      <c r="I160" s="67"/>
      <c r="J160" s="67"/>
      <c r="K160" s="67"/>
      <c r="L160" s="66"/>
      <c r="M160" s="68"/>
      <c r="N160" s="66"/>
      <c r="O160" s="69"/>
      <c r="P160" s="67"/>
      <c r="Q160" s="66"/>
      <c r="R160" s="65"/>
      <c r="S160" s="68"/>
    </row>
    <row r="161" spans="1:19" ht="27" x14ac:dyDescent="0.4">
      <c r="A161" s="65"/>
      <c r="B161" s="65"/>
      <c r="C161" s="66"/>
      <c r="D161" s="66"/>
      <c r="E161" s="67"/>
      <c r="F161" s="68"/>
      <c r="G161" s="68"/>
      <c r="H161" s="66"/>
      <c r="I161" s="67"/>
      <c r="J161" s="67"/>
      <c r="K161" s="67"/>
      <c r="L161" s="66"/>
      <c r="M161" s="68"/>
      <c r="N161" s="66"/>
      <c r="O161" s="69"/>
      <c r="P161" s="67"/>
      <c r="Q161" s="66"/>
      <c r="R161" s="65"/>
      <c r="S161" s="68"/>
    </row>
    <row r="162" spans="1:19" ht="27" x14ac:dyDescent="0.4">
      <c r="A162" s="65"/>
      <c r="B162" s="65"/>
      <c r="C162" s="66"/>
      <c r="D162" s="66"/>
      <c r="E162" s="67"/>
      <c r="F162" s="68"/>
      <c r="G162" s="68"/>
      <c r="H162" s="66"/>
      <c r="I162" s="67"/>
      <c r="J162" s="67"/>
      <c r="K162" s="67"/>
      <c r="L162" s="66"/>
      <c r="M162" s="68"/>
      <c r="N162" s="66"/>
      <c r="O162" s="69"/>
      <c r="P162" s="67"/>
      <c r="Q162" s="66"/>
      <c r="R162" s="65"/>
      <c r="S162" s="68"/>
    </row>
    <row r="163" spans="1:19" ht="27" x14ac:dyDescent="0.4">
      <c r="A163" s="65"/>
      <c r="B163" s="65"/>
      <c r="C163" s="66"/>
      <c r="D163" s="66"/>
      <c r="E163" s="67"/>
      <c r="F163" s="68"/>
      <c r="G163" s="68"/>
      <c r="H163" s="66"/>
      <c r="I163" s="67"/>
      <c r="J163" s="67"/>
      <c r="K163" s="67"/>
      <c r="L163" s="66"/>
      <c r="M163" s="68"/>
      <c r="N163" s="66"/>
      <c r="O163" s="69"/>
      <c r="P163" s="67"/>
      <c r="Q163" s="66"/>
      <c r="R163" s="65"/>
      <c r="S163" s="68"/>
    </row>
    <row r="164" spans="1:19" ht="27" x14ac:dyDescent="0.4">
      <c r="A164" s="65"/>
      <c r="B164" s="65"/>
      <c r="C164" s="66"/>
      <c r="D164" s="66"/>
      <c r="E164" s="67"/>
      <c r="F164" s="68"/>
      <c r="G164" s="68"/>
      <c r="H164" s="66"/>
      <c r="I164" s="67"/>
      <c r="J164" s="67"/>
      <c r="K164" s="67"/>
      <c r="L164" s="66"/>
      <c r="M164" s="68"/>
      <c r="N164" s="66"/>
      <c r="O164" s="69"/>
      <c r="P164" s="67"/>
      <c r="Q164" s="66"/>
      <c r="R164" s="65"/>
      <c r="S164" s="68"/>
    </row>
    <row r="165" spans="1:19" ht="27" x14ac:dyDescent="0.4">
      <c r="A165" s="65"/>
      <c r="B165" s="65"/>
      <c r="C165" s="66"/>
      <c r="D165" s="66"/>
      <c r="E165" s="67"/>
      <c r="F165" s="68"/>
      <c r="G165" s="68"/>
      <c r="H165" s="66"/>
      <c r="I165" s="67"/>
      <c r="J165" s="67"/>
      <c r="K165" s="67"/>
      <c r="L165" s="66"/>
      <c r="M165" s="68"/>
      <c r="N165" s="66"/>
      <c r="O165" s="69"/>
      <c r="P165" s="67"/>
      <c r="Q165" s="66"/>
      <c r="R165" s="65"/>
      <c r="S165" s="68"/>
    </row>
    <row r="166" spans="1:19" ht="27" x14ac:dyDescent="0.4">
      <c r="A166" s="65"/>
      <c r="B166" s="65"/>
      <c r="C166" s="66"/>
      <c r="D166" s="66"/>
      <c r="E166" s="67"/>
      <c r="F166" s="68"/>
      <c r="G166" s="68"/>
      <c r="H166" s="66"/>
      <c r="I166" s="67"/>
      <c r="J166" s="67"/>
      <c r="K166" s="67"/>
      <c r="L166" s="66"/>
      <c r="M166" s="68"/>
      <c r="N166" s="66"/>
      <c r="O166" s="69"/>
      <c r="P166" s="67"/>
      <c r="Q166" s="66"/>
      <c r="R166" s="65"/>
      <c r="S166" s="68"/>
    </row>
    <row r="167" spans="1:19" ht="27" x14ac:dyDescent="0.4">
      <c r="A167" s="65"/>
      <c r="B167" s="65"/>
      <c r="C167" s="66"/>
      <c r="D167" s="66"/>
      <c r="E167" s="67"/>
      <c r="F167" s="68"/>
      <c r="G167" s="68"/>
      <c r="H167" s="66"/>
      <c r="I167" s="67"/>
      <c r="J167" s="67"/>
      <c r="K167" s="67"/>
      <c r="L167" s="66"/>
      <c r="M167" s="68"/>
      <c r="N167" s="66"/>
      <c r="O167" s="69"/>
      <c r="P167" s="67"/>
      <c r="Q167" s="66"/>
      <c r="R167" s="65"/>
      <c r="S167" s="68"/>
    </row>
    <row r="168" spans="1:19" ht="27" x14ac:dyDescent="0.4">
      <c r="A168" s="65"/>
      <c r="B168" s="65"/>
      <c r="C168" s="66"/>
      <c r="D168" s="66"/>
      <c r="E168" s="67"/>
      <c r="F168" s="68"/>
      <c r="G168" s="68"/>
      <c r="H168" s="66"/>
      <c r="I168" s="67"/>
      <c r="J168" s="67"/>
      <c r="K168" s="67"/>
      <c r="L168" s="66"/>
      <c r="M168" s="68"/>
      <c r="N168" s="66"/>
      <c r="O168" s="69"/>
      <c r="P168" s="67"/>
      <c r="Q168" s="66"/>
      <c r="R168" s="65"/>
      <c r="S168" s="70"/>
    </row>
    <row r="169" spans="1:19" ht="27" x14ac:dyDescent="0.4">
      <c r="A169" s="65"/>
      <c r="B169" s="65"/>
      <c r="C169" s="66"/>
      <c r="D169" s="66"/>
      <c r="E169" s="67"/>
      <c r="F169" s="68"/>
      <c r="G169" s="68"/>
      <c r="H169" s="66"/>
      <c r="I169" s="67"/>
      <c r="J169" s="67"/>
      <c r="K169" s="67"/>
      <c r="L169" s="66"/>
      <c r="M169" s="68"/>
      <c r="N169" s="66"/>
      <c r="O169" s="69"/>
      <c r="P169" s="67"/>
      <c r="Q169" s="66"/>
      <c r="R169" s="65"/>
      <c r="S169" s="70"/>
    </row>
    <row r="170" spans="1:19" ht="27" x14ac:dyDescent="0.4">
      <c r="A170" s="65"/>
      <c r="B170" s="65"/>
      <c r="C170" s="66"/>
      <c r="D170" s="66"/>
      <c r="E170" s="67"/>
      <c r="F170" s="68"/>
      <c r="G170" s="68"/>
      <c r="H170" s="66"/>
      <c r="I170" s="67"/>
      <c r="J170" s="67"/>
      <c r="K170" s="67"/>
      <c r="L170" s="66"/>
      <c r="M170" s="68"/>
      <c r="N170" s="66"/>
      <c r="O170" s="69"/>
      <c r="P170" s="67"/>
      <c r="Q170" s="66"/>
      <c r="R170" s="65"/>
      <c r="S170" s="70"/>
    </row>
    <row r="171" spans="1:19" ht="27" x14ac:dyDescent="0.4">
      <c r="A171" s="65"/>
      <c r="B171" s="65"/>
      <c r="C171" s="66"/>
      <c r="D171" s="66"/>
      <c r="E171" s="67"/>
      <c r="F171" s="68"/>
      <c r="G171" s="68"/>
      <c r="H171" s="66"/>
      <c r="I171" s="67"/>
      <c r="J171" s="67"/>
      <c r="K171" s="67"/>
      <c r="L171" s="66"/>
      <c r="M171" s="68"/>
      <c r="N171" s="66"/>
      <c r="O171" s="69"/>
      <c r="P171" s="67"/>
      <c r="Q171" s="66"/>
      <c r="R171" s="65"/>
      <c r="S171" s="70"/>
    </row>
    <row r="172" spans="1:19" ht="27" x14ac:dyDescent="0.4">
      <c r="A172" s="65"/>
      <c r="B172" s="65"/>
      <c r="C172" s="66"/>
      <c r="D172" s="66"/>
      <c r="E172" s="67"/>
      <c r="F172" s="68"/>
      <c r="G172" s="68"/>
      <c r="H172" s="66"/>
      <c r="I172" s="67"/>
      <c r="J172" s="67"/>
      <c r="K172" s="67"/>
      <c r="L172" s="66"/>
      <c r="M172" s="68"/>
      <c r="N172" s="66"/>
      <c r="O172" s="69"/>
      <c r="P172" s="67"/>
      <c r="Q172" s="66"/>
      <c r="R172" s="65"/>
      <c r="S172" s="70"/>
    </row>
    <row r="173" spans="1:19" ht="27" x14ac:dyDescent="0.4">
      <c r="A173" s="65"/>
      <c r="B173" s="65"/>
      <c r="C173" s="66"/>
      <c r="D173" s="66"/>
      <c r="E173" s="67"/>
      <c r="F173" s="68"/>
      <c r="G173" s="68"/>
      <c r="H173" s="66"/>
      <c r="I173" s="67"/>
      <c r="J173" s="67"/>
      <c r="K173" s="67"/>
      <c r="L173" s="66"/>
      <c r="M173" s="68"/>
      <c r="N173" s="66"/>
      <c r="O173" s="69"/>
      <c r="P173" s="67"/>
      <c r="Q173" s="66"/>
      <c r="R173" s="65"/>
      <c r="S173" s="70"/>
    </row>
    <row r="174" spans="1:19" ht="27" x14ac:dyDescent="0.4">
      <c r="A174" s="65"/>
      <c r="B174" s="65"/>
      <c r="C174" s="66"/>
      <c r="D174" s="66"/>
      <c r="E174" s="67"/>
      <c r="F174" s="68"/>
      <c r="G174" s="68"/>
      <c r="H174" s="66"/>
      <c r="I174" s="67"/>
      <c r="J174" s="67"/>
      <c r="K174" s="67"/>
      <c r="L174" s="66"/>
      <c r="M174" s="68"/>
      <c r="N174" s="66"/>
      <c r="O174" s="69"/>
      <c r="P174" s="67"/>
      <c r="Q174" s="66"/>
      <c r="R174" s="65"/>
      <c r="S174" s="70"/>
    </row>
    <row r="175" spans="1:19" ht="27" x14ac:dyDescent="0.4">
      <c r="A175" s="65"/>
      <c r="B175" s="65"/>
      <c r="C175" s="66"/>
      <c r="D175" s="66"/>
      <c r="E175" s="67"/>
      <c r="F175" s="68"/>
      <c r="G175" s="68"/>
      <c r="H175" s="66"/>
      <c r="I175" s="67"/>
      <c r="J175" s="67"/>
      <c r="K175" s="67"/>
      <c r="L175" s="66"/>
      <c r="M175" s="68"/>
      <c r="N175" s="66"/>
      <c r="O175" s="69"/>
      <c r="P175" s="67"/>
      <c r="Q175" s="66"/>
      <c r="R175" s="65"/>
      <c r="S175" s="70"/>
    </row>
    <row r="176" spans="1:19" ht="27" x14ac:dyDescent="0.4">
      <c r="A176" s="65"/>
      <c r="B176" s="65"/>
      <c r="C176" s="66"/>
      <c r="D176" s="66"/>
      <c r="E176" s="67"/>
      <c r="F176" s="68"/>
      <c r="G176" s="68"/>
      <c r="H176" s="66"/>
      <c r="I176" s="67"/>
      <c r="J176" s="67"/>
      <c r="K176" s="67"/>
      <c r="L176" s="66"/>
      <c r="M176" s="68"/>
      <c r="N176" s="66"/>
      <c r="O176" s="69"/>
      <c r="P176" s="67"/>
      <c r="Q176" s="66"/>
      <c r="R176" s="65"/>
      <c r="S176" s="70"/>
    </row>
    <row r="177" spans="1:19" ht="27" x14ac:dyDescent="0.4">
      <c r="A177" s="65"/>
      <c r="B177" s="65"/>
      <c r="C177" s="66"/>
      <c r="D177" s="66"/>
      <c r="E177" s="67"/>
      <c r="F177" s="68"/>
      <c r="G177" s="68"/>
      <c r="H177" s="66"/>
      <c r="I177" s="67"/>
      <c r="J177" s="67"/>
      <c r="K177" s="67"/>
      <c r="L177" s="66"/>
      <c r="M177" s="68"/>
      <c r="N177" s="66"/>
      <c r="O177" s="69"/>
      <c r="P177" s="67"/>
      <c r="Q177" s="66"/>
      <c r="R177" s="65"/>
      <c r="S177" s="70"/>
    </row>
    <row r="178" spans="1:19" ht="27" x14ac:dyDescent="0.4">
      <c r="A178" s="65"/>
      <c r="B178" s="65"/>
      <c r="C178" s="66"/>
      <c r="D178" s="66"/>
      <c r="E178" s="67"/>
      <c r="F178" s="68"/>
      <c r="G178" s="68"/>
      <c r="H178" s="66"/>
      <c r="I178" s="67"/>
      <c r="J178" s="67"/>
      <c r="K178" s="67"/>
      <c r="L178" s="66"/>
      <c r="M178" s="68"/>
      <c r="N178" s="66"/>
      <c r="O178" s="69"/>
      <c r="P178" s="67"/>
      <c r="Q178" s="66"/>
      <c r="R178" s="65"/>
      <c r="S178" s="70"/>
    </row>
    <row r="179" spans="1:19" ht="27" x14ac:dyDescent="0.4">
      <c r="A179" s="65"/>
      <c r="B179" s="65"/>
      <c r="C179" s="66"/>
      <c r="D179" s="66"/>
      <c r="E179" s="67"/>
      <c r="F179" s="68"/>
      <c r="G179" s="68"/>
      <c r="H179" s="66"/>
      <c r="I179" s="67"/>
      <c r="J179" s="67"/>
      <c r="K179" s="67"/>
      <c r="L179" s="66"/>
      <c r="M179" s="68"/>
      <c r="N179" s="66"/>
      <c r="O179" s="69"/>
      <c r="P179" s="67"/>
      <c r="Q179" s="66"/>
      <c r="R179" s="65"/>
      <c r="S179" s="70"/>
    </row>
    <row r="180" spans="1:19" ht="27" x14ac:dyDescent="0.4">
      <c r="A180" s="65"/>
      <c r="B180" s="65"/>
      <c r="C180" s="66"/>
      <c r="D180" s="66"/>
      <c r="E180" s="67"/>
      <c r="F180" s="68"/>
      <c r="G180" s="68"/>
      <c r="H180" s="66"/>
      <c r="I180" s="67"/>
      <c r="J180" s="67"/>
      <c r="K180" s="67"/>
      <c r="L180" s="66"/>
      <c r="M180" s="68"/>
      <c r="N180" s="66"/>
      <c r="O180" s="69"/>
      <c r="P180" s="67"/>
      <c r="Q180" s="66"/>
      <c r="R180" s="65"/>
      <c r="S180" s="70"/>
    </row>
    <row r="181" spans="1:19" ht="27" x14ac:dyDescent="0.4">
      <c r="A181" s="65"/>
      <c r="B181" s="65"/>
      <c r="C181" s="66"/>
      <c r="D181" s="66"/>
      <c r="E181" s="67"/>
      <c r="F181" s="68"/>
      <c r="G181" s="68"/>
      <c r="H181" s="66"/>
      <c r="I181" s="67"/>
      <c r="J181" s="67"/>
      <c r="K181" s="67"/>
      <c r="L181" s="66"/>
      <c r="M181" s="68"/>
      <c r="N181" s="66"/>
      <c r="O181" s="69"/>
      <c r="P181" s="67"/>
      <c r="Q181" s="66"/>
      <c r="R181" s="65"/>
      <c r="S181" s="70"/>
    </row>
    <row r="182" spans="1:19" ht="27" x14ac:dyDescent="0.4">
      <c r="A182" s="65"/>
      <c r="B182" s="65"/>
      <c r="C182" s="66"/>
      <c r="D182" s="66"/>
      <c r="E182" s="67"/>
      <c r="F182" s="68"/>
      <c r="G182" s="68"/>
      <c r="H182" s="66"/>
      <c r="I182" s="67"/>
      <c r="J182" s="67"/>
      <c r="K182" s="67"/>
      <c r="L182" s="66"/>
      <c r="M182" s="68"/>
      <c r="N182" s="66"/>
      <c r="O182" s="69"/>
      <c r="P182" s="67"/>
      <c r="Q182" s="66"/>
      <c r="R182" s="65"/>
      <c r="S182" s="68"/>
    </row>
    <row r="183" spans="1:19" ht="27" x14ac:dyDescent="0.4">
      <c r="A183" s="65"/>
      <c r="B183" s="65"/>
      <c r="C183" s="66"/>
      <c r="D183" s="66"/>
      <c r="E183" s="67"/>
      <c r="F183" s="68"/>
      <c r="G183" s="68"/>
      <c r="H183" s="66"/>
      <c r="I183" s="67"/>
      <c r="J183" s="67"/>
      <c r="K183" s="67"/>
      <c r="L183" s="66"/>
      <c r="M183" s="68"/>
      <c r="N183" s="66"/>
      <c r="O183" s="69"/>
      <c r="P183" s="67"/>
      <c r="Q183" s="66"/>
      <c r="R183" s="65"/>
      <c r="S183" s="70"/>
    </row>
    <row r="184" spans="1:19" ht="27" x14ac:dyDescent="0.4">
      <c r="A184" s="65"/>
      <c r="B184" s="65"/>
      <c r="C184" s="66"/>
      <c r="D184" s="66"/>
      <c r="E184" s="67"/>
      <c r="F184" s="68"/>
      <c r="G184" s="68"/>
      <c r="H184" s="66"/>
      <c r="I184" s="67"/>
      <c r="J184" s="67"/>
      <c r="K184" s="67"/>
      <c r="L184" s="66"/>
      <c r="M184" s="68"/>
      <c r="N184" s="66"/>
      <c r="O184" s="69"/>
      <c r="P184" s="67"/>
      <c r="Q184" s="66"/>
      <c r="R184" s="65"/>
      <c r="S184" s="70"/>
    </row>
    <row r="185" spans="1:19" ht="27" x14ac:dyDescent="0.4">
      <c r="A185" s="65"/>
      <c r="B185" s="65"/>
      <c r="C185" s="66"/>
      <c r="D185" s="66"/>
      <c r="E185" s="67"/>
      <c r="F185" s="68"/>
      <c r="G185" s="68"/>
      <c r="H185" s="66"/>
      <c r="I185" s="67"/>
      <c r="J185" s="67"/>
      <c r="K185" s="67"/>
      <c r="L185" s="66"/>
      <c r="M185" s="68"/>
      <c r="N185" s="66"/>
      <c r="O185" s="69"/>
      <c r="P185" s="67"/>
      <c r="Q185" s="66"/>
      <c r="R185" s="65"/>
      <c r="S185" s="68"/>
    </row>
    <row r="186" spans="1:19" ht="27" x14ac:dyDescent="0.4">
      <c r="A186" s="65"/>
      <c r="B186" s="65"/>
      <c r="C186" s="66"/>
      <c r="D186" s="66"/>
      <c r="E186" s="67"/>
      <c r="F186" s="68"/>
      <c r="G186" s="68"/>
      <c r="H186" s="66"/>
      <c r="I186" s="67"/>
      <c r="J186" s="67"/>
      <c r="K186" s="67"/>
      <c r="L186" s="66"/>
      <c r="M186" s="68"/>
      <c r="N186" s="66"/>
      <c r="O186" s="69"/>
      <c r="P186" s="67"/>
      <c r="Q186" s="66"/>
      <c r="R186" s="65"/>
      <c r="S186" s="68"/>
    </row>
    <row r="187" spans="1:19" ht="27" x14ac:dyDescent="0.4">
      <c r="A187" s="65"/>
      <c r="B187" s="65"/>
      <c r="C187" s="66"/>
      <c r="D187" s="66"/>
      <c r="E187" s="67"/>
      <c r="F187" s="68"/>
      <c r="G187" s="68"/>
      <c r="H187" s="66"/>
      <c r="I187" s="67"/>
      <c r="J187" s="67"/>
      <c r="K187" s="67"/>
      <c r="L187" s="66"/>
      <c r="M187" s="68"/>
      <c r="N187" s="66"/>
      <c r="O187" s="69"/>
      <c r="P187" s="67"/>
      <c r="Q187" s="66"/>
      <c r="R187" s="65"/>
      <c r="S187" s="68"/>
    </row>
    <row r="188" spans="1:19" ht="27" x14ac:dyDescent="0.4">
      <c r="A188" s="65"/>
      <c r="B188" s="65"/>
      <c r="C188" s="66"/>
      <c r="D188" s="66"/>
      <c r="E188" s="67"/>
      <c r="F188" s="68"/>
      <c r="G188" s="68"/>
      <c r="H188" s="66"/>
      <c r="I188" s="67"/>
      <c r="J188" s="67"/>
      <c r="K188" s="67"/>
      <c r="L188" s="66"/>
      <c r="M188" s="68"/>
      <c r="N188" s="66"/>
      <c r="O188" s="69"/>
      <c r="P188" s="67"/>
      <c r="Q188" s="66"/>
      <c r="R188" s="65"/>
      <c r="S188" s="68"/>
    </row>
    <row r="189" spans="1:19" ht="27" x14ac:dyDescent="0.4">
      <c r="A189" s="65"/>
      <c r="B189" s="65"/>
      <c r="C189" s="66"/>
      <c r="D189" s="66"/>
      <c r="E189" s="67"/>
      <c r="F189" s="68"/>
      <c r="G189" s="68"/>
      <c r="H189" s="66"/>
      <c r="I189" s="67"/>
      <c r="J189" s="67"/>
      <c r="K189" s="67"/>
      <c r="L189" s="66"/>
      <c r="M189" s="68"/>
      <c r="N189" s="66"/>
      <c r="O189" s="69"/>
      <c r="P189" s="67"/>
      <c r="Q189" s="66"/>
      <c r="R189" s="65"/>
      <c r="S189" s="68"/>
    </row>
    <row r="190" spans="1:19" ht="27" x14ac:dyDescent="0.4">
      <c r="A190" s="65"/>
      <c r="B190" s="65"/>
      <c r="C190" s="66"/>
      <c r="D190" s="66"/>
      <c r="E190" s="67"/>
      <c r="F190" s="68"/>
      <c r="G190" s="68"/>
      <c r="H190" s="66"/>
      <c r="I190" s="67"/>
      <c r="J190" s="67"/>
      <c r="K190" s="67"/>
      <c r="L190" s="66"/>
      <c r="M190" s="68"/>
      <c r="N190" s="66"/>
      <c r="O190" s="69"/>
      <c r="P190" s="67"/>
      <c r="Q190" s="66"/>
      <c r="R190" s="65"/>
      <c r="S190" s="68"/>
    </row>
    <row r="191" spans="1:19" ht="27" x14ac:dyDescent="0.4">
      <c r="A191" s="65"/>
      <c r="B191" s="65"/>
      <c r="C191" s="66"/>
      <c r="D191" s="66"/>
      <c r="E191" s="67"/>
      <c r="F191" s="68"/>
      <c r="G191" s="68"/>
      <c r="H191" s="66"/>
      <c r="I191" s="67"/>
      <c r="J191" s="67"/>
      <c r="K191" s="67"/>
      <c r="L191" s="66"/>
      <c r="M191" s="68"/>
      <c r="N191" s="66"/>
      <c r="O191" s="69"/>
      <c r="P191" s="67"/>
      <c r="Q191" s="66"/>
      <c r="R191" s="65"/>
      <c r="S191" s="68"/>
    </row>
    <row r="192" spans="1:19" ht="27" x14ac:dyDescent="0.4">
      <c r="A192" s="65"/>
      <c r="B192" s="65"/>
      <c r="C192" s="66"/>
      <c r="D192" s="66"/>
      <c r="E192" s="67"/>
      <c r="F192" s="68"/>
      <c r="G192" s="68"/>
      <c r="H192" s="66"/>
      <c r="I192" s="67"/>
      <c r="J192" s="67"/>
      <c r="K192" s="67"/>
      <c r="L192" s="66"/>
      <c r="M192" s="68"/>
      <c r="N192" s="66"/>
      <c r="O192" s="69"/>
      <c r="P192" s="67"/>
      <c r="Q192" s="66"/>
      <c r="R192" s="65"/>
      <c r="S192" s="68"/>
    </row>
    <row r="193" spans="1:19" ht="27" x14ac:dyDescent="0.4">
      <c r="A193" s="65"/>
      <c r="B193" s="65"/>
      <c r="C193" s="66"/>
      <c r="D193" s="66"/>
      <c r="E193" s="67"/>
      <c r="F193" s="68"/>
      <c r="G193" s="68"/>
      <c r="H193" s="66"/>
      <c r="I193" s="67"/>
      <c r="J193" s="67"/>
      <c r="K193" s="67"/>
      <c r="L193" s="66"/>
      <c r="M193" s="68"/>
      <c r="N193" s="66"/>
      <c r="O193" s="69"/>
      <c r="P193" s="67"/>
      <c r="Q193" s="66"/>
      <c r="R193" s="65"/>
      <c r="S193" s="68"/>
    </row>
    <row r="194" spans="1:19" ht="27" x14ac:dyDescent="0.4">
      <c r="A194" s="65"/>
      <c r="B194" s="65"/>
      <c r="C194" s="66"/>
      <c r="D194" s="66"/>
      <c r="E194" s="67"/>
      <c r="F194" s="68"/>
      <c r="G194" s="68"/>
      <c r="H194" s="66"/>
      <c r="I194" s="67"/>
      <c r="J194" s="67"/>
      <c r="K194" s="67"/>
      <c r="L194" s="66"/>
      <c r="M194" s="68"/>
      <c r="N194" s="66"/>
      <c r="O194" s="69"/>
      <c r="P194" s="67"/>
      <c r="Q194" s="66"/>
      <c r="R194" s="65"/>
      <c r="S194" s="68"/>
    </row>
    <row r="195" spans="1:19" ht="27" x14ac:dyDescent="0.4">
      <c r="A195" s="65"/>
      <c r="B195" s="65"/>
      <c r="C195" s="66"/>
      <c r="D195" s="66"/>
      <c r="E195" s="67"/>
      <c r="F195" s="68"/>
      <c r="G195" s="68"/>
      <c r="H195" s="66"/>
      <c r="I195" s="67"/>
      <c r="J195" s="67"/>
      <c r="K195" s="67"/>
      <c r="L195" s="66"/>
      <c r="M195" s="68"/>
      <c r="N195" s="66"/>
      <c r="O195" s="69"/>
      <c r="P195" s="67"/>
      <c r="Q195" s="66"/>
      <c r="R195" s="65"/>
      <c r="S195" s="68"/>
    </row>
    <row r="196" spans="1:19" ht="27" x14ac:dyDescent="0.4">
      <c r="A196" s="65"/>
      <c r="B196" s="65"/>
      <c r="C196" s="66"/>
      <c r="D196" s="66"/>
      <c r="E196" s="67"/>
      <c r="F196" s="68"/>
      <c r="G196" s="68"/>
      <c r="H196" s="66"/>
      <c r="I196" s="67"/>
      <c r="J196" s="67"/>
      <c r="K196" s="67"/>
      <c r="L196" s="66"/>
      <c r="M196" s="68"/>
      <c r="N196" s="66"/>
      <c r="O196" s="69"/>
      <c r="P196" s="67"/>
      <c r="Q196" s="66"/>
      <c r="R196" s="65"/>
      <c r="S196" s="68"/>
    </row>
    <row r="197" spans="1:19" ht="27" x14ac:dyDescent="0.4">
      <c r="A197" s="65"/>
      <c r="B197" s="65"/>
      <c r="C197" s="66"/>
      <c r="D197" s="66"/>
      <c r="E197" s="67"/>
      <c r="F197" s="68"/>
      <c r="G197" s="68"/>
      <c r="H197" s="66"/>
      <c r="I197" s="67"/>
      <c r="J197" s="67"/>
      <c r="K197" s="67"/>
      <c r="L197" s="66"/>
      <c r="M197" s="68"/>
      <c r="N197" s="66"/>
      <c r="O197" s="69"/>
      <c r="P197" s="67"/>
      <c r="Q197" s="66"/>
      <c r="R197" s="65"/>
      <c r="S197" s="68"/>
    </row>
    <row r="198" spans="1:19" ht="27" x14ac:dyDescent="0.4">
      <c r="A198" s="65"/>
      <c r="B198" s="65"/>
      <c r="C198" s="66"/>
      <c r="D198" s="66"/>
      <c r="E198" s="67"/>
      <c r="F198" s="68"/>
      <c r="G198" s="68"/>
      <c r="H198" s="66"/>
      <c r="I198" s="67"/>
      <c r="J198" s="67"/>
      <c r="K198" s="67"/>
      <c r="L198" s="66"/>
      <c r="M198" s="68"/>
      <c r="N198" s="66"/>
      <c r="O198" s="69"/>
      <c r="P198" s="67"/>
      <c r="Q198" s="66"/>
      <c r="R198" s="65"/>
      <c r="S198" s="68"/>
    </row>
    <row r="199" spans="1:19" ht="27" x14ac:dyDescent="0.4">
      <c r="A199" s="65"/>
      <c r="B199" s="65"/>
      <c r="C199" s="66"/>
      <c r="D199" s="66"/>
      <c r="E199" s="67"/>
      <c r="F199" s="68"/>
      <c r="G199" s="68"/>
      <c r="H199" s="66"/>
      <c r="I199" s="67"/>
      <c r="J199" s="67"/>
      <c r="K199" s="67"/>
      <c r="L199" s="66"/>
      <c r="M199" s="68"/>
      <c r="N199" s="66"/>
      <c r="O199" s="69"/>
      <c r="P199" s="67"/>
      <c r="Q199" s="66"/>
      <c r="R199" s="65"/>
      <c r="S199" s="68"/>
    </row>
    <row r="200" spans="1:19" ht="27" x14ac:dyDescent="0.4">
      <c r="A200" s="65"/>
      <c r="B200" s="65"/>
      <c r="C200" s="66"/>
      <c r="D200" s="66"/>
      <c r="E200" s="67"/>
      <c r="F200" s="68"/>
      <c r="G200" s="68"/>
      <c r="H200" s="66"/>
      <c r="I200" s="67"/>
      <c r="J200" s="67"/>
      <c r="K200" s="67"/>
      <c r="L200" s="66"/>
      <c r="M200" s="68"/>
      <c r="N200" s="66"/>
      <c r="O200" s="69"/>
      <c r="P200" s="67"/>
      <c r="Q200" s="66"/>
      <c r="R200" s="65"/>
      <c r="S200" s="68"/>
    </row>
    <row r="201" spans="1:19" ht="27" x14ac:dyDescent="0.4">
      <c r="A201" s="65"/>
      <c r="B201" s="65"/>
      <c r="C201" s="66"/>
      <c r="D201" s="66"/>
      <c r="E201" s="67"/>
      <c r="F201" s="68"/>
      <c r="G201" s="68"/>
      <c r="H201" s="66"/>
      <c r="I201" s="67"/>
      <c r="J201" s="67"/>
      <c r="K201" s="67"/>
      <c r="L201" s="66"/>
      <c r="M201" s="68"/>
      <c r="N201" s="66"/>
      <c r="O201" s="69"/>
      <c r="P201" s="67"/>
      <c r="Q201" s="66"/>
      <c r="R201" s="65"/>
      <c r="S201" s="68"/>
    </row>
    <row r="202" spans="1:19" ht="27" x14ac:dyDescent="0.4">
      <c r="A202" s="65"/>
      <c r="B202" s="65"/>
      <c r="C202" s="66"/>
      <c r="D202" s="66"/>
      <c r="E202" s="67"/>
      <c r="F202" s="68"/>
      <c r="G202" s="68"/>
      <c r="H202" s="66"/>
      <c r="I202" s="67"/>
      <c r="J202" s="67"/>
      <c r="K202" s="67"/>
      <c r="L202" s="66"/>
      <c r="M202" s="68"/>
      <c r="N202" s="66"/>
      <c r="O202" s="69"/>
      <c r="P202" s="67"/>
      <c r="Q202" s="66"/>
      <c r="R202" s="65"/>
      <c r="S202" s="68"/>
    </row>
    <row r="203" spans="1:19" ht="27" x14ac:dyDescent="0.4">
      <c r="A203" s="65"/>
      <c r="B203" s="65"/>
      <c r="C203" s="66"/>
      <c r="D203" s="66"/>
      <c r="E203" s="67"/>
      <c r="F203" s="68"/>
      <c r="G203" s="68"/>
      <c r="H203" s="66"/>
      <c r="I203" s="67"/>
      <c r="J203" s="67"/>
      <c r="K203" s="67"/>
      <c r="L203" s="66"/>
      <c r="M203" s="68"/>
      <c r="N203" s="66"/>
      <c r="O203" s="69"/>
      <c r="P203" s="67"/>
      <c r="Q203" s="66"/>
      <c r="R203" s="65"/>
      <c r="S203" s="68"/>
    </row>
    <row r="204" spans="1:19" ht="27" x14ac:dyDescent="0.4">
      <c r="A204" s="65"/>
      <c r="B204" s="65"/>
      <c r="C204" s="66"/>
      <c r="D204" s="66"/>
      <c r="E204" s="67"/>
      <c r="F204" s="68"/>
      <c r="G204" s="68"/>
      <c r="H204" s="66"/>
      <c r="I204" s="67"/>
      <c r="J204" s="67"/>
      <c r="K204" s="67"/>
      <c r="L204" s="66"/>
      <c r="M204" s="68"/>
      <c r="N204" s="66"/>
      <c r="O204" s="69"/>
      <c r="P204" s="67"/>
      <c r="Q204" s="66"/>
      <c r="R204" s="65"/>
      <c r="S204" s="68"/>
    </row>
    <row r="205" spans="1:19" ht="27" x14ac:dyDescent="0.4">
      <c r="A205" s="65"/>
      <c r="B205" s="65"/>
      <c r="C205" s="66"/>
      <c r="D205" s="66"/>
      <c r="E205" s="67"/>
      <c r="F205" s="68"/>
      <c r="G205" s="68"/>
      <c r="H205" s="66"/>
      <c r="I205" s="67"/>
      <c r="J205" s="67"/>
      <c r="K205" s="67"/>
      <c r="L205" s="66"/>
      <c r="M205" s="68"/>
      <c r="N205" s="66"/>
      <c r="O205" s="69"/>
      <c r="P205" s="67"/>
      <c r="Q205" s="66"/>
      <c r="R205" s="65"/>
      <c r="S205" s="68"/>
    </row>
    <row r="206" spans="1:19" ht="27" x14ac:dyDescent="0.4">
      <c r="A206" s="65"/>
      <c r="B206" s="65"/>
      <c r="C206" s="66"/>
      <c r="D206" s="66"/>
      <c r="E206" s="67"/>
      <c r="F206" s="68"/>
      <c r="G206" s="68"/>
      <c r="H206" s="66"/>
      <c r="I206" s="67"/>
      <c r="J206" s="67"/>
      <c r="K206" s="67"/>
      <c r="L206" s="66"/>
      <c r="M206" s="68"/>
      <c r="N206" s="66"/>
      <c r="O206" s="69"/>
      <c r="P206" s="67"/>
      <c r="Q206" s="66"/>
      <c r="R206" s="65"/>
      <c r="S206" s="68"/>
    </row>
    <row r="207" spans="1:19" ht="27" x14ac:dyDescent="0.4">
      <c r="A207" s="65"/>
      <c r="B207" s="65"/>
      <c r="C207" s="66"/>
      <c r="D207" s="66"/>
      <c r="E207" s="67"/>
      <c r="F207" s="68"/>
      <c r="G207" s="68"/>
      <c r="H207" s="66"/>
      <c r="I207" s="67"/>
      <c r="J207" s="67"/>
      <c r="K207" s="67"/>
      <c r="L207" s="66"/>
      <c r="M207" s="68"/>
      <c r="N207" s="66"/>
      <c r="O207" s="69"/>
      <c r="P207" s="67"/>
      <c r="Q207" s="66"/>
      <c r="R207" s="65"/>
      <c r="S207" s="68"/>
    </row>
    <row r="208" spans="1:19" ht="27" x14ac:dyDescent="0.4">
      <c r="A208" s="65"/>
      <c r="B208" s="65"/>
      <c r="C208" s="66"/>
      <c r="D208" s="66"/>
      <c r="E208" s="67"/>
      <c r="F208" s="68"/>
      <c r="G208" s="68"/>
      <c r="H208" s="66"/>
      <c r="I208" s="67"/>
      <c r="J208" s="67"/>
      <c r="K208" s="67"/>
      <c r="L208" s="66"/>
      <c r="M208" s="68"/>
      <c r="N208" s="66"/>
      <c r="O208" s="69"/>
      <c r="P208" s="67"/>
      <c r="Q208" s="66"/>
      <c r="R208" s="65"/>
      <c r="S208" s="68"/>
    </row>
    <row r="209" spans="1:19" ht="27" x14ac:dyDescent="0.4">
      <c r="A209" s="65"/>
      <c r="B209" s="65"/>
      <c r="C209" s="66"/>
      <c r="D209" s="66"/>
      <c r="E209" s="67"/>
      <c r="F209" s="68"/>
      <c r="G209" s="68"/>
      <c r="H209" s="66"/>
      <c r="I209" s="67"/>
      <c r="J209" s="67"/>
      <c r="K209" s="67"/>
      <c r="L209" s="66"/>
      <c r="M209" s="68"/>
      <c r="N209" s="66"/>
      <c r="O209" s="69"/>
      <c r="P209" s="67"/>
      <c r="Q209" s="66"/>
      <c r="R209" s="65"/>
      <c r="S209" s="68"/>
    </row>
    <row r="210" spans="1:19" ht="27" x14ac:dyDescent="0.4">
      <c r="A210" s="65"/>
      <c r="B210" s="65"/>
      <c r="C210" s="66"/>
      <c r="D210" s="66"/>
      <c r="E210" s="67"/>
      <c r="F210" s="68"/>
      <c r="G210" s="68"/>
      <c r="H210" s="66"/>
      <c r="I210" s="67"/>
      <c r="J210" s="67"/>
      <c r="K210" s="67"/>
      <c r="L210" s="66"/>
      <c r="M210" s="68"/>
      <c r="N210" s="66"/>
      <c r="O210" s="69"/>
      <c r="P210" s="67"/>
      <c r="Q210" s="66"/>
      <c r="R210" s="65"/>
      <c r="S210" s="68"/>
    </row>
    <row r="211" spans="1:19" ht="27" x14ac:dyDescent="0.4">
      <c r="A211" s="65"/>
      <c r="B211" s="65"/>
      <c r="C211" s="125"/>
      <c r="D211" s="125"/>
      <c r="E211" s="126"/>
      <c r="F211" s="127"/>
      <c r="G211" s="127"/>
      <c r="H211" s="125"/>
      <c r="I211" s="126"/>
      <c r="J211" s="126"/>
      <c r="K211" s="126"/>
      <c r="L211" s="125"/>
      <c r="M211" s="127"/>
      <c r="N211" s="125"/>
      <c r="O211" s="128"/>
      <c r="P211" s="126"/>
      <c r="Q211" s="125"/>
      <c r="R211" s="65"/>
      <c r="S211" s="68"/>
    </row>
    <row r="212" spans="1:19" ht="27" x14ac:dyDescent="0.4">
      <c r="A212" s="65"/>
      <c r="B212" s="65"/>
      <c r="C212" s="125"/>
      <c r="D212" s="125"/>
      <c r="E212" s="126"/>
      <c r="F212" s="127"/>
      <c r="G212" s="127"/>
      <c r="H212" s="125"/>
      <c r="I212" s="126"/>
      <c r="J212" s="126"/>
      <c r="K212" s="126"/>
      <c r="L212" s="125"/>
      <c r="M212" s="127"/>
      <c r="N212" s="125"/>
      <c r="O212" s="128"/>
      <c r="P212" s="126"/>
      <c r="Q212" s="125"/>
      <c r="R212" s="65"/>
      <c r="S212" s="68"/>
    </row>
    <row r="213" spans="1:19" ht="27" x14ac:dyDescent="0.4">
      <c r="A213" s="65"/>
      <c r="B213" s="65"/>
      <c r="C213" s="125"/>
      <c r="D213" s="125"/>
      <c r="E213" s="126"/>
      <c r="F213" s="127"/>
      <c r="G213" s="127"/>
      <c r="H213" s="125"/>
      <c r="I213" s="126"/>
      <c r="J213" s="126"/>
      <c r="K213" s="126"/>
      <c r="L213" s="125"/>
      <c r="M213" s="127"/>
      <c r="N213" s="125"/>
      <c r="O213" s="128"/>
      <c r="P213" s="126"/>
      <c r="Q213" s="125"/>
      <c r="R213" s="65"/>
      <c r="S213" s="68"/>
    </row>
    <row r="214" spans="1:19" ht="27" x14ac:dyDescent="0.4">
      <c r="A214" s="65"/>
      <c r="B214" s="65"/>
      <c r="C214" s="125"/>
      <c r="D214" s="125"/>
      <c r="E214" s="126"/>
      <c r="F214" s="127"/>
      <c r="G214" s="127"/>
      <c r="H214" s="125"/>
      <c r="I214" s="126"/>
      <c r="J214" s="126"/>
      <c r="K214" s="126"/>
      <c r="L214" s="125"/>
      <c r="M214" s="127"/>
      <c r="N214" s="125"/>
      <c r="O214" s="128"/>
      <c r="P214" s="126"/>
      <c r="Q214" s="125"/>
      <c r="R214" s="65"/>
      <c r="S214" s="68"/>
    </row>
    <row r="215" spans="1:19" ht="27" x14ac:dyDescent="0.4">
      <c r="A215" s="65"/>
      <c r="B215" s="65"/>
      <c r="C215" s="125"/>
      <c r="D215" s="125"/>
      <c r="E215" s="126"/>
      <c r="F215" s="127"/>
      <c r="G215" s="127"/>
      <c r="H215" s="125"/>
      <c r="I215" s="126"/>
      <c r="J215" s="126"/>
      <c r="K215" s="126"/>
      <c r="L215" s="125"/>
      <c r="M215" s="127"/>
      <c r="N215" s="125"/>
      <c r="O215" s="128"/>
      <c r="P215" s="126"/>
      <c r="Q215" s="125"/>
      <c r="R215" s="65"/>
      <c r="S215" s="68"/>
    </row>
    <row r="216" spans="1:19" ht="27" x14ac:dyDescent="0.4">
      <c r="A216" s="65"/>
      <c r="B216" s="65"/>
      <c r="C216" s="125"/>
      <c r="D216" s="125"/>
      <c r="E216" s="126"/>
      <c r="F216" s="127"/>
      <c r="G216" s="127"/>
      <c r="H216" s="125"/>
      <c r="I216" s="126"/>
      <c r="J216" s="126"/>
      <c r="K216" s="126"/>
      <c r="L216" s="125"/>
      <c r="M216" s="127"/>
      <c r="N216" s="125"/>
      <c r="O216" s="128"/>
      <c r="P216" s="126"/>
      <c r="Q216" s="125"/>
      <c r="R216" s="65"/>
      <c r="S216" s="68"/>
    </row>
    <row r="217" spans="1:19" ht="27" x14ac:dyDescent="0.4">
      <c r="A217" s="65"/>
      <c r="B217" s="65"/>
      <c r="C217" s="125"/>
      <c r="D217" s="125"/>
      <c r="E217" s="126"/>
      <c r="F217" s="127"/>
      <c r="G217" s="127"/>
      <c r="H217" s="125"/>
      <c r="I217" s="126"/>
      <c r="J217" s="126"/>
      <c r="K217" s="126"/>
      <c r="L217" s="125"/>
      <c r="M217" s="127"/>
      <c r="N217" s="125"/>
      <c r="O217" s="128"/>
      <c r="P217" s="126"/>
      <c r="Q217" s="125"/>
      <c r="R217" s="65"/>
      <c r="S217" s="68"/>
    </row>
    <row r="218" spans="1:19" ht="27" x14ac:dyDescent="0.4">
      <c r="A218" s="65"/>
      <c r="B218" s="65"/>
      <c r="C218" s="125"/>
      <c r="D218" s="125"/>
      <c r="E218" s="126"/>
      <c r="F218" s="127"/>
      <c r="G218" s="127"/>
      <c r="H218" s="125"/>
      <c r="I218" s="126"/>
      <c r="J218" s="126"/>
      <c r="K218" s="126"/>
      <c r="L218" s="125"/>
      <c r="M218" s="127"/>
      <c r="N218" s="125"/>
      <c r="O218" s="128"/>
      <c r="P218" s="126"/>
      <c r="Q218" s="125"/>
      <c r="R218" s="65"/>
      <c r="S218" s="68"/>
    </row>
    <row r="219" spans="1:19" ht="27" x14ac:dyDescent="0.4">
      <c r="A219" s="65"/>
      <c r="B219" s="65"/>
      <c r="C219" s="66"/>
      <c r="D219" s="65"/>
      <c r="E219" s="67"/>
      <c r="F219" s="68"/>
      <c r="G219" s="68"/>
      <c r="H219" s="66"/>
      <c r="I219" s="67"/>
      <c r="J219" s="67"/>
      <c r="K219" s="67"/>
      <c r="L219" s="66"/>
      <c r="M219" s="68"/>
      <c r="N219" s="66"/>
      <c r="O219" s="69"/>
      <c r="P219" s="67"/>
      <c r="Q219" s="66"/>
      <c r="R219" s="65"/>
      <c r="S219" s="68"/>
    </row>
    <row r="220" spans="1:19" ht="27" x14ac:dyDescent="0.4">
      <c r="A220" s="65"/>
      <c r="B220" s="65"/>
      <c r="C220" s="66"/>
      <c r="D220" s="66"/>
      <c r="E220" s="67"/>
      <c r="F220" s="68"/>
      <c r="G220" s="68"/>
      <c r="H220" s="66"/>
      <c r="I220" s="67"/>
      <c r="J220" s="67"/>
      <c r="K220" s="67"/>
      <c r="L220" s="66"/>
      <c r="M220" s="68"/>
      <c r="N220" s="66"/>
      <c r="O220" s="69"/>
      <c r="P220" s="67"/>
      <c r="Q220" s="66"/>
      <c r="R220" s="65"/>
      <c r="S220" s="68"/>
    </row>
    <row r="221" spans="1:19" ht="27" x14ac:dyDescent="0.4">
      <c r="A221" s="65"/>
      <c r="B221" s="65"/>
      <c r="C221" s="66"/>
      <c r="D221" s="66"/>
      <c r="E221" s="67"/>
      <c r="F221" s="68"/>
      <c r="G221" s="68"/>
      <c r="H221" s="66"/>
      <c r="I221" s="67"/>
      <c r="J221" s="67"/>
      <c r="K221" s="67"/>
      <c r="L221" s="66"/>
      <c r="M221" s="68"/>
      <c r="N221" s="66"/>
      <c r="O221" s="69"/>
      <c r="P221" s="67"/>
      <c r="Q221" s="66"/>
      <c r="R221" s="65"/>
      <c r="S221" s="65"/>
    </row>
    <row r="222" spans="1:19" ht="27" x14ac:dyDescent="0.4">
      <c r="A222" s="65"/>
      <c r="B222" s="65"/>
      <c r="C222" s="66"/>
      <c r="D222" s="66"/>
      <c r="E222" s="67"/>
      <c r="F222" s="68"/>
      <c r="G222" s="68"/>
      <c r="H222" s="66"/>
      <c r="I222" s="67"/>
      <c r="J222" s="67"/>
      <c r="K222" s="67"/>
      <c r="L222" s="66"/>
      <c r="M222" s="68"/>
      <c r="N222" s="66"/>
      <c r="O222" s="69"/>
      <c r="P222" s="67"/>
      <c r="Q222" s="66"/>
      <c r="R222" s="65"/>
      <c r="S222" s="65"/>
    </row>
    <row r="223" spans="1:19" ht="27" x14ac:dyDescent="0.4">
      <c r="A223" s="65"/>
      <c r="B223" s="65"/>
      <c r="C223" s="66"/>
      <c r="D223" s="66"/>
      <c r="E223" s="67"/>
      <c r="F223" s="68"/>
      <c r="G223" s="68"/>
      <c r="H223" s="66"/>
      <c r="I223" s="67"/>
      <c r="J223" s="67"/>
      <c r="K223" s="67"/>
      <c r="L223" s="66"/>
      <c r="M223" s="68"/>
      <c r="N223" s="66"/>
      <c r="O223" s="69"/>
      <c r="P223" s="67"/>
      <c r="Q223" s="66"/>
      <c r="R223" s="65"/>
      <c r="S223" s="65"/>
    </row>
    <row r="224" spans="1:19" ht="27" x14ac:dyDescent="0.4">
      <c r="A224" s="65"/>
      <c r="B224" s="65"/>
      <c r="C224" s="66"/>
      <c r="D224" s="66"/>
      <c r="E224" s="67"/>
      <c r="F224" s="68"/>
      <c r="G224" s="68"/>
      <c r="H224" s="66"/>
      <c r="I224" s="67"/>
      <c r="J224" s="67"/>
      <c r="K224" s="67"/>
      <c r="L224" s="66"/>
      <c r="M224" s="68"/>
      <c r="N224" s="66"/>
      <c r="O224" s="69"/>
      <c r="P224" s="67"/>
      <c r="Q224" s="66"/>
      <c r="R224" s="65"/>
      <c r="S224" s="65"/>
    </row>
    <row r="225" spans="1:19" ht="27" x14ac:dyDescent="0.4">
      <c r="A225" s="65"/>
      <c r="B225" s="65"/>
      <c r="C225" s="66"/>
      <c r="D225" s="66"/>
      <c r="E225" s="67"/>
      <c r="F225" s="68"/>
      <c r="G225" s="68"/>
      <c r="H225" s="66"/>
      <c r="I225" s="67"/>
      <c r="J225" s="67"/>
      <c r="K225" s="67"/>
      <c r="L225" s="66"/>
      <c r="M225" s="68"/>
      <c r="N225" s="66"/>
      <c r="O225" s="69"/>
      <c r="P225" s="67"/>
      <c r="Q225" s="66"/>
      <c r="R225" s="65"/>
      <c r="S225" s="65"/>
    </row>
    <row r="226" spans="1:19" ht="27" x14ac:dyDescent="0.4">
      <c r="A226" s="65"/>
      <c r="B226" s="65"/>
      <c r="C226" s="66"/>
      <c r="D226" s="66"/>
      <c r="E226" s="67"/>
      <c r="F226" s="68"/>
      <c r="G226" s="68"/>
      <c r="H226" s="66"/>
      <c r="I226" s="67"/>
      <c r="J226" s="67"/>
      <c r="K226" s="67"/>
      <c r="L226" s="66"/>
      <c r="M226" s="68"/>
      <c r="N226" s="66"/>
      <c r="O226" s="69"/>
      <c r="P226" s="67"/>
      <c r="Q226" s="66"/>
      <c r="R226" s="65"/>
      <c r="S226" s="70"/>
    </row>
    <row r="227" spans="1:19" ht="27" x14ac:dyDescent="0.4">
      <c r="A227" s="65"/>
      <c r="B227" s="65"/>
      <c r="C227" s="66"/>
      <c r="D227" s="66"/>
      <c r="E227" s="67"/>
      <c r="F227" s="68"/>
      <c r="G227" s="68"/>
      <c r="H227" s="66"/>
      <c r="I227" s="67"/>
      <c r="J227" s="67"/>
      <c r="K227" s="67"/>
      <c r="L227" s="66"/>
      <c r="M227" s="68"/>
      <c r="N227" s="66"/>
      <c r="O227" s="69"/>
      <c r="P227" s="67"/>
      <c r="Q227" s="66"/>
      <c r="R227" s="65"/>
      <c r="S227" s="65"/>
    </row>
    <row r="228" spans="1:19" ht="27" x14ac:dyDescent="0.4">
      <c r="A228" s="65"/>
      <c r="B228" s="65"/>
      <c r="C228" s="66"/>
      <c r="D228" s="66"/>
      <c r="E228" s="67"/>
      <c r="F228" s="68"/>
      <c r="G228" s="68"/>
      <c r="H228" s="66"/>
      <c r="I228" s="67"/>
      <c r="J228" s="67"/>
      <c r="K228" s="67"/>
      <c r="L228" s="66"/>
      <c r="M228" s="68"/>
      <c r="N228" s="66"/>
      <c r="O228" s="69"/>
      <c r="P228" s="67"/>
      <c r="Q228" s="66"/>
      <c r="R228" s="65"/>
      <c r="S228" s="68"/>
    </row>
    <row r="229" spans="1:19" ht="27" x14ac:dyDescent="0.4">
      <c r="A229" s="65"/>
      <c r="B229" s="65"/>
      <c r="C229" s="66"/>
      <c r="D229" s="66"/>
      <c r="E229" s="67"/>
      <c r="F229" s="68"/>
      <c r="G229" s="68"/>
      <c r="H229" s="66"/>
      <c r="I229" s="67"/>
      <c r="J229" s="67"/>
      <c r="K229" s="67"/>
      <c r="L229" s="66"/>
      <c r="M229" s="68"/>
      <c r="N229" s="66"/>
      <c r="O229" s="69"/>
      <c r="P229" s="67"/>
      <c r="Q229" s="66"/>
      <c r="R229" s="65"/>
      <c r="S229" s="68"/>
    </row>
    <row r="230" spans="1:19" ht="27" x14ac:dyDescent="0.4">
      <c r="A230" s="65"/>
      <c r="B230" s="65"/>
      <c r="C230" s="66"/>
      <c r="D230" s="66"/>
      <c r="E230" s="67"/>
      <c r="F230" s="68"/>
      <c r="G230" s="68"/>
      <c r="H230" s="66"/>
      <c r="I230" s="67"/>
      <c r="J230" s="67"/>
      <c r="K230" s="67"/>
      <c r="L230" s="66"/>
      <c r="M230" s="68"/>
      <c r="N230" s="66"/>
      <c r="O230" s="69"/>
      <c r="P230" s="67"/>
      <c r="Q230" s="66"/>
      <c r="R230" s="65"/>
      <c r="S230" s="68"/>
    </row>
    <row r="231" spans="1:19" ht="27" x14ac:dyDescent="0.4">
      <c r="A231" s="65"/>
      <c r="B231" s="65"/>
      <c r="C231" s="66"/>
      <c r="D231" s="66"/>
      <c r="E231" s="67"/>
      <c r="F231" s="68"/>
      <c r="G231" s="68"/>
      <c r="H231" s="66"/>
      <c r="I231" s="67"/>
      <c r="J231" s="67"/>
      <c r="K231" s="67"/>
      <c r="L231" s="66"/>
      <c r="M231" s="68"/>
      <c r="N231" s="66"/>
      <c r="O231" s="69"/>
      <c r="P231" s="67"/>
      <c r="Q231" s="66"/>
      <c r="R231" s="65"/>
      <c r="S231" s="68"/>
    </row>
    <row r="232" spans="1:19" ht="27" x14ac:dyDescent="0.4">
      <c r="A232" s="65"/>
      <c r="B232" s="65"/>
      <c r="C232" s="66"/>
      <c r="D232" s="66"/>
      <c r="E232" s="67"/>
      <c r="F232" s="68"/>
      <c r="G232" s="68"/>
      <c r="H232" s="66"/>
      <c r="I232" s="67"/>
      <c r="J232" s="67"/>
      <c r="K232" s="67"/>
      <c r="L232" s="66"/>
      <c r="M232" s="68"/>
      <c r="N232" s="66"/>
      <c r="O232" s="69"/>
      <c r="P232" s="67"/>
      <c r="Q232" s="66"/>
      <c r="R232" s="65"/>
      <c r="S232" s="68"/>
    </row>
    <row r="233" spans="1:19" ht="27" x14ac:dyDescent="0.4">
      <c r="A233" s="65"/>
      <c r="B233" s="65"/>
      <c r="C233" s="66"/>
      <c r="D233" s="66"/>
      <c r="E233" s="67"/>
      <c r="F233" s="68"/>
      <c r="G233" s="68"/>
      <c r="H233" s="66"/>
      <c r="I233" s="67"/>
      <c r="J233" s="67"/>
      <c r="K233" s="67"/>
      <c r="L233" s="66"/>
      <c r="M233" s="68"/>
      <c r="N233" s="66"/>
      <c r="O233" s="69"/>
      <c r="P233" s="67"/>
      <c r="Q233" s="66"/>
      <c r="R233" s="65"/>
      <c r="S233" s="68"/>
    </row>
    <row r="234" spans="1:19" ht="27" x14ac:dyDescent="0.4">
      <c r="A234" s="65"/>
      <c r="B234" s="65"/>
      <c r="C234" s="66"/>
      <c r="D234" s="66"/>
      <c r="E234" s="67"/>
      <c r="F234" s="68"/>
      <c r="G234" s="68"/>
      <c r="H234" s="66"/>
      <c r="I234" s="67"/>
      <c r="J234" s="67"/>
      <c r="K234" s="67"/>
      <c r="L234" s="66"/>
      <c r="M234" s="68"/>
      <c r="N234" s="66"/>
      <c r="O234" s="69"/>
      <c r="P234" s="67"/>
      <c r="Q234" s="66"/>
      <c r="R234" s="65"/>
      <c r="S234" s="68"/>
    </row>
    <row r="235" spans="1:19" ht="27" x14ac:dyDescent="0.4">
      <c r="A235" s="65"/>
      <c r="B235" s="65"/>
      <c r="C235" s="66"/>
      <c r="D235" s="66"/>
      <c r="E235" s="67"/>
      <c r="F235" s="68"/>
      <c r="G235" s="68"/>
      <c r="H235" s="66"/>
      <c r="I235" s="67"/>
      <c r="J235" s="67"/>
      <c r="K235" s="67"/>
      <c r="L235" s="66"/>
      <c r="M235" s="68"/>
      <c r="N235" s="66"/>
      <c r="O235" s="69"/>
      <c r="P235" s="67"/>
      <c r="Q235" s="66"/>
      <c r="R235" s="65"/>
      <c r="S235" s="68"/>
    </row>
    <row r="236" spans="1:19" ht="27" x14ac:dyDescent="0.4">
      <c r="A236" s="65"/>
      <c r="B236" s="65"/>
      <c r="C236" s="66"/>
      <c r="D236" s="66"/>
      <c r="E236" s="67"/>
      <c r="F236" s="68"/>
      <c r="G236" s="68"/>
      <c r="H236" s="66"/>
      <c r="I236" s="67"/>
      <c r="J236" s="67"/>
      <c r="K236" s="67"/>
      <c r="L236" s="66"/>
      <c r="M236" s="68"/>
      <c r="N236" s="66"/>
      <c r="O236" s="69"/>
      <c r="P236" s="67"/>
      <c r="Q236" s="66"/>
      <c r="R236" s="65"/>
      <c r="S236" s="68"/>
    </row>
    <row r="237" spans="1:19" ht="27" x14ac:dyDescent="0.4">
      <c r="A237" s="65"/>
      <c r="B237" s="65"/>
      <c r="C237" s="66"/>
      <c r="D237" s="66"/>
      <c r="E237" s="67"/>
      <c r="F237" s="68"/>
      <c r="G237" s="68"/>
      <c r="H237" s="66"/>
      <c r="I237" s="67"/>
      <c r="J237" s="67"/>
      <c r="K237" s="67"/>
      <c r="L237" s="66"/>
      <c r="M237" s="68"/>
      <c r="N237" s="66"/>
      <c r="O237" s="69"/>
      <c r="P237" s="67"/>
      <c r="Q237" s="66"/>
      <c r="R237" s="65"/>
      <c r="S237" s="68"/>
    </row>
    <row r="238" spans="1:19" ht="27" x14ac:dyDescent="0.4">
      <c r="A238" s="65"/>
      <c r="B238" s="65"/>
      <c r="C238" s="66"/>
      <c r="D238" s="66"/>
      <c r="E238" s="67"/>
      <c r="F238" s="68"/>
      <c r="G238" s="68"/>
      <c r="H238" s="66"/>
      <c r="I238" s="67"/>
      <c r="J238" s="67"/>
      <c r="K238" s="67"/>
      <c r="L238" s="66"/>
      <c r="M238" s="68"/>
      <c r="N238" s="66"/>
      <c r="O238" s="69"/>
      <c r="P238" s="67"/>
      <c r="Q238" s="66"/>
      <c r="R238" s="65"/>
      <c r="S238" s="68"/>
    </row>
    <row r="239" spans="1:19" ht="27" x14ac:dyDescent="0.4">
      <c r="A239" s="65"/>
      <c r="B239" s="65"/>
      <c r="C239" s="66"/>
      <c r="D239" s="66"/>
      <c r="E239" s="67"/>
      <c r="F239" s="68"/>
      <c r="G239" s="68"/>
      <c r="H239" s="66"/>
      <c r="I239" s="67"/>
      <c r="J239" s="67"/>
      <c r="K239" s="67"/>
      <c r="L239" s="66"/>
      <c r="M239" s="68"/>
      <c r="N239" s="66"/>
      <c r="O239" s="69"/>
      <c r="P239" s="67"/>
      <c r="Q239" s="66"/>
      <c r="R239" s="65"/>
      <c r="S239" s="68"/>
    </row>
    <row r="240" spans="1:19" ht="27" x14ac:dyDescent="0.4">
      <c r="A240" s="65"/>
      <c r="B240" s="65"/>
      <c r="C240" s="66"/>
      <c r="D240" s="66"/>
      <c r="E240" s="67"/>
      <c r="F240" s="68"/>
      <c r="G240" s="68"/>
      <c r="H240" s="66"/>
      <c r="I240" s="67"/>
      <c r="J240" s="67"/>
      <c r="K240" s="67"/>
      <c r="L240" s="66"/>
      <c r="M240" s="68"/>
      <c r="N240" s="66"/>
      <c r="O240" s="69"/>
      <c r="P240" s="67"/>
      <c r="Q240" s="66"/>
      <c r="R240" s="65"/>
      <c r="S240" s="68"/>
    </row>
    <row r="241" spans="1:19" ht="27" x14ac:dyDescent="0.4">
      <c r="A241" s="65"/>
      <c r="B241" s="65"/>
      <c r="C241" s="66"/>
      <c r="D241" s="66"/>
      <c r="E241" s="67"/>
      <c r="F241" s="68"/>
      <c r="G241" s="68"/>
      <c r="H241" s="66"/>
      <c r="I241" s="67"/>
      <c r="J241" s="67"/>
      <c r="K241" s="67"/>
      <c r="L241" s="66"/>
      <c r="M241" s="68"/>
      <c r="N241" s="66"/>
      <c r="O241" s="69"/>
      <c r="P241" s="67"/>
      <c r="Q241" s="66"/>
      <c r="R241" s="65"/>
      <c r="S241" s="68"/>
    </row>
    <row r="242" spans="1:19" ht="27" x14ac:dyDescent="0.4">
      <c r="A242" s="65"/>
      <c r="B242" s="65"/>
      <c r="C242" s="66"/>
      <c r="D242" s="66"/>
      <c r="E242" s="67"/>
      <c r="F242" s="68"/>
      <c r="G242" s="68"/>
      <c r="H242" s="66"/>
      <c r="I242" s="67"/>
      <c r="J242" s="67"/>
      <c r="K242" s="67"/>
      <c r="L242" s="66"/>
      <c r="M242" s="68"/>
      <c r="N242" s="66"/>
      <c r="O242" s="69"/>
      <c r="P242" s="67"/>
      <c r="Q242" s="66"/>
      <c r="R242" s="65"/>
      <c r="S242" s="68"/>
    </row>
    <row r="243" spans="1:19" ht="27" x14ac:dyDescent="0.4">
      <c r="A243" s="65"/>
      <c r="B243" s="65"/>
      <c r="C243" s="66"/>
      <c r="D243" s="66"/>
      <c r="E243" s="67"/>
      <c r="F243" s="68"/>
      <c r="G243" s="68"/>
      <c r="H243" s="66"/>
      <c r="I243" s="67"/>
      <c r="J243" s="67"/>
      <c r="K243" s="67"/>
      <c r="L243" s="66"/>
      <c r="M243" s="68"/>
      <c r="N243" s="66"/>
      <c r="O243" s="69"/>
      <c r="P243" s="67"/>
      <c r="Q243" s="66"/>
      <c r="R243" s="65"/>
      <c r="S243" s="68"/>
    </row>
    <row r="244" spans="1:19" ht="27" x14ac:dyDescent="0.4">
      <c r="A244" s="65"/>
      <c r="B244" s="65"/>
      <c r="C244" s="66"/>
      <c r="D244" s="66"/>
      <c r="E244" s="67"/>
      <c r="F244" s="68"/>
      <c r="G244" s="68"/>
      <c r="H244" s="66"/>
      <c r="I244" s="67"/>
      <c r="J244" s="67"/>
      <c r="K244" s="67"/>
      <c r="L244" s="66"/>
      <c r="M244" s="68"/>
      <c r="N244" s="66"/>
      <c r="O244" s="69"/>
      <c r="P244" s="67"/>
      <c r="Q244" s="66"/>
      <c r="R244" s="65"/>
      <c r="S244" s="68"/>
    </row>
    <row r="245" spans="1:19" ht="27" x14ac:dyDescent="0.4">
      <c r="A245" s="65"/>
      <c r="B245" s="65"/>
      <c r="C245" s="66"/>
      <c r="D245" s="66"/>
      <c r="E245" s="67"/>
      <c r="F245" s="68"/>
      <c r="G245" s="68"/>
      <c r="H245" s="66"/>
      <c r="I245" s="67"/>
      <c r="J245" s="67"/>
      <c r="K245" s="67"/>
      <c r="L245" s="66"/>
      <c r="M245" s="68"/>
      <c r="N245" s="66"/>
      <c r="O245" s="69"/>
      <c r="P245" s="67"/>
      <c r="Q245" s="66"/>
      <c r="R245" s="65"/>
      <c r="S245" s="68"/>
    </row>
    <row r="246" spans="1:19" ht="27" x14ac:dyDescent="0.4">
      <c r="A246" s="65"/>
      <c r="B246" s="65"/>
      <c r="C246" s="66"/>
      <c r="D246" s="66"/>
      <c r="E246" s="67"/>
      <c r="F246" s="68"/>
      <c r="G246" s="68"/>
      <c r="H246" s="66"/>
      <c r="I246" s="67"/>
      <c r="J246" s="67"/>
      <c r="K246" s="67"/>
      <c r="L246" s="66"/>
      <c r="M246" s="68"/>
      <c r="N246" s="66"/>
      <c r="O246" s="69"/>
      <c r="P246" s="67"/>
      <c r="Q246" s="66"/>
      <c r="R246" s="65"/>
      <c r="S246" s="68"/>
    </row>
    <row r="247" spans="1:19" ht="27" x14ac:dyDescent="0.4">
      <c r="A247" s="65"/>
      <c r="B247" s="65"/>
      <c r="C247" s="66"/>
      <c r="D247" s="66"/>
      <c r="E247" s="67"/>
      <c r="F247" s="68"/>
      <c r="G247" s="68"/>
      <c r="H247" s="66"/>
      <c r="I247" s="67"/>
      <c r="J247" s="67"/>
      <c r="K247" s="67"/>
      <c r="L247" s="66"/>
      <c r="M247" s="68"/>
      <c r="N247" s="66"/>
      <c r="O247" s="69"/>
      <c r="P247" s="67"/>
      <c r="Q247" s="66"/>
      <c r="R247" s="65"/>
      <c r="S247" s="68"/>
    </row>
    <row r="248" spans="1:19" ht="27" x14ac:dyDescent="0.4">
      <c r="A248" s="65"/>
      <c r="B248" s="65"/>
      <c r="C248" s="66"/>
      <c r="D248" s="66"/>
      <c r="E248" s="67"/>
      <c r="F248" s="68"/>
      <c r="G248" s="68"/>
      <c r="H248" s="66"/>
      <c r="I248" s="67"/>
      <c r="J248" s="67"/>
      <c r="K248" s="67"/>
      <c r="L248" s="66"/>
      <c r="M248" s="68"/>
      <c r="N248" s="66"/>
      <c r="O248" s="69"/>
      <c r="P248" s="67"/>
      <c r="Q248" s="66"/>
      <c r="R248" s="65"/>
      <c r="S248" s="68"/>
    </row>
    <row r="249" spans="1:19" ht="27" x14ac:dyDescent="0.4">
      <c r="A249" s="65"/>
      <c r="B249" s="65"/>
      <c r="C249" s="66"/>
      <c r="D249" s="66"/>
      <c r="E249" s="67"/>
      <c r="F249" s="68"/>
      <c r="G249" s="68"/>
      <c r="H249" s="66"/>
      <c r="I249" s="67"/>
      <c r="J249" s="67"/>
      <c r="K249" s="67"/>
      <c r="L249" s="66"/>
      <c r="M249" s="68"/>
      <c r="N249" s="66"/>
      <c r="O249" s="69"/>
      <c r="P249" s="67"/>
      <c r="Q249" s="66"/>
      <c r="R249" s="65"/>
      <c r="S249" s="68"/>
    </row>
    <row r="250" spans="1:19" ht="27" x14ac:dyDescent="0.4">
      <c r="A250" s="65"/>
      <c r="B250" s="65"/>
      <c r="C250" s="66"/>
      <c r="D250" s="66"/>
      <c r="E250" s="67"/>
      <c r="F250" s="68"/>
      <c r="G250" s="68"/>
      <c r="H250" s="66"/>
      <c r="I250" s="67"/>
      <c r="J250" s="67"/>
      <c r="K250" s="67"/>
      <c r="L250" s="66"/>
      <c r="M250" s="68"/>
      <c r="N250" s="66"/>
      <c r="O250" s="69"/>
      <c r="P250" s="67"/>
      <c r="Q250" s="66"/>
      <c r="R250" s="65"/>
      <c r="S250" s="68"/>
    </row>
    <row r="251" spans="1:19" ht="27" x14ac:dyDescent="0.4">
      <c r="A251" s="65"/>
      <c r="B251" s="65"/>
      <c r="C251" s="66"/>
      <c r="D251" s="66"/>
      <c r="E251" s="67"/>
      <c r="F251" s="68"/>
      <c r="G251" s="68"/>
      <c r="H251" s="66"/>
      <c r="I251" s="67"/>
      <c r="J251" s="67"/>
      <c r="K251" s="67"/>
      <c r="L251" s="66"/>
      <c r="M251" s="68"/>
      <c r="N251" s="66"/>
      <c r="O251" s="69"/>
      <c r="P251" s="67"/>
      <c r="Q251" s="66"/>
      <c r="R251" s="65"/>
      <c r="S251" s="68"/>
    </row>
    <row r="252" spans="1:19" ht="27" x14ac:dyDescent="0.4">
      <c r="A252" s="65"/>
      <c r="B252" s="65"/>
      <c r="C252" s="66"/>
      <c r="D252" s="66"/>
      <c r="E252" s="67"/>
      <c r="F252" s="68"/>
      <c r="G252" s="68"/>
      <c r="H252" s="66"/>
      <c r="I252" s="67"/>
      <c r="J252" s="67"/>
      <c r="K252" s="67"/>
      <c r="L252" s="66"/>
      <c r="M252" s="68"/>
      <c r="N252" s="66"/>
      <c r="O252" s="69"/>
      <c r="P252" s="67"/>
      <c r="Q252" s="66"/>
      <c r="R252" s="65"/>
      <c r="S252" s="68"/>
    </row>
    <row r="253" spans="1:19" ht="27" x14ac:dyDescent="0.4">
      <c r="A253" s="65"/>
      <c r="B253" s="65"/>
      <c r="C253" s="66"/>
      <c r="D253" s="66"/>
      <c r="E253" s="67"/>
      <c r="F253" s="68"/>
      <c r="G253" s="68"/>
      <c r="H253" s="66"/>
      <c r="I253" s="67"/>
      <c r="J253" s="67"/>
      <c r="K253" s="67"/>
      <c r="L253" s="66"/>
      <c r="M253" s="68"/>
      <c r="N253" s="66"/>
      <c r="O253" s="69"/>
      <c r="P253" s="67"/>
      <c r="Q253" s="66"/>
      <c r="R253" s="65"/>
      <c r="S253" s="70"/>
    </row>
    <row r="254" spans="1:19" ht="27" x14ac:dyDescent="0.4">
      <c r="A254" s="65"/>
      <c r="B254" s="65"/>
      <c r="C254" s="66"/>
      <c r="D254" s="66"/>
      <c r="E254" s="67"/>
      <c r="F254" s="68"/>
      <c r="G254" s="68"/>
      <c r="H254" s="66"/>
      <c r="I254" s="67"/>
      <c r="J254" s="67"/>
      <c r="K254" s="67"/>
      <c r="L254" s="66"/>
      <c r="M254" s="68"/>
      <c r="N254" s="66"/>
      <c r="O254" s="69"/>
      <c r="P254" s="67"/>
      <c r="Q254" s="66"/>
      <c r="R254" s="65"/>
      <c r="S254" s="68"/>
    </row>
    <row r="255" spans="1:19" ht="27" x14ac:dyDescent="0.4">
      <c r="A255" s="65"/>
      <c r="B255" s="65"/>
      <c r="C255" s="66"/>
      <c r="D255" s="66"/>
      <c r="E255" s="67"/>
      <c r="F255" s="68"/>
      <c r="G255" s="68"/>
      <c r="H255" s="66"/>
      <c r="I255" s="67"/>
      <c r="J255" s="67"/>
      <c r="K255" s="67"/>
      <c r="L255" s="66"/>
      <c r="M255" s="68"/>
      <c r="N255" s="66"/>
      <c r="O255" s="69"/>
      <c r="P255" s="67"/>
      <c r="Q255" s="66"/>
      <c r="R255" s="65"/>
      <c r="S255" s="68"/>
    </row>
    <row r="256" spans="1:19" ht="27" x14ac:dyDescent="0.4">
      <c r="A256" s="65"/>
      <c r="B256" s="65"/>
      <c r="C256" s="66"/>
      <c r="D256" s="66"/>
      <c r="E256" s="67"/>
      <c r="F256" s="68"/>
      <c r="G256" s="68"/>
      <c r="H256" s="66"/>
      <c r="I256" s="67"/>
      <c r="J256" s="67"/>
      <c r="K256" s="67"/>
      <c r="L256" s="66"/>
      <c r="M256" s="68"/>
      <c r="N256" s="66"/>
      <c r="O256" s="69"/>
      <c r="P256" s="67"/>
      <c r="Q256" s="66"/>
      <c r="R256" s="65"/>
      <c r="S256" s="68"/>
    </row>
    <row r="257" spans="1:19" ht="27" x14ac:dyDescent="0.4">
      <c r="A257" s="65"/>
      <c r="B257" s="65"/>
      <c r="C257" s="66"/>
      <c r="D257" s="66"/>
      <c r="E257" s="67"/>
      <c r="F257" s="68"/>
      <c r="G257" s="68"/>
      <c r="H257" s="66"/>
      <c r="I257" s="67"/>
      <c r="J257" s="67"/>
      <c r="K257" s="67"/>
      <c r="L257" s="66"/>
      <c r="M257" s="68"/>
      <c r="N257" s="66"/>
      <c r="O257" s="69"/>
      <c r="P257" s="67"/>
      <c r="Q257" s="66"/>
      <c r="R257" s="65"/>
      <c r="S257" s="68"/>
    </row>
    <row r="258" spans="1:19" ht="27" x14ac:dyDescent="0.4">
      <c r="A258" s="65"/>
      <c r="B258" s="65"/>
      <c r="C258" s="66"/>
      <c r="D258" s="66"/>
      <c r="E258" s="67"/>
      <c r="F258" s="68"/>
      <c r="G258" s="68"/>
      <c r="H258" s="66"/>
      <c r="I258" s="67"/>
      <c r="J258" s="67"/>
      <c r="K258" s="67"/>
      <c r="L258" s="66"/>
      <c r="M258" s="68"/>
      <c r="N258" s="66"/>
      <c r="O258" s="69"/>
      <c r="P258" s="67"/>
      <c r="Q258" s="66"/>
      <c r="R258" s="65"/>
      <c r="S258" s="68"/>
    </row>
    <row r="259" spans="1:19" ht="27" x14ac:dyDescent="0.4">
      <c r="A259" s="65"/>
      <c r="B259" s="65"/>
      <c r="C259" s="66"/>
      <c r="D259" s="66"/>
      <c r="E259" s="67"/>
      <c r="F259" s="68"/>
      <c r="G259" s="68"/>
      <c r="H259" s="66"/>
      <c r="I259" s="67"/>
      <c r="J259" s="67"/>
      <c r="K259" s="67"/>
      <c r="L259" s="66"/>
      <c r="M259" s="68"/>
      <c r="N259" s="66"/>
      <c r="O259" s="69"/>
      <c r="P259" s="67"/>
      <c r="Q259" s="66"/>
      <c r="R259" s="65"/>
      <c r="S259" s="68"/>
    </row>
    <row r="260" spans="1:19" ht="27" x14ac:dyDescent="0.4">
      <c r="A260" s="65"/>
      <c r="B260" s="65"/>
      <c r="C260" s="66"/>
      <c r="D260" s="66"/>
      <c r="E260" s="67"/>
      <c r="F260" s="68"/>
      <c r="G260" s="68"/>
      <c r="H260" s="66"/>
      <c r="I260" s="67"/>
      <c r="J260" s="67"/>
      <c r="K260" s="67"/>
      <c r="L260" s="66"/>
      <c r="M260" s="68"/>
      <c r="N260" s="66"/>
      <c r="O260" s="69"/>
      <c r="P260" s="67"/>
      <c r="Q260" s="66"/>
      <c r="R260" s="65"/>
      <c r="S260" s="68"/>
    </row>
    <row r="261" spans="1:19" ht="27" x14ac:dyDescent="0.4">
      <c r="A261" s="65"/>
      <c r="B261" s="65"/>
      <c r="C261" s="66"/>
      <c r="D261" s="66"/>
      <c r="E261" s="67"/>
      <c r="F261" s="68"/>
      <c r="G261" s="68"/>
      <c r="H261" s="66"/>
      <c r="I261" s="67"/>
      <c r="J261" s="67"/>
      <c r="K261" s="67"/>
      <c r="L261" s="66"/>
      <c r="M261" s="68"/>
      <c r="N261" s="66"/>
      <c r="O261" s="69"/>
      <c r="P261" s="67"/>
      <c r="Q261" s="66"/>
      <c r="R261" s="65"/>
      <c r="S261" s="68"/>
    </row>
    <row r="262" spans="1:19" ht="27" x14ac:dyDescent="0.4">
      <c r="A262" s="65"/>
      <c r="B262" s="65"/>
      <c r="C262" s="66"/>
      <c r="D262" s="66"/>
      <c r="E262" s="67"/>
      <c r="F262" s="68"/>
      <c r="G262" s="68"/>
      <c r="H262" s="66"/>
      <c r="I262" s="67"/>
      <c r="J262" s="67"/>
      <c r="K262" s="67"/>
      <c r="L262" s="66"/>
      <c r="M262" s="68"/>
      <c r="N262" s="66"/>
      <c r="O262" s="69"/>
      <c r="P262" s="67"/>
      <c r="Q262" s="66"/>
      <c r="R262" s="65"/>
      <c r="S262" s="68"/>
    </row>
    <row r="263" spans="1:19" ht="27" x14ac:dyDescent="0.4">
      <c r="A263" s="65"/>
      <c r="B263" s="65"/>
      <c r="C263" s="66"/>
      <c r="D263" s="66"/>
      <c r="E263" s="67"/>
      <c r="F263" s="68"/>
      <c r="G263" s="68"/>
      <c r="H263" s="66"/>
      <c r="I263" s="67"/>
      <c r="J263" s="67"/>
      <c r="K263" s="67"/>
      <c r="L263" s="66"/>
      <c r="M263" s="68"/>
      <c r="N263" s="66"/>
      <c r="O263" s="69"/>
      <c r="P263" s="67"/>
      <c r="Q263" s="66"/>
      <c r="R263" s="65"/>
      <c r="S263" s="70"/>
    </row>
    <row r="264" spans="1:19" ht="27" x14ac:dyDescent="0.4">
      <c r="A264" s="65"/>
      <c r="B264" s="65"/>
      <c r="C264" s="66"/>
      <c r="D264" s="66"/>
      <c r="E264" s="67"/>
      <c r="F264" s="68"/>
      <c r="G264" s="68"/>
      <c r="H264" s="66"/>
      <c r="I264" s="67"/>
      <c r="J264" s="67"/>
      <c r="K264" s="67"/>
      <c r="L264" s="66"/>
      <c r="M264" s="68"/>
      <c r="N264" s="66"/>
      <c r="O264" s="69"/>
      <c r="P264" s="67"/>
      <c r="Q264" s="66"/>
      <c r="R264" s="65"/>
      <c r="S264" s="70"/>
    </row>
    <row r="265" spans="1:19" ht="27" x14ac:dyDescent="0.4">
      <c r="A265" s="65"/>
      <c r="B265" s="65"/>
      <c r="C265" s="66"/>
      <c r="D265" s="121"/>
      <c r="E265" s="67"/>
      <c r="F265" s="68"/>
      <c r="G265" s="68"/>
      <c r="H265" s="66"/>
      <c r="I265" s="67"/>
      <c r="J265" s="67"/>
      <c r="K265" s="67"/>
      <c r="L265" s="66"/>
      <c r="M265" s="68"/>
      <c r="N265" s="66"/>
      <c r="O265" s="69"/>
      <c r="P265" s="67"/>
      <c r="Q265" s="66"/>
      <c r="R265" s="65"/>
      <c r="S265" s="70"/>
    </row>
    <row r="266" spans="1:19" ht="27" x14ac:dyDescent="0.4">
      <c r="A266" s="65"/>
      <c r="B266" s="65"/>
      <c r="C266" s="66"/>
      <c r="D266" s="66"/>
      <c r="E266" s="67"/>
      <c r="F266" s="68"/>
      <c r="G266" s="68"/>
      <c r="H266" s="66"/>
      <c r="I266" s="67"/>
      <c r="J266" s="67"/>
      <c r="K266" s="67"/>
      <c r="L266" s="66"/>
      <c r="M266" s="68"/>
      <c r="N266" s="66"/>
      <c r="O266" s="69"/>
      <c r="P266" s="67"/>
      <c r="Q266" s="66"/>
      <c r="R266" s="65"/>
      <c r="S266" s="70"/>
    </row>
    <row r="267" spans="1:19" ht="27" x14ac:dyDescent="0.4">
      <c r="A267" s="65"/>
      <c r="B267" s="65"/>
      <c r="C267" s="66"/>
      <c r="D267" s="66"/>
      <c r="E267" s="67"/>
      <c r="F267" s="68"/>
      <c r="G267" s="68"/>
      <c r="H267" s="66"/>
      <c r="I267" s="67"/>
      <c r="J267" s="67"/>
      <c r="K267" s="67"/>
      <c r="L267" s="66"/>
      <c r="M267" s="68"/>
      <c r="N267" s="66"/>
      <c r="O267" s="69"/>
      <c r="P267" s="67"/>
      <c r="Q267" s="66"/>
      <c r="R267" s="65"/>
      <c r="S267" s="70"/>
    </row>
    <row r="268" spans="1:19" ht="27" x14ac:dyDescent="0.4">
      <c r="A268" s="65"/>
      <c r="B268" s="65"/>
      <c r="C268" s="66"/>
      <c r="D268" s="66"/>
      <c r="E268" s="67"/>
      <c r="F268" s="68"/>
      <c r="G268" s="68"/>
      <c r="H268" s="66"/>
      <c r="I268" s="67"/>
      <c r="J268" s="67"/>
      <c r="K268" s="67"/>
      <c r="L268" s="66"/>
      <c r="M268" s="68"/>
      <c r="N268" s="66"/>
      <c r="O268" s="69"/>
      <c r="P268" s="67"/>
      <c r="Q268" s="66"/>
      <c r="R268" s="65"/>
      <c r="S268" s="70"/>
    </row>
    <row r="269" spans="1:19" ht="27" x14ac:dyDescent="0.4">
      <c r="A269" s="65"/>
      <c r="B269" s="65"/>
      <c r="C269" s="66"/>
      <c r="D269" s="66"/>
      <c r="E269" s="67"/>
      <c r="F269" s="68"/>
      <c r="G269" s="68"/>
      <c r="H269" s="66"/>
      <c r="I269" s="67"/>
      <c r="J269" s="67"/>
      <c r="K269" s="67"/>
      <c r="L269" s="66"/>
      <c r="M269" s="68"/>
      <c r="N269" s="66"/>
      <c r="O269" s="69"/>
      <c r="P269" s="67"/>
      <c r="Q269" s="66"/>
      <c r="R269" s="65"/>
      <c r="S269" s="70"/>
    </row>
    <row r="270" spans="1:19" ht="27" x14ac:dyDescent="0.4">
      <c r="A270" s="65"/>
      <c r="B270" s="65"/>
      <c r="C270" s="66"/>
      <c r="D270" s="66"/>
      <c r="E270" s="67"/>
      <c r="F270" s="68"/>
      <c r="G270" s="68"/>
      <c r="H270" s="66"/>
      <c r="I270" s="67"/>
      <c r="J270" s="67"/>
      <c r="K270" s="67"/>
      <c r="L270" s="66"/>
      <c r="M270" s="68"/>
      <c r="N270" s="66"/>
      <c r="O270" s="69"/>
      <c r="P270" s="67"/>
      <c r="Q270" s="66"/>
      <c r="R270" s="65"/>
      <c r="S270" s="68"/>
    </row>
    <row r="271" spans="1:19" ht="27" x14ac:dyDescent="0.4">
      <c r="A271" s="65"/>
      <c r="B271" s="65"/>
      <c r="C271" s="66"/>
      <c r="D271" s="66"/>
      <c r="E271" s="67"/>
      <c r="F271" s="68"/>
      <c r="G271" s="68"/>
      <c r="H271" s="66"/>
      <c r="I271" s="67"/>
      <c r="J271" s="67"/>
      <c r="K271" s="67"/>
      <c r="L271" s="66"/>
      <c r="M271" s="68"/>
      <c r="N271" s="66"/>
      <c r="O271" s="69"/>
      <c r="P271" s="67"/>
      <c r="Q271" s="66"/>
      <c r="R271" s="65"/>
      <c r="S271" s="68"/>
    </row>
    <row r="272" spans="1:19" ht="27" x14ac:dyDescent="0.4">
      <c r="A272" s="65"/>
      <c r="B272" s="65"/>
      <c r="C272" s="66"/>
      <c r="D272" s="66"/>
      <c r="E272" s="67"/>
      <c r="F272" s="68"/>
      <c r="G272" s="68"/>
      <c r="H272" s="66"/>
      <c r="I272" s="67"/>
      <c r="J272" s="67"/>
      <c r="K272" s="67"/>
      <c r="L272" s="66"/>
      <c r="M272" s="68"/>
      <c r="N272" s="66"/>
      <c r="O272" s="69"/>
      <c r="P272" s="67"/>
      <c r="Q272" s="66"/>
      <c r="R272" s="65"/>
      <c r="S272" s="68"/>
    </row>
    <row r="273" spans="1:26" ht="27" x14ac:dyDescent="0.4">
      <c r="A273" s="65"/>
      <c r="B273" s="65"/>
      <c r="C273" s="66"/>
      <c r="D273" s="66"/>
      <c r="E273" s="67"/>
      <c r="F273" s="68"/>
      <c r="G273" s="68"/>
      <c r="H273" s="66"/>
      <c r="I273" s="67"/>
      <c r="J273" s="67"/>
      <c r="K273" s="67"/>
      <c r="L273" s="66"/>
      <c r="M273" s="68"/>
      <c r="N273" s="66"/>
      <c r="O273" s="69"/>
      <c r="P273" s="67"/>
      <c r="Q273" s="66"/>
      <c r="R273" s="65"/>
      <c r="S273" s="68"/>
    </row>
    <row r="274" spans="1:26" ht="27" x14ac:dyDescent="0.4">
      <c r="A274" s="65"/>
      <c r="B274" s="65"/>
      <c r="C274" s="66"/>
      <c r="D274" s="66"/>
      <c r="E274" s="67"/>
      <c r="F274" s="68"/>
      <c r="G274" s="68"/>
      <c r="H274" s="66"/>
      <c r="I274" s="67"/>
      <c r="J274" s="67"/>
      <c r="K274" s="67"/>
      <c r="L274" s="66"/>
      <c r="M274" s="68"/>
      <c r="N274" s="66"/>
      <c r="O274" s="69"/>
      <c r="P274" s="67"/>
      <c r="Q274" s="66"/>
      <c r="R274" s="65"/>
      <c r="S274" s="68"/>
    </row>
    <row r="275" spans="1:26" ht="27" x14ac:dyDescent="0.4">
      <c r="A275" s="65"/>
      <c r="B275" s="65"/>
      <c r="C275" s="66"/>
      <c r="D275" s="66"/>
      <c r="E275" s="67"/>
      <c r="F275" s="68"/>
      <c r="G275" s="68"/>
      <c r="H275" s="66"/>
      <c r="I275" s="67"/>
      <c r="J275" s="67"/>
      <c r="K275" s="67"/>
      <c r="L275" s="66"/>
      <c r="M275" s="68"/>
      <c r="N275" s="66"/>
      <c r="O275" s="69"/>
      <c r="P275" s="67"/>
      <c r="Q275" s="66"/>
      <c r="R275" s="65"/>
      <c r="S275" s="68"/>
    </row>
    <row r="276" spans="1:26" ht="27" x14ac:dyDescent="0.4">
      <c r="A276" s="65"/>
      <c r="B276" s="65"/>
      <c r="C276" s="66"/>
      <c r="D276" s="66"/>
      <c r="E276" s="67"/>
      <c r="F276" s="68"/>
      <c r="G276" s="68"/>
      <c r="H276" s="66"/>
      <c r="I276" s="67"/>
      <c r="J276" s="67"/>
      <c r="K276" s="67"/>
      <c r="L276" s="66"/>
      <c r="M276" s="68"/>
      <c r="N276" s="66"/>
      <c r="O276" s="69"/>
      <c r="P276" s="67"/>
      <c r="Q276" s="66"/>
      <c r="R276" s="65"/>
      <c r="S276" s="68"/>
    </row>
    <row r="277" spans="1:26" ht="27" x14ac:dyDescent="0.4">
      <c r="A277" s="65"/>
      <c r="B277" s="65"/>
      <c r="C277" s="66"/>
      <c r="D277" s="66"/>
      <c r="E277" s="67"/>
      <c r="F277" s="68"/>
      <c r="G277" s="68"/>
      <c r="H277" s="66"/>
      <c r="I277" s="67"/>
      <c r="J277" s="67"/>
      <c r="K277" s="67"/>
      <c r="L277" s="66"/>
      <c r="M277" s="68"/>
      <c r="N277" s="66"/>
      <c r="O277" s="69"/>
      <c r="P277" s="67"/>
      <c r="Q277" s="66"/>
      <c r="R277" s="65"/>
      <c r="S277" s="68"/>
    </row>
    <row r="278" spans="1:26" ht="33" x14ac:dyDescent="0.4">
      <c r="A278" s="65"/>
      <c r="B278" s="65"/>
      <c r="C278" s="66"/>
      <c r="D278" s="66"/>
      <c r="E278" s="67"/>
      <c r="F278" s="68"/>
      <c r="G278" s="68"/>
      <c r="H278" s="66"/>
      <c r="I278" s="67"/>
      <c r="J278" s="67"/>
      <c r="K278" s="67"/>
      <c r="L278" s="66"/>
      <c r="M278" s="68"/>
      <c r="N278" s="66"/>
      <c r="O278" s="69"/>
      <c r="P278" s="67"/>
      <c r="Q278" s="66"/>
      <c r="R278" s="65"/>
      <c r="S278" s="68"/>
      <c r="V278" s="53"/>
      <c r="W278" s="53"/>
      <c r="X278" s="54"/>
      <c r="Y278" s="54"/>
      <c r="Z278" s="55"/>
    </row>
    <row r="279" spans="1:26" ht="33" x14ac:dyDescent="0.4">
      <c r="A279" s="65"/>
      <c r="B279" s="65"/>
      <c r="C279" s="66"/>
      <c r="D279" s="66"/>
      <c r="E279" s="67"/>
      <c r="F279" s="68"/>
      <c r="G279" s="68"/>
      <c r="H279" s="66"/>
      <c r="I279" s="67"/>
      <c r="J279" s="67"/>
      <c r="K279" s="67"/>
      <c r="L279" s="66"/>
      <c r="M279" s="68"/>
      <c r="N279" s="66"/>
      <c r="O279" s="69"/>
      <c r="P279" s="67"/>
      <c r="Q279" s="66"/>
      <c r="R279" s="65"/>
      <c r="S279" s="68"/>
      <c r="V279" s="53"/>
      <c r="W279" s="53"/>
      <c r="X279" s="54"/>
      <c r="Y279" s="54"/>
      <c r="Z279" s="55"/>
    </row>
    <row r="280" spans="1:26" ht="33" x14ac:dyDescent="0.4">
      <c r="A280" s="65"/>
      <c r="B280" s="65"/>
      <c r="C280" s="66"/>
      <c r="D280" s="66"/>
      <c r="E280" s="67"/>
      <c r="F280" s="68"/>
      <c r="G280" s="68"/>
      <c r="H280" s="66"/>
      <c r="I280" s="67"/>
      <c r="J280" s="67"/>
      <c r="K280" s="67"/>
      <c r="L280" s="66"/>
      <c r="M280" s="68"/>
      <c r="N280" s="66"/>
      <c r="O280" s="69"/>
      <c r="P280" s="67"/>
      <c r="Q280" s="66"/>
      <c r="R280" s="65"/>
      <c r="S280" s="68"/>
      <c r="V280" s="53"/>
      <c r="W280" s="53"/>
      <c r="X280" s="54"/>
      <c r="Y280" s="54"/>
      <c r="Z280" s="55"/>
    </row>
    <row r="281" spans="1:26" ht="33" x14ac:dyDescent="0.4">
      <c r="A281" s="65"/>
      <c r="B281" s="65"/>
      <c r="C281" s="66"/>
      <c r="D281" s="66"/>
      <c r="E281" s="67"/>
      <c r="F281" s="68"/>
      <c r="G281" s="68"/>
      <c r="H281" s="66"/>
      <c r="I281" s="67"/>
      <c r="J281" s="67"/>
      <c r="K281" s="67"/>
      <c r="L281" s="66"/>
      <c r="M281" s="68"/>
      <c r="N281" s="66"/>
      <c r="O281" s="69"/>
      <c r="P281" s="67"/>
      <c r="Q281" s="66"/>
      <c r="R281" s="65"/>
      <c r="S281" s="68"/>
      <c r="V281" s="53"/>
      <c r="W281" s="53"/>
      <c r="X281" s="54"/>
      <c r="Y281" s="54"/>
      <c r="Z281" s="55"/>
    </row>
    <row r="282" spans="1:26" ht="33" x14ac:dyDescent="0.4">
      <c r="A282" s="65"/>
      <c r="B282" s="65"/>
      <c r="C282" s="66"/>
      <c r="D282" s="66"/>
      <c r="E282" s="67"/>
      <c r="F282" s="68"/>
      <c r="G282" s="68"/>
      <c r="H282" s="66"/>
      <c r="I282" s="67"/>
      <c r="J282" s="67"/>
      <c r="K282" s="67"/>
      <c r="L282" s="66"/>
      <c r="M282" s="68"/>
      <c r="N282" s="66"/>
      <c r="O282" s="69"/>
      <c r="P282" s="67"/>
      <c r="Q282" s="66"/>
      <c r="R282" s="65"/>
      <c r="S282" s="68"/>
      <c r="V282" s="53"/>
      <c r="W282" s="53"/>
      <c r="X282" s="54"/>
      <c r="Y282" s="54"/>
      <c r="Z282" s="55"/>
    </row>
    <row r="283" spans="1:26" ht="30.75" x14ac:dyDescent="0.4">
      <c r="A283" s="65"/>
      <c r="B283" s="65"/>
      <c r="C283" s="66"/>
      <c r="D283" s="66"/>
      <c r="E283" s="67"/>
      <c r="F283" s="68"/>
      <c r="G283" s="68"/>
      <c r="H283" s="66"/>
      <c r="I283" s="67"/>
      <c r="J283" s="67"/>
      <c r="K283" s="67"/>
      <c r="L283" s="66"/>
      <c r="M283" s="68"/>
      <c r="N283" s="66"/>
      <c r="O283" s="69"/>
      <c r="P283" s="67"/>
      <c r="Q283" s="66"/>
      <c r="R283" s="65"/>
      <c r="S283" s="68"/>
      <c r="V283" s="56"/>
      <c r="W283" s="56"/>
      <c r="X283" s="54"/>
      <c r="Y283" s="54"/>
      <c r="Z283" s="55"/>
    </row>
    <row r="284" spans="1:26" ht="27" x14ac:dyDescent="0.4">
      <c r="A284" s="65"/>
      <c r="B284" s="65"/>
      <c r="C284" s="66"/>
      <c r="D284" s="66"/>
      <c r="E284" s="67"/>
      <c r="F284" s="68"/>
      <c r="G284" s="68"/>
      <c r="H284" s="66"/>
      <c r="I284" s="67"/>
      <c r="J284" s="67"/>
      <c r="K284" s="67"/>
      <c r="L284" s="66"/>
      <c r="M284" s="68"/>
      <c r="N284" s="66"/>
      <c r="O284" s="69"/>
      <c r="P284" s="67"/>
      <c r="Q284" s="66"/>
      <c r="R284" s="65"/>
      <c r="S284" s="68"/>
    </row>
    <row r="285" spans="1:26" ht="27" x14ac:dyDescent="0.4">
      <c r="A285" s="65"/>
      <c r="B285" s="65"/>
      <c r="C285" s="66"/>
      <c r="D285" s="66"/>
      <c r="E285" s="67"/>
      <c r="F285" s="68"/>
      <c r="G285" s="68"/>
      <c r="H285" s="66"/>
      <c r="I285" s="67"/>
      <c r="J285" s="67"/>
      <c r="K285" s="67"/>
      <c r="L285" s="66"/>
      <c r="M285" s="68"/>
      <c r="N285" s="66"/>
      <c r="O285" s="69"/>
      <c r="P285" s="67"/>
      <c r="Q285" s="66"/>
      <c r="R285" s="65"/>
      <c r="S285" s="68"/>
    </row>
    <row r="286" spans="1:26" ht="27" x14ac:dyDescent="0.4">
      <c r="A286" s="65"/>
      <c r="B286" s="65"/>
      <c r="C286" s="66"/>
      <c r="D286" s="66"/>
      <c r="E286" s="67"/>
      <c r="F286" s="68"/>
      <c r="G286" s="68"/>
      <c r="H286" s="66"/>
      <c r="I286" s="67"/>
      <c r="J286" s="67"/>
      <c r="K286" s="67"/>
      <c r="L286" s="66"/>
      <c r="M286" s="68"/>
      <c r="N286" s="66"/>
      <c r="O286" s="69"/>
      <c r="P286" s="67"/>
      <c r="Q286" s="66"/>
      <c r="R286" s="65"/>
      <c r="S286" s="68"/>
    </row>
    <row r="287" spans="1:26" ht="27" x14ac:dyDescent="0.4">
      <c r="A287" s="65"/>
      <c r="B287" s="65"/>
      <c r="C287" s="66"/>
      <c r="D287" s="66"/>
      <c r="E287" s="67"/>
      <c r="F287" s="68"/>
      <c r="G287" s="68"/>
      <c r="H287" s="66"/>
      <c r="I287" s="67"/>
      <c r="J287" s="67"/>
      <c r="K287" s="67"/>
      <c r="L287" s="66"/>
      <c r="M287" s="68"/>
      <c r="N287" s="66"/>
      <c r="O287" s="69"/>
      <c r="P287" s="67"/>
      <c r="Q287" s="66"/>
      <c r="R287" s="65"/>
      <c r="S287" s="68"/>
    </row>
    <row r="288" spans="1:26" ht="27" x14ac:dyDescent="0.4">
      <c r="A288" s="65"/>
      <c r="B288" s="65"/>
      <c r="C288" s="66"/>
      <c r="D288" s="66"/>
      <c r="E288" s="67"/>
      <c r="F288" s="68"/>
      <c r="G288" s="68"/>
      <c r="H288" s="66"/>
      <c r="I288" s="67"/>
      <c r="J288" s="67"/>
      <c r="K288" s="67"/>
      <c r="L288" s="66"/>
      <c r="M288" s="68"/>
      <c r="N288" s="66"/>
      <c r="O288" s="69"/>
      <c r="P288" s="67"/>
      <c r="Q288" s="66"/>
      <c r="R288" s="65"/>
      <c r="S288" s="68"/>
    </row>
    <row r="289" spans="1:19" ht="27" x14ac:dyDescent="0.4">
      <c r="A289" s="65"/>
      <c r="B289" s="65"/>
      <c r="C289" s="66"/>
      <c r="D289" s="65"/>
      <c r="E289" s="67"/>
      <c r="F289" s="68"/>
      <c r="G289" s="68"/>
      <c r="H289" s="66"/>
      <c r="I289" s="67"/>
      <c r="J289" s="67"/>
      <c r="K289" s="67"/>
      <c r="L289" s="66"/>
      <c r="M289" s="68"/>
      <c r="N289" s="66"/>
      <c r="O289" s="69"/>
      <c r="P289" s="67"/>
      <c r="Q289" s="66"/>
      <c r="R289" s="65"/>
      <c r="S289" s="68"/>
    </row>
    <row r="290" spans="1:19" ht="27" x14ac:dyDescent="0.4">
      <c r="A290" s="65"/>
      <c r="B290" s="65"/>
      <c r="C290" s="66"/>
      <c r="D290" s="66"/>
      <c r="E290" s="67"/>
      <c r="F290" s="68"/>
      <c r="G290" s="68"/>
      <c r="H290" s="66"/>
      <c r="I290" s="67"/>
      <c r="J290" s="67"/>
      <c r="K290" s="67"/>
      <c r="L290" s="66"/>
      <c r="M290" s="68"/>
      <c r="N290" s="66"/>
      <c r="O290" s="69"/>
      <c r="P290" s="67"/>
      <c r="Q290" s="66"/>
      <c r="R290" s="65"/>
      <c r="S290" s="68"/>
    </row>
    <row r="291" spans="1:19" ht="27" x14ac:dyDescent="0.4">
      <c r="A291" s="65"/>
      <c r="B291" s="65"/>
      <c r="C291" s="66"/>
      <c r="D291" s="66"/>
      <c r="E291" s="67"/>
      <c r="F291" s="68"/>
      <c r="G291" s="68"/>
      <c r="H291" s="66"/>
      <c r="I291" s="67"/>
      <c r="J291" s="67"/>
      <c r="K291" s="67"/>
      <c r="L291" s="66"/>
      <c r="M291" s="68"/>
      <c r="N291" s="66"/>
      <c r="O291" s="69"/>
      <c r="P291" s="67"/>
      <c r="Q291" s="66"/>
      <c r="R291" s="65"/>
      <c r="S291" s="68"/>
    </row>
    <row r="292" spans="1:19" ht="27" x14ac:dyDescent="0.4">
      <c r="A292" s="65"/>
      <c r="B292" s="65"/>
      <c r="C292" s="66"/>
      <c r="D292" s="66"/>
      <c r="E292" s="67"/>
      <c r="F292" s="68"/>
      <c r="G292" s="68"/>
      <c r="H292" s="66"/>
      <c r="I292" s="67"/>
      <c r="J292" s="67"/>
      <c r="K292" s="67"/>
      <c r="L292" s="66"/>
      <c r="M292" s="68"/>
      <c r="N292" s="66"/>
      <c r="O292" s="69"/>
      <c r="P292" s="67"/>
      <c r="Q292" s="66"/>
      <c r="R292" s="65"/>
      <c r="S292" s="68"/>
    </row>
    <row r="293" spans="1:19" ht="27" x14ac:dyDescent="0.4">
      <c r="A293" s="65"/>
      <c r="B293" s="65"/>
      <c r="C293" s="66"/>
      <c r="D293" s="66"/>
      <c r="E293" s="67"/>
      <c r="F293" s="68"/>
      <c r="G293" s="68"/>
      <c r="H293" s="66"/>
      <c r="I293" s="67"/>
      <c r="J293" s="67"/>
      <c r="K293" s="67"/>
      <c r="L293" s="66"/>
      <c r="M293" s="68"/>
      <c r="N293" s="66"/>
      <c r="O293" s="69"/>
      <c r="P293" s="67"/>
      <c r="Q293" s="66"/>
      <c r="R293" s="65"/>
      <c r="S293" s="68"/>
    </row>
    <row r="294" spans="1:19" ht="27" x14ac:dyDescent="0.4">
      <c r="A294" s="65"/>
      <c r="B294" s="65"/>
      <c r="C294" s="66"/>
      <c r="D294" s="66"/>
      <c r="E294" s="67"/>
      <c r="F294" s="68"/>
      <c r="G294" s="68"/>
      <c r="H294" s="66"/>
      <c r="I294" s="67"/>
      <c r="J294" s="67"/>
      <c r="K294" s="67"/>
      <c r="L294" s="66"/>
      <c r="M294" s="68"/>
      <c r="N294" s="66"/>
      <c r="O294" s="69"/>
      <c r="P294" s="67"/>
      <c r="Q294" s="66"/>
      <c r="R294" s="65"/>
      <c r="S294" s="68"/>
    </row>
    <row r="295" spans="1:19" ht="27" x14ac:dyDescent="0.4">
      <c r="A295" s="65"/>
      <c r="B295" s="65"/>
      <c r="C295" s="66"/>
      <c r="D295" s="66"/>
      <c r="E295" s="67"/>
      <c r="F295" s="68"/>
      <c r="G295" s="68"/>
      <c r="H295" s="66"/>
      <c r="I295" s="67"/>
      <c r="J295" s="67"/>
      <c r="K295" s="67"/>
      <c r="L295" s="66"/>
      <c r="M295" s="68"/>
      <c r="N295" s="66"/>
      <c r="O295" s="69"/>
      <c r="P295" s="67"/>
      <c r="Q295" s="66"/>
      <c r="R295" s="65"/>
      <c r="S295" s="68"/>
    </row>
    <row r="296" spans="1:19" ht="27" x14ac:dyDescent="0.4">
      <c r="A296" s="65"/>
      <c r="B296" s="65"/>
      <c r="C296" s="66"/>
      <c r="D296" s="66"/>
      <c r="E296" s="67"/>
      <c r="F296" s="68"/>
      <c r="G296" s="68"/>
      <c r="H296" s="66"/>
      <c r="I296" s="67"/>
      <c r="J296" s="67"/>
      <c r="K296" s="67"/>
      <c r="L296" s="66"/>
      <c r="M296" s="68"/>
      <c r="N296" s="66"/>
      <c r="O296" s="69"/>
      <c r="P296" s="67"/>
      <c r="Q296" s="66"/>
      <c r="R296" s="65"/>
      <c r="S296" s="68"/>
    </row>
    <row r="297" spans="1:19" ht="27" x14ac:dyDescent="0.4">
      <c r="A297" s="65"/>
      <c r="B297" s="65"/>
      <c r="C297" s="66"/>
      <c r="D297" s="66"/>
      <c r="E297" s="67"/>
      <c r="F297" s="68"/>
      <c r="G297" s="68"/>
      <c r="H297" s="66"/>
      <c r="I297" s="67"/>
      <c r="J297" s="67"/>
      <c r="K297" s="67"/>
      <c r="L297" s="66"/>
      <c r="M297" s="68"/>
      <c r="N297" s="66"/>
      <c r="O297" s="69"/>
      <c r="P297" s="67"/>
      <c r="Q297" s="66"/>
      <c r="R297" s="65"/>
      <c r="S297" s="68"/>
    </row>
    <row r="298" spans="1:19" ht="27" x14ac:dyDescent="0.4">
      <c r="A298" s="65"/>
      <c r="B298" s="65"/>
      <c r="C298" s="66"/>
      <c r="D298" s="66"/>
      <c r="E298" s="67"/>
      <c r="F298" s="68"/>
      <c r="G298" s="68"/>
      <c r="H298" s="66"/>
      <c r="I298" s="67"/>
      <c r="J298" s="67"/>
      <c r="K298" s="67"/>
      <c r="L298" s="66"/>
      <c r="M298" s="68"/>
      <c r="N298" s="66"/>
      <c r="O298" s="69"/>
      <c r="P298" s="67"/>
      <c r="Q298" s="66"/>
      <c r="R298" s="65"/>
      <c r="S298" s="68"/>
    </row>
    <row r="299" spans="1:19" ht="27" x14ac:dyDescent="0.4">
      <c r="A299" s="65"/>
      <c r="B299" s="65"/>
      <c r="C299" s="66"/>
      <c r="D299" s="66"/>
      <c r="E299" s="67"/>
      <c r="F299" s="68"/>
      <c r="G299" s="68"/>
      <c r="H299" s="66"/>
      <c r="I299" s="67"/>
      <c r="J299" s="67"/>
      <c r="K299" s="67"/>
      <c r="L299" s="66"/>
      <c r="M299" s="68"/>
      <c r="N299" s="66"/>
      <c r="O299" s="69"/>
      <c r="P299" s="67"/>
      <c r="Q299" s="66"/>
      <c r="R299" s="65"/>
      <c r="S299" s="68"/>
    </row>
    <row r="300" spans="1:19" ht="27" x14ac:dyDescent="0.4">
      <c r="A300" s="65"/>
      <c r="B300" s="65"/>
      <c r="C300" s="66"/>
      <c r="D300" s="66"/>
      <c r="E300" s="67"/>
      <c r="F300" s="68"/>
      <c r="G300" s="68"/>
      <c r="H300" s="66"/>
      <c r="I300" s="67"/>
      <c r="J300" s="67"/>
      <c r="K300" s="67"/>
      <c r="L300" s="66"/>
      <c r="M300" s="68"/>
      <c r="N300" s="66"/>
      <c r="O300" s="69"/>
      <c r="P300" s="67"/>
      <c r="Q300" s="66"/>
      <c r="R300" s="65"/>
      <c r="S300" s="68"/>
    </row>
    <row r="301" spans="1:19" ht="27" x14ac:dyDescent="0.4">
      <c r="A301" s="65"/>
      <c r="B301" s="65"/>
      <c r="C301" s="66"/>
      <c r="D301" s="66"/>
      <c r="E301" s="67"/>
      <c r="F301" s="68"/>
      <c r="G301" s="68"/>
      <c r="H301" s="66"/>
      <c r="I301" s="67"/>
      <c r="J301" s="67"/>
      <c r="K301" s="67"/>
      <c r="L301" s="66"/>
      <c r="M301" s="68"/>
      <c r="N301" s="66"/>
      <c r="O301" s="69"/>
      <c r="P301" s="67"/>
      <c r="Q301" s="66"/>
      <c r="R301" s="65"/>
      <c r="S301" s="68"/>
    </row>
    <row r="302" spans="1:19" ht="27" x14ac:dyDescent="0.4">
      <c r="A302" s="65"/>
      <c r="B302" s="65"/>
      <c r="C302" s="66"/>
      <c r="D302" s="66"/>
      <c r="E302" s="67"/>
      <c r="F302" s="68"/>
      <c r="G302" s="68"/>
      <c r="H302" s="66"/>
      <c r="I302" s="67"/>
      <c r="J302" s="67"/>
      <c r="K302" s="67"/>
      <c r="L302" s="66"/>
      <c r="M302" s="68"/>
      <c r="N302" s="66"/>
      <c r="O302" s="69"/>
      <c r="P302" s="67"/>
      <c r="Q302" s="66"/>
      <c r="R302" s="65"/>
      <c r="S302" s="68"/>
    </row>
    <row r="303" spans="1:19" ht="27" x14ac:dyDescent="0.4">
      <c r="A303" s="65"/>
      <c r="B303" s="65"/>
      <c r="C303" s="66"/>
      <c r="D303" s="66"/>
      <c r="E303" s="67"/>
      <c r="F303" s="68"/>
      <c r="G303" s="68"/>
      <c r="H303" s="66"/>
      <c r="I303" s="67"/>
      <c r="J303" s="67"/>
      <c r="K303" s="67"/>
      <c r="L303" s="66"/>
      <c r="M303" s="68"/>
      <c r="N303" s="66"/>
      <c r="O303" s="69"/>
      <c r="P303" s="67"/>
      <c r="Q303" s="66"/>
      <c r="R303" s="65"/>
      <c r="S303" s="68"/>
    </row>
    <row r="304" spans="1:19" ht="27" x14ac:dyDescent="0.4">
      <c r="A304" s="65"/>
      <c r="B304" s="65"/>
      <c r="C304" s="66"/>
      <c r="D304" s="66"/>
      <c r="E304" s="67"/>
      <c r="F304" s="68"/>
      <c r="G304" s="68"/>
      <c r="H304" s="66"/>
      <c r="I304" s="67"/>
      <c r="J304" s="67"/>
      <c r="K304" s="67"/>
      <c r="L304" s="66"/>
      <c r="M304" s="68"/>
      <c r="N304" s="66"/>
      <c r="O304" s="69"/>
      <c r="P304" s="67"/>
      <c r="Q304" s="66"/>
      <c r="R304" s="65"/>
      <c r="S304" s="68"/>
    </row>
    <row r="305" spans="1:19" ht="27" x14ac:dyDescent="0.4">
      <c r="A305" s="65"/>
      <c r="B305" s="65"/>
      <c r="C305" s="66"/>
      <c r="D305" s="66"/>
      <c r="E305" s="67"/>
      <c r="F305" s="68"/>
      <c r="G305" s="68"/>
      <c r="H305" s="66"/>
      <c r="I305" s="67"/>
      <c r="J305" s="67"/>
      <c r="K305" s="67"/>
      <c r="L305" s="66"/>
      <c r="M305" s="68"/>
      <c r="N305" s="66"/>
      <c r="O305" s="69"/>
      <c r="P305" s="67"/>
      <c r="Q305" s="66"/>
      <c r="R305" s="65"/>
      <c r="S305" s="68"/>
    </row>
    <row r="306" spans="1:19" ht="27" x14ac:dyDescent="0.4">
      <c r="A306" s="65"/>
      <c r="B306" s="65"/>
      <c r="C306" s="66"/>
      <c r="D306" s="66"/>
      <c r="E306" s="67"/>
      <c r="F306" s="68"/>
      <c r="G306" s="68"/>
      <c r="H306" s="66"/>
      <c r="I306" s="67"/>
      <c r="J306" s="67"/>
      <c r="K306" s="67"/>
      <c r="L306" s="66"/>
      <c r="M306" s="68"/>
      <c r="N306" s="66"/>
      <c r="O306" s="69"/>
      <c r="P306" s="67"/>
      <c r="Q306" s="66"/>
      <c r="R306" s="65"/>
      <c r="S306" s="68"/>
    </row>
    <row r="307" spans="1:19" ht="27" x14ac:dyDescent="0.4">
      <c r="A307" s="65"/>
      <c r="B307" s="65"/>
      <c r="C307" s="66"/>
      <c r="D307" s="66"/>
      <c r="E307" s="67"/>
      <c r="F307" s="68"/>
      <c r="G307" s="68"/>
      <c r="H307" s="66"/>
      <c r="I307" s="67"/>
      <c r="J307" s="67"/>
      <c r="K307" s="67"/>
      <c r="L307" s="66"/>
      <c r="M307" s="68"/>
      <c r="N307" s="66"/>
      <c r="O307" s="69"/>
      <c r="P307" s="67"/>
      <c r="Q307" s="66"/>
      <c r="R307" s="65"/>
      <c r="S307" s="68"/>
    </row>
    <row r="308" spans="1:19" ht="27" x14ac:dyDescent="0.4">
      <c r="A308" s="65"/>
      <c r="B308" s="65"/>
      <c r="C308" s="66"/>
      <c r="D308" s="66"/>
      <c r="E308" s="67"/>
      <c r="F308" s="68"/>
      <c r="G308" s="68"/>
      <c r="H308" s="66"/>
      <c r="I308" s="67"/>
      <c r="J308" s="67"/>
      <c r="K308" s="67"/>
      <c r="L308" s="66"/>
      <c r="M308" s="68"/>
      <c r="N308" s="66"/>
      <c r="O308" s="69"/>
      <c r="P308" s="67"/>
      <c r="Q308" s="66"/>
      <c r="R308" s="65"/>
      <c r="S308" s="68"/>
    </row>
    <row r="309" spans="1:19" ht="27" x14ac:dyDescent="0.4">
      <c r="A309" s="65"/>
      <c r="B309" s="65"/>
      <c r="C309" s="66"/>
      <c r="D309" s="66"/>
      <c r="E309" s="67"/>
      <c r="F309" s="68"/>
      <c r="G309" s="68"/>
      <c r="H309" s="66"/>
      <c r="I309" s="67"/>
      <c r="J309" s="67"/>
      <c r="K309" s="67"/>
      <c r="L309" s="66"/>
      <c r="M309" s="68"/>
      <c r="N309" s="66"/>
      <c r="O309" s="69"/>
      <c r="P309" s="67"/>
      <c r="Q309" s="66"/>
      <c r="R309" s="65"/>
      <c r="S309" s="68"/>
    </row>
    <row r="310" spans="1:19" ht="27" x14ac:dyDescent="0.4">
      <c r="A310" s="65"/>
      <c r="B310" s="65"/>
      <c r="C310" s="66"/>
      <c r="D310" s="66"/>
      <c r="E310" s="67"/>
      <c r="F310" s="68"/>
      <c r="G310" s="68"/>
      <c r="H310" s="66"/>
      <c r="I310" s="67"/>
      <c r="J310" s="67"/>
      <c r="K310" s="67"/>
      <c r="L310" s="66"/>
      <c r="M310" s="68"/>
      <c r="N310" s="66"/>
      <c r="O310" s="69"/>
      <c r="P310" s="67"/>
      <c r="Q310" s="66"/>
      <c r="R310" s="65"/>
      <c r="S310" s="68"/>
    </row>
    <row r="311" spans="1:19" ht="27" x14ac:dyDescent="0.4">
      <c r="A311" s="65"/>
      <c r="B311" s="65"/>
      <c r="C311" s="66"/>
      <c r="D311" s="66"/>
      <c r="E311" s="67"/>
      <c r="F311" s="68"/>
      <c r="G311" s="68"/>
      <c r="H311" s="66"/>
      <c r="I311" s="67"/>
      <c r="J311" s="67"/>
      <c r="K311" s="67"/>
      <c r="L311" s="66"/>
      <c r="M311" s="68"/>
      <c r="N311" s="66"/>
      <c r="O311" s="69"/>
      <c r="P311" s="67"/>
      <c r="Q311" s="66"/>
      <c r="R311" s="65"/>
      <c r="S311" s="68"/>
    </row>
    <row r="312" spans="1:19" ht="27" x14ac:dyDescent="0.4">
      <c r="A312" s="65"/>
      <c r="B312" s="65"/>
      <c r="C312" s="66"/>
      <c r="D312" s="66"/>
      <c r="E312" s="67"/>
      <c r="F312" s="68"/>
      <c r="G312" s="68"/>
      <c r="H312" s="66"/>
      <c r="I312" s="67"/>
      <c r="J312" s="67"/>
      <c r="K312" s="67"/>
      <c r="L312" s="66"/>
      <c r="M312" s="68"/>
      <c r="N312" s="66"/>
      <c r="O312" s="69"/>
      <c r="P312" s="67"/>
      <c r="Q312" s="66"/>
      <c r="R312" s="65"/>
      <c r="S312" s="68"/>
    </row>
    <row r="313" spans="1:19" ht="27" x14ac:dyDescent="0.4">
      <c r="A313" s="65"/>
      <c r="B313" s="65"/>
      <c r="C313" s="66"/>
      <c r="D313" s="66"/>
      <c r="E313" s="67"/>
      <c r="F313" s="68"/>
      <c r="G313" s="68"/>
      <c r="H313" s="66"/>
      <c r="I313" s="67"/>
      <c r="J313" s="67"/>
      <c r="K313" s="67"/>
      <c r="L313" s="66"/>
      <c r="M313" s="68"/>
      <c r="N313" s="66"/>
      <c r="O313" s="69"/>
      <c r="P313" s="67"/>
      <c r="Q313" s="66"/>
      <c r="R313" s="65"/>
      <c r="S313" s="68"/>
    </row>
    <row r="314" spans="1:19" ht="27" x14ac:dyDescent="0.4">
      <c r="A314" s="65"/>
      <c r="B314" s="65"/>
      <c r="C314" s="66"/>
      <c r="D314" s="66"/>
      <c r="E314" s="67"/>
      <c r="F314" s="68"/>
      <c r="G314" s="68"/>
      <c r="H314" s="66"/>
      <c r="I314" s="67"/>
      <c r="J314" s="67"/>
      <c r="K314" s="67"/>
      <c r="L314" s="66"/>
      <c r="M314" s="68"/>
      <c r="N314" s="66"/>
      <c r="O314" s="69"/>
      <c r="P314" s="67"/>
      <c r="Q314" s="66"/>
      <c r="R314" s="65"/>
      <c r="S314" s="68"/>
    </row>
    <row r="315" spans="1:19" ht="27" x14ac:dyDescent="0.4">
      <c r="A315" s="65"/>
      <c r="B315" s="65"/>
      <c r="C315" s="66"/>
      <c r="D315" s="66"/>
      <c r="E315" s="67"/>
      <c r="F315" s="68"/>
      <c r="G315" s="68"/>
      <c r="H315" s="66"/>
      <c r="I315" s="67"/>
      <c r="J315" s="67"/>
      <c r="K315" s="67"/>
      <c r="L315" s="66"/>
      <c r="M315" s="68"/>
      <c r="N315" s="66"/>
      <c r="O315" s="69"/>
      <c r="P315" s="67"/>
      <c r="Q315" s="66"/>
      <c r="R315" s="65"/>
      <c r="S315" s="68"/>
    </row>
    <row r="316" spans="1:19" ht="27" x14ac:dyDescent="0.4">
      <c r="A316" s="65"/>
      <c r="B316" s="65"/>
      <c r="C316" s="66"/>
      <c r="D316" s="66"/>
      <c r="E316" s="67"/>
      <c r="F316" s="68"/>
      <c r="G316" s="68"/>
      <c r="H316" s="66"/>
      <c r="I316" s="67"/>
      <c r="J316" s="67"/>
      <c r="K316" s="67"/>
      <c r="L316" s="66"/>
      <c r="M316" s="68"/>
      <c r="N316" s="66"/>
      <c r="O316" s="69"/>
      <c r="P316" s="67"/>
      <c r="Q316" s="66"/>
      <c r="R316" s="65"/>
      <c r="S316" s="68"/>
    </row>
    <row r="317" spans="1:19" ht="27" x14ac:dyDescent="0.4">
      <c r="A317" s="65"/>
      <c r="B317" s="65"/>
      <c r="C317" s="66"/>
      <c r="D317" s="66"/>
      <c r="E317" s="67"/>
      <c r="F317" s="68"/>
      <c r="G317" s="68"/>
      <c r="H317" s="66"/>
      <c r="I317" s="67"/>
      <c r="J317" s="67"/>
      <c r="K317" s="67"/>
      <c r="L317" s="66"/>
      <c r="M317" s="68"/>
      <c r="N317" s="66"/>
      <c r="O317" s="69"/>
      <c r="P317" s="67"/>
      <c r="Q317" s="66"/>
      <c r="R317" s="65"/>
      <c r="S317" s="68"/>
    </row>
    <row r="318" spans="1:19" ht="27" x14ac:dyDescent="0.4">
      <c r="A318" s="65"/>
      <c r="B318" s="65"/>
      <c r="C318" s="66"/>
      <c r="D318" s="66"/>
      <c r="E318" s="67"/>
      <c r="F318" s="68"/>
      <c r="G318" s="68"/>
      <c r="H318" s="66"/>
      <c r="I318" s="67"/>
      <c r="J318" s="67"/>
      <c r="K318" s="67"/>
      <c r="L318" s="66"/>
      <c r="M318" s="68"/>
      <c r="N318" s="66"/>
      <c r="O318" s="69"/>
      <c r="P318" s="67"/>
      <c r="Q318" s="66"/>
      <c r="R318" s="65"/>
      <c r="S318" s="68"/>
    </row>
    <row r="319" spans="1:19" ht="27" x14ac:dyDescent="0.4">
      <c r="A319" s="65"/>
      <c r="B319" s="65"/>
      <c r="C319" s="66"/>
      <c r="D319" s="66"/>
      <c r="E319" s="67"/>
      <c r="F319" s="68"/>
      <c r="G319" s="68"/>
      <c r="H319" s="66"/>
      <c r="I319" s="67"/>
      <c r="J319" s="67"/>
      <c r="K319" s="67"/>
      <c r="L319" s="66"/>
      <c r="M319" s="68"/>
      <c r="N319" s="66"/>
      <c r="O319" s="69"/>
      <c r="P319" s="67"/>
      <c r="Q319" s="66"/>
      <c r="R319" s="65"/>
      <c r="S319" s="68"/>
    </row>
    <row r="320" spans="1:19" ht="27" x14ac:dyDescent="0.4">
      <c r="A320" s="65"/>
      <c r="B320" s="65"/>
      <c r="C320" s="66"/>
      <c r="D320" s="66"/>
      <c r="E320" s="67"/>
      <c r="F320" s="68"/>
      <c r="G320" s="68"/>
      <c r="H320" s="66"/>
      <c r="I320" s="67"/>
      <c r="J320" s="67"/>
      <c r="K320" s="67"/>
      <c r="L320" s="66"/>
      <c r="M320" s="68"/>
      <c r="N320" s="66"/>
      <c r="O320" s="69"/>
      <c r="P320" s="67"/>
      <c r="Q320" s="66"/>
      <c r="R320" s="65"/>
      <c r="S320" s="68"/>
    </row>
    <row r="321" spans="1:33" ht="27" x14ac:dyDescent="0.4">
      <c r="A321" s="65"/>
      <c r="B321" s="65"/>
      <c r="C321" s="66"/>
      <c r="D321" s="66"/>
      <c r="E321" s="67"/>
      <c r="F321" s="68"/>
      <c r="G321" s="68"/>
      <c r="H321" s="66"/>
      <c r="I321" s="67"/>
      <c r="J321" s="67"/>
      <c r="K321" s="67"/>
      <c r="L321" s="66"/>
      <c r="M321" s="68"/>
      <c r="N321" s="66"/>
      <c r="O321" s="69"/>
      <c r="P321" s="67"/>
      <c r="Q321" s="66"/>
      <c r="R321" s="65"/>
      <c r="S321" s="68"/>
    </row>
    <row r="322" spans="1:33" ht="33" x14ac:dyDescent="0.4">
      <c r="Q322" s="17"/>
      <c r="R322" s="17"/>
      <c r="V322" s="53"/>
      <c r="W322" s="53"/>
      <c r="X322" s="54"/>
      <c r="Y322" s="54"/>
      <c r="Z322" s="55"/>
      <c r="AC322" s="53"/>
      <c r="AD322" s="53"/>
      <c r="AE322" s="54"/>
      <c r="AF322" s="54"/>
      <c r="AG322" s="55"/>
    </row>
    <row r="323" spans="1:33" ht="33" x14ac:dyDescent="0.4">
      <c r="L323" s="17"/>
      <c r="Q323" s="17"/>
      <c r="R323" s="17"/>
      <c r="V323" s="53"/>
      <c r="W323" s="53"/>
      <c r="X323" s="54"/>
      <c r="Y323" s="54"/>
      <c r="Z323" s="55"/>
      <c r="AC323" s="53"/>
      <c r="AD323" s="53"/>
      <c r="AE323" s="54"/>
      <c r="AF323" s="54"/>
      <c r="AG323" s="55"/>
    </row>
    <row r="324" spans="1:33" ht="33" x14ac:dyDescent="0.4">
      <c r="V324" s="53"/>
      <c r="W324" s="53"/>
      <c r="X324" s="54"/>
      <c r="Y324" s="54"/>
      <c r="Z324" s="55"/>
      <c r="AC324" s="53"/>
      <c r="AD324" s="53"/>
      <c r="AE324" s="54"/>
      <c r="AF324" s="54"/>
      <c r="AG324" s="55"/>
    </row>
    <row r="325" spans="1:33" ht="33" x14ac:dyDescent="0.4">
      <c r="V325" s="53"/>
      <c r="W325" s="53"/>
      <c r="X325" s="54"/>
      <c r="Y325" s="54"/>
      <c r="Z325" s="55"/>
      <c r="AC325" s="53"/>
      <c r="AD325" s="53"/>
      <c r="AE325" s="54"/>
      <c r="AF325" s="54"/>
      <c r="AG325" s="55"/>
    </row>
    <row r="326" spans="1:33" ht="33" x14ac:dyDescent="0.4">
      <c r="V326" s="53"/>
      <c r="W326" s="53"/>
      <c r="X326" s="54"/>
      <c r="Y326" s="54"/>
      <c r="Z326" s="55"/>
      <c r="AC326" s="53"/>
      <c r="AD326" s="53"/>
      <c r="AE326" s="54"/>
      <c r="AF326" s="54"/>
      <c r="AG326" s="55"/>
    </row>
    <row r="327" spans="1:33" ht="30.75" x14ac:dyDescent="0.4">
      <c r="V327" s="56"/>
      <c r="W327" s="56"/>
      <c r="X327" s="54"/>
      <c r="Y327" s="54"/>
      <c r="Z327" s="55"/>
      <c r="AC327" s="56"/>
      <c r="AD327" s="56"/>
      <c r="AE327" s="54"/>
      <c r="AF327" s="54"/>
      <c r="AG327" s="55"/>
    </row>
  </sheetData>
  <mergeCells count="11">
    <mergeCell ref="G1:G2"/>
    <mergeCell ref="H1:L1"/>
    <mergeCell ref="M1:M2"/>
    <mergeCell ref="N1:R1"/>
    <mergeCell ref="S1:S2"/>
    <mergeCell ref="A1:A2"/>
    <mergeCell ref="C1:C2"/>
    <mergeCell ref="D1:D2"/>
    <mergeCell ref="E1:E2"/>
    <mergeCell ref="F1:F2"/>
    <mergeCell ref="B1:B2"/>
  </mergeCells>
  <dataValidations count="1">
    <dataValidation type="list" allowBlank="1" showInputMessage="1" showErrorMessage="1" sqref="N3:N321" xr:uid="{AC22F6C1-D0A1-4B8A-9FAF-5BC2910CDA32}">
      <formula1>INDIRECT(T3)</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9A89-A006-487E-8AFA-986DAF50624F}">
  <dimension ref="A1:Y321"/>
  <sheetViews>
    <sheetView zoomScale="66" zoomScaleNormal="66" workbookViewId="0">
      <selection sqref="A1:B2"/>
    </sheetView>
  </sheetViews>
  <sheetFormatPr defaultRowHeight="17.25" x14ac:dyDescent="0.4"/>
  <cols>
    <col min="1" max="2" width="5.28515625" style="1" customWidth="1"/>
    <col min="3" max="3" width="10" style="1" bestFit="1" customWidth="1"/>
    <col min="4" max="4" width="14.7109375" style="1" customWidth="1"/>
    <col min="5" max="5" width="9.28515625" style="1" bestFit="1" customWidth="1"/>
    <col min="6" max="6" width="23" style="1" customWidth="1"/>
    <col min="7" max="7" width="32.28515625" style="1" customWidth="1"/>
    <col min="8" max="8" width="9.140625" style="1"/>
    <col min="9" max="12" width="9.28515625" style="1" bestFit="1" customWidth="1"/>
    <col min="13" max="13" width="30.140625" style="1" customWidth="1"/>
    <col min="14" max="14" width="9.140625" style="1"/>
    <col min="15" max="18" width="9.28515625" style="1" bestFit="1" customWidth="1"/>
    <col min="19" max="19" width="32" style="1" customWidth="1"/>
    <col min="20" max="20" width="30.140625" style="1" customWidth="1"/>
    <col min="21" max="21" width="9.28515625" style="1" bestFit="1" customWidth="1"/>
    <col min="22" max="22" width="9.140625" style="1"/>
    <col min="23" max="23" width="10.7109375" style="1" customWidth="1"/>
    <col min="24" max="24" width="16.28515625" style="1" customWidth="1"/>
    <col min="25" max="25" width="14.5703125" style="1" customWidth="1"/>
    <col min="26" max="16384" width="9.140625" style="1"/>
  </cols>
  <sheetData>
    <row r="1" spans="1:19" ht="27" x14ac:dyDescent="0.4">
      <c r="A1" s="164" t="s">
        <v>0</v>
      </c>
      <c r="B1" s="166" t="s">
        <v>64</v>
      </c>
      <c r="C1" s="164" t="s">
        <v>1</v>
      </c>
      <c r="D1" s="164" t="s">
        <v>2</v>
      </c>
      <c r="E1" s="165" t="s">
        <v>3</v>
      </c>
      <c r="F1" s="165" t="s">
        <v>4</v>
      </c>
      <c r="G1" s="161" t="s">
        <v>5</v>
      </c>
      <c r="H1" s="161" t="s">
        <v>6</v>
      </c>
      <c r="I1" s="161"/>
      <c r="J1" s="161"/>
      <c r="K1" s="161"/>
      <c r="L1" s="161"/>
      <c r="M1" s="168" t="s">
        <v>7</v>
      </c>
      <c r="N1" s="168" t="s">
        <v>8</v>
      </c>
      <c r="O1" s="168"/>
      <c r="P1" s="168"/>
      <c r="Q1" s="168"/>
      <c r="R1" s="168"/>
      <c r="S1" s="169" t="s">
        <v>9</v>
      </c>
    </row>
    <row r="2" spans="1:19" ht="108" x14ac:dyDescent="0.4">
      <c r="A2" s="164"/>
      <c r="B2" s="167"/>
      <c r="C2" s="164"/>
      <c r="D2" s="164"/>
      <c r="E2" s="165"/>
      <c r="F2" s="165"/>
      <c r="G2" s="161"/>
      <c r="H2" s="63" t="s">
        <v>10</v>
      </c>
      <c r="I2" s="63" t="s">
        <v>11</v>
      </c>
      <c r="J2" s="63" t="s">
        <v>12</v>
      </c>
      <c r="K2" s="63" t="s">
        <v>13</v>
      </c>
      <c r="L2" s="63" t="s">
        <v>14</v>
      </c>
      <c r="M2" s="168"/>
      <c r="N2" s="64" t="s">
        <v>10</v>
      </c>
      <c r="O2" s="64" t="s">
        <v>11</v>
      </c>
      <c r="P2" s="64" t="s">
        <v>15</v>
      </c>
      <c r="Q2" s="64" t="s">
        <v>16</v>
      </c>
      <c r="R2" s="64" t="s">
        <v>17</v>
      </c>
      <c r="S2" s="169"/>
    </row>
    <row r="3" spans="1:19" ht="27" x14ac:dyDescent="0.4">
      <c r="A3" s="65"/>
      <c r="B3" s="65"/>
      <c r="C3" s="66"/>
      <c r="D3" s="66"/>
      <c r="E3" s="67"/>
      <c r="F3" s="68"/>
      <c r="G3" s="68"/>
      <c r="H3" s="66"/>
      <c r="I3" s="67"/>
      <c r="J3" s="67"/>
      <c r="K3" s="67"/>
      <c r="L3" s="66"/>
      <c r="M3" s="68"/>
      <c r="N3" s="66"/>
      <c r="O3" s="69"/>
      <c r="P3" s="67"/>
      <c r="Q3" s="69"/>
      <c r="R3" s="69"/>
      <c r="S3" s="70"/>
    </row>
    <row r="4" spans="1:19" ht="27" x14ac:dyDescent="0.4">
      <c r="A4" s="65"/>
      <c r="B4" s="65"/>
      <c r="C4" s="66"/>
      <c r="D4" s="66"/>
      <c r="E4" s="67"/>
      <c r="F4" s="68"/>
      <c r="G4" s="68"/>
      <c r="H4" s="66"/>
      <c r="I4" s="67"/>
      <c r="J4" s="67"/>
      <c r="K4" s="67"/>
      <c r="L4" s="66"/>
      <c r="M4" s="68"/>
      <c r="N4" s="66"/>
      <c r="O4" s="69"/>
      <c r="P4" s="67"/>
      <c r="Q4" s="69"/>
      <c r="R4" s="69"/>
      <c r="S4" s="70"/>
    </row>
    <row r="5" spans="1:19" ht="27" x14ac:dyDescent="0.4">
      <c r="A5" s="65"/>
      <c r="B5" s="65"/>
      <c r="C5" s="66"/>
      <c r="D5" s="66"/>
      <c r="E5" s="67"/>
      <c r="F5" s="68"/>
      <c r="G5" s="68"/>
      <c r="H5" s="66"/>
      <c r="I5" s="67"/>
      <c r="J5" s="67"/>
      <c r="K5" s="67"/>
      <c r="L5" s="66"/>
      <c r="M5" s="68"/>
      <c r="N5" s="66"/>
      <c r="O5" s="69"/>
      <c r="P5" s="67"/>
      <c r="Q5" s="69"/>
      <c r="R5" s="69"/>
      <c r="S5" s="68"/>
    </row>
    <row r="6" spans="1:19" ht="27" x14ac:dyDescent="0.4">
      <c r="A6" s="65"/>
      <c r="B6" s="65"/>
      <c r="C6" s="66"/>
      <c r="D6" s="66"/>
      <c r="E6" s="67"/>
      <c r="F6" s="68"/>
      <c r="G6" s="68"/>
      <c r="H6" s="66"/>
      <c r="I6" s="67"/>
      <c r="J6" s="67"/>
      <c r="K6" s="67"/>
      <c r="L6" s="66"/>
      <c r="M6" s="68"/>
      <c r="N6" s="66"/>
      <c r="O6" s="69"/>
      <c r="P6" s="67"/>
      <c r="Q6" s="69"/>
      <c r="R6" s="69"/>
      <c r="S6" s="70"/>
    </row>
    <row r="7" spans="1:19" ht="27" x14ac:dyDescent="0.4">
      <c r="A7" s="65"/>
      <c r="B7" s="65"/>
      <c r="C7" s="66"/>
      <c r="D7" s="66"/>
      <c r="E7" s="67"/>
      <c r="F7" s="68"/>
      <c r="G7" s="68"/>
      <c r="H7" s="66"/>
      <c r="I7" s="67"/>
      <c r="J7" s="67"/>
      <c r="K7" s="67"/>
      <c r="L7" s="66"/>
      <c r="M7" s="68"/>
      <c r="N7" s="66"/>
      <c r="O7" s="69"/>
      <c r="P7" s="67"/>
      <c r="Q7" s="69"/>
      <c r="R7" s="69"/>
      <c r="S7" s="70"/>
    </row>
    <row r="8" spans="1:19" ht="27" x14ac:dyDescent="0.4">
      <c r="A8" s="65"/>
      <c r="B8" s="65"/>
      <c r="C8" s="66"/>
      <c r="D8" s="66"/>
      <c r="E8" s="67"/>
      <c r="F8" s="68"/>
      <c r="G8" s="68"/>
      <c r="H8" s="66"/>
      <c r="I8" s="67"/>
      <c r="J8" s="67"/>
      <c r="K8" s="67"/>
      <c r="L8" s="66"/>
      <c r="M8" s="68"/>
      <c r="N8" s="66"/>
      <c r="O8" s="69"/>
      <c r="P8" s="67"/>
      <c r="Q8" s="69"/>
      <c r="R8" s="69"/>
      <c r="S8" s="70"/>
    </row>
    <row r="9" spans="1:19" ht="27" x14ac:dyDescent="0.4">
      <c r="A9" s="65"/>
      <c r="B9" s="65"/>
      <c r="C9" s="66"/>
      <c r="D9" s="66"/>
      <c r="E9" s="67"/>
      <c r="F9" s="68"/>
      <c r="G9" s="68"/>
      <c r="H9" s="66"/>
      <c r="I9" s="67"/>
      <c r="J9" s="67"/>
      <c r="K9" s="67"/>
      <c r="L9" s="66"/>
      <c r="M9" s="68"/>
      <c r="N9" s="66"/>
      <c r="O9" s="69"/>
      <c r="P9" s="67"/>
      <c r="Q9" s="69"/>
      <c r="R9" s="69"/>
      <c r="S9" s="70"/>
    </row>
    <row r="10" spans="1:19" ht="27" x14ac:dyDescent="0.4">
      <c r="A10" s="65"/>
      <c r="B10" s="65"/>
      <c r="C10" s="66"/>
      <c r="D10" s="66"/>
      <c r="E10" s="67"/>
      <c r="F10" s="68"/>
      <c r="G10" s="68"/>
      <c r="H10" s="66"/>
      <c r="I10" s="67"/>
      <c r="J10" s="67"/>
      <c r="K10" s="67"/>
      <c r="L10" s="66"/>
      <c r="M10" s="68"/>
      <c r="N10" s="66"/>
      <c r="O10" s="69"/>
      <c r="P10" s="67"/>
      <c r="Q10" s="69"/>
      <c r="R10" s="69"/>
      <c r="S10" s="70"/>
    </row>
    <row r="11" spans="1:19" ht="27" x14ac:dyDescent="0.4">
      <c r="A11" s="65"/>
      <c r="B11" s="65"/>
      <c r="C11" s="66"/>
      <c r="D11" s="66"/>
      <c r="E11" s="67"/>
      <c r="F11" s="68"/>
      <c r="G11" s="68"/>
      <c r="H11" s="66"/>
      <c r="I11" s="67"/>
      <c r="J11" s="67"/>
      <c r="K11" s="67"/>
      <c r="L11" s="66"/>
      <c r="M11" s="68"/>
      <c r="N11" s="66"/>
      <c r="O11" s="69"/>
      <c r="P11" s="67"/>
      <c r="Q11" s="69"/>
      <c r="R11" s="69"/>
      <c r="S11" s="70"/>
    </row>
    <row r="12" spans="1:19" ht="27" x14ac:dyDescent="0.4">
      <c r="A12" s="65"/>
      <c r="B12" s="65"/>
      <c r="C12" s="66"/>
      <c r="D12" s="66"/>
      <c r="E12" s="67"/>
      <c r="F12" s="68"/>
      <c r="G12" s="68"/>
      <c r="H12" s="66"/>
      <c r="I12" s="67"/>
      <c r="J12" s="67"/>
      <c r="K12" s="67"/>
      <c r="L12" s="66"/>
      <c r="M12" s="68"/>
      <c r="N12" s="66"/>
      <c r="O12" s="69"/>
      <c r="P12" s="67"/>
      <c r="Q12" s="69"/>
      <c r="R12" s="69"/>
      <c r="S12" s="68"/>
    </row>
    <row r="13" spans="1:19" ht="27" x14ac:dyDescent="0.4">
      <c r="A13" s="65"/>
      <c r="B13" s="65"/>
      <c r="C13" s="66"/>
      <c r="D13" s="66"/>
      <c r="E13" s="67"/>
      <c r="F13" s="68"/>
      <c r="G13" s="68"/>
      <c r="H13" s="66"/>
      <c r="I13" s="67"/>
      <c r="J13" s="67"/>
      <c r="K13" s="67"/>
      <c r="L13" s="66"/>
      <c r="M13" s="68"/>
      <c r="N13" s="66"/>
      <c r="O13" s="69"/>
      <c r="P13" s="67"/>
      <c r="Q13" s="69"/>
      <c r="R13" s="69"/>
      <c r="S13" s="68"/>
    </row>
    <row r="14" spans="1:19" ht="27" x14ac:dyDescent="0.4">
      <c r="A14" s="65"/>
      <c r="B14" s="65"/>
      <c r="C14" s="66"/>
      <c r="D14" s="66"/>
      <c r="E14" s="67"/>
      <c r="F14" s="68"/>
      <c r="G14" s="68"/>
      <c r="H14" s="66"/>
      <c r="I14" s="67"/>
      <c r="J14" s="67"/>
      <c r="K14" s="67"/>
      <c r="L14" s="66"/>
      <c r="M14" s="68"/>
      <c r="N14" s="66"/>
      <c r="O14" s="69"/>
      <c r="P14" s="67"/>
      <c r="Q14" s="69"/>
      <c r="R14" s="69"/>
      <c r="S14" s="68"/>
    </row>
    <row r="15" spans="1:19" ht="27" x14ac:dyDescent="0.4">
      <c r="A15" s="65"/>
      <c r="B15" s="65"/>
      <c r="C15" s="66"/>
      <c r="D15" s="66"/>
      <c r="E15" s="67"/>
      <c r="F15" s="68"/>
      <c r="G15" s="68"/>
      <c r="H15" s="66"/>
      <c r="I15" s="67"/>
      <c r="J15" s="67"/>
      <c r="K15" s="67"/>
      <c r="L15" s="66"/>
      <c r="M15" s="68"/>
      <c r="N15" s="66"/>
      <c r="O15" s="69"/>
      <c r="P15" s="67"/>
      <c r="Q15" s="69"/>
      <c r="R15" s="69"/>
      <c r="S15" s="65"/>
    </row>
    <row r="16" spans="1:19" ht="27" x14ac:dyDescent="0.4">
      <c r="A16" s="65"/>
      <c r="B16" s="65"/>
      <c r="C16" s="66"/>
      <c r="D16" s="66"/>
      <c r="E16" s="67"/>
      <c r="F16" s="68"/>
      <c r="G16" s="68"/>
      <c r="H16" s="66"/>
      <c r="I16" s="67"/>
      <c r="J16" s="67"/>
      <c r="K16" s="67"/>
      <c r="L16" s="66"/>
      <c r="M16" s="68"/>
      <c r="N16" s="66"/>
      <c r="O16" s="69"/>
      <c r="P16" s="67"/>
      <c r="Q16" s="69"/>
      <c r="R16" s="69"/>
      <c r="S16" s="120"/>
    </row>
    <row r="17" spans="1:19" ht="27" x14ac:dyDescent="0.4">
      <c r="A17" s="65"/>
      <c r="B17" s="65"/>
      <c r="C17" s="66"/>
      <c r="D17" s="66"/>
      <c r="E17" s="67"/>
      <c r="F17" s="68"/>
      <c r="G17" s="68"/>
      <c r="H17" s="66"/>
      <c r="I17" s="67"/>
      <c r="J17" s="67"/>
      <c r="K17" s="67"/>
      <c r="L17" s="66"/>
      <c r="M17" s="68"/>
      <c r="N17" s="66"/>
      <c r="O17" s="69"/>
      <c r="P17" s="67"/>
      <c r="Q17" s="69"/>
      <c r="R17" s="69"/>
      <c r="S17" s="65"/>
    </row>
    <row r="18" spans="1:19" ht="27" x14ac:dyDescent="0.4">
      <c r="A18" s="65"/>
      <c r="B18" s="65"/>
      <c r="C18" s="66"/>
      <c r="D18" s="66"/>
      <c r="E18" s="67"/>
      <c r="F18" s="68"/>
      <c r="G18" s="68"/>
      <c r="H18" s="66"/>
      <c r="I18" s="67"/>
      <c r="J18" s="67"/>
      <c r="K18" s="67"/>
      <c r="L18" s="66"/>
      <c r="M18" s="68"/>
      <c r="N18" s="66"/>
      <c r="O18" s="69"/>
      <c r="P18" s="67"/>
      <c r="Q18" s="69"/>
      <c r="R18" s="69"/>
      <c r="S18" s="70"/>
    </row>
    <row r="19" spans="1:19" ht="27" x14ac:dyDescent="0.4">
      <c r="A19" s="65"/>
      <c r="B19" s="65"/>
      <c r="C19" s="66"/>
      <c r="D19" s="66"/>
      <c r="E19" s="67"/>
      <c r="F19" s="68"/>
      <c r="G19" s="68"/>
      <c r="H19" s="66"/>
      <c r="I19" s="67"/>
      <c r="J19" s="67"/>
      <c r="K19" s="67"/>
      <c r="L19" s="66"/>
      <c r="M19" s="68"/>
      <c r="N19" s="66"/>
      <c r="O19" s="69"/>
      <c r="P19" s="67"/>
      <c r="Q19" s="69"/>
      <c r="R19" s="69"/>
      <c r="S19" s="68"/>
    </row>
    <row r="20" spans="1:19" ht="27" x14ac:dyDescent="0.4">
      <c r="A20" s="65"/>
      <c r="B20" s="65"/>
      <c r="C20" s="66"/>
      <c r="D20" s="66"/>
      <c r="E20" s="67"/>
      <c r="F20" s="68"/>
      <c r="G20" s="68"/>
      <c r="H20" s="66"/>
      <c r="I20" s="67"/>
      <c r="J20" s="67"/>
      <c r="K20" s="67"/>
      <c r="L20" s="66"/>
      <c r="M20" s="68"/>
      <c r="N20" s="66"/>
      <c r="O20" s="69"/>
      <c r="P20" s="67"/>
      <c r="Q20" s="69"/>
      <c r="R20" s="69"/>
      <c r="S20" s="68"/>
    </row>
    <row r="21" spans="1:19" ht="27" x14ac:dyDescent="0.4">
      <c r="A21" s="65"/>
      <c r="B21" s="65"/>
      <c r="C21" s="66"/>
      <c r="D21" s="66"/>
      <c r="E21" s="67"/>
      <c r="F21" s="68"/>
      <c r="G21" s="68"/>
      <c r="H21" s="66"/>
      <c r="I21" s="67"/>
      <c r="J21" s="67"/>
      <c r="K21" s="67"/>
      <c r="L21" s="66"/>
      <c r="M21" s="68"/>
      <c r="N21" s="66"/>
      <c r="O21" s="69"/>
      <c r="P21" s="67"/>
      <c r="Q21" s="69"/>
      <c r="R21" s="69"/>
      <c r="S21" s="68"/>
    </row>
    <row r="22" spans="1:19" ht="27" x14ac:dyDescent="0.4">
      <c r="A22" s="65"/>
      <c r="B22" s="65"/>
      <c r="C22" s="66"/>
      <c r="D22" s="66"/>
      <c r="E22" s="67"/>
      <c r="F22" s="68"/>
      <c r="G22" s="68"/>
      <c r="H22" s="66"/>
      <c r="I22" s="67"/>
      <c r="J22" s="67"/>
      <c r="K22" s="67"/>
      <c r="L22" s="66"/>
      <c r="M22" s="68"/>
      <c r="N22" s="66"/>
      <c r="O22" s="69"/>
      <c r="P22" s="67"/>
      <c r="Q22" s="69"/>
      <c r="R22" s="69"/>
      <c r="S22" s="68"/>
    </row>
    <row r="23" spans="1:19" ht="27" x14ac:dyDescent="0.4">
      <c r="A23" s="65"/>
      <c r="B23" s="65"/>
      <c r="C23" s="66"/>
      <c r="D23" s="66"/>
      <c r="E23" s="67"/>
      <c r="F23" s="68"/>
      <c r="G23" s="68"/>
      <c r="H23" s="66"/>
      <c r="I23" s="67"/>
      <c r="J23" s="67"/>
      <c r="K23" s="67"/>
      <c r="L23" s="66"/>
      <c r="M23" s="68"/>
      <c r="N23" s="66"/>
      <c r="O23" s="69"/>
      <c r="P23" s="67"/>
      <c r="Q23" s="69"/>
      <c r="R23" s="69"/>
      <c r="S23" s="68"/>
    </row>
    <row r="24" spans="1:19" ht="27" x14ac:dyDescent="0.4">
      <c r="A24" s="65"/>
      <c r="B24" s="65"/>
      <c r="C24" s="66"/>
      <c r="D24" s="66"/>
      <c r="E24" s="67"/>
      <c r="F24" s="68"/>
      <c r="G24" s="68"/>
      <c r="H24" s="66"/>
      <c r="I24" s="67"/>
      <c r="J24" s="67"/>
      <c r="K24" s="67"/>
      <c r="L24" s="66"/>
      <c r="M24" s="68"/>
      <c r="N24" s="66"/>
      <c r="O24" s="69"/>
      <c r="P24" s="67"/>
      <c r="Q24" s="69"/>
      <c r="R24" s="69"/>
      <c r="S24" s="68"/>
    </row>
    <row r="25" spans="1:19" ht="27" x14ac:dyDescent="0.4">
      <c r="A25" s="65"/>
      <c r="B25" s="65"/>
      <c r="C25" s="66"/>
      <c r="D25" s="66"/>
      <c r="E25" s="67"/>
      <c r="F25" s="68"/>
      <c r="G25" s="68"/>
      <c r="H25" s="66"/>
      <c r="I25" s="67"/>
      <c r="J25" s="67"/>
      <c r="K25" s="67"/>
      <c r="L25" s="66"/>
      <c r="M25" s="68"/>
      <c r="N25" s="66"/>
      <c r="O25" s="69"/>
      <c r="P25" s="67"/>
      <c r="Q25" s="69"/>
      <c r="R25" s="69"/>
      <c r="S25" s="68"/>
    </row>
    <row r="26" spans="1:19" ht="27" x14ac:dyDescent="0.4">
      <c r="A26" s="65"/>
      <c r="B26" s="65"/>
      <c r="C26" s="66"/>
      <c r="D26" s="66"/>
      <c r="E26" s="67"/>
      <c r="F26" s="68"/>
      <c r="G26" s="68"/>
      <c r="H26" s="66"/>
      <c r="I26" s="67"/>
      <c r="J26" s="67"/>
      <c r="K26" s="67"/>
      <c r="L26" s="66"/>
      <c r="M26" s="68"/>
      <c r="N26" s="66"/>
      <c r="O26" s="69"/>
      <c r="P26" s="67"/>
      <c r="Q26" s="69"/>
      <c r="R26" s="69"/>
      <c r="S26" s="68"/>
    </row>
    <row r="27" spans="1:19" ht="27" x14ac:dyDescent="0.4">
      <c r="A27" s="65"/>
      <c r="B27" s="65"/>
      <c r="C27" s="66"/>
      <c r="D27" s="66"/>
      <c r="E27" s="67"/>
      <c r="F27" s="68"/>
      <c r="G27" s="68"/>
      <c r="H27" s="66"/>
      <c r="I27" s="67"/>
      <c r="J27" s="67"/>
      <c r="K27" s="67"/>
      <c r="L27" s="66"/>
      <c r="M27" s="68"/>
      <c r="N27" s="66"/>
      <c r="O27" s="69"/>
      <c r="P27" s="67"/>
      <c r="Q27" s="69"/>
      <c r="R27" s="69"/>
      <c r="S27" s="68"/>
    </row>
    <row r="28" spans="1:19" ht="27" x14ac:dyDescent="0.4">
      <c r="A28" s="65"/>
      <c r="B28" s="65"/>
      <c r="C28" s="66"/>
      <c r="D28" s="66"/>
      <c r="E28" s="67"/>
      <c r="F28" s="68"/>
      <c r="G28" s="68"/>
      <c r="H28" s="66"/>
      <c r="I28" s="67"/>
      <c r="J28" s="67"/>
      <c r="K28" s="67"/>
      <c r="L28" s="66"/>
      <c r="M28" s="68"/>
      <c r="N28" s="66"/>
      <c r="O28" s="69"/>
      <c r="P28" s="67"/>
      <c r="Q28" s="69"/>
      <c r="R28" s="69"/>
      <c r="S28" s="68"/>
    </row>
    <row r="29" spans="1:19" ht="27" x14ac:dyDescent="0.4">
      <c r="A29" s="65"/>
      <c r="B29" s="65"/>
      <c r="C29" s="66"/>
      <c r="D29" s="66"/>
      <c r="E29" s="67"/>
      <c r="F29" s="68"/>
      <c r="G29" s="68"/>
      <c r="H29" s="66"/>
      <c r="I29" s="67"/>
      <c r="J29" s="67"/>
      <c r="K29" s="67"/>
      <c r="L29" s="71"/>
      <c r="M29" s="68"/>
      <c r="N29" s="66"/>
      <c r="O29" s="69"/>
      <c r="P29" s="67"/>
      <c r="Q29" s="69"/>
      <c r="R29" s="69"/>
      <c r="S29" s="68"/>
    </row>
    <row r="30" spans="1:19" ht="27" x14ac:dyDescent="0.4">
      <c r="A30" s="65"/>
      <c r="B30" s="65"/>
      <c r="C30" s="66"/>
      <c r="D30" s="66"/>
      <c r="E30" s="67"/>
      <c r="F30" s="68"/>
      <c r="G30" s="68"/>
      <c r="H30" s="66"/>
      <c r="I30" s="67"/>
      <c r="J30" s="67"/>
      <c r="K30" s="67"/>
      <c r="L30" s="71"/>
      <c r="M30" s="68"/>
      <c r="N30" s="66"/>
      <c r="O30" s="69"/>
      <c r="P30" s="67"/>
      <c r="Q30" s="69"/>
      <c r="R30" s="69"/>
      <c r="S30" s="68"/>
    </row>
    <row r="31" spans="1:19" ht="27" x14ac:dyDescent="0.4">
      <c r="A31" s="65"/>
      <c r="B31" s="65"/>
      <c r="C31" s="66"/>
      <c r="D31" s="66"/>
      <c r="E31" s="67"/>
      <c r="F31" s="68"/>
      <c r="G31" s="68"/>
      <c r="H31" s="66"/>
      <c r="I31" s="67"/>
      <c r="J31" s="67"/>
      <c r="K31" s="67"/>
      <c r="L31" s="71"/>
      <c r="M31" s="68"/>
      <c r="N31" s="66"/>
      <c r="O31" s="69"/>
      <c r="P31" s="67"/>
      <c r="Q31" s="69"/>
      <c r="R31" s="69"/>
      <c r="S31" s="68"/>
    </row>
    <row r="32" spans="1:19" ht="27" x14ac:dyDescent="0.4">
      <c r="A32" s="65"/>
      <c r="B32" s="65"/>
      <c r="C32" s="66"/>
      <c r="D32" s="66"/>
      <c r="E32" s="67"/>
      <c r="F32" s="68"/>
      <c r="G32" s="68"/>
      <c r="H32" s="66"/>
      <c r="I32" s="67"/>
      <c r="J32" s="67"/>
      <c r="K32" s="67"/>
      <c r="L32" s="66"/>
      <c r="M32" s="68"/>
      <c r="N32" s="66"/>
      <c r="O32" s="69"/>
      <c r="P32" s="67"/>
      <c r="Q32" s="69"/>
      <c r="R32" s="69"/>
      <c r="S32" s="68"/>
    </row>
    <row r="33" spans="1:19" ht="27" x14ac:dyDescent="0.4">
      <c r="A33" s="65"/>
      <c r="B33" s="65"/>
      <c r="C33" s="66"/>
      <c r="D33" s="66"/>
      <c r="E33" s="67"/>
      <c r="F33" s="68"/>
      <c r="G33" s="68"/>
      <c r="H33" s="66"/>
      <c r="I33" s="67"/>
      <c r="J33" s="67"/>
      <c r="K33" s="67"/>
      <c r="L33" s="66"/>
      <c r="M33" s="68"/>
      <c r="N33" s="66"/>
      <c r="O33" s="69"/>
      <c r="P33" s="67"/>
      <c r="Q33" s="69"/>
      <c r="R33" s="69"/>
      <c r="S33" s="68"/>
    </row>
    <row r="34" spans="1:19" ht="27" x14ac:dyDescent="0.4">
      <c r="A34" s="65"/>
      <c r="B34" s="65"/>
      <c r="C34" s="66"/>
      <c r="D34" s="66"/>
      <c r="E34" s="67"/>
      <c r="F34" s="68"/>
      <c r="G34" s="68"/>
      <c r="H34" s="66"/>
      <c r="I34" s="67"/>
      <c r="J34" s="67"/>
      <c r="K34" s="67"/>
      <c r="L34" s="66"/>
      <c r="M34" s="68"/>
      <c r="N34" s="66"/>
      <c r="O34" s="69"/>
      <c r="P34" s="67"/>
      <c r="Q34" s="69"/>
      <c r="R34" s="69"/>
      <c r="S34" s="68"/>
    </row>
    <row r="35" spans="1:19" ht="27" x14ac:dyDescent="0.4">
      <c r="A35" s="65"/>
      <c r="B35" s="65"/>
      <c r="C35" s="66"/>
      <c r="D35" s="66"/>
      <c r="E35" s="67"/>
      <c r="F35" s="68"/>
      <c r="G35" s="68"/>
      <c r="H35" s="66"/>
      <c r="I35" s="67"/>
      <c r="J35" s="67"/>
      <c r="K35" s="67"/>
      <c r="L35" s="66"/>
      <c r="M35" s="68"/>
      <c r="N35" s="66"/>
      <c r="O35" s="69"/>
      <c r="P35" s="67"/>
      <c r="Q35" s="69"/>
      <c r="R35" s="69"/>
      <c r="S35" s="68"/>
    </row>
    <row r="36" spans="1:19" ht="27" x14ac:dyDescent="0.4">
      <c r="A36" s="65"/>
      <c r="B36" s="65"/>
      <c r="C36" s="66"/>
      <c r="D36" s="66"/>
      <c r="E36" s="67"/>
      <c r="F36" s="68"/>
      <c r="G36" s="68"/>
      <c r="H36" s="66"/>
      <c r="I36" s="67"/>
      <c r="J36" s="67"/>
      <c r="K36" s="67"/>
      <c r="L36" s="66"/>
      <c r="M36" s="68"/>
      <c r="N36" s="66"/>
      <c r="O36" s="69"/>
      <c r="P36" s="67"/>
      <c r="Q36" s="69"/>
      <c r="R36" s="69"/>
      <c r="S36" s="68"/>
    </row>
    <row r="37" spans="1:19" ht="27" x14ac:dyDescent="0.4">
      <c r="A37" s="65"/>
      <c r="B37" s="65"/>
      <c r="C37" s="66"/>
      <c r="D37" s="66"/>
      <c r="E37" s="67"/>
      <c r="F37" s="68"/>
      <c r="G37" s="68"/>
      <c r="H37" s="66"/>
      <c r="I37" s="67"/>
      <c r="J37" s="67"/>
      <c r="K37" s="67"/>
      <c r="L37" s="66"/>
      <c r="M37" s="68"/>
      <c r="N37" s="66"/>
      <c r="O37" s="69"/>
      <c r="P37" s="67"/>
      <c r="Q37" s="69"/>
      <c r="R37" s="69"/>
      <c r="S37" s="68"/>
    </row>
    <row r="38" spans="1:19" ht="27" x14ac:dyDescent="0.4">
      <c r="A38" s="65"/>
      <c r="B38" s="65"/>
      <c r="C38" s="66"/>
      <c r="D38" s="66"/>
      <c r="E38" s="67"/>
      <c r="F38" s="68"/>
      <c r="G38" s="68"/>
      <c r="H38" s="66"/>
      <c r="I38" s="67"/>
      <c r="J38" s="67"/>
      <c r="K38" s="67"/>
      <c r="L38" s="66"/>
      <c r="M38" s="68"/>
      <c r="N38" s="66"/>
      <c r="O38" s="69"/>
      <c r="P38" s="67"/>
      <c r="Q38" s="69"/>
      <c r="R38" s="69"/>
      <c r="S38" s="68"/>
    </row>
    <row r="39" spans="1:19" ht="27" x14ac:dyDescent="0.4">
      <c r="A39" s="65"/>
      <c r="B39" s="65"/>
      <c r="C39" s="66"/>
      <c r="D39" s="66"/>
      <c r="E39" s="67"/>
      <c r="F39" s="68"/>
      <c r="G39" s="68"/>
      <c r="H39" s="66"/>
      <c r="I39" s="67"/>
      <c r="J39" s="67"/>
      <c r="K39" s="67"/>
      <c r="L39" s="66"/>
      <c r="M39" s="68"/>
      <c r="N39" s="66"/>
      <c r="O39" s="69"/>
      <c r="P39" s="67"/>
      <c r="Q39" s="69"/>
      <c r="R39" s="69"/>
      <c r="S39" s="68"/>
    </row>
    <row r="40" spans="1:19" ht="27" x14ac:dyDescent="0.4">
      <c r="A40" s="65"/>
      <c r="B40" s="65"/>
      <c r="C40" s="66"/>
      <c r="D40" s="66"/>
      <c r="E40" s="67"/>
      <c r="F40" s="68"/>
      <c r="G40" s="68"/>
      <c r="H40" s="66"/>
      <c r="I40" s="67"/>
      <c r="J40" s="67"/>
      <c r="K40" s="67"/>
      <c r="L40" s="66"/>
      <c r="M40" s="68"/>
      <c r="N40" s="66"/>
      <c r="O40" s="69"/>
      <c r="P40" s="67"/>
      <c r="Q40" s="69"/>
      <c r="R40" s="69"/>
      <c r="S40" s="68"/>
    </row>
    <row r="41" spans="1:19" ht="27" x14ac:dyDescent="0.4">
      <c r="A41" s="65"/>
      <c r="B41" s="65"/>
      <c r="C41" s="66"/>
      <c r="D41" s="66"/>
      <c r="E41" s="67"/>
      <c r="F41" s="73"/>
      <c r="G41" s="68"/>
      <c r="H41" s="66"/>
      <c r="I41" s="67"/>
      <c r="J41" s="67"/>
      <c r="K41" s="67"/>
      <c r="L41" s="66"/>
      <c r="M41" s="68"/>
      <c r="N41" s="66"/>
      <c r="O41" s="69"/>
      <c r="P41" s="67"/>
      <c r="Q41" s="69"/>
      <c r="R41" s="69"/>
      <c r="S41" s="68"/>
    </row>
    <row r="42" spans="1:19" ht="27" x14ac:dyDescent="0.4">
      <c r="A42" s="65"/>
      <c r="B42" s="65"/>
      <c r="C42" s="66"/>
      <c r="D42" s="66"/>
      <c r="E42" s="67"/>
      <c r="F42" s="68"/>
      <c r="G42" s="68"/>
      <c r="H42" s="66"/>
      <c r="I42" s="67"/>
      <c r="J42" s="67"/>
      <c r="K42" s="67"/>
      <c r="L42" s="66"/>
      <c r="M42" s="68"/>
      <c r="N42" s="66"/>
      <c r="O42" s="69"/>
      <c r="P42" s="67"/>
      <c r="Q42" s="69"/>
      <c r="R42" s="69"/>
      <c r="S42" s="68"/>
    </row>
    <row r="43" spans="1:19" ht="27" x14ac:dyDescent="0.4">
      <c r="A43" s="65"/>
      <c r="B43" s="65"/>
      <c r="C43" s="66"/>
      <c r="D43" s="66"/>
      <c r="E43" s="67"/>
      <c r="F43" s="68"/>
      <c r="G43" s="68"/>
      <c r="H43" s="66"/>
      <c r="I43" s="67"/>
      <c r="J43" s="67"/>
      <c r="K43" s="67"/>
      <c r="L43" s="66"/>
      <c r="M43" s="68"/>
      <c r="N43" s="66"/>
      <c r="O43" s="69"/>
      <c r="P43" s="67"/>
      <c r="Q43" s="69"/>
      <c r="R43" s="69"/>
      <c r="S43" s="68"/>
    </row>
    <row r="44" spans="1:19" ht="27" x14ac:dyDescent="0.4">
      <c r="A44" s="65"/>
      <c r="B44" s="65"/>
      <c r="C44" s="66"/>
      <c r="D44" s="66"/>
      <c r="E44" s="67"/>
      <c r="F44" s="68"/>
      <c r="G44" s="68"/>
      <c r="H44" s="66"/>
      <c r="I44" s="67"/>
      <c r="J44" s="67"/>
      <c r="K44" s="67"/>
      <c r="L44" s="66"/>
      <c r="M44" s="68"/>
      <c r="N44" s="66"/>
      <c r="O44" s="69"/>
      <c r="P44" s="67"/>
      <c r="Q44" s="69"/>
      <c r="R44" s="69"/>
      <c r="S44" s="68"/>
    </row>
    <row r="45" spans="1:19" ht="27" x14ac:dyDescent="0.4">
      <c r="A45" s="65"/>
      <c r="B45" s="65"/>
      <c r="C45" s="66"/>
      <c r="D45" s="66"/>
      <c r="E45" s="67"/>
      <c r="F45" s="68"/>
      <c r="G45" s="68"/>
      <c r="H45" s="66"/>
      <c r="I45" s="67"/>
      <c r="J45" s="67"/>
      <c r="K45" s="67"/>
      <c r="L45" s="66"/>
      <c r="M45" s="68"/>
      <c r="N45" s="66"/>
      <c r="O45" s="69"/>
      <c r="P45" s="67"/>
      <c r="Q45" s="69"/>
      <c r="R45" s="69"/>
      <c r="S45" s="68"/>
    </row>
    <row r="46" spans="1:19" ht="27" x14ac:dyDescent="0.4">
      <c r="A46" s="65"/>
      <c r="B46" s="65"/>
      <c r="C46" s="66"/>
      <c r="D46" s="66"/>
      <c r="E46" s="67"/>
      <c r="F46" s="68"/>
      <c r="G46" s="68"/>
      <c r="H46" s="66"/>
      <c r="I46" s="67"/>
      <c r="J46" s="67"/>
      <c r="K46" s="67"/>
      <c r="L46" s="66"/>
      <c r="M46" s="68"/>
      <c r="N46" s="66"/>
      <c r="O46" s="69"/>
      <c r="P46" s="67"/>
      <c r="Q46" s="69"/>
      <c r="R46" s="69"/>
      <c r="S46" s="68"/>
    </row>
    <row r="47" spans="1:19" ht="27" x14ac:dyDescent="0.4">
      <c r="A47" s="65"/>
      <c r="B47" s="65"/>
      <c r="C47" s="66"/>
      <c r="D47" s="66"/>
      <c r="E47" s="67"/>
      <c r="F47" s="68"/>
      <c r="G47" s="68"/>
      <c r="H47" s="66"/>
      <c r="I47" s="67"/>
      <c r="J47" s="67"/>
      <c r="K47" s="67"/>
      <c r="L47" s="66"/>
      <c r="M47" s="68"/>
      <c r="N47" s="66"/>
      <c r="O47" s="69"/>
      <c r="P47" s="67"/>
      <c r="Q47" s="69"/>
      <c r="R47" s="69"/>
      <c r="S47" s="68"/>
    </row>
    <row r="48" spans="1:19" ht="27" x14ac:dyDescent="0.4">
      <c r="A48" s="65"/>
      <c r="B48" s="65"/>
      <c r="C48" s="66"/>
      <c r="D48" s="66"/>
      <c r="E48" s="67"/>
      <c r="F48" s="68"/>
      <c r="G48" s="68"/>
      <c r="H48" s="66"/>
      <c r="I48" s="67"/>
      <c r="J48" s="67"/>
      <c r="K48" s="67"/>
      <c r="L48" s="66"/>
      <c r="M48" s="72"/>
      <c r="N48" s="66"/>
      <c r="O48" s="69"/>
      <c r="P48" s="67"/>
      <c r="Q48" s="69"/>
      <c r="R48" s="69"/>
      <c r="S48" s="68"/>
    </row>
    <row r="49" spans="1:20" ht="27" x14ac:dyDescent="0.4">
      <c r="A49" s="65"/>
      <c r="B49" s="65"/>
      <c r="C49" s="66"/>
      <c r="D49" s="66"/>
      <c r="E49" s="67"/>
      <c r="F49" s="68"/>
      <c r="G49" s="68"/>
      <c r="H49" s="66"/>
      <c r="I49" s="67"/>
      <c r="J49" s="67"/>
      <c r="K49" s="67"/>
      <c r="L49" s="66"/>
      <c r="M49" s="68"/>
      <c r="N49" s="66"/>
      <c r="O49" s="69"/>
      <c r="P49" s="67"/>
      <c r="Q49" s="69"/>
      <c r="R49" s="69"/>
      <c r="S49" s="68"/>
    </row>
    <row r="50" spans="1:20" ht="27" x14ac:dyDescent="0.4">
      <c r="A50" s="65"/>
      <c r="B50" s="65"/>
      <c r="C50" s="66"/>
      <c r="D50" s="66"/>
      <c r="E50" s="67"/>
      <c r="F50" s="68"/>
      <c r="G50" s="68"/>
      <c r="H50" s="66"/>
      <c r="I50" s="67"/>
      <c r="J50" s="67"/>
      <c r="K50" s="67"/>
      <c r="L50" s="66"/>
      <c r="M50" s="68"/>
      <c r="N50" s="66"/>
      <c r="O50" s="69"/>
      <c r="P50" s="67"/>
      <c r="Q50" s="69"/>
      <c r="R50" s="69"/>
      <c r="S50" s="68"/>
    </row>
    <row r="51" spans="1:20" ht="27" x14ac:dyDescent="0.4">
      <c r="A51" s="65"/>
      <c r="B51" s="65"/>
      <c r="C51" s="66"/>
      <c r="D51" s="66"/>
      <c r="E51" s="67"/>
      <c r="F51" s="68"/>
      <c r="G51" s="68"/>
      <c r="H51" s="66"/>
      <c r="I51" s="67"/>
      <c r="J51" s="67"/>
      <c r="K51" s="67"/>
      <c r="L51" s="66"/>
      <c r="M51" s="68"/>
      <c r="N51" s="66"/>
      <c r="O51" s="69"/>
      <c r="P51" s="67"/>
      <c r="Q51" s="69"/>
      <c r="R51" s="69"/>
      <c r="S51" s="68"/>
      <c r="T51" s="17"/>
    </row>
    <row r="52" spans="1:20" ht="27" x14ac:dyDescent="0.4">
      <c r="A52" s="65"/>
      <c r="B52" s="65"/>
      <c r="C52" s="66"/>
      <c r="D52" s="66"/>
      <c r="E52" s="67"/>
      <c r="F52" s="68"/>
      <c r="G52" s="68"/>
      <c r="H52" s="66"/>
      <c r="I52" s="67"/>
      <c r="J52" s="67"/>
      <c r="K52" s="67"/>
      <c r="L52" s="66"/>
      <c r="M52" s="68"/>
      <c r="N52" s="66"/>
      <c r="O52" s="69"/>
      <c r="P52" s="67"/>
      <c r="Q52" s="69"/>
      <c r="R52" s="69"/>
      <c r="S52" s="68"/>
    </row>
    <row r="53" spans="1:20" ht="27" x14ac:dyDescent="0.4">
      <c r="A53" s="65"/>
      <c r="B53" s="65"/>
      <c r="C53" s="66"/>
      <c r="D53" s="66"/>
      <c r="E53" s="67"/>
      <c r="F53" s="68"/>
      <c r="G53" s="68"/>
      <c r="H53" s="66"/>
      <c r="I53" s="67"/>
      <c r="J53" s="67"/>
      <c r="K53" s="67"/>
      <c r="L53" s="66"/>
      <c r="M53" s="72"/>
      <c r="N53" s="66"/>
      <c r="O53" s="69"/>
      <c r="P53" s="67"/>
      <c r="Q53" s="69"/>
      <c r="R53" s="69"/>
      <c r="S53" s="68"/>
    </row>
    <row r="54" spans="1:20" ht="27" x14ac:dyDescent="0.4">
      <c r="A54" s="65"/>
      <c r="B54" s="65"/>
      <c r="C54" s="66"/>
      <c r="D54" s="66"/>
      <c r="E54" s="67"/>
      <c r="F54" s="68"/>
      <c r="G54" s="68"/>
      <c r="H54" s="66"/>
      <c r="I54" s="67"/>
      <c r="J54" s="67"/>
      <c r="K54" s="67"/>
      <c r="L54" s="66"/>
      <c r="M54" s="68"/>
      <c r="N54" s="66"/>
      <c r="O54" s="69"/>
      <c r="P54" s="67"/>
      <c r="Q54" s="69"/>
      <c r="R54" s="69"/>
      <c r="S54" s="68"/>
    </row>
    <row r="55" spans="1:20" ht="27" x14ac:dyDescent="0.4">
      <c r="A55" s="65"/>
      <c r="B55" s="65"/>
      <c r="C55" s="66"/>
      <c r="D55" s="66"/>
      <c r="E55" s="67"/>
      <c r="F55" s="68"/>
      <c r="G55" s="68"/>
      <c r="H55" s="66"/>
      <c r="I55" s="67"/>
      <c r="J55" s="67"/>
      <c r="K55" s="67"/>
      <c r="L55" s="66"/>
      <c r="M55" s="68"/>
      <c r="N55" s="66"/>
      <c r="O55" s="69"/>
      <c r="P55" s="67"/>
      <c r="Q55" s="69"/>
      <c r="R55" s="69"/>
      <c r="S55" s="68"/>
    </row>
    <row r="56" spans="1:20" ht="27" x14ac:dyDescent="0.4">
      <c r="A56" s="65"/>
      <c r="B56" s="65"/>
      <c r="C56" s="66"/>
      <c r="D56" s="66"/>
      <c r="E56" s="67"/>
      <c r="F56" s="68"/>
      <c r="G56" s="68"/>
      <c r="H56" s="66"/>
      <c r="I56" s="67"/>
      <c r="J56" s="67"/>
      <c r="K56" s="67"/>
      <c r="L56" s="66"/>
      <c r="M56" s="68"/>
      <c r="N56" s="66"/>
      <c r="O56" s="69"/>
      <c r="P56" s="67"/>
      <c r="Q56" s="69"/>
      <c r="R56" s="69"/>
      <c r="S56" s="68"/>
    </row>
    <row r="57" spans="1:20" ht="27" x14ac:dyDescent="0.4">
      <c r="A57" s="65"/>
      <c r="B57" s="65"/>
      <c r="C57" s="66"/>
      <c r="D57" s="66"/>
      <c r="E57" s="67"/>
      <c r="F57" s="68"/>
      <c r="G57" s="73"/>
      <c r="H57" s="66"/>
      <c r="I57" s="67"/>
      <c r="J57" s="67"/>
      <c r="K57" s="67"/>
      <c r="L57" s="66"/>
      <c r="M57" s="68"/>
      <c r="N57" s="66"/>
      <c r="O57" s="69"/>
      <c r="P57" s="67"/>
      <c r="Q57" s="69"/>
      <c r="R57" s="69"/>
      <c r="S57" s="68"/>
    </row>
    <row r="58" spans="1:20" ht="27" x14ac:dyDescent="0.4">
      <c r="A58" s="65"/>
      <c r="B58" s="65"/>
      <c r="C58" s="66"/>
      <c r="D58" s="66"/>
      <c r="E58" s="67"/>
      <c r="F58" s="68"/>
      <c r="G58" s="68"/>
      <c r="H58" s="66"/>
      <c r="I58" s="67"/>
      <c r="J58" s="67"/>
      <c r="K58" s="67"/>
      <c r="L58" s="66"/>
      <c r="M58" s="68"/>
      <c r="N58" s="66"/>
      <c r="O58" s="69"/>
      <c r="P58" s="67"/>
      <c r="Q58" s="69"/>
      <c r="R58" s="69"/>
      <c r="S58" s="68"/>
    </row>
    <row r="59" spans="1:20" ht="27" x14ac:dyDescent="0.4">
      <c r="A59" s="65"/>
      <c r="B59" s="65"/>
      <c r="C59" s="66"/>
      <c r="D59" s="66"/>
      <c r="E59" s="67"/>
      <c r="F59" s="68"/>
      <c r="G59" s="68"/>
      <c r="H59" s="66"/>
      <c r="I59" s="67"/>
      <c r="J59" s="67"/>
      <c r="K59" s="67"/>
      <c r="L59" s="66"/>
      <c r="M59" s="68"/>
      <c r="N59" s="66"/>
      <c r="O59" s="69"/>
      <c r="P59" s="67"/>
      <c r="Q59" s="69"/>
      <c r="R59" s="69"/>
      <c r="S59" s="68"/>
    </row>
    <row r="60" spans="1:20" ht="27" x14ac:dyDescent="0.4">
      <c r="A60" s="65"/>
      <c r="B60" s="65"/>
      <c r="C60" s="66"/>
      <c r="D60" s="66"/>
      <c r="E60" s="67"/>
      <c r="F60" s="68"/>
      <c r="G60" s="68"/>
      <c r="H60" s="66"/>
      <c r="I60" s="67"/>
      <c r="J60" s="67"/>
      <c r="K60" s="67"/>
      <c r="L60" s="66"/>
      <c r="M60" s="68"/>
      <c r="N60" s="66"/>
      <c r="O60" s="69"/>
      <c r="P60" s="67"/>
      <c r="Q60" s="69"/>
      <c r="R60" s="69"/>
      <c r="S60" s="68"/>
    </row>
    <row r="61" spans="1:20" ht="27" x14ac:dyDescent="0.4">
      <c r="A61" s="65"/>
      <c r="B61" s="65"/>
      <c r="C61" s="66"/>
      <c r="D61" s="66"/>
      <c r="E61" s="67"/>
      <c r="F61" s="68"/>
      <c r="G61" s="68"/>
      <c r="H61" s="66"/>
      <c r="I61" s="67"/>
      <c r="J61" s="67"/>
      <c r="K61" s="67"/>
      <c r="L61" s="66"/>
      <c r="M61" s="68"/>
      <c r="N61" s="66"/>
      <c r="O61" s="69"/>
      <c r="P61" s="67"/>
      <c r="Q61" s="69"/>
      <c r="R61" s="69"/>
      <c r="S61" s="68"/>
    </row>
    <row r="62" spans="1:20" ht="27" x14ac:dyDescent="0.4">
      <c r="A62" s="65"/>
      <c r="B62" s="65"/>
      <c r="C62" s="66"/>
      <c r="D62" s="66"/>
      <c r="E62" s="67"/>
      <c r="F62" s="68"/>
      <c r="G62" s="68"/>
      <c r="H62" s="66"/>
      <c r="I62" s="67"/>
      <c r="J62" s="67"/>
      <c r="K62" s="67"/>
      <c r="L62" s="66"/>
      <c r="M62" s="68"/>
      <c r="N62" s="66"/>
      <c r="O62" s="69"/>
      <c r="P62" s="67"/>
      <c r="Q62" s="69"/>
      <c r="R62" s="69"/>
      <c r="S62" s="68"/>
    </row>
    <row r="63" spans="1:20" ht="27" x14ac:dyDescent="0.4">
      <c r="A63" s="65"/>
      <c r="B63" s="65"/>
      <c r="C63" s="66"/>
      <c r="D63" s="66"/>
      <c r="E63" s="67"/>
      <c r="F63" s="68"/>
      <c r="G63" s="68"/>
      <c r="H63" s="66"/>
      <c r="I63" s="67"/>
      <c r="J63" s="67"/>
      <c r="K63" s="67"/>
      <c r="L63" s="66"/>
      <c r="M63" s="68"/>
      <c r="N63" s="66"/>
      <c r="O63" s="69"/>
      <c r="P63" s="67"/>
      <c r="Q63" s="69"/>
      <c r="R63" s="69"/>
      <c r="S63" s="68"/>
    </row>
    <row r="64" spans="1:20" ht="27" x14ac:dyDescent="0.4">
      <c r="A64" s="65"/>
      <c r="B64" s="65"/>
      <c r="C64" s="66"/>
      <c r="D64" s="66"/>
      <c r="E64" s="67"/>
      <c r="F64" s="68"/>
      <c r="G64" s="68"/>
      <c r="H64" s="66"/>
      <c r="I64" s="67"/>
      <c r="J64" s="67"/>
      <c r="K64" s="67"/>
      <c r="L64" s="66"/>
      <c r="M64" s="68"/>
      <c r="N64" s="66"/>
      <c r="O64" s="69"/>
      <c r="P64" s="67"/>
      <c r="Q64" s="69"/>
      <c r="R64" s="69"/>
      <c r="S64" s="68"/>
    </row>
    <row r="65" spans="1:19" ht="27" x14ac:dyDescent="0.4">
      <c r="A65" s="65"/>
      <c r="B65" s="65"/>
      <c r="C65" s="66"/>
      <c r="D65" s="66"/>
      <c r="E65" s="67"/>
      <c r="F65" s="68"/>
      <c r="G65" s="68"/>
      <c r="H65" s="66"/>
      <c r="I65" s="67"/>
      <c r="J65" s="67"/>
      <c r="K65" s="67"/>
      <c r="L65" s="66"/>
      <c r="M65" s="68"/>
      <c r="N65" s="66"/>
      <c r="O65" s="69"/>
      <c r="P65" s="67"/>
      <c r="Q65" s="69"/>
      <c r="R65" s="69"/>
      <c r="S65" s="68"/>
    </row>
    <row r="66" spans="1:19" ht="27" x14ac:dyDescent="0.4">
      <c r="A66" s="65"/>
      <c r="B66" s="65"/>
      <c r="C66" s="66"/>
      <c r="D66" s="66"/>
      <c r="E66" s="67"/>
      <c r="F66" s="68"/>
      <c r="G66" s="68"/>
      <c r="H66" s="66"/>
      <c r="I66" s="67"/>
      <c r="J66" s="67"/>
      <c r="K66" s="67"/>
      <c r="L66" s="66"/>
      <c r="M66" s="68"/>
      <c r="N66" s="66"/>
      <c r="O66" s="69"/>
      <c r="P66" s="67"/>
      <c r="Q66" s="69"/>
      <c r="R66" s="69"/>
      <c r="S66" s="68"/>
    </row>
    <row r="67" spans="1:19" ht="27" x14ac:dyDescent="0.4">
      <c r="A67" s="65"/>
      <c r="B67" s="65"/>
      <c r="C67" s="66"/>
      <c r="D67" s="66"/>
      <c r="E67" s="67"/>
      <c r="F67" s="68"/>
      <c r="G67" s="68"/>
      <c r="H67" s="66"/>
      <c r="I67" s="67"/>
      <c r="J67" s="67"/>
      <c r="K67" s="67"/>
      <c r="L67" s="66"/>
      <c r="M67" s="68"/>
      <c r="N67" s="66"/>
      <c r="O67" s="69"/>
      <c r="P67" s="67"/>
      <c r="Q67" s="69"/>
      <c r="R67" s="69"/>
      <c r="S67" s="68"/>
    </row>
    <row r="68" spans="1:19" ht="27" x14ac:dyDescent="0.4">
      <c r="A68" s="65"/>
      <c r="B68" s="65"/>
      <c r="C68" s="66"/>
      <c r="D68" s="66"/>
      <c r="E68" s="67"/>
      <c r="F68" s="68"/>
      <c r="G68" s="68"/>
      <c r="H68" s="66"/>
      <c r="I68" s="67"/>
      <c r="J68" s="67"/>
      <c r="K68" s="67"/>
      <c r="L68" s="66"/>
      <c r="M68" s="68"/>
      <c r="N68" s="66"/>
      <c r="O68" s="69"/>
      <c r="P68" s="67"/>
      <c r="Q68" s="69"/>
      <c r="R68" s="69"/>
      <c r="S68" s="68"/>
    </row>
    <row r="69" spans="1:19" ht="27" x14ac:dyDescent="0.4">
      <c r="A69" s="65"/>
      <c r="B69" s="65"/>
      <c r="C69" s="66"/>
      <c r="D69" s="66"/>
      <c r="E69" s="67"/>
      <c r="F69" s="68"/>
      <c r="G69" s="68"/>
      <c r="H69" s="66"/>
      <c r="I69" s="67"/>
      <c r="J69" s="67"/>
      <c r="K69" s="67"/>
      <c r="L69" s="66"/>
      <c r="M69" s="68"/>
      <c r="N69" s="66"/>
      <c r="O69" s="69"/>
      <c r="P69" s="67"/>
      <c r="Q69" s="69"/>
      <c r="R69" s="69"/>
      <c r="S69" s="68"/>
    </row>
    <row r="70" spans="1:19" ht="27" x14ac:dyDescent="0.4">
      <c r="A70" s="65"/>
      <c r="B70" s="65"/>
      <c r="C70" s="66"/>
      <c r="D70" s="66"/>
      <c r="E70" s="67"/>
      <c r="F70" s="68"/>
      <c r="G70" s="68"/>
      <c r="H70" s="66"/>
      <c r="I70" s="67"/>
      <c r="J70" s="67"/>
      <c r="K70" s="67"/>
      <c r="L70" s="66"/>
      <c r="M70" s="68"/>
      <c r="N70" s="66"/>
      <c r="O70" s="69"/>
      <c r="P70" s="67"/>
      <c r="Q70" s="69"/>
      <c r="R70" s="69"/>
      <c r="S70" s="68"/>
    </row>
    <row r="71" spans="1:19" ht="27" x14ac:dyDescent="0.4">
      <c r="A71" s="65"/>
      <c r="B71" s="65"/>
      <c r="C71" s="66"/>
      <c r="D71" s="66"/>
      <c r="E71" s="67"/>
      <c r="F71" s="68"/>
      <c r="G71" s="68"/>
      <c r="H71" s="66"/>
      <c r="I71" s="67"/>
      <c r="J71" s="67"/>
      <c r="K71" s="67"/>
      <c r="L71" s="66"/>
      <c r="M71" s="68"/>
      <c r="N71" s="66"/>
      <c r="O71" s="69"/>
      <c r="P71" s="67"/>
      <c r="Q71" s="69"/>
      <c r="R71" s="69"/>
      <c r="S71" s="68"/>
    </row>
    <row r="72" spans="1:19" ht="27" x14ac:dyDescent="0.4">
      <c r="A72" s="65"/>
      <c r="B72" s="65"/>
      <c r="C72" s="66"/>
      <c r="D72" s="66"/>
      <c r="E72" s="67"/>
      <c r="F72" s="68"/>
      <c r="G72" s="68"/>
      <c r="H72" s="66"/>
      <c r="I72" s="67"/>
      <c r="J72" s="67"/>
      <c r="K72" s="67"/>
      <c r="L72" s="66"/>
      <c r="M72" s="68"/>
      <c r="N72" s="66"/>
      <c r="O72" s="69"/>
      <c r="P72" s="67"/>
      <c r="Q72" s="69"/>
      <c r="R72" s="69"/>
      <c r="S72" s="68"/>
    </row>
    <row r="73" spans="1:19" ht="27" x14ac:dyDescent="0.4">
      <c r="A73" s="65"/>
      <c r="B73" s="65"/>
      <c r="C73" s="66"/>
      <c r="D73" s="66"/>
      <c r="E73" s="67"/>
      <c r="F73" s="68"/>
      <c r="G73" s="68"/>
      <c r="H73" s="66"/>
      <c r="I73" s="67"/>
      <c r="J73" s="67"/>
      <c r="K73" s="67"/>
      <c r="L73" s="66"/>
      <c r="M73" s="68"/>
      <c r="N73" s="66"/>
      <c r="O73" s="69"/>
      <c r="P73" s="67"/>
      <c r="Q73" s="69"/>
      <c r="R73" s="69"/>
      <c r="S73" s="68"/>
    </row>
    <row r="74" spans="1:19" ht="27" x14ac:dyDescent="0.4">
      <c r="A74" s="65"/>
      <c r="B74" s="65"/>
      <c r="C74" s="66"/>
      <c r="D74" s="66"/>
      <c r="E74" s="67"/>
      <c r="F74" s="68"/>
      <c r="G74" s="68"/>
      <c r="H74" s="66"/>
      <c r="I74" s="67"/>
      <c r="J74" s="67"/>
      <c r="K74" s="67"/>
      <c r="L74" s="66"/>
      <c r="M74" s="68"/>
      <c r="N74" s="66"/>
      <c r="O74" s="69"/>
      <c r="P74" s="67"/>
      <c r="Q74" s="69"/>
      <c r="R74" s="69"/>
      <c r="S74" s="68"/>
    </row>
    <row r="75" spans="1:19" ht="27" x14ac:dyDescent="0.4">
      <c r="A75" s="65"/>
      <c r="B75" s="65"/>
      <c r="C75" s="66"/>
      <c r="D75" s="66"/>
      <c r="E75" s="67"/>
      <c r="F75" s="68"/>
      <c r="G75" s="68"/>
      <c r="H75" s="66"/>
      <c r="I75" s="67"/>
      <c r="J75" s="67"/>
      <c r="K75" s="67"/>
      <c r="L75" s="66"/>
      <c r="M75" s="68"/>
      <c r="N75" s="66"/>
      <c r="O75" s="69"/>
      <c r="P75" s="67"/>
      <c r="Q75" s="69"/>
      <c r="R75" s="69"/>
      <c r="S75" s="68"/>
    </row>
    <row r="76" spans="1:19" ht="27" x14ac:dyDescent="0.4">
      <c r="A76" s="65"/>
      <c r="B76" s="65"/>
      <c r="C76" s="66"/>
      <c r="D76" s="66"/>
      <c r="E76" s="67"/>
      <c r="F76" s="68"/>
      <c r="G76" s="68"/>
      <c r="H76" s="66"/>
      <c r="I76" s="67"/>
      <c r="J76" s="67"/>
      <c r="K76" s="67"/>
      <c r="L76" s="66"/>
      <c r="M76" s="68"/>
      <c r="N76" s="66"/>
      <c r="O76" s="69"/>
      <c r="P76" s="67"/>
      <c r="Q76" s="69"/>
      <c r="R76" s="69"/>
      <c r="S76" s="68"/>
    </row>
    <row r="77" spans="1:19" ht="27" x14ac:dyDescent="0.4">
      <c r="A77" s="65"/>
      <c r="B77" s="65"/>
      <c r="C77" s="66"/>
      <c r="D77" s="66"/>
      <c r="E77" s="67"/>
      <c r="F77" s="68"/>
      <c r="G77" s="68"/>
      <c r="H77" s="66"/>
      <c r="I77" s="67"/>
      <c r="J77" s="67"/>
      <c r="K77" s="67"/>
      <c r="L77" s="66"/>
      <c r="M77" s="68"/>
      <c r="N77" s="66"/>
      <c r="O77" s="69"/>
      <c r="P77" s="67"/>
      <c r="Q77" s="69"/>
      <c r="R77" s="69"/>
      <c r="S77" s="68"/>
    </row>
    <row r="78" spans="1:19" ht="27" x14ac:dyDescent="0.4">
      <c r="A78" s="65"/>
      <c r="B78" s="65"/>
      <c r="C78" s="66"/>
      <c r="D78" s="66"/>
      <c r="E78" s="67"/>
      <c r="F78" s="68"/>
      <c r="G78" s="68"/>
      <c r="H78" s="66"/>
      <c r="I78" s="67"/>
      <c r="J78" s="67"/>
      <c r="K78" s="67"/>
      <c r="L78" s="66"/>
      <c r="M78" s="68"/>
      <c r="N78" s="66"/>
      <c r="O78" s="69"/>
      <c r="P78" s="67"/>
      <c r="Q78" s="69"/>
      <c r="R78" s="69"/>
      <c r="S78" s="68"/>
    </row>
    <row r="79" spans="1:19" ht="27" x14ac:dyDescent="0.4">
      <c r="A79" s="65"/>
      <c r="B79" s="65"/>
      <c r="C79" s="66"/>
      <c r="D79" s="66"/>
      <c r="E79" s="67"/>
      <c r="F79" s="68"/>
      <c r="G79" s="68"/>
      <c r="H79" s="66"/>
      <c r="I79" s="67"/>
      <c r="J79" s="67"/>
      <c r="K79" s="67"/>
      <c r="L79" s="66"/>
      <c r="M79" s="68"/>
      <c r="N79" s="66"/>
      <c r="O79" s="69"/>
      <c r="P79" s="67"/>
      <c r="Q79" s="69"/>
      <c r="R79" s="69"/>
      <c r="S79" s="68"/>
    </row>
    <row r="80" spans="1:19" ht="27" x14ac:dyDescent="0.4">
      <c r="A80" s="65"/>
      <c r="B80" s="65"/>
      <c r="C80" s="66"/>
      <c r="D80" s="66"/>
      <c r="E80" s="67"/>
      <c r="F80" s="68"/>
      <c r="G80" s="68"/>
      <c r="H80" s="66"/>
      <c r="I80" s="67"/>
      <c r="J80" s="67"/>
      <c r="K80" s="67"/>
      <c r="L80" s="66"/>
      <c r="M80" s="68"/>
      <c r="N80" s="66"/>
      <c r="O80" s="69"/>
      <c r="P80" s="67"/>
      <c r="Q80" s="69"/>
      <c r="R80" s="69"/>
      <c r="S80" s="65"/>
    </row>
    <row r="81" spans="1:20" ht="27" x14ac:dyDescent="0.4">
      <c r="A81" s="65"/>
      <c r="B81" s="65"/>
      <c r="C81" s="66"/>
      <c r="D81" s="66"/>
      <c r="E81" s="67"/>
      <c r="F81" s="68"/>
      <c r="G81" s="68"/>
      <c r="H81" s="66"/>
      <c r="I81" s="67"/>
      <c r="J81" s="67"/>
      <c r="K81" s="67"/>
      <c r="L81" s="66"/>
      <c r="M81" s="68"/>
      <c r="N81" s="66"/>
      <c r="O81" s="69"/>
      <c r="P81" s="67"/>
      <c r="Q81" s="69"/>
      <c r="R81" s="69"/>
      <c r="S81" s="65"/>
    </row>
    <row r="82" spans="1:20" ht="27" x14ac:dyDescent="0.4">
      <c r="A82" s="65"/>
      <c r="B82" s="65"/>
      <c r="C82" s="66"/>
      <c r="D82" s="66"/>
      <c r="E82" s="67"/>
      <c r="F82" s="68"/>
      <c r="G82" s="68"/>
      <c r="H82" s="66"/>
      <c r="I82" s="67"/>
      <c r="J82" s="67"/>
      <c r="K82" s="67"/>
      <c r="L82" s="66"/>
      <c r="M82" s="68"/>
      <c r="N82" s="66"/>
      <c r="O82" s="69"/>
      <c r="P82" s="67"/>
      <c r="Q82" s="69"/>
      <c r="R82" s="69"/>
      <c r="S82" s="65"/>
    </row>
    <row r="83" spans="1:20" ht="27" x14ac:dyDescent="0.4">
      <c r="A83" s="65"/>
      <c r="B83" s="65"/>
      <c r="C83" s="66"/>
      <c r="D83" s="66"/>
      <c r="E83" s="67"/>
      <c r="F83" s="68"/>
      <c r="G83" s="68"/>
      <c r="H83" s="66"/>
      <c r="I83" s="67"/>
      <c r="J83" s="67"/>
      <c r="K83" s="67"/>
      <c r="L83" s="66"/>
      <c r="M83" s="68"/>
      <c r="N83" s="66"/>
      <c r="O83" s="69"/>
      <c r="P83" s="67"/>
      <c r="Q83" s="69"/>
      <c r="R83" s="69"/>
      <c r="S83" s="65"/>
    </row>
    <row r="84" spans="1:20" ht="27" x14ac:dyDescent="0.4">
      <c r="A84" s="65"/>
      <c r="B84" s="65"/>
      <c r="C84" s="66"/>
      <c r="D84" s="66"/>
      <c r="E84" s="67"/>
      <c r="F84" s="68"/>
      <c r="G84" s="68"/>
      <c r="H84" s="66"/>
      <c r="I84" s="67"/>
      <c r="J84" s="67"/>
      <c r="K84" s="67"/>
      <c r="L84" s="66"/>
      <c r="M84" s="68"/>
      <c r="N84" s="66"/>
      <c r="O84" s="69"/>
      <c r="P84" s="67"/>
      <c r="Q84" s="69"/>
      <c r="R84" s="69"/>
      <c r="S84" s="70"/>
    </row>
    <row r="85" spans="1:20" ht="27" x14ac:dyDescent="0.4">
      <c r="A85" s="65"/>
      <c r="B85" s="65"/>
      <c r="C85" s="66"/>
      <c r="D85" s="66"/>
      <c r="E85" s="67"/>
      <c r="F85" s="68"/>
      <c r="G85" s="68"/>
      <c r="H85" s="66"/>
      <c r="I85" s="67"/>
      <c r="J85" s="67"/>
      <c r="K85" s="67"/>
      <c r="L85" s="66"/>
      <c r="M85" s="68"/>
      <c r="N85" s="66"/>
      <c r="O85" s="69"/>
      <c r="P85" s="67"/>
      <c r="Q85" s="69"/>
      <c r="R85" s="69"/>
      <c r="S85" s="70"/>
    </row>
    <row r="86" spans="1:20" ht="27" x14ac:dyDescent="0.4">
      <c r="A86" s="65"/>
      <c r="B86" s="65"/>
      <c r="C86" s="66"/>
      <c r="D86" s="66"/>
      <c r="E86" s="67"/>
      <c r="F86" s="68"/>
      <c r="G86" s="68"/>
      <c r="H86" s="66"/>
      <c r="I86" s="67"/>
      <c r="J86" s="67"/>
      <c r="K86" s="67"/>
      <c r="L86" s="66"/>
      <c r="M86" s="68"/>
      <c r="N86" s="66"/>
      <c r="O86" s="69"/>
      <c r="P86" s="67"/>
      <c r="Q86" s="69"/>
      <c r="R86" s="69"/>
      <c r="S86" s="70"/>
    </row>
    <row r="87" spans="1:20" ht="27" x14ac:dyDescent="0.4">
      <c r="A87" s="65"/>
      <c r="B87" s="65"/>
      <c r="C87" s="66"/>
      <c r="D87" s="66"/>
      <c r="E87" s="67"/>
      <c r="F87" s="68"/>
      <c r="G87" s="68"/>
      <c r="H87" s="66"/>
      <c r="I87" s="67"/>
      <c r="J87" s="67"/>
      <c r="K87" s="67"/>
      <c r="L87" s="66"/>
      <c r="M87" s="68"/>
      <c r="N87" s="66"/>
      <c r="O87" s="69"/>
      <c r="P87" s="67"/>
      <c r="Q87" s="69"/>
      <c r="R87" s="69"/>
      <c r="S87" s="70"/>
    </row>
    <row r="88" spans="1:20" ht="27" x14ac:dyDescent="0.4">
      <c r="A88" s="65"/>
      <c r="B88" s="65"/>
      <c r="C88" s="66"/>
      <c r="D88" s="66"/>
      <c r="E88" s="67"/>
      <c r="F88" s="68"/>
      <c r="G88" s="68"/>
      <c r="H88" s="66"/>
      <c r="I88" s="67"/>
      <c r="J88" s="67"/>
      <c r="K88" s="67"/>
      <c r="L88" s="66"/>
      <c r="M88" s="68"/>
      <c r="N88" s="66"/>
      <c r="O88" s="69"/>
      <c r="P88" s="67"/>
      <c r="Q88" s="69"/>
      <c r="R88" s="69"/>
      <c r="S88" s="70"/>
      <c r="T88" s="17"/>
    </row>
    <row r="89" spans="1:20" ht="27" x14ac:dyDescent="0.4">
      <c r="A89" s="65"/>
      <c r="B89" s="65"/>
      <c r="C89" s="66"/>
      <c r="D89" s="66"/>
      <c r="E89" s="67"/>
      <c r="F89" s="68"/>
      <c r="G89" s="68"/>
      <c r="H89" s="66"/>
      <c r="I89" s="67"/>
      <c r="J89" s="67"/>
      <c r="K89" s="67"/>
      <c r="L89" s="66"/>
      <c r="M89" s="68"/>
      <c r="N89" s="66"/>
      <c r="O89" s="69"/>
      <c r="P89" s="67"/>
      <c r="Q89" s="69"/>
      <c r="R89" s="69"/>
      <c r="S89" s="70"/>
    </row>
    <row r="90" spans="1:20" ht="27" x14ac:dyDescent="0.4">
      <c r="A90" s="65"/>
      <c r="B90" s="65"/>
      <c r="C90" s="66"/>
      <c r="D90" s="66"/>
      <c r="E90" s="67"/>
      <c r="F90" s="68"/>
      <c r="G90" s="68"/>
      <c r="H90" s="66"/>
      <c r="I90" s="67"/>
      <c r="J90" s="67"/>
      <c r="K90" s="67"/>
      <c r="L90" s="66"/>
      <c r="M90" s="68"/>
      <c r="N90" s="66"/>
      <c r="O90" s="69"/>
      <c r="P90" s="67"/>
      <c r="Q90" s="69"/>
      <c r="R90" s="69"/>
      <c r="S90" s="70"/>
    </row>
    <row r="91" spans="1:20" ht="27" x14ac:dyDescent="0.4">
      <c r="A91" s="65"/>
      <c r="B91" s="65"/>
      <c r="C91" s="66"/>
      <c r="D91" s="66"/>
      <c r="E91" s="67"/>
      <c r="F91" s="68"/>
      <c r="G91" s="68"/>
      <c r="H91" s="66"/>
      <c r="I91" s="67"/>
      <c r="J91" s="67"/>
      <c r="K91" s="67"/>
      <c r="L91" s="66"/>
      <c r="M91" s="68"/>
      <c r="N91" s="66"/>
      <c r="O91" s="69"/>
      <c r="P91" s="67"/>
      <c r="Q91" s="69"/>
      <c r="R91" s="69"/>
      <c r="S91" s="70"/>
    </row>
    <row r="92" spans="1:20" ht="27" x14ac:dyDescent="0.4">
      <c r="A92" s="65"/>
      <c r="B92" s="65"/>
      <c r="C92" s="66"/>
      <c r="D92" s="66"/>
      <c r="E92" s="67"/>
      <c r="F92" s="68"/>
      <c r="G92" s="68"/>
      <c r="H92" s="66"/>
      <c r="I92" s="67"/>
      <c r="J92" s="67"/>
      <c r="K92" s="67"/>
      <c r="L92" s="66"/>
      <c r="M92" s="68"/>
      <c r="N92" s="66"/>
      <c r="O92" s="69"/>
      <c r="P92" s="67"/>
      <c r="Q92" s="69"/>
      <c r="R92" s="69"/>
      <c r="S92" s="70"/>
    </row>
    <row r="93" spans="1:20" ht="27" x14ac:dyDescent="0.4">
      <c r="A93" s="65"/>
      <c r="B93" s="65"/>
      <c r="C93" s="66"/>
      <c r="D93" s="66"/>
      <c r="E93" s="67"/>
      <c r="F93" s="68"/>
      <c r="G93" s="68"/>
      <c r="H93" s="66"/>
      <c r="I93" s="67"/>
      <c r="J93" s="67"/>
      <c r="K93" s="67"/>
      <c r="L93" s="66"/>
      <c r="M93" s="68"/>
      <c r="N93" s="66"/>
      <c r="O93" s="69"/>
      <c r="P93" s="67"/>
      <c r="Q93" s="69"/>
      <c r="R93" s="69"/>
      <c r="S93" s="70"/>
    </row>
    <row r="94" spans="1:20" ht="27" x14ac:dyDescent="0.4">
      <c r="A94" s="65"/>
      <c r="B94" s="65"/>
      <c r="C94" s="66"/>
      <c r="D94" s="66"/>
      <c r="E94" s="67"/>
      <c r="F94" s="68"/>
      <c r="G94" s="68"/>
      <c r="H94" s="66"/>
      <c r="I94" s="67"/>
      <c r="J94" s="67"/>
      <c r="K94" s="67"/>
      <c r="L94" s="66"/>
      <c r="M94" s="68"/>
      <c r="N94" s="66"/>
      <c r="O94" s="69"/>
      <c r="P94" s="67"/>
      <c r="Q94" s="69"/>
      <c r="R94" s="69"/>
      <c r="S94" s="70"/>
    </row>
    <row r="95" spans="1:20" ht="27" x14ac:dyDescent="0.4">
      <c r="A95" s="65"/>
      <c r="B95" s="65"/>
      <c r="C95" s="66"/>
      <c r="D95" s="66"/>
      <c r="E95" s="67"/>
      <c r="F95" s="68"/>
      <c r="G95" s="68"/>
      <c r="H95" s="66"/>
      <c r="I95" s="67"/>
      <c r="J95" s="67"/>
      <c r="K95" s="67"/>
      <c r="L95" s="66"/>
      <c r="M95" s="68"/>
      <c r="N95" s="66"/>
      <c r="O95" s="69"/>
      <c r="P95" s="67"/>
      <c r="Q95" s="69"/>
      <c r="R95" s="69"/>
      <c r="S95" s="70"/>
    </row>
    <row r="96" spans="1:20" ht="27" x14ac:dyDescent="0.4">
      <c r="A96" s="65"/>
      <c r="B96" s="65"/>
      <c r="C96" s="66"/>
      <c r="D96" s="66"/>
      <c r="E96" s="67"/>
      <c r="F96" s="68"/>
      <c r="G96" s="68"/>
      <c r="H96" s="66"/>
      <c r="I96" s="67"/>
      <c r="J96" s="67"/>
      <c r="K96" s="67"/>
      <c r="L96" s="66"/>
      <c r="M96" s="68"/>
      <c r="N96" s="66"/>
      <c r="O96" s="69"/>
      <c r="P96" s="67"/>
      <c r="Q96" s="69"/>
      <c r="R96" s="69"/>
      <c r="S96" s="70"/>
    </row>
    <row r="97" spans="1:19" ht="27" x14ac:dyDescent="0.4">
      <c r="A97" s="65"/>
      <c r="B97" s="65"/>
      <c r="C97" s="66"/>
      <c r="D97" s="66"/>
      <c r="E97" s="67"/>
      <c r="F97" s="68"/>
      <c r="G97" s="68"/>
      <c r="H97" s="66"/>
      <c r="I97" s="67"/>
      <c r="J97" s="67"/>
      <c r="K97" s="67"/>
      <c r="L97" s="66"/>
      <c r="M97" s="68"/>
      <c r="N97" s="66"/>
      <c r="O97" s="69"/>
      <c r="P97" s="67"/>
      <c r="Q97" s="69"/>
      <c r="R97" s="69"/>
      <c r="S97" s="70"/>
    </row>
    <row r="98" spans="1:19" ht="27" x14ac:dyDescent="0.4">
      <c r="A98" s="65"/>
      <c r="B98" s="65"/>
      <c r="C98" s="66"/>
      <c r="D98" s="66"/>
      <c r="E98" s="67"/>
      <c r="F98" s="68"/>
      <c r="G98" s="68"/>
      <c r="H98" s="66"/>
      <c r="I98" s="67"/>
      <c r="J98" s="67"/>
      <c r="K98" s="67"/>
      <c r="L98" s="66"/>
      <c r="M98" s="68"/>
      <c r="N98" s="66"/>
      <c r="O98" s="69"/>
      <c r="P98" s="67"/>
      <c r="Q98" s="69"/>
      <c r="R98" s="69"/>
      <c r="S98" s="70"/>
    </row>
    <row r="99" spans="1:19" ht="27" x14ac:dyDescent="0.4">
      <c r="A99" s="65"/>
      <c r="B99" s="65"/>
      <c r="C99" s="66"/>
      <c r="D99" s="66"/>
      <c r="E99" s="67"/>
      <c r="F99" s="68"/>
      <c r="G99" s="68"/>
      <c r="H99" s="66"/>
      <c r="I99" s="67"/>
      <c r="J99" s="67"/>
      <c r="K99" s="67"/>
      <c r="L99" s="66"/>
      <c r="M99" s="68"/>
      <c r="N99" s="66"/>
      <c r="O99" s="69"/>
      <c r="P99" s="67"/>
      <c r="Q99" s="69"/>
      <c r="R99" s="69"/>
      <c r="S99" s="70"/>
    </row>
    <row r="100" spans="1:19" ht="27" x14ac:dyDescent="0.4">
      <c r="A100" s="65"/>
      <c r="B100" s="65"/>
      <c r="C100" s="66"/>
      <c r="D100" s="66"/>
      <c r="E100" s="67"/>
      <c r="F100" s="68"/>
      <c r="G100" s="68"/>
      <c r="H100" s="66"/>
      <c r="I100" s="67"/>
      <c r="J100" s="67"/>
      <c r="K100" s="67"/>
      <c r="L100" s="66"/>
      <c r="M100" s="68"/>
      <c r="N100" s="66"/>
      <c r="O100" s="69"/>
      <c r="P100" s="67"/>
      <c r="Q100" s="69"/>
      <c r="R100" s="69"/>
      <c r="S100" s="70"/>
    </row>
    <row r="101" spans="1:19" ht="27" x14ac:dyDescent="0.4">
      <c r="A101" s="65"/>
      <c r="B101" s="65"/>
      <c r="C101" s="66"/>
      <c r="D101" s="66"/>
      <c r="E101" s="67"/>
      <c r="F101" s="68"/>
      <c r="G101" s="68"/>
      <c r="H101" s="66"/>
      <c r="I101" s="67"/>
      <c r="J101" s="67"/>
      <c r="K101" s="67"/>
      <c r="L101" s="66"/>
      <c r="M101" s="68"/>
      <c r="N101" s="66"/>
      <c r="O101" s="69"/>
      <c r="P101" s="67"/>
      <c r="Q101" s="69"/>
      <c r="R101" s="69"/>
      <c r="S101" s="70"/>
    </row>
    <row r="102" spans="1:19" ht="27" x14ac:dyDescent="0.4">
      <c r="A102" s="65"/>
      <c r="B102" s="65"/>
      <c r="C102" s="66"/>
      <c r="D102" s="66"/>
      <c r="E102" s="67"/>
      <c r="F102" s="68"/>
      <c r="G102" s="68"/>
      <c r="H102" s="66"/>
      <c r="I102" s="67"/>
      <c r="J102" s="67"/>
      <c r="K102" s="67"/>
      <c r="L102" s="66"/>
      <c r="M102" s="68"/>
      <c r="N102" s="66"/>
      <c r="O102" s="69"/>
      <c r="P102" s="67"/>
      <c r="Q102" s="69"/>
      <c r="R102" s="69"/>
      <c r="S102" s="70"/>
    </row>
    <row r="103" spans="1:19" ht="27" x14ac:dyDescent="0.4">
      <c r="A103" s="65"/>
      <c r="B103" s="65"/>
      <c r="C103" s="66"/>
      <c r="D103" s="66"/>
      <c r="E103" s="67"/>
      <c r="F103" s="68"/>
      <c r="G103" s="68"/>
      <c r="H103" s="66"/>
      <c r="I103" s="67"/>
      <c r="J103" s="67"/>
      <c r="K103" s="67"/>
      <c r="L103" s="66"/>
      <c r="M103" s="68"/>
      <c r="N103" s="66"/>
      <c r="O103" s="69"/>
      <c r="P103" s="67"/>
      <c r="Q103" s="69"/>
      <c r="R103" s="69"/>
      <c r="S103" s="70"/>
    </row>
    <row r="104" spans="1:19" ht="27" x14ac:dyDescent="0.4">
      <c r="A104" s="65"/>
      <c r="B104" s="65"/>
      <c r="C104" s="66"/>
      <c r="D104" s="66"/>
      <c r="E104" s="67"/>
      <c r="F104" s="68"/>
      <c r="G104" s="68"/>
      <c r="H104" s="66"/>
      <c r="I104" s="67"/>
      <c r="J104" s="67"/>
      <c r="K104" s="67"/>
      <c r="L104" s="66"/>
      <c r="M104" s="68"/>
      <c r="N104" s="66"/>
      <c r="O104" s="69"/>
      <c r="P104" s="67"/>
      <c r="Q104" s="69"/>
      <c r="R104" s="69"/>
      <c r="S104" s="70"/>
    </row>
    <row r="105" spans="1:19" ht="27" x14ac:dyDescent="0.4">
      <c r="A105" s="65"/>
      <c r="B105" s="65"/>
      <c r="C105" s="66"/>
      <c r="D105" s="66"/>
      <c r="E105" s="67"/>
      <c r="F105" s="68"/>
      <c r="G105" s="68"/>
      <c r="H105" s="66"/>
      <c r="I105" s="67"/>
      <c r="J105" s="67"/>
      <c r="K105" s="67"/>
      <c r="L105" s="66"/>
      <c r="M105" s="68"/>
      <c r="N105" s="66"/>
      <c r="O105" s="69"/>
      <c r="P105" s="67"/>
      <c r="Q105" s="69"/>
      <c r="R105" s="69"/>
      <c r="S105" s="70"/>
    </row>
    <row r="106" spans="1:19" ht="27" x14ac:dyDescent="0.4">
      <c r="A106" s="65"/>
      <c r="B106" s="65"/>
      <c r="C106" s="66"/>
      <c r="D106" s="66"/>
      <c r="E106" s="67"/>
      <c r="F106" s="68"/>
      <c r="G106" s="68"/>
      <c r="H106" s="66"/>
      <c r="I106" s="67"/>
      <c r="J106" s="67"/>
      <c r="K106" s="67"/>
      <c r="L106" s="66"/>
      <c r="M106" s="68"/>
      <c r="N106" s="66"/>
      <c r="O106" s="69"/>
      <c r="P106" s="67"/>
      <c r="Q106" s="69"/>
      <c r="R106" s="69"/>
      <c r="S106" s="70"/>
    </row>
    <row r="107" spans="1:19" ht="27" x14ac:dyDescent="0.4">
      <c r="A107" s="65"/>
      <c r="B107" s="65"/>
      <c r="C107" s="66"/>
      <c r="D107" s="66"/>
      <c r="E107" s="67"/>
      <c r="F107" s="68"/>
      <c r="G107" s="68"/>
      <c r="H107" s="66"/>
      <c r="I107" s="67"/>
      <c r="J107" s="67"/>
      <c r="K107" s="67"/>
      <c r="L107" s="66"/>
      <c r="M107" s="68"/>
      <c r="N107" s="66"/>
      <c r="O107" s="69"/>
      <c r="P107" s="67"/>
      <c r="Q107" s="69"/>
      <c r="R107" s="69"/>
      <c r="S107" s="70"/>
    </row>
    <row r="108" spans="1:19" ht="27" x14ac:dyDescent="0.4">
      <c r="A108" s="65"/>
      <c r="B108" s="65"/>
      <c r="C108" s="66"/>
      <c r="D108" s="66"/>
      <c r="E108" s="67"/>
      <c r="F108" s="68"/>
      <c r="G108" s="68"/>
      <c r="H108" s="66"/>
      <c r="I108" s="67"/>
      <c r="J108" s="67"/>
      <c r="K108" s="67"/>
      <c r="L108" s="66"/>
      <c r="M108" s="68"/>
      <c r="N108" s="66"/>
      <c r="O108" s="69"/>
      <c r="P108" s="67"/>
      <c r="Q108" s="69"/>
      <c r="R108" s="69"/>
      <c r="S108" s="70"/>
    </row>
    <row r="109" spans="1:19" ht="27" x14ac:dyDescent="0.4">
      <c r="A109" s="65"/>
      <c r="B109" s="65"/>
      <c r="C109" s="66"/>
      <c r="D109" s="66"/>
      <c r="E109" s="67"/>
      <c r="F109" s="68"/>
      <c r="G109" s="68"/>
      <c r="H109" s="66"/>
      <c r="I109" s="67"/>
      <c r="J109" s="67"/>
      <c r="K109" s="67"/>
      <c r="L109" s="66"/>
      <c r="M109" s="68"/>
      <c r="N109" s="66"/>
      <c r="O109" s="69"/>
      <c r="P109" s="67"/>
      <c r="Q109" s="69"/>
      <c r="R109" s="69"/>
      <c r="S109" s="70"/>
    </row>
    <row r="110" spans="1:19" ht="27" x14ac:dyDescent="0.4">
      <c r="A110" s="65"/>
      <c r="B110" s="65"/>
      <c r="C110" s="66"/>
      <c r="D110" s="66"/>
      <c r="E110" s="67"/>
      <c r="F110" s="68"/>
      <c r="G110" s="68"/>
      <c r="H110" s="66"/>
      <c r="I110" s="67"/>
      <c r="J110" s="67"/>
      <c r="K110" s="67"/>
      <c r="L110" s="66"/>
      <c r="M110" s="68"/>
      <c r="N110" s="66"/>
      <c r="O110" s="69"/>
      <c r="P110" s="67"/>
      <c r="Q110" s="69"/>
      <c r="R110" s="69"/>
      <c r="S110" s="70"/>
    </row>
    <row r="111" spans="1:19" ht="27" x14ac:dyDescent="0.4">
      <c r="A111" s="65"/>
      <c r="B111" s="65"/>
      <c r="C111" s="66"/>
      <c r="D111" s="66"/>
      <c r="E111" s="67"/>
      <c r="F111" s="68"/>
      <c r="G111" s="68"/>
      <c r="H111" s="66"/>
      <c r="I111" s="67"/>
      <c r="J111" s="67"/>
      <c r="K111" s="67"/>
      <c r="L111" s="66"/>
      <c r="M111" s="68"/>
      <c r="N111" s="66"/>
      <c r="O111" s="69"/>
      <c r="P111" s="67"/>
      <c r="Q111" s="69"/>
      <c r="R111" s="69"/>
      <c r="S111" s="70"/>
    </row>
    <row r="112" spans="1:19" ht="27" x14ac:dyDescent="0.4">
      <c r="A112" s="65"/>
      <c r="B112" s="65"/>
      <c r="C112" s="66"/>
      <c r="D112" s="66"/>
      <c r="E112" s="67"/>
      <c r="F112" s="68"/>
      <c r="G112" s="68"/>
      <c r="H112" s="66"/>
      <c r="I112" s="67"/>
      <c r="J112" s="67"/>
      <c r="K112" s="67"/>
      <c r="L112" s="66"/>
      <c r="M112" s="68"/>
      <c r="N112" s="66"/>
      <c r="O112" s="69"/>
      <c r="P112" s="67"/>
      <c r="Q112" s="69"/>
      <c r="R112" s="69"/>
      <c r="S112" s="70"/>
    </row>
    <row r="113" spans="1:19" ht="27" x14ac:dyDescent="0.4">
      <c r="A113" s="65"/>
      <c r="B113" s="65"/>
      <c r="C113" s="66"/>
      <c r="D113" s="66"/>
      <c r="E113" s="67"/>
      <c r="F113" s="68"/>
      <c r="G113" s="68"/>
      <c r="H113" s="66"/>
      <c r="I113" s="67"/>
      <c r="J113" s="67"/>
      <c r="K113" s="67"/>
      <c r="L113" s="66"/>
      <c r="M113" s="68"/>
      <c r="N113" s="66"/>
      <c r="O113" s="69"/>
      <c r="P113" s="67"/>
      <c r="Q113" s="69"/>
      <c r="R113" s="69"/>
      <c r="S113" s="70"/>
    </row>
    <row r="114" spans="1:19" ht="27" x14ac:dyDescent="0.4">
      <c r="A114" s="65"/>
      <c r="B114" s="65"/>
      <c r="C114" s="66"/>
      <c r="D114" s="66"/>
      <c r="E114" s="67"/>
      <c r="F114" s="68"/>
      <c r="G114" s="68"/>
      <c r="H114" s="66"/>
      <c r="I114" s="67"/>
      <c r="J114" s="67"/>
      <c r="K114" s="67"/>
      <c r="L114" s="66"/>
      <c r="M114" s="68"/>
      <c r="N114" s="66"/>
      <c r="O114" s="69"/>
      <c r="P114" s="67"/>
      <c r="Q114" s="69"/>
      <c r="R114" s="69"/>
      <c r="S114" s="70"/>
    </row>
    <row r="115" spans="1:19" ht="27" x14ac:dyDescent="0.4">
      <c r="A115" s="65"/>
      <c r="B115" s="65"/>
      <c r="C115" s="66"/>
      <c r="D115" s="66"/>
      <c r="E115" s="67"/>
      <c r="F115" s="68"/>
      <c r="G115" s="68"/>
      <c r="H115" s="66"/>
      <c r="I115" s="67"/>
      <c r="J115" s="67"/>
      <c r="K115" s="67"/>
      <c r="L115" s="66"/>
      <c r="M115" s="68"/>
      <c r="N115" s="66"/>
      <c r="O115" s="69"/>
      <c r="P115" s="67"/>
      <c r="Q115" s="69"/>
      <c r="R115" s="69"/>
      <c r="S115" s="70"/>
    </row>
    <row r="116" spans="1:19" ht="27" x14ac:dyDescent="0.4">
      <c r="A116" s="65"/>
      <c r="B116" s="65"/>
      <c r="C116" s="66"/>
      <c r="D116" s="66"/>
      <c r="E116" s="67"/>
      <c r="F116" s="68"/>
      <c r="G116" s="68"/>
      <c r="H116" s="66"/>
      <c r="I116" s="67"/>
      <c r="J116" s="67"/>
      <c r="K116" s="67"/>
      <c r="L116" s="66"/>
      <c r="M116" s="68"/>
      <c r="N116" s="66"/>
      <c r="O116" s="69"/>
      <c r="P116" s="67"/>
      <c r="Q116" s="69"/>
      <c r="R116" s="69"/>
      <c r="S116" s="70"/>
    </row>
    <row r="117" spans="1:19" ht="27" x14ac:dyDescent="0.4">
      <c r="A117" s="65"/>
      <c r="B117" s="65"/>
      <c r="C117" s="66"/>
      <c r="D117" s="66"/>
      <c r="E117" s="67"/>
      <c r="F117" s="68"/>
      <c r="G117" s="68"/>
      <c r="H117" s="66"/>
      <c r="I117" s="67"/>
      <c r="J117" s="67"/>
      <c r="K117" s="67"/>
      <c r="L117" s="66"/>
      <c r="M117" s="68"/>
      <c r="N117" s="66"/>
      <c r="O117" s="69"/>
      <c r="P117" s="67"/>
      <c r="Q117" s="69"/>
      <c r="R117" s="69"/>
      <c r="S117" s="70"/>
    </row>
    <row r="118" spans="1:19" ht="27" x14ac:dyDescent="0.4">
      <c r="A118" s="65"/>
      <c r="B118" s="65"/>
      <c r="C118" s="66"/>
      <c r="D118" s="66"/>
      <c r="E118" s="67"/>
      <c r="F118" s="68"/>
      <c r="G118" s="68"/>
      <c r="H118" s="66"/>
      <c r="I118" s="67"/>
      <c r="J118" s="67"/>
      <c r="K118" s="67"/>
      <c r="L118" s="66"/>
      <c r="M118" s="68"/>
      <c r="N118" s="66"/>
      <c r="O118" s="69"/>
      <c r="P118" s="67"/>
      <c r="Q118" s="69"/>
      <c r="R118" s="69"/>
      <c r="S118" s="70"/>
    </row>
    <row r="119" spans="1:19" ht="27" x14ac:dyDescent="0.4">
      <c r="A119" s="65"/>
      <c r="B119" s="65"/>
      <c r="C119" s="66"/>
      <c r="D119" s="66"/>
      <c r="E119" s="67"/>
      <c r="F119" s="68"/>
      <c r="G119" s="68"/>
      <c r="H119" s="66"/>
      <c r="I119" s="67"/>
      <c r="J119" s="67"/>
      <c r="K119" s="67"/>
      <c r="L119" s="66"/>
      <c r="M119" s="68"/>
      <c r="N119" s="66"/>
      <c r="O119" s="69"/>
      <c r="P119" s="67"/>
      <c r="Q119" s="69"/>
      <c r="R119" s="69"/>
      <c r="S119" s="70"/>
    </row>
    <row r="120" spans="1:19" ht="27" x14ac:dyDescent="0.4">
      <c r="A120" s="65"/>
      <c r="B120" s="65"/>
      <c r="C120" s="66"/>
      <c r="D120" s="66"/>
      <c r="E120" s="67"/>
      <c r="F120" s="68"/>
      <c r="G120" s="68"/>
      <c r="H120" s="66"/>
      <c r="I120" s="67"/>
      <c r="J120" s="67"/>
      <c r="K120" s="67"/>
      <c r="L120" s="66"/>
      <c r="M120" s="68"/>
      <c r="N120" s="66"/>
      <c r="O120" s="69"/>
      <c r="P120" s="67"/>
      <c r="Q120" s="69"/>
      <c r="R120" s="69"/>
      <c r="S120" s="70"/>
    </row>
    <row r="121" spans="1:19" ht="27" x14ac:dyDescent="0.4">
      <c r="A121" s="65"/>
      <c r="B121" s="65"/>
      <c r="C121" s="66"/>
      <c r="D121" s="66"/>
      <c r="E121" s="67"/>
      <c r="F121" s="68"/>
      <c r="G121" s="68"/>
      <c r="H121" s="66"/>
      <c r="I121" s="67"/>
      <c r="J121" s="67"/>
      <c r="K121" s="67"/>
      <c r="L121" s="66"/>
      <c r="M121" s="68"/>
      <c r="N121" s="66"/>
      <c r="O121" s="69"/>
      <c r="P121" s="67"/>
      <c r="Q121" s="69"/>
      <c r="R121" s="69"/>
      <c r="S121" s="70"/>
    </row>
    <row r="122" spans="1:19" ht="27" x14ac:dyDescent="0.4">
      <c r="A122" s="65"/>
      <c r="B122" s="65"/>
      <c r="C122" s="66"/>
      <c r="D122" s="66"/>
      <c r="E122" s="67"/>
      <c r="F122" s="68"/>
      <c r="G122" s="68"/>
      <c r="H122" s="66"/>
      <c r="I122" s="67"/>
      <c r="J122" s="67"/>
      <c r="K122" s="67"/>
      <c r="L122" s="66"/>
      <c r="M122" s="68"/>
      <c r="N122" s="66"/>
      <c r="O122" s="69"/>
      <c r="P122" s="67"/>
      <c r="Q122" s="69"/>
      <c r="R122" s="69"/>
      <c r="S122" s="70"/>
    </row>
    <row r="123" spans="1:19" ht="27" x14ac:dyDescent="0.4">
      <c r="A123" s="65"/>
      <c r="B123" s="65"/>
      <c r="C123" s="66"/>
      <c r="D123" s="66"/>
      <c r="E123" s="67"/>
      <c r="F123" s="68"/>
      <c r="G123" s="68"/>
      <c r="H123" s="66"/>
      <c r="I123" s="67"/>
      <c r="J123" s="67"/>
      <c r="K123" s="67"/>
      <c r="L123" s="66"/>
      <c r="M123" s="68"/>
      <c r="N123" s="66"/>
      <c r="O123" s="69"/>
      <c r="P123" s="67"/>
      <c r="Q123" s="69"/>
      <c r="R123" s="69"/>
      <c r="S123" s="68"/>
    </row>
    <row r="124" spans="1:19" ht="27" x14ac:dyDescent="0.4">
      <c r="A124" s="65"/>
      <c r="B124" s="65"/>
      <c r="C124" s="66"/>
      <c r="D124" s="66"/>
      <c r="E124" s="67"/>
      <c r="F124" s="68"/>
      <c r="G124" s="68"/>
      <c r="H124" s="66"/>
      <c r="I124" s="67"/>
      <c r="J124" s="67"/>
      <c r="K124" s="67"/>
      <c r="L124" s="66"/>
      <c r="M124" s="68"/>
      <c r="N124" s="66"/>
      <c r="O124" s="69"/>
      <c r="P124" s="67"/>
      <c r="Q124" s="69"/>
      <c r="R124" s="69"/>
      <c r="S124" s="70"/>
    </row>
    <row r="125" spans="1:19" ht="27" x14ac:dyDescent="0.4">
      <c r="A125" s="65"/>
      <c r="B125" s="65"/>
      <c r="C125" s="66"/>
      <c r="D125" s="66"/>
      <c r="E125" s="67"/>
      <c r="F125" s="68"/>
      <c r="G125" s="68"/>
      <c r="H125" s="66"/>
      <c r="I125" s="67"/>
      <c r="J125" s="67"/>
      <c r="K125" s="67"/>
      <c r="L125" s="66"/>
      <c r="M125" s="68"/>
      <c r="N125" s="66"/>
      <c r="O125" s="69"/>
      <c r="P125" s="67"/>
      <c r="Q125" s="69"/>
      <c r="R125" s="69"/>
      <c r="S125" s="70"/>
    </row>
    <row r="126" spans="1:19" ht="27" x14ac:dyDescent="0.4">
      <c r="A126" s="65"/>
      <c r="B126" s="65"/>
      <c r="C126" s="66"/>
      <c r="D126" s="66"/>
      <c r="E126" s="67"/>
      <c r="F126" s="68"/>
      <c r="G126" s="68"/>
      <c r="H126" s="66"/>
      <c r="I126" s="67"/>
      <c r="J126" s="67"/>
      <c r="K126" s="67"/>
      <c r="L126" s="66"/>
      <c r="M126" s="68"/>
      <c r="N126" s="66"/>
      <c r="O126" s="69"/>
      <c r="P126" s="67"/>
      <c r="Q126" s="69"/>
      <c r="R126" s="69"/>
      <c r="S126" s="70"/>
    </row>
    <row r="127" spans="1:19" ht="27" x14ac:dyDescent="0.4">
      <c r="A127" s="65"/>
      <c r="B127" s="65"/>
      <c r="C127" s="66"/>
      <c r="D127" s="66"/>
      <c r="E127" s="67"/>
      <c r="F127" s="68"/>
      <c r="G127" s="68"/>
      <c r="H127" s="66"/>
      <c r="I127" s="67"/>
      <c r="J127" s="67"/>
      <c r="K127" s="67"/>
      <c r="L127" s="66"/>
      <c r="M127" s="68"/>
      <c r="N127" s="66"/>
      <c r="O127" s="69"/>
      <c r="P127" s="67"/>
      <c r="Q127" s="69"/>
      <c r="R127" s="69"/>
      <c r="S127" s="70"/>
    </row>
    <row r="128" spans="1:19" ht="27" x14ac:dyDescent="0.4">
      <c r="A128" s="65"/>
      <c r="B128" s="65"/>
      <c r="C128" s="66"/>
      <c r="D128" s="66"/>
      <c r="E128" s="67"/>
      <c r="F128" s="68"/>
      <c r="G128" s="68"/>
      <c r="H128" s="66"/>
      <c r="I128" s="67"/>
      <c r="J128" s="67"/>
      <c r="K128" s="67"/>
      <c r="L128" s="66"/>
      <c r="M128" s="68"/>
      <c r="N128" s="66"/>
      <c r="O128" s="69"/>
      <c r="P128" s="67"/>
      <c r="Q128" s="69"/>
      <c r="R128" s="69"/>
      <c r="S128" s="68"/>
    </row>
    <row r="129" spans="1:19" ht="27" x14ac:dyDescent="0.4">
      <c r="A129" s="65"/>
      <c r="B129" s="65"/>
      <c r="C129" s="66"/>
      <c r="D129" s="66"/>
      <c r="E129" s="67"/>
      <c r="F129" s="68"/>
      <c r="G129" s="68"/>
      <c r="H129" s="66"/>
      <c r="I129" s="67"/>
      <c r="J129" s="67"/>
      <c r="K129" s="67"/>
      <c r="L129" s="66"/>
      <c r="M129" s="68"/>
      <c r="N129" s="66"/>
      <c r="O129" s="69"/>
      <c r="P129" s="67"/>
      <c r="Q129" s="69"/>
      <c r="R129" s="69"/>
      <c r="S129" s="68"/>
    </row>
    <row r="130" spans="1:19" ht="27" x14ac:dyDescent="0.4">
      <c r="A130" s="65"/>
      <c r="B130" s="65"/>
      <c r="C130" s="66"/>
      <c r="D130" s="66"/>
      <c r="E130" s="67"/>
      <c r="F130" s="68"/>
      <c r="G130" s="68"/>
      <c r="H130" s="66"/>
      <c r="I130" s="67"/>
      <c r="J130" s="67"/>
      <c r="K130" s="67"/>
      <c r="L130" s="66"/>
      <c r="M130" s="68"/>
      <c r="N130" s="66"/>
      <c r="O130" s="69"/>
      <c r="P130" s="67"/>
      <c r="Q130" s="69"/>
      <c r="R130" s="69"/>
      <c r="S130" s="68"/>
    </row>
    <row r="131" spans="1:19" ht="27" x14ac:dyDescent="0.4">
      <c r="A131" s="65"/>
      <c r="B131" s="65"/>
      <c r="C131" s="66"/>
      <c r="D131" s="66"/>
      <c r="E131" s="67"/>
      <c r="F131" s="68"/>
      <c r="G131" s="68"/>
      <c r="H131" s="66"/>
      <c r="I131" s="67"/>
      <c r="J131" s="67"/>
      <c r="K131" s="67"/>
      <c r="L131" s="66"/>
      <c r="M131" s="68"/>
      <c r="N131" s="66"/>
      <c r="O131" s="69"/>
      <c r="P131" s="67"/>
      <c r="Q131" s="69"/>
      <c r="R131" s="69"/>
      <c r="S131" s="68"/>
    </row>
    <row r="132" spans="1:19" ht="27" x14ac:dyDescent="0.4">
      <c r="A132" s="65"/>
      <c r="B132" s="65"/>
      <c r="C132" s="66"/>
      <c r="D132" s="66"/>
      <c r="E132" s="67"/>
      <c r="F132" s="68"/>
      <c r="G132" s="68"/>
      <c r="H132" s="66"/>
      <c r="I132" s="67"/>
      <c r="J132" s="67"/>
      <c r="K132" s="67"/>
      <c r="L132" s="66"/>
      <c r="M132" s="68"/>
      <c r="N132" s="66"/>
      <c r="O132" s="69"/>
      <c r="P132" s="67"/>
      <c r="Q132" s="69"/>
      <c r="R132" s="69"/>
      <c r="S132" s="68"/>
    </row>
    <row r="133" spans="1:19" ht="27" x14ac:dyDescent="0.4">
      <c r="A133" s="65"/>
      <c r="B133" s="65"/>
      <c r="C133" s="66"/>
      <c r="D133" s="66"/>
      <c r="E133" s="67"/>
      <c r="F133" s="68"/>
      <c r="G133" s="68"/>
      <c r="H133" s="66"/>
      <c r="I133" s="67"/>
      <c r="J133" s="67"/>
      <c r="K133" s="67"/>
      <c r="L133" s="66"/>
      <c r="M133" s="68"/>
      <c r="N133" s="66"/>
      <c r="O133" s="69"/>
      <c r="P133" s="67"/>
      <c r="Q133" s="69"/>
      <c r="R133" s="69"/>
      <c r="S133" s="68"/>
    </row>
    <row r="134" spans="1:19" ht="27" x14ac:dyDescent="0.4">
      <c r="A134" s="65"/>
      <c r="B134" s="65"/>
      <c r="C134" s="66"/>
      <c r="D134" s="66"/>
      <c r="E134" s="67"/>
      <c r="F134" s="68"/>
      <c r="G134" s="68"/>
      <c r="H134" s="66"/>
      <c r="I134" s="67"/>
      <c r="J134" s="67"/>
      <c r="K134" s="67"/>
      <c r="L134" s="66"/>
      <c r="M134" s="68"/>
      <c r="N134" s="66"/>
      <c r="O134" s="69"/>
      <c r="P134" s="67"/>
      <c r="Q134" s="69"/>
      <c r="R134" s="69"/>
      <c r="S134" s="68"/>
    </row>
    <row r="135" spans="1:19" ht="27" x14ac:dyDescent="0.4">
      <c r="A135" s="65"/>
      <c r="B135" s="65"/>
      <c r="C135" s="66"/>
      <c r="D135" s="66"/>
      <c r="E135" s="67"/>
      <c r="F135" s="68"/>
      <c r="G135" s="68"/>
      <c r="H135" s="66"/>
      <c r="I135" s="67"/>
      <c r="J135" s="67"/>
      <c r="K135" s="67"/>
      <c r="L135" s="66"/>
      <c r="M135" s="68"/>
      <c r="N135" s="66"/>
      <c r="O135" s="69"/>
      <c r="P135" s="67"/>
      <c r="Q135" s="69"/>
      <c r="R135" s="69"/>
      <c r="S135" s="68"/>
    </row>
    <row r="136" spans="1:19" ht="27" x14ac:dyDescent="0.4">
      <c r="A136" s="65"/>
      <c r="B136" s="65"/>
      <c r="C136" s="66"/>
      <c r="D136" s="66"/>
      <c r="E136" s="67"/>
      <c r="F136" s="68"/>
      <c r="G136" s="68"/>
      <c r="H136" s="66"/>
      <c r="I136" s="67"/>
      <c r="J136" s="67"/>
      <c r="K136" s="67"/>
      <c r="L136" s="66"/>
      <c r="M136" s="68"/>
      <c r="N136" s="66"/>
      <c r="O136" s="69"/>
      <c r="P136" s="67"/>
      <c r="Q136" s="69"/>
      <c r="R136" s="69"/>
      <c r="S136" s="68"/>
    </row>
    <row r="137" spans="1:19" ht="27" x14ac:dyDescent="0.4">
      <c r="A137" s="65"/>
      <c r="B137" s="65"/>
      <c r="C137" s="66"/>
      <c r="D137" s="66"/>
      <c r="E137" s="67"/>
      <c r="F137" s="68"/>
      <c r="G137" s="68"/>
      <c r="H137" s="66"/>
      <c r="I137" s="67"/>
      <c r="J137" s="67"/>
      <c r="K137" s="67"/>
      <c r="L137" s="66"/>
      <c r="M137" s="68"/>
      <c r="N137" s="66"/>
      <c r="O137" s="69"/>
      <c r="P137" s="67"/>
      <c r="Q137" s="69"/>
      <c r="R137" s="69"/>
      <c r="S137" s="68"/>
    </row>
    <row r="138" spans="1:19" ht="27" x14ac:dyDescent="0.4">
      <c r="A138" s="65"/>
      <c r="B138" s="65"/>
      <c r="C138" s="66"/>
      <c r="D138" s="66"/>
      <c r="E138" s="67"/>
      <c r="F138" s="68"/>
      <c r="G138" s="68"/>
      <c r="H138" s="66"/>
      <c r="I138" s="67"/>
      <c r="J138" s="67"/>
      <c r="K138" s="67"/>
      <c r="L138" s="66"/>
      <c r="M138" s="68"/>
      <c r="N138" s="66"/>
      <c r="O138" s="69"/>
      <c r="P138" s="67"/>
      <c r="Q138" s="69"/>
      <c r="R138" s="69"/>
      <c r="S138" s="68"/>
    </row>
    <row r="139" spans="1:19" ht="27" x14ac:dyDescent="0.4">
      <c r="A139" s="65"/>
      <c r="B139" s="65"/>
      <c r="C139" s="66"/>
      <c r="D139" s="66"/>
      <c r="E139" s="67"/>
      <c r="F139" s="68"/>
      <c r="G139" s="68"/>
      <c r="H139" s="66"/>
      <c r="I139" s="67"/>
      <c r="J139" s="67"/>
      <c r="K139" s="67"/>
      <c r="L139" s="66"/>
      <c r="M139" s="68"/>
      <c r="N139" s="66"/>
      <c r="O139" s="69"/>
      <c r="P139" s="67"/>
      <c r="Q139" s="69"/>
      <c r="R139" s="69"/>
      <c r="S139" s="68"/>
    </row>
    <row r="140" spans="1:19" ht="27" x14ac:dyDescent="0.4">
      <c r="A140" s="65"/>
      <c r="B140" s="65"/>
      <c r="C140" s="66"/>
      <c r="D140" s="66"/>
      <c r="E140" s="67"/>
      <c r="F140" s="68"/>
      <c r="G140" s="68"/>
      <c r="H140" s="66"/>
      <c r="I140" s="67"/>
      <c r="J140" s="67"/>
      <c r="K140" s="67"/>
      <c r="L140" s="66"/>
      <c r="M140" s="68"/>
      <c r="N140" s="66"/>
      <c r="O140" s="69"/>
      <c r="P140" s="67"/>
      <c r="Q140" s="69"/>
      <c r="R140" s="69"/>
      <c r="S140" s="68"/>
    </row>
    <row r="141" spans="1:19" ht="27" x14ac:dyDescent="0.4">
      <c r="A141" s="65"/>
      <c r="B141" s="65"/>
      <c r="C141" s="66"/>
      <c r="D141" s="66"/>
      <c r="E141" s="67"/>
      <c r="F141" s="68"/>
      <c r="G141" s="68"/>
      <c r="H141" s="66"/>
      <c r="I141" s="67"/>
      <c r="J141" s="67"/>
      <c r="K141" s="67"/>
      <c r="L141" s="66"/>
      <c r="M141" s="68"/>
      <c r="N141" s="66"/>
      <c r="O141" s="69"/>
      <c r="P141" s="67"/>
      <c r="Q141" s="69"/>
      <c r="R141" s="69"/>
      <c r="S141" s="68"/>
    </row>
    <row r="142" spans="1:19" ht="27" x14ac:dyDescent="0.4">
      <c r="A142" s="65"/>
      <c r="B142" s="65"/>
      <c r="C142" s="66"/>
      <c r="D142" s="66"/>
      <c r="E142" s="67"/>
      <c r="F142" s="68"/>
      <c r="G142" s="68"/>
      <c r="H142" s="66"/>
      <c r="I142" s="67"/>
      <c r="J142" s="67"/>
      <c r="K142" s="67"/>
      <c r="L142" s="66"/>
      <c r="M142" s="68"/>
      <c r="N142" s="66"/>
      <c r="O142" s="69"/>
      <c r="P142" s="67"/>
      <c r="Q142" s="69"/>
      <c r="R142" s="69"/>
      <c r="S142" s="70"/>
    </row>
    <row r="143" spans="1:19" ht="27" x14ac:dyDescent="0.4">
      <c r="A143" s="65"/>
      <c r="B143" s="65"/>
      <c r="C143" s="66"/>
      <c r="D143" s="66"/>
      <c r="E143" s="67"/>
      <c r="F143" s="68"/>
      <c r="G143" s="68"/>
      <c r="H143" s="66"/>
      <c r="I143" s="67"/>
      <c r="J143" s="67"/>
      <c r="K143" s="67"/>
      <c r="L143" s="66"/>
      <c r="M143" s="68"/>
      <c r="N143" s="66"/>
      <c r="O143" s="69"/>
      <c r="P143" s="67"/>
      <c r="Q143" s="69"/>
      <c r="R143" s="69"/>
      <c r="S143" s="70"/>
    </row>
    <row r="144" spans="1:19" ht="27" x14ac:dyDescent="0.4">
      <c r="A144" s="65"/>
      <c r="B144" s="65"/>
      <c r="C144" s="66"/>
      <c r="D144" s="66"/>
      <c r="E144" s="67"/>
      <c r="F144" s="68"/>
      <c r="G144" s="68"/>
      <c r="H144" s="66"/>
      <c r="I144" s="67"/>
      <c r="J144" s="67"/>
      <c r="K144" s="67"/>
      <c r="L144" s="66"/>
      <c r="M144" s="68"/>
      <c r="N144" s="66"/>
      <c r="O144" s="69"/>
      <c r="P144" s="67"/>
      <c r="Q144" s="69"/>
      <c r="R144" s="69"/>
      <c r="S144" s="68"/>
    </row>
    <row r="145" spans="1:19" ht="27" x14ac:dyDescent="0.4">
      <c r="A145" s="65"/>
      <c r="B145" s="65"/>
      <c r="C145" s="66"/>
      <c r="D145" s="66"/>
      <c r="E145" s="67"/>
      <c r="F145" s="68"/>
      <c r="G145" s="68"/>
      <c r="H145" s="66"/>
      <c r="I145" s="67"/>
      <c r="J145" s="67"/>
      <c r="K145" s="67"/>
      <c r="L145" s="66"/>
      <c r="M145" s="68"/>
      <c r="N145" s="66"/>
      <c r="O145" s="69"/>
      <c r="P145" s="67"/>
      <c r="Q145" s="69"/>
      <c r="R145" s="69"/>
      <c r="S145" s="68"/>
    </row>
    <row r="146" spans="1:19" ht="27" x14ac:dyDescent="0.4">
      <c r="A146" s="65"/>
      <c r="B146" s="65"/>
      <c r="C146" s="66"/>
      <c r="D146" s="66"/>
      <c r="E146" s="67"/>
      <c r="F146" s="68"/>
      <c r="G146" s="68"/>
      <c r="H146" s="66"/>
      <c r="I146" s="67"/>
      <c r="J146" s="67"/>
      <c r="K146" s="67"/>
      <c r="L146" s="66"/>
      <c r="M146" s="68"/>
      <c r="N146" s="66"/>
      <c r="O146" s="69"/>
      <c r="P146" s="67"/>
      <c r="Q146" s="69"/>
      <c r="R146" s="69"/>
      <c r="S146" s="68"/>
    </row>
    <row r="147" spans="1:19" ht="27" x14ac:dyDescent="0.4">
      <c r="A147" s="65"/>
      <c r="B147" s="65"/>
      <c r="C147" s="66"/>
      <c r="D147" s="66"/>
      <c r="E147" s="67"/>
      <c r="F147" s="68"/>
      <c r="G147" s="68"/>
      <c r="H147" s="66"/>
      <c r="I147" s="67"/>
      <c r="J147" s="67"/>
      <c r="K147" s="67"/>
      <c r="L147" s="66"/>
      <c r="M147" s="68"/>
      <c r="N147" s="66"/>
      <c r="O147" s="69"/>
      <c r="P147" s="67"/>
      <c r="Q147" s="69"/>
      <c r="R147" s="69"/>
      <c r="S147" s="68"/>
    </row>
    <row r="148" spans="1:19" ht="27" x14ac:dyDescent="0.4">
      <c r="A148" s="65"/>
      <c r="B148" s="65"/>
      <c r="C148" s="66"/>
      <c r="D148" s="66"/>
      <c r="E148" s="67"/>
      <c r="F148" s="68"/>
      <c r="G148" s="68"/>
      <c r="H148" s="66"/>
      <c r="I148" s="67"/>
      <c r="J148" s="67"/>
      <c r="K148" s="67"/>
      <c r="L148" s="66"/>
      <c r="M148" s="68"/>
      <c r="N148" s="66"/>
      <c r="O148" s="69"/>
      <c r="P148" s="67"/>
      <c r="Q148" s="69"/>
      <c r="R148" s="69"/>
      <c r="S148" s="68"/>
    </row>
    <row r="149" spans="1:19" ht="27" x14ac:dyDescent="0.4">
      <c r="A149" s="65"/>
      <c r="B149" s="65"/>
      <c r="C149" s="66"/>
      <c r="D149" s="66"/>
      <c r="E149" s="67"/>
      <c r="F149" s="68"/>
      <c r="G149" s="68"/>
      <c r="H149" s="66"/>
      <c r="I149" s="67"/>
      <c r="J149" s="67"/>
      <c r="K149" s="67"/>
      <c r="L149" s="66"/>
      <c r="M149" s="68"/>
      <c r="N149" s="66"/>
      <c r="O149" s="69"/>
      <c r="P149" s="67"/>
      <c r="Q149" s="69"/>
      <c r="R149" s="69"/>
      <c r="S149" s="68"/>
    </row>
    <row r="150" spans="1:19" ht="27" x14ac:dyDescent="0.4">
      <c r="A150" s="65"/>
      <c r="B150" s="65"/>
      <c r="C150" s="66"/>
      <c r="D150" s="66"/>
      <c r="E150" s="67"/>
      <c r="F150" s="68"/>
      <c r="G150" s="68"/>
      <c r="H150" s="66"/>
      <c r="I150" s="67"/>
      <c r="J150" s="67"/>
      <c r="K150" s="67"/>
      <c r="L150" s="66"/>
      <c r="M150" s="68"/>
      <c r="N150" s="66"/>
      <c r="O150" s="69"/>
      <c r="P150" s="67"/>
      <c r="Q150" s="69"/>
      <c r="R150" s="69"/>
      <c r="S150" s="68"/>
    </row>
    <row r="151" spans="1:19" ht="27" x14ac:dyDescent="0.4">
      <c r="A151" s="65"/>
      <c r="B151" s="65"/>
      <c r="C151" s="66"/>
      <c r="D151" s="66"/>
      <c r="E151" s="67"/>
      <c r="F151" s="68"/>
      <c r="G151" s="68"/>
      <c r="H151" s="66"/>
      <c r="I151" s="67"/>
      <c r="J151" s="67"/>
      <c r="K151" s="67"/>
      <c r="L151" s="66"/>
      <c r="M151" s="68"/>
      <c r="N151" s="66"/>
      <c r="O151" s="69"/>
      <c r="P151" s="67"/>
      <c r="Q151" s="69"/>
      <c r="R151" s="69"/>
      <c r="S151" s="68"/>
    </row>
    <row r="152" spans="1:19" ht="27" x14ac:dyDescent="0.4">
      <c r="A152" s="65"/>
      <c r="B152" s="65"/>
      <c r="C152" s="66"/>
      <c r="D152" s="66"/>
      <c r="E152" s="67"/>
      <c r="F152" s="68"/>
      <c r="G152" s="68"/>
      <c r="H152" s="66"/>
      <c r="I152" s="67"/>
      <c r="J152" s="67"/>
      <c r="K152" s="67"/>
      <c r="L152" s="66"/>
      <c r="M152" s="68"/>
      <c r="N152" s="66"/>
      <c r="O152" s="69"/>
      <c r="P152" s="67"/>
      <c r="Q152" s="69"/>
      <c r="R152" s="69"/>
      <c r="S152" s="68"/>
    </row>
    <row r="153" spans="1:19" ht="27" x14ac:dyDescent="0.4">
      <c r="A153" s="65"/>
      <c r="B153" s="65"/>
      <c r="C153" s="66"/>
      <c r="D153" s="66"/>
      <c r="E153" s="67"/>
      <c r="F153" s="68"/>
      <c r="G153" s="68"/>
      <c r="H153" s="66"/>
      <c r="I153" s="67"/>
      <c r="J153" s="67"/>
      <c r="K153" s="67"/>
      <c r="L153" s="66"/>
      <c r="M153" s="68"/>
      <c r="N153" s="66"/>
      <c r="O153" s="69"/>
      <c r="P153" s="67"/>
      <c r="Q153" s="69"/>
      <c r="R153" s="69"/>
      <c r="S153" s="68"/>
    </row>
    <row r="154" spans="1:19" ht="27" x14ac:dyDescent="0.4">
      <c r="A154" s="65"/>
      <c r="B154" s="65"/>
      <c r="C154" s="66"/>
      <c r="D154" s="66"/>
      <c r="E154" s="67"/>
      <c r="F154" s="68"/>
      <c r="G154" s="68"/>
      <c r="H154" s="66"/>
      <c r="I154" s="67"/>
      <c r="J154" s="67"/>
      <c r="K154" s="67"/>
      <c r="L154" s="66"/>
      <c r="M154" s="68"/>
      <c r="N154" s="66"/>
      <c r="O154" s="69"/>
      <c r="P154" s="67"/>
      <c r="Q154" s="69"/>
      <c r="R154" s="69"/>
      <c r="S154" s="68"/>
    </row>
    <row r="155" spans="1:19" ht="27" x14ac:dyDescent="0.4">
      <c r="A155" s="65"/>
      <c r="B155" s="65"/>
      <c r="C155" s="66"/>
      <c r="D155" s="66"/>
      <c r="E155" s="67"/>
      <c r="F155" s="68"/>
      <c r="G155" s="68"/>
      <c r="H155" s="66"/>
      <c r="I155" s="67"/>
      <c r="J155" s="67"/>
      <c r="K155" s="67"/>
      <c r="L155" s="66"/>
      <c r="M155" s="68"/>
      <c r="N155" s="66"/>
      <c r="O155" s="69"/>
      <c r="P155" s="67"/>
      <c r="Q155" s="69"/>
      <c r="R155" s="69"/>
      <c r="S155" s="68"/>
    </row>
    <row r="156" spans="1:19" ht="27" x14ac:dyDescent="0.4">
      <c r="A156" s="65"/>
      <c r="B156" s="65"/>
      <c r="C156" s="66"/>
      <c r="D156" s="66"/>
      <c r="E156" s="67"/>
      <c r="F156" s="68"/>
      <c r="G156" s="68"/>
      <c r="H156" s="66"/>
      <c r="I156" s="67"/>
      <c r="J156" s="67"/>
      <c r="K156" s="67"/>
      <c r="L156" s="66"/>
      <c r="M156" s="68"/>
      <c r="N156" s="66"/>
      <c r="O156" s="69"/>
      <c r="P156" s="67"/>
      <c r="Q156" s="69"/>
      <c r="R156" s="69"/>
      <c r="S156" s="68"/>
    </row>
    <row r="157" spans="1:19" ht="27" x14ac:dyDescent="0.4">
      <c r="A157" s="65"/>
      <c r="B157" s="65"/>
      <c r="C157" s="66"/>
      <c r="D157" s="66"/>
      <c r="E157" s="67"/>
      <c r="F157" s="68"/>
      <c r="G157" s="68"/>
      <c r="H157" s="66"/>
      <c r="I157" s="67"/>
      <c r="J157" s="67"/>
      <c r="K157" s="67"/>
      <c r="L157" s="66"/>
      <c r="M157" s="68"/>
      <c r="N157" s="66"/>
      <c r="O157" s="69"/>
      <c r="P157" s="67"/>
      <c r="Q157" s="69"/>
      <c r="R157" s="69"/>
      <c r="S157" s="68"/>
    </row>
    <row r="158" spans="1:19" ht="27" x14ac:dyDescent="0.4">
      <c r="A158" s="65"/>
      <c r="B158" s="65"/>
      <c r="C158" s="66"/>
      <c r="D158" s="66"/>
      <c r="E158" s="67"/>
      <c r="F158" s="68"/>
      <c r="G158" s="68"/>
      <c r="H158" s="66"/>
      <c r="I158" s="67"/>
      <c r="J158" s="67"/>
      <c r="K158" s="67"/>
      <c r="L158" s="66"/>
      <c r="M158" s="68"/>
      <c r="N158" s="66"/>
      <c r="O158" s="69"/>
      <c r="P158" s="67"/>
      <c r="Q158" s="69"/>
      <c r="R158" s="69"/>
      <c r="S158" s="68"/>
    </row>
    <row r="159" spans="1:19" ht="27" x14ac:dyDescent="0.4">
      <c r="A159" s="65"/>
      <c r="B159" s="65"/>
      <c r="C159" s="66"/>
      <c r="D159" s="66"/>
      <c r="E159" s="67"/>
      <c r="F159" s="68"/>
      <c r="G159" s="68"/>
      <c r="H159" s="66"/>
      <c r="I159" s="67"/>
      <c r="J159" s="67"/>
      <c r="K159" s="67"/>
      <c r="L159" s="66"/>
      <c r="M159" s="68"/>
      <c r="N159" s="66"/>
      <c r="O159" s="69"/>
      <c r="P159" s="67"/>
      <c r="Q159" s="69"/>
      <c r="R159" s="69"/>
      <c r="S159" s="68"/>
    </row>
    <row r="160" spans="1:19" ht="27" x14ac:dyDescent="0.4">
      <c r="A160" s="65"/>
      <c r="B160" s="65"/>
      <c r="C160" s="66"/>
      <c r="D160" s="66"/>
      <c r="E160" s="67"/>
      <c r="F160" s="68"/>
      <c r="G160" s="68"/>
      <c r="H160" s="66"/>
      <c r="I160" s="67"/>
      <c r="J160" s="67"/>
      <c r="K160" s="67"/>
      <c r="L160" s="66"/>
      <c r="M160" s="68"/>
      <c r="N160" s="66"/>
      <c r="O160" s="69"/>
      <c r="P160" s="67"/>
      <c r="Q160" s="69"/>
      <c r="R160" s="69"/>
      <c r="S160" s="68"/>
    </row>
    <row r="161" spans="1:19" ht="27" x14ac:dyDescent="0.4">
      <c r="A161" s="65"/>
      <c r="B161" s="65"/>
      <c r="C161" s="66"/>
      <c r="D161" s="66"/>
      <c r="E161" s="67"/>
      <c r="F161" s="68"/>
      <c r="G161" s="68"/>
      <c r="H161" s="66"/>
      <c r="I161" s="67"/>
      <c r="J161" s="67"/>
      <c r="K161" s="67"/>
      <c r="L161" s="66"/>
      <c r="M161" s="68"/>
      <c r="N161" s="66"/>
      <c r="O161" s="69"/>
      <c r="P161" s="67"/>
      <c r="Q161" s="69"/>
      <c r="R161" s="69"/>
      <c r="S161" s="68"/>
    </row>
    <row r="162" spans="1:19" ht="27" x14ac:dyDescent="0.4">
      <c r="A162" s="65"/>
      <c r="B162" s="65"/>
      <c r="C162" s="66"/>
      <c r="D162" s="66"/>
      <c r="E162" s="67"/>
      <c r="F162" s="68"/>
      <c r="G162" s="68"/>
      <c r="H162" s="66"/>
      <c r="I162" s="67"/>
      <c r="J162" s="67"/>
      <c r="K162" s="67"/>
      <c r="L162" s="66"/>
      <c r="M162" s="68"/>
      <c r="N162" s="66"/>
      <c r="O162" s="69"/>
      <c r="P162" s="67"/>
      <c r="Q162" s="69"/>
      <c r="R162" s="69"/>
      <c r="S162" s="68"/>
    </row>
    <row r="163" spans="1:19" ht="27" x14ac:dyDescent="0.4">
      <c r="A163" s="65"/>
      <c r="B163" s="65"/>
      <c r="C163" s="66"/>
      <c r="D163" s="66"/>
      <c r="E163" s="67"/>
      <c r="F163" s="68"/>
      <c r="G163" s="68"/>
      <c r="H163" s="66"/>
      <c r="I163" s="67"/>
      <c r="J163" s="67"/>
      <c r="K163" s="67"/>
      <c r="L163" s="66"/>
      <c r="M163" s="68"/>
      <c r="N163" s="66"/>
      <c r="O163" s="69"/>
      <c r="P163" s="67"/>
      <c r="Q163" s="69"/>
      <c r="R163" s="69"/>
      <c r="S163" s="68"/>
    </row>
    <row r="164" spans="1:19" ht="27" x14ac:dyDescent="0.4">
      <c r="A164" s="65"/>
      <c r="B164" s="65"/>
      <c r="C164" s="66"/>
      <c r="D164" s="66"/>
      <c r="E164" s="67"/>
      <c r="F164" s="68"/>
      <c r="G164" s="68"/>
      <c r="H164" s="66"/>
      <c r="I164" s="67"/>
      <c r="J164" s="67"/>
      <c r="K164" s="67"/>
      <c r="L164" s="66"/>
      <c r="M164" s="68"/>
      <c r="N164" s="66"/>
      <c r="O164" s="69"/>
      <c r="P164" s="67"/>
      <c r="Q164" s="69"/>
      <c r="R164" s="69"/>
      <c r="S164" s="68"/>
    </row>
    <row r="165" spans="1:19" ht="27" x14ac:dyDescent="0.4">
      <c r="A165" s="65"/>
      <c r="B165" s="65"/>
      <c r="C165" s="66"/>
      <c r="D165" s="66"/>
      <c r="E165" s="67"/>
      <c r="F165" s="68"/>
      <c r="G165" s="68"/>
      <c r="H165" s="66"/>
      <c r="I165" s="67"/>
      <c r="J165" s="67"/>
      <c r="K165" s="67"/>
      <c r="L165" s="66"/>
      <c r="M165" s="68"/>
      <c r="N165" s="66"/>
      <c r="O165" s="69"/>
      <c r="P165" s="67"/>
      <c r="Q165" s="69"/>
      <c r="R165" s="69"/>
      <c r="S165" s="68"/>
    </row>
    <row r="166" spans="1:19" ht="27" x14ac:dyDescent="0.4">
      <c r="A166" s="65"/>
      <c r="B166" s="65"/>
      <c r="C166" s="66"/>
      <c r="D166" s="66"/>
      <c r="E166" s="67"/>
      <c r="F166" s="68"/>
      <c r="G166" s="68"/>
      <c r="H166" s="66"/>
      <c r="I166" s="67"/>
      <c r="J166" s="67"/>
      <c r="K166" s="67"/>
      <c r="L166" s="66"/>
      <c r="M166" s="68"/>
      <c r="N166" s="66"/>
      <c r="O166" s="69"/>
      <c r="P166" s="67"/>
      <c r="Q166" s="69"/>
      <c r="R166" s="69"/>
      <c r="S166" s="68"/>
    </row>
    <row r="167" spans="1:19" ht="27" x14ac:dyDescent="0.4">
      <c r="A167" s="65"/>
      <c r="B167" s="65"/>
      <c r="C167" s="66"/>
      <c r="D167" s="66"/>
      <c r="E167" s="67"/>
      <c r="F167" s="68"/>
      <c r="G167" s="68"/>
      <c r="H167" s="66"/>
      <c r="I167" s="67"/>
      <c r="J167" s="67"/>
      <c r="K167" s="67"/>
      <c r="L167" s="66"/>
      <c r="M167" s="68"/>
      <c r="N167" s="66"/>
      <c r="O167" s="69"/>
      <c r="P167" s="67"/>
      <c r="Q167" s="69"/>
      <c r="R167" s="69"/>
      <c r="S167" s="68"/>
    </row>
    <row r="168" spans="1:19" ht="27" x14ac:dyDescent="0.4">
      <c r="A168" s="65"/>
      <c r="B168" s="65"/>
      <c r="C168" s="66"/>
      <c r="D168" s="66"/>
      <c r="E168" s="67"/>
      <c r="F168" s="68"/>
      <c r="G168" s="68"/>
      <c r="H168" s="66"/>
      <c r="I168" s="67"/>
      <c r="J168" s="67"/>
      <c r="K168" s="67"/>
      <c r="L168" s="66"/>
      <c r="M168" s="68"/>
      <c r="N168" s="66"/>
      <c r="O168" s="69"/>
      <c r="P168" s="67"/>
      <c r="Q168" s="69"/>
      <c r="R168" s="69"/>
      <c r="S168" s="70"/>
    </row>
    <row r="169" spans="1:19" ht="27" x14ac:dyDescent="0.4">
      <c r="A169" s="65"/>
      <c r="B169" s="65"/>
      <c r="C169" s="66"/>
      <c r="D169" s="66"/>
      <c r="E169" s="67"/>
      <c r="F169" s="68"/>
      <c r="G169" s="68"/>
      <c r="H169" s="66"/>
      <c r="I169" s="67"/>
      <c r="J169" s="67"/>
      <c r="K169" s="67"/>
      <c r="L169" s="66"/>
      <c r="M169" s="68"/>
      <c r="N169" s="66"/>
      <c r="O169" s="69"/>
      <c r="P169" s="67"/>
      <c r="Q169" s="69"/>
      <c r="R169" s="69"/>
      <c r="S169" s="70"/>
    </row>
    <row r="170" spans="1:19" ht="27" x14ac:dyDescent="0.4">
      <c r="A170" s="65"/>
      <c r="B170" s="65"/>
      <c r="C170" s="66"/>
      <c r="D170" s="66"/>
      <c r="E170" s="67"/>
      <c r="F170" s="68"/>
      <c r="G170" s="68"/>
      <c r="H170" s="66"/>
      <c r="I170" s="67"/>
      <c r="J170" s="67"/>
      <c r="K170" s="67"/>
      <c r="L170" s="66"/>
      <c r="M170" s="68"/>
      <c r="N170" s="66"/>
      <c r="O170" s="69"/>
      <c r="P170" s="67"/>
      <c r="Q170" s="69"/>
      <c r="R170" s="69"/>
      <c r="S170" s="70"/>
    </row>
    <row r="171" spans="1:19" ht="27" x14ac:dyDescent="0.4">
      <c r="A171" s="65"/>
      <c r="B171" s="65"/>
      <c r="C171" s="66"/>
      <c r="D171" s="66"/>
      <c r="E171" s="67"/>
      <c r="F171" s="68"/>
      <c r="G171" s="68"/>
      <c r="H171" s="66"/>
      <c r="I171" s="67"/>
      <c r="J171" s="67"/>
      <c r="K171" s="67"/>
      <c r="L171" s="66"/>
      <c r="M171" s="68"/>
      <c r="N171" s="66"/>
      <c r="O171" s="69"/>
      <c r="P171" s="67"/>
      <c r="Q171" s="69"/>
      <c r="R171" s="69"/>
      <c r="S171" s="70"/>
    </row>
    <row r="172" spans="1:19" ht="27" x14ac:dyDescent="0.4">
      <c r="A172" s="65"/>
      <c r="B172" s="65"/>
      <c r="C172" s="66"/>
      <c r="D172" s="66"/>
      <c r="E172" s="67"/>
      <c r="F172" s="68"/>
      <c r="G172" s="68"/>
      <c r="H172" s="66"/>
      <c r="I172" s="67"/>
      <c r="J172" s="67"/>
      <c r="K172" s="67"/>
      <c r="L172" s="66"/>
      <c r="M172" s="68"/>
      <c r="N172" s="66"/>
      <c r="O172" s="69"/>
      <c r="P172" s="67"/>
      <c r="Q172" s="69"/>
      <c r="R172" s="69"/>
      <c r="S172" s="70"/>
    </row>
    <row r="173" spans="1:19" ht="27" x14ac:dyDescent="0.4">
      <c r="A173" s="65"/>
      <c r="B173" s="65"/>
      <c r="C173" s="66"/>
      <c r="D173" s="66"/>
      <c r="E173" s="67"/>
      <c r="F173" s="68"/>
      <c r="G173" s="68"/>
      <c r="H173" s="66"/>
      <c r="I173" s="67"/>
      <c r="J173" s="67"/>
      <c r="K173" s="67"/>
      <c r="L173" s="66"/>
      <c r="M173" s="68"/>
      <c r="N173" s="66"/>
      <c r="O173" s="69"/>
      <c r="P173" s="67"/>
      <c r="Q173" s="69"/>
      <c r="R173" s="69"/>
      <c r="S173" s="70"/>
    </row>
    <row r="174" spans="1:19" ht="27" x14ac:dyDescent="0.4">
      <c r="A174" s="65"/>
      <c r="B174" s="65"/>
      <c r="C174" s="66"/>
      <c r="D174" s="66"/>
      <c r="E174" s="67"/>
      <c r="F174" s="68"/>
      <c r="G174" s="68"/>
      <c r="H174" s="66"/>
      <c r="I174" s="67"/>
      <c r="J174" s="67"/>
      <c r="K174" s="67"/>
      <c r="L174" s="66"/>
      <c r="M174" s="68"/>
      <c r="N174" s="66"/>
      <c r="O174" s="69"/>
      <c r="P174" s="67"/>
      <c r="Q174" s="69"/>
      <c r="R174" s="69"/>
      <c r="S174" s="70"/>
    </row>
    <row r="175" spans="1:19" ht="27" x14ac:dyDescent="0.4">
      <c r="A175" s="65"/>
      <c r="B175" s="65"/>
      <c r="C175" s="66"/>
      <c r="D175" s="66"/>
      <c r="E175" s="67"/>
      <c r="F175" s="68"/>
      <c r="G175" s="68"/>
      <c r="H175" s="66"/>
      <c r="I175" s="67"/>
      <c r="J175" s="67"/>
      <c r="K175" s="67"/>
      <c r="L175" s="66"/>
      <c r="M175" s="68"/>
      <c r="N175" s="66"/>
      <c r="O175" s="69"/>
      <c r="P175" s="67"/>
      <c r="Q175" s="69"/>
      <c r="R175" s="69"/>
      <c r="S175" s="70"/>
    </row>
    <row r="176" spans="1:19" ht="27" x14ac:dyDescent="0.4">
      <c r="A176" s="65"/>
      <c r="B176" s="65"/>
      <c r="C176" s="66"/>
      <c r="D176" s="66"/>
      <c r="E176" s="67"/>
      <c r="F176" s="68"/>
      <c r="G176" s="68"/>
      <c r="H176" s="66"/>
      <c r="I176" s="67"/>
      <c r="J176" s="67"/>
      <c r="K176" s="67"/>
      <c r="L176" s="66"/>
      <c r="M176" s="68"/>
      <c r="N176" s="66"/>
      <c r="O176" s="69"/>
      <c r="P176" s="67"/>
      <c r="Q176" s="69"/>
      <c r="R176" s="69"/>
      <c r="S176" s="70"/>
    </row>
    <row r="177" spans="1:25" ht="27" x14ac:dyDescent="0.4">
      <c r="A177" s="65"/>
      <c r="B177" s="65"/>
      <c r="C177" s="66"/>
      <c r="D177" s="66"/>
      <c r="E177" s="67"/>
      <c r="F177" s="68"/>
      <c r="G177" s="68"/>
      <c r="H177" s="66"/>
      <c r="I177" s="67"/>
      <c r="J177" s="67"/>
      <c r="K177" s="67"/>
      <c r="L177" s="66"/>
      <c r="M177" s="68"/>
      <c r="N177" s="66"/>
      <c r="O177" s="69"/>
      <c r="P177" s="67"/>
      <c r="Q177" s="69"/>
      <c r="R177" s="69"/>
      <c r="S177" s="70"/>
    </row>
    <row r="178" spans="1:25" ht="27" x14ac:dyDescent="0.4">
      <c r="A178" s="65"/>
      <c r="B178" s="65"/>
      <c r="C178" s="66"/>
      <c r="D178" s="66"/>
      <c r="E178" s="67"/>
      <c r="F178" s="68"/>
      <c r="G178" s="68"/>
      <c r="H178" s="66"/>
      <c r="I178" s="67"/>
      <c r="J178" s="67"/>
      <c r="K178" s="67"/>
      <c r="L178" s="66"/>
      <c r="M178" s="68"/>
      <c r="N178" s="66"/>
      <c r="O178" s="69"/>
      <c r="P178" s="67"/>
      <c r="Q178" s="69"/>
      <c r="R178" s="69"/>
      <c r="S178" s="70"/>
    </row>
    <row r="179" spans="1:25" ht="27" x14ac:dyDescent="0.4">
      <c r="A179" s="65"/>
      <c r="B179" s="65"/>
      <c r="C179" s="66"/>
      <c r="D179" s="66"/>
      <c r="E179" s="67"/>
      <c r="F179" s="68"/>
      <c r="G179" s="68"/>
      <c r="H179" s="66"/>
      <c r="I179" s="67"/>
      <c r="J179" s="67"/>
      <c r="K179" s="67"/>
      <c r="L179" s="66"/>
      <c r="M179" s="68"/>
      <c r="N179" s="66"/>
      <c r="O179" s="69"/>
      <c r="P179" s="67"/>
      <c r="Q179" s="69"/>
      <c r="R179" s="69"/>
      <c r="S179" s="70"/>
    </row>
    <row r="180" spans="1:25" ht="33" x14ac:dyDescent="0.4">
      <c r="A180" s="65"/>
      <c r="B180" s="65"/>
      <c r="C180" s="66"/>
      <c r="D180" s="66"/>
      <c r="E180" s="67"/>
      <c r="F180" s="68"/>
      <c r="G180" s="68"/>
      <c r="H180" s="66"/>
      <c r="I180" s="67"/>
      <c r="J180" s="67"/>
      <c r="K180" s="67"/>
      <c r="L180" s="66"/>
      <c r="M180" s="68"/>
      <c r="N180" s="66"/>
      <c r="O180" s="69"/>
      <c r="P180" s="67"/>
      <c r="Q180" s="69"/>
      <c r="R180" s="69"/>
      <c r="S180" s="70"/>
      <c r="U180" s="53"/>
      <c r="V180" s="53"/>
      <c r="W180" s="54"/>
      <c r="X180" s="54"/>
      <c r="Y180" s="55"/>
    </row>
    <row r="181" spans="1:25" ht="33" x14ac:dyDescent="0.4">
      <c r="A181" s="65"/>
      <c r="B181" s="65"/>
      <c r="C181" s="66"/>
      <c r="D181" s="66"/>
      <c r="E181" s="67"/>
      <c r="F181" s="68"/>
      <c r="G181" s="68"/>
      <c r="H181" s="66"/>
      <c r="I181" s="67"/>
      <c r="J181" s="67"/>
      <c r="K181" s="67"/>
      <c r="L181" s="66"/>
      <c r="M181" s="68"/>
      <c r="N181" s="66"/>
      <c r="O181" s="69"/>
      <c r="P181" s="67"/>
      <c r="Q181" s="69"/>
      <c r="R181" s="69"/>
      <c r="S181" s="70"/>
      <c r="U181" s="53"/>
      <c r="V181" s="53"/>
      <c r="W181" s="54"/>
      <c r="X181" s="54"/>
      <c r="Y181" s="55"/>
    </row>
    <row r="182" spans="1:25" ht="33" x14ac:dyDescent="0.4">
      <c r="A182" s="65"/>
      <c r="B182" s="65"/>
      <c r="C182" s="66"/>
      <c r="D182" s="66"/>
      <c r="E182" s="67"/>
      <c r="F182" s="68"/>
      <c r="G182" s="68"/>
      <c r="H182" s="66"/>
      <c r="I182" s="67"/>
      <c r="J182" s="67"/>
      <c r="K182" s="67"/>
      <c r="L182" s="66"/>
      <c r="M182" s="68"/>
      <c r="N182" s="66"/>
      <c r="O182" s="69"/>
      <c r="P182" s="67"/>
      <c r="Q182" s="69"/>
      <c r="R182" s="69"/>
      <c r="S182" s="68"/>
      <c r="U182" s="53"/>
      <c r="V182" s="53"/>
      <c r="W182" s="54"/>
      <c r="X182" s="54"/>
      <c r="Y182" s="55"/>
    </row>
    <row r="183" spans="1:25" ht="33" x14ac:dyDescent="0.4">
      <c r="A183" s="65"/>
      <c r="B183" s="65"/>
      <c r="C183" s="66"/>
      <c r="D183" s="66"/>
      <c r="E183" s="67"/>
      <c r="F183" s="68"/>
      <c r="G183" s="68"/>
      <c r="H183" s="66"/>
      <c r="I183" s="67"/>
      <c r="J183" s="67"/>
      <c r="K183" s="67"/>
      <c r="L183" s="66"/>
      <c r="M183" s="68"/>
      <c r="N183" s="66"/>
      <c r="O183" s="69"/>
      <c r="P183" s="67"/>
      <c r="Q183" s="69"/>
      <c r="R183" s="69"/>
      <c r="S183" s="70"/>
      <c r="U183" s="53"/>
      <c r="V183" s="53"/>
      <c r="W183" s="54"/>
      <c r="X183" s="54"/>
      <c r="Y183" s="55"/>
    </row>
    <row r="184" spans="1:25" ht="33" x14ac:dyDescent="0.4">
      <c r="A184" s="65"/>
      <c r="B184" s="65"/>
      <c r="C184" s="66"/>
      <c r="D184" s="66"/>
      <c r="E184" s="67"/>
      <c r="F184" s="68"/>
      <c r="G184" s="68"/>
      <c r="H184" s="66"/>
      <c r="I184" s="67"/>
      <c r="J184" s="67"/>
      <c r="K184" s="67"/>
      <c r="L184" s="66"/>
      <c r="M184" s="68"/>
      <c r="N184" s="66"/>
      <c r="O184" s="69"/>
      <c r="P184" s="67"/>
      <c r="Q184" s="69"/>
      <c r="R184" s="69"/>
      <c r="S184" s="70"/>
      <c r="U184" s="53"/>
      <c r="V184" s="53"/>
      <c r="W184" s="54"/>
      <c r="X184" s="54"/>
      <c r="Y184" s="55"/>
    </row>
    <row r="185" spans="1:25" ht="30.75" x14ac:dyDescent="0.4">
      <c r="A185" s="65"/>
      <c r="B185" s="65"/>
      <c r="C185" s="66"/>
      <c r="D185" s="66"/>
      <c r="E185" s="67"/>
      <c r="F185" s="68"/>
      <c r="G185" s="68"/>
      <c r="H185" s="66"/>
      <c r="I185" s="67"/>
      <c r="J185" s="67"/>
      <c r="K185" s="67"/>
      <c r="L185" s="66"/>
      <c r="M185" s="68"/>
      <c r="N185" s="66"/>
      <c r="O185" s="69"/>
      <c r="P185" s="67"/>
      <c r="Q185" s="69"/>
      <c r="R185" s="69"/>
      <c r="S185" s="68"/>
      <c r="U185" s="56"/>
      <c r="V185" s="56"/>
      <c r="W185" s="54"/>
      <c r="X185" s="54"/>
      <c r="Y185" s="55"/>
    </row>
    <row r="186" spans="1:25" ht="27" x14ac:dyDescent="0.4">
      <c r="A186" s="65"/>
      <c r="B186" s="65"/>
      <c r="C186" s="66"/>
      <c r="D186" s="66"/>
      <c r="E186" s="67"/>
      <c r="F186" s="68"/>
      <c r="G186" s="68"/>
      <c r="H186" s="66"/>
      <c r="I186" s="67"/>
      <c r="J186" s="67"/>
      <c r="K186" s="67"/>
      <c r="L186" s="66"/>
      <c r="M186" s="68"/>
      <c r="N186" s="66"/>
      <c r="O186" s="69"/>
      <c r="P186" s="67"/>
      <c r="Q186" s="69"/>
      <c r="R186" s="69"/>
      <c r="S186" s="68"/>
    </row>
    <row r="187" spans="1:25" ht="27" x14ac:dyDescent="0.4">
      <c r="A187" s="65"/>
      <c r="B187" s="65"/>
      <c r="C187" s="66"/>
      <c r="D187" s="66"/>
      <c r="E187" s="67"/>
      <c r="F187" s="68"/>
      <c r="G187" s="68"/>
      <c r="H187" s="66"/>
      <c r="I187" s="67"/>
      <c r="J187" s="67"/>
      <c r="K187" s="67"/>
      <c r="L187" s="66"/>
      <c r="M187" s="68"/>
      <c r="N187" s="66"/>
      <c r="O187" s="69"/>
      <c r="P187" s="67"/>
      <c r="Q187" s="69"/>
      <c r="R187" s="69"/>
      <c r="S187" s="68"/>
    </row>
    <row r="188" spans="1:25" ht="27" x14ac:dyDescent="0.4">
      <c r="A188" s="65"/>
      <c r="B188" s="65"/>
      <c r="C188" s="66"/>
      <c r="D188" s="66"/>
      <c r="E188" s="67"/>
      <c r="F188" s="68"/>
      <c r="G188" s="68"/>
      <c r="H188" s="66"/>
      <c r="I188" s="67"/>
      <c r="J188" s="67"/>
      <c r="K188" s="67"/>
      <c r="L188" s="66"/>
      <c r="M188" s="68"/>
      <c r="N188" s="66"/>
      <c r="O188" s="69"/>
      <c r="P188" s="67"/>
      <c r="Q188" s="69"/>
      <c r="R188" s="69"/>
      <c r="S188" s="68"/>
    </row>
    <row r="189" spans="1:25" ht="27" x14ac:dyDescent="0.4">
      <c r="A189" s="65"/>
      <c r="B189" s="65"/>
      <c r="C189" s="66"/>
      <c r="D189" s="66"/>
      <c r="E189" s="67"/>
      <c r="F189" s="68"/>
      <c r="G189" s="68"/>
      <c r="H189" s="66"/>
      <c r="I189" s="67"/>
      <c r="J189" s="67"/>
      <c r="K189" s="67"/>
      <c r="L189" s="66"/>
      <c r="M189" s="68"/>
      <c r="N189" s="66"/>
      <c r="O189" s="69"/>
      <c r="P189" s="67"/>
      <c r="Q189" s="69"/>
      <c r="R189" s="69"/>
      <c r="S189" s="68"/>
    </row>
    <row r="190" spans="1:25" ht="27" x14ac:dyDescent="0.4">
      <c r="A190" s="65"/>
      <c r="B190" s="65"/>
      <c r="C190" s="66"/>
      <c r="D190" s="66"/>
      <c r="E190" s="67"/>
      <c r="F190" s="68"/>
      <c r="G190" s="68"/>
      <c r="H190" s="66"/>
      <c r="I190" s="67"/>
      <c r="J190" s="67"/>
      <c r="K190" s="67"/>
      <c r="L190" s="66"/>
      <c r="M190" s="68"/>
      <c r="N190" s="66"/>
      <c r="O190" s="69"/>
      <c r="P190" s="67"/>
      <c r="Q190" s="69"/>
      <c r="R190" s="69"/>
      <c r="S190" s="68"/>
    </row>
    <row r="191" spans="1:25" ht="27" x14ac:dyDescent="0.4">
      <c r="A191" s="65"/>
      <c r="B191" s="65"/>
      <c r="C191" s="66"/>
      <c r="D191" s="66"/>
      <c r="E191" s="67"/>
      <c r="F191" s="68"/>
      <c r="G191" s="68"/>
      <c r="H191" s="66"/>
      <c r="I191" s="67"/>
      <c r="J191" s="67"/>
      <c r="K191" s="67"/>
      <c r="L191" s="66"/>
      <c r="M191" s="68"/>
      <c r="N191" s="66"/>
      <c r="O191" s="69"/>
      <c r="P191" s="67"/>
      <c r="Q191" s="69"/>
      <c r="R191" s="69"/>
      <c r="S191" s="68"/>
    </row>
    <row r="192" spans="1:25" ht="27" x14ac:dyDescent="0.4">
      <c r="A192" s="65"/>
      <c r="B192" s="65"/>
      <c r="C192" s="66"/>
      <c r="D192" s="66"/>
      <c r="E192" s="67"/>
      <c r="F192" s="68"/>
      <c r="G192" s="68"/>
      <c r="H192" s="66"/>
      <c r="I192" s="67"/>
      <c r="J192" s="67"/>
      <c r="K192" s="67"/>
      <c r="L192" s="66"/>
      <c r="M192" s="68"/>
      <c r="N192" s="66"/>
      <c r="O192" s="69"/>
      <c r="P192" s="67"/>
      <c r="Q192" s="69"/>
      <c r="R192" s="69"/>
      <c r="S192" s="68"/>
    </row>
    <row r="193" spans="1:20" ht="27" x14ac:dyDescent="0.4">
      <c r="A193" s="65"/>
      <c r="B193" s="65"/>
      <c r="C193" s="66"/>
      <c r="D193" s="66"/>
      <c r="E193" s="67"/>
      <c r="F193" s="68"/>
      <c r="G193" s="68"/>
      <c r="H193" s="66"/>
      <c r="I193" s="67"/>
      <c r="J193" s="67"/>
      <c r="K193" s="67"/>
      <c r="L193" s="66"/>
      <c r="M193" s="68"/>
      <c r="N193" s="66"/>
      <c r="O193" s="69"/>
      <c r="P193" s="67"/>
      <c r="Q193" s="69"/>
      <c r="R193" s="69"/>
      <c r="S193" s="68"/>
    </row>
    <row r="194" spans="1:20" ht="27" x14ac:dyDescent="0.4">
      <c r="A194" s="65"/>
      <c r="B194" s="65"/>
      <c r="C194" s="66"/>
      <c r="D194" s="66"/>
      <c r="E194" s="67"/>
      <c r="F194" s="68"/>
      <c r="G194" s="68"/>
      <c r="H194" s="66"/>
      <c r="I194" s="67"/>
      <c r="J194" s="67"/>
      <c r="K194" s="67"/>
      <c r="L194" s="66"/>
      <c r="M194" s="68"/>
      <c r="N194" s="66"/>
      <c r="O194" s="69"/>
      <c r="P194" s="67"/>
      <c r="Q194" s="69"/>
      <c r="R194" s="69"/>
      <c r="S194" s="68"/>
      <c r="T194" s="16"/>
    </row>
    <row r="195" spans="1:20" ht="27" x14ac:dyDescent="0.4">
      <c r="A195" s="65"/>
      <c r="B195" s="65"/>
      <c r="C195" s="66"/>
      <c r="D195" s="66"/>
      <c r="E195" s="67"/>
      <c r="F195" s="68"/>
      <c r="G195" s="68"/>
      <c r="H195" s="66"/>
      <c r="I195" s="67"/>
      <c r="J195" s="67"/>
      <c r="K195" s="67"/>
      <c r="L195" s="66"/>
      <c r="M195" s="68"/>
      <c r="N195" s="66"/>
      <c r="O195" s="69"/>
      <c r="P195" s="67"/>
      <c r="Q195" s="69"/>
      <c r="R195" s="69"/>
      <c r="S195" s="68"/>
    </row>
    <row r="196" spans="1:20" ht="27" x14ac:dyDescent="0.4">
      <c r="A196" s="65"/>
      <c r="B196" s="65"/>
      <c r="C196" s="66"/>
      <c r="D196" s="66"/>
      <c r="E196" s="67"/>
      <c r="F196" s="68"/>
      <c r="G196" s="68"/>
      <c r="H196" s="66"/>
      <c r="I196" s="67"/>
      <c r="J196" s="67"/>
      <c r="K196" s="67"/>
      <c r="L196" s="66"/>
      <c r="M196" s="68"/>
      <c r="N196" s="66"/>
      <c r="O196" s="69"/>
      <c r="P196" s="67"/>
      <c r="Q196" s="69"/>
      <c r="R196" s="69"/>
      <c r="S196" s="68"/>
    </row>
    <row r="197" spans="1:20" ht="27" x14ac:dyDescent="0.4">
      <c r="A197" s="65"/>
      <c r="B197" s="65"/>
      <c r="C197" s="66"/>
      <c r="D197" s="66"/>
      <c r="E197" s="67"/>
      <c r="F197" s="68"/>
      <c r="G197" s="68"/>
      <c r="H197" s="66"/>
      <c r="I197" s="67"/>
      <c r="J197" s="67"/>
      <c r="K197" s="67"/>
      <c r="L197" s="66"/>
      <c r="M197" s="68"/>
      <c r="N197" s="66"/>
      <c r="O197" s="69"/>
      <c r="P197" s="67"/>
      <c r="Q197" s="69"/>
      <c r="R197" s="69"/>
      <c r="S197" s="68"/>
    </row>
    <row r="198" spans="1:20" ht="27" x14ac:dyDescent="0.4">
      <c r="A198" s="65"/>
      <c r="B198" s="65"/>
      <c r="C198" s="66"/>
      <c r="D198" s="66"/>
      <c r="E198" s="67"/>
      <c r="F198" s="68"/>
      <c r="G198" s="68"/>
      <c r="H198" s="66"/>
      <c r="I198" s="67"/>
      <c r="J198" s="67"/>
      <c r="K198" s="67"/>
      <c r="L198" s="66"/>
      <c r="M198" s="68"/>
      <c r="N198" s="66"/>
      <c r="O198" s="69"/>
      <c r="P198" s="67"/>
      <c r="Q198" s="69"/>
      <c r="R198" s="69"/>
      <c r="S198" s="68"/>
    </row>
    <row r="199" spans="1:20" ht="27" x14ac:dyDescent="0.4">
      <c r="A199" s="65"/>
      <c r="B199" s="65"/>
      <c r="C199" s="66"/>
      <c r="D199" s="66"/>
      <c r="E199" s="67"/>
      <c r="F199" s="68"/>
      <c r="G199" s="68"/>
      <c r="H199" s="66"/>
      <c r="I199" s="67"/>
      <c r="J199" s="67"/>
      <c r="K199" s="67"/>
      <c r="L199" s="66"/>
      <c r="M199" s="68"/>
      <c r="N199" s="66"/>
      <c r="O199" s="69"/>
      <c r="P199" s="67"/>
      <c r="Q199" s="69"/>
      <c r="R199" s="69"/>
      <c r="S199" s="68"/>
    </row>
    <row r="200" spans="1:20" ht="27" x14ac:dyDescent="0.4">
      <c r="A200" s="65"/>
      <c r="B200" s="65"/>
      <c r="C200" s="66"/>
      <c r="D200" s="66"/>
      <c r="E200" s="67"/>
      <c r="F200" s="68"/>
      <c r="G200" s="68"/>
      <c r="H200" s="66"/>
      <c r="I200" s="67"/>
      <c r="J200" s="67"/>
      <c r="K200" s="67"/>
      <c r="L200" s="66"/>
      <c r="M200" s="68"/>
      <c r="N200" s="66"/>
      <c r="O200" s="69"/>
      <c r="P200" s="67"/>
      <c r="Q200" s="69"/>
      <c r="R200" s="69"/>
      <c r="S200" s="68"/>
    </row>
    <row r="201" spans="1:20" ht="27" x14ac:dyDescent="0.4">
      <c r="A201" s="65"/>
      <c r="B201" s="65"/>
      <c r="C201" s="66"/>
      <c r="D201" s="66"/>
      <c r="E201" s="67"/>
      <c r="F201" s="68"/>
      <c r="G201" s="68"/>
      <c r="H201" s="66"/>
      <c r="I201" s="67"/>
      <c r="J201" s="67"/>
      <c r="K201" s="67"/>
      <c r="L201" s="66"/>
      <c r="M201" s="68"/>
      <c r="N201" s="66"/>
      <c r="O201" s="69"/>
      <c r="P201" s="67"/>
      <c r="Q201" s="69"/>
      <c r="R201" s="69"/>
      <c r="S201" s="68"/>
    </row>
    <row r="202" spans="1:20" ht="27" x14ac:dyDescent="0.4">
      <c r="A202" s="65"/>
      <c r="B202" s="65"/>
      <c r="C202" s="66"/>
      <c r="D202" s="66"/>
      <c r="E202" s="67"/>
      <c r="F202" s="68"/>
      <c r="G202" s="68"/>
      <c r="H202" s="66"/>
      <c r="I202" s="67"/>
      <c r="J202" s="67"/>
      <c r="K202" s="67"/>
      <c r="L202" s="66"/>
      <c r="M202" s="68"/>
      <c r="N202" s="66"/>
      <c r="O202" s="69"/>
      <c r="P202" s="67"/>
      <c r="Q202" s="69"/>
      <c r="R202" s="69"/>
      <c r="S202" s="68"/>
    </row>
    <row r="203" spans="1:20" ht="27" x14ac:dyDescent="0.4">
      <c r="A203" s="65"/>
      <c r="B203" s="65"/>
      <c r="C203" s="66"/>
      <c r="D203" s="66"/>
      <c r="E203" s="67"/>
      <c r="F203" s="68"/>
      <c r="G203" s="68"/>
      <c r="H203" s="66"/>
      <c r="I203" s="67"/>
      <c r="J203" s="67"/>
      <c r="K203" s="67"/>
      <c r="L203" s="66"/>
      <c r="M203" s="68"/>
      <c r="N203" s="66"/>
      <c r="O203" s="69"/>
      <c r="P203" s="67"/>
      <c r="Q203" s="69"/>
      <c r="R203" s="69"/>
      <c r="S203" s="68"/>
    </row>
    <row r="204" spans="1:20" ht="27" x14ac:dyDescent="0.4">
      <c r="A204" s="65"/>
      <c r="B204" s="65"/>
      <c r="C204" s="66"/>
      <c r="D204" s="66"/>
      <c r="E204" s="67"/>
      <c r="F204" s="68"/>
      <c r="G204" s="68"/>
      <c r="H204" s="66"/>
      <c r="I204" s="67"/>
      <c r="J204" s="67"/>
      <c r="K204" s="67"/>
      <c r="L204" s="66"/>
      <c r="M204" s="68"/>
      <c r="N204" s="66"/>
      <c r="O204" s="69"/>
      <c r="P204" s="67"/>
      <c r="Q204" s="69"/>
      <c r="R204" s="69"/>
      <c r="S204" s="68"/>
    </row>
    <row r="205" spans="1:20" ht="27" x14ac:dyDescent="0.4">
      <c r="A205" s="65"/>
      <c r="B205" s="65"/>
      <c r="C205" s="66"/>
      <c r="D205" s="66"/>
      <c r="E205" s="67"/>
      <c r="F205" s="68"/>
      <c r="G205" s="68"/>
      <c r="H205" s="66"/>
      <c r="I205" s="67"/>
      <c r="J205" s="67"/>
      <c r="K205" s="67"/>
      <c r="L205" s="66"/>
      <c r="M205" s="68"/>
      <c r="N205" s="66"/>
      <c r="O205" s="69"/>
      <c r="P205" s="67"/>
      <c r="Q205" s="69"/>
      <c r="R205" s="69"/>
      <c r="S205" s="68"/>
    </row>
    <row r="206" spans="1:20" ht="27" x14ac:dyDescent="0.4">
      <c r="A206" s="65"/>
      <c r="B206" s="65"/>
      <c r="C206" s="66"/>
      <c r="D206" s="66"/>
      <c r="E206" s="67"/>
      <c r="F206" s="68"/>
      <c r="G206" s="68"/>
      <c r="H206" s="66"/>
      <c r="I206" s="67"/>
      <c r="J206" s="67"/>
      <c r="K206" s="67"/>
      <c r="L206" s="66"/>
      <c r="M206" s="68"/>
      <c r="N206" s="66"/>
      <c r="O206" s="69"/>
      <c r="P206" s="67"/>
      <c r="Q206" s="69"/>
      <c r="R206" s="69"/>
      <c r="S206" s="68"/>
    </row>
    <row r="207" spans="1:20" ht="27" x14ac:dyDescent="0.4">
      <c r="A207" s="65"/>
      <c r="B207" s="65"/>
      <c r="C207" s="66"/>
      <c r="D207" s="66"/>
      <c r="E207" s="67"/>
      <c r="F207" s="68"/>
      <c r="G207" s="68"/>
      <c r="H207" s="66"/>
      <c r="I207" s="67"/>
      <c r="J207" s="67"/>
      <c r="K207" s="67"/>
      <c r="L207" s="66"/>
      <c r="M207" s="68"/>
      <c r="N207" s="66"/>
      <c r="O207" s="69"/>
      <c r="P207" s="67"/>
      <c r="Q207" s="69"/>
      <c r="R207" s="69"/>
      <c r="S207" s="68"/>
    </row>
    <row r="208" spans="1:20" ht="27" x14ac:dyDescent="0.4">
      <c r="A208" s="65"/>
      <c r="B208" s="65"/>
      <c r="C208" s="66"/>
      <c r="D208" s="66"/>
      <c r="E208" s="67"/>
      <c r="F208" s="68"/>
      <c r="G208" s="68"/>
      <c r="H208" s="66"/>
      <c r="I208" s="67"/>
      <c r="J208" s="67"/>
      <c r="K208" s="67"/>
      <c r="L208" s="66"/>
      <c r="M208" s="68"/>
      <c r="N208" s="66"/>
      <c r="O208" s="69"/>
      <c r="P208" s="67"/>
      <c r="Q208" s="69"/>
      <c r="R208" s="69"/>
      <c r="S208" s="68"/>
    </row>
    <row r="209" spans="1:19" ht="27" x14ac:dyDescent="0.4">
      <c r="A209" s="65"/>
      <c r="B209" s="65"/>
      <c r="C209" s="66"/>
      <c r="D209" s="66"/>
      <c r="E209" s="67"/>
      <c r="F209" s="68"/>
      <c r="G209" s="68"/>
      <c r="H209" s="66"/>
      <c r="I209" s="67"/>
      <c r="J209" s="67"/>
      <c r="K209" s="67"/>
      <c r="L209" s="66"/>
      <c r="M209" s="68"/>
      <c r="N209" s="66"/>
      <c r="O209" s="69"/>
      <c r="P209" s="67"/>
      <c r="Q209" s="69"/>
      <c r="R209" s="69"/>
      <c r="S209" s="68"/>
    </row>
    <row r="210" spans="1:19" ht="27" x14ac:dyDescent="0.4">
      <c r="A210" s="65"/>
      <c r="B210" s="65"/>
      <c r="C210" s="66"/>
      <c r="D210" s="66"/>
      <c r="E210" s="67"/>
      <c r="F210" s="68"/>
      <c r="G210" s="68"/>
      <c r="H210" s="66"/>
      <c r="I210" s="67"/>
      <c r="J210" s="67"/>
      <c r="K210" s="67"/>
      <c r="L210" s="66"/>
      <c r="M210" s="68"/>
      <c r="N210" s="66"/>
      <c r="O210" s="69"/>
      <c r="P210" s="67"/>
      <c r="Q210" s="69"/>
      <c r="R210" s="69"/>
      <c r="S210" s="68"/>
    </row>
    <row r="211" spans="1:19" ht="27" x14ac:dyDescent="0.4">
      <c r="A211" s="65"/>
      <c r="B211" s="65"/>
      <c r="C211" s="125"/>
      <c r="D211" s="125"/>
      <c r="E211" s="126"/>
      <c r="F211" s="127"/>
      <c r="G211" s="127"/>
      <c r="H211" s="125"/>
      <c r="I211" s="126"/>
      <c r="J211" s="126"/>
      <c r="K211" s="126"/>
      <c r="L211" s="125"/>
      <c r="M211" s="127"/>
      <c r="N211" s="125"/>
      <c r="O211" s="128"/>
      <c r="P211" s="126"/>
      <c r="Q211" s="69"/>
      <c r="R211" s="69"/>
      <c r="S211" s="68"/>
    </row>
    <row r="212" spans="1:19" ht="27" x14ac:dyDescent="0.4">
      <c r="A212" s="65"/>
      <c r="B212" s="65"/>
      <c r="C212" s="125"/>
      <c r="D212" s="125"/>
      <c r="E212" s="126"/>
      <c r="F212" s="127"/>
      <c r="G212" s="127"/>
      <c r="H212" s="125"/>
      <c r="I212" s="126"/>
      <c r="J212" s="126"/>
      <c r="K212" s="126"/>
      <c r="L212" s="125"/>
      <c r="M212" s="127"/>
      <c r="N212" s="125"/>
      <c r="O212" s="128"/>
      <c r="P212" s="126"/>
      <c r="Q212" s="69"/>
      <c r="R212" s="69"/>
      <c r="S212" s="68"/>
    </row>
    <row r="213" spans="1:19" ht="27" x14ac:dyDescent="0.4">
      <c r="A213" s="65"/>
      <c r="B213" s="65"/>
      <c r="C213" s="125"/>
      <c r="D213" s="125"/>
      <c r="E213" s="126"/>
      <c r="F213" s="127"/>
      <c r="G213" s="127"/>
      <c r="H213" s="125"/>
      <c r="I213" s="126"/>
      <c r="J213" s="126"/>
      <c r="K213" s="126"/>
      <c r="L213" s="125"/>
      <c r="M213" s="127"/>
      <c r="N213" s="125"/>
      <c r="O213" s="128"/>
      <c r="P213" s="126"/>
      <c r="Q213" s="69"/>
      <c r="R213" s="69"/>
      <c r="S213" s="68"/>
    </row>
    <row r="214" spans="1:19" ht="27" x14ac:dyDescent="0.4">
      <c r="A214" s="65"/>
      <c r="B214" s="65"/>
      <c r="C214" s="125"/>
      <c r="D214" s="125"/>
      <c r="E214" s="126"/>
      <c r="F214" s="127"/>
      <c r="G214" s="127"/>
      <c r="H214" s="125"/>
      <c r="I214" s="126"/>
      <c r="J214" s="126"/>
      <c r="K214" s="126"/>
      <c r="L214" s="125"/>
      <c r="M214" s="127"/>
      <c r="N214" s="125"/>
      <c r="O214" s="128"/>
      <c r="P214" s="126"/>
      <c r="Q214" s="69"/>
      <c r="R214" s="69"/>
      <c r="S214" s="68"/>
    </row>
    <row r="215" spans="1:19" ht="27" x14ac:dyDescent="0.4">
      <c r="A215" s="65"/>
      <c r="B215" s="65"/>
      <c r="C215" s="125"/>
      <c r="D215" s="125"/>
      <c r="E215" s="126"/>
      <c r="F215" s="127"/>
      <c r="G215" s="127"/>
      <c r="H215" s="125"/>
      <c r="I215" s="126"/>
      <c r="J215" s="126"/>
      <c r="K215" s="126"/>
      <c r="L215" s="125"/>
      <c r="M215" s="127"/>
      <c r="N215" s="125"/>
      <c r="O215" s="128"/>
      <c r="P215" s="126"/>
      <c r="Q215" s="69"/>
      <c r="R215" s="69"/>
      <c r="S215" s="68"/>
    </row>
    <row r="216" spans="1:19" ht="27" x14ac:dyDescent="0.4">
      <c r="A216" s="65"/>
      <c r="B216" s="65"/>
      <c r="C216" s="125"/>
      <c r="D216" s="125"/>
      <c r="E216" s="126"/>
      <c r="F216" s="127"/>
      <c r="G216" s="127"/>
      <c r="H216" s="125"/>
      <c r="I216" s="126"/>
      <c r="J216" s="126"/>
      <c r="K216" s="126"/>
      <c r="L216" s="125"/>
      <c r="M216" s="127"/>
      <c r="N216" s="125"/>
      <c r="O216" s="128"/>
      <c r="P216" s="126"/>
      <c r="Q216" s="69"/>
      <c r="R216" s="69"/>
      <c r="S216" s="68"/>
    </row>
    <row r="217" spans="1:19" ht="27" x14ac:dyDescent="0.4">
      <c r="A217" s="65"/>
      <c r="B217" s="65"/>
      <c r="C217" s="125"/>
      <c r="D217" s="125"/>
      <c r="E217" s="126"/>
      <c r="F217" s="127"/>
      <c r="G217" s="127"/>
      <c r="H217" s="125"/>
      <c r="I217" s="126"/>
      <c r="J217" s="126"/>
      <c r="K217" s="126"/>
      <c r="L217" s="125"/>
      <c r="M217" s="127"/>
      <c r="N217" s="125"/>
      <c r="O217" s="128"/>
      <c r="P217" s="126"/>
      <c r="Q217" s="69"/>
      <c r="R217" s="69"/>
      <c r="S217" s="68"/>
    </row>
    <row r="218" spans="1:19" ht="27" x14ac:dyDescent="0.4">
      <c r="A218" s="65"/>
      <c r="B218" s="65"/>
      <c r="C218" s="125"/>
      <c r="D218" s="125"/>
      <c r="E218" s="126"/>
      <c r="F218" s="127"/>
      <c r="G218" s="127"/>
      <c r="H218" s="125"/>
      <c r="I218" s="126"/>
      <c r="J218" s="126"/>
      <c r="K218" s="126"/>
      <c r="L218" s="125"/>
      <c r="M218" s="127"/>
      <c r="N218" s="125"/>
      <c r="O218" s="128"/>
      <c r="P218" s="126"/>
      <c r="Q218" s="69"/>
      <c r="R218" s="69"/>
      <c r="S218" s="68"/>
    </row>
    <row r="219" spans="1:19" ht="27" x14ac:dyDescent="0.4">
      <c r="A219" s="65"/>
      <c r="B219" s="65"/>
      <c r="C219" s="66"/>
      <c r="D219" s="65"/>
      <c r="E219" s="67"/>
      <c r="F219" s="68"/>
      <c r="G219" s="68"/>
      <c r="H219" s="66"/>
      <c r="I219" s="67"/>
      <c r="J219" s="67"/>
      <c r="K219" s="67"/>
      <c r="L219" s="66"/>
      <c r="M219" s="68"/>
      <c r="N219" s="66"/>
      <c r="O219" s="69"/>
      <c r="P219" s="67"/>
      <c r="Q219" s="69"/>
      <c r="R219" s="69"/>
      <c r="S219" s="68"/>
    </row>
    <row r="220" spans="1:19" ht="27" x14ac:dyDescent="0.4">
      <c r="A220" s="65"/>
      <c r="B220" s="65"/>
      <c r="C220" s="66"/>
      <c r="D220" s="66"/>
      <c r="E220" s="67"/>
      <c r="F220" s="68"/>
      <c r="G220" s="68"/>
      <c r="H220" s="66"/>
      <c r="I220" s="67"/>
      <c r="J220" s="67"/>
      <c r="K220" s="67"/>
      <c r="L220" s="66"/>
      <c r="M220" s="68"/>
      <c r="N220" s="66"/>
      <c r="O220" s="69"/>
      <c r="P220" s="67"/>
      <c r="Q220" s="69"/>
      <c r="R220" s="69"/>
      <c r="S220" s="68"/>
    </row>
    <row r="221" spans="1:19" ht="27" x14ac:dyDescent="0.4">
      <c r="A221" s="65"/>
      <c r="B221" s="65"/>
      <c r="C221" s="66"/>
      <c r="D221" s="66"/>
      <c r="E221" s="67"/>
      <c r="F221" s="68"/>
      <c r="G221" s="68"/>
      <c r="H221" s="66"/>
      <c r="I221" s="67"/>
      <c r="J221" s="67"/>
      <c r="K221" s="67"/>
      <c r="L221" s="66"/>
      <c r="M221" s="68"/>
      <c r="N221" s="66"/>
      <c r="O221" s="69"/>
      <c r="P221" s="67"/>
      <c r="Q221" s="69"/>
      <c r="R221" s="69"/>
      <c r="S221" s="65"/>
    </row>
    <row r="222" spans="1:19" ht="27" x14ac:dyDescent="0.4">
      <c r="A222" s="65"/>
      <c r="B222" s="65"/>
      <c r="C222" s="66"/>
      <c r="D222" s="66"/>
      <c r="E222" s="67"/>
      <c r="F222" s="68"/>
      <c r="G222" s="68"/>
      <c r="H222" s="66"/>
      <c r="I222" s="67"/>
      <c r="J222" s="67"/>
      <c r="K222" s="67"/>
      <c r="L222" s="66"/>
      <c r="M222" s="68"/>
      <c r="N222" s="66"/>
      <c r="O222" s="69"/>
      <c r="P222" s="67"/>
      <c r="Q222" s="69"/>
      <c r="R222" s="69"/>
      <c r="S222" s="65"/>
    </row>
    <row r="223" spans="1:19" ht="27" x14ac:dyDescent="0.4">
      <c r="A223" s="65"/>
      <c r="B223" s="65"/>
      <c r="C223" s="66"/>
      <c r="D223" s="66"/>
      <c r="E223" s="67"/>
      <c r="F223" s="68"/>
      <c r="G223" s="68"/>
      <c r="H223" s="66"/>
      <c r="I223" s="67"/>
      <c r="J223" s="67"/>
      <c r="K223" s="67"/>
      <c r="L223" s="66"/>
      <c r="M223" s="68"/>
      <c r="N223" s="66"/>
      <c r="O223" s="69"/>
      <c r="P223" s="67"/>
      <c r="Q223" s="69"/>
      <c r="R223" s="69"/>
      <c r="S223" s="65"/>
    </row>
    <row r="224" spans="1:19" ht="27" x14ac:dyDescent="0.4">
      <c r="A224" s="65"/>
      <c r="B224" s="65"/>
      <c r="C224" s="66"/>
      <c r="D224" s="66"/>
      <c r="E224" s="67"/>
      <c r="F224" s="68"/>
      <c r="G224" s="68"/>
      <c r="H224" s="66"/>
      <c r="I224" s="67"/>
      <c r="J224" s="67"/>
      <c r="K224" s="67"/>
      <c r="L224" s="66"/>
      <c r="M224" s="68"/>
      <c r="N224" s="66"/>
      <c r="O224" s="69"/>
      <c r="P224" s="67"/>
      <c r="Q224" s="69"/>
      <c r="R224" s="69"/>
      <c r="S224" s="65"/>
    </row>
    <row r="225" spans="1:25" ht="27" x14ac:dyDescent="0.4">
      <c r="A225" s="65"/>
      <c r="B225" s="65"/>
      <c r="C225" s="66"/>
      <c r="D225" s="66"/>
      <c r="E225" s="67"/>
      <c r="F225" s="68"/>
      <c r="G225" s="68"/>
      <c r="H225" s="66"/>
      <c r="I225" s="67"/>
      <c r="J225" s="67"/>
      <c r="K225" s="67"/>
      <c r="L225" s="66"/>
      <c r="M225" s="68"/>
      <c r="N225" s="66"/>
      <c r="O225" s="69"/>
      <c r="P225" s="67"/>
      <c r="Q225" s="69"/>
      <c r="R225" s="69"/>
      <c r="S225" s="65"/>
    </row>
    <row r="226" spans="1:25" ht="33" x14ac:dyDescent="0.4">
      <c r="A226" s="65"/>
      <c r="B226" s="65"/>
      <c r="C226" s="66"/>
      <c r="D226" s="66"/>
      <c r="E226" s="67"/>
      <c r="F226" s="68"/>
      <c r="G226" s="68"/>
      <c r="H226" s="66"/>
      <c r="I226" s="67"/>
      <c r="J226" s="67"/>
      <c r="K226" s="67"/>
      <c r="L226" s="66"/>
      <c r="M226" s="68"/>
      <c r="N226" s="66"/>
      <c r="O226" s="69"/>
      <c r="P226" s="67"/>
      <c r="Q226" s="69"/>
      <c r="R226" s="69"/>
      <c r="S226" s="70"/>
      <c r="U226" s="53"/>
      <c r="V226" s="53"/>
      <c r="W226" s="54"/>
      <c r="X226" s="54"/>
      <c r="Y226" s="55"/>
    </row>
    <row r="227" spans="1:25" ht="33" x14ac:dyDescent="0.4">
      <c r="A227" s="65"/>
      <c r="B227" s="65"/>
      <c r="C227" s="66"/>
      <c r="D227" s="66"/>
      <c r="E227" s="67"/>
      <c r="F227" s="68"/>
      <c r="G227" s="68"/>
      <c r="H227" s="66"/>
      <c r="I227" s="67"/>
      <c r="J227" s="67"/>
      <c r="K227" s="67"/>
      <c r="L227" s="66"/>
      <c r="M227" s="68"/>
      <c r="N227" s="66"/>
      <c r="O227" s="69"/>
      <c r="P227" s="67"/>
      <c r="Q227" s="69"/>
      <c r="R227" s="69"/>
      <c r="S227" s="65"/>
      <c r="U227" s="53"/>
      <c r="V227" s="53"/>
      <c r="W227" s="54"/>
      <c r="X227" s="54"/>
      <c r="Y227" s="55"/>
    </row>
    <row r="228" spans="1:25" ht="33" x14ac:dyDescent="0.4">
      <c r="A228" s="65"/>
      <c r="B228" s="65"/>
      <c r="C228" s="66"/>
      <c r="D228" s="66"/>
      <c r="E228" s="67"/>
      <c r="F228" s="68"/>
      <c r="G228" s="68"/>
      <c r="H228" s="66"/>
      <c r="I228" s="67"/>
      <c r="J228" s="67"/>
      <c r="K228" s="67"/>
      <c r="L228" s="66"/>
      <c r="M228" s="68"/>
      <c r="N228" s="66"/>
      <c r="O228" s="69"/>
      <c r="P228" s="67"/>
      <c r="Q228" s="69"/>
      <c r="R228" s="69"/>
      <c r="S228" s="68"/>
      <c r="U228" s="53"/>
      <c r="V228" s="53"/>
      <c r="W228" s="54"/>
      <c r="X228" s="54"/>
      <c r="Y228" s="55"/>
    </row>
    <row r="229" spans="1:25" ht="33" x14ac:dyDescent="0.4">
      <c r="A229" s="65"/>
      <c r="B229" s="65"/>
      <c r="C229" s="66"/>
      <c r="D229" s="66"/>
      <c r="E229" s="67"/>
      <c r="F229" s="68"/>
      <c r="G229" s="68"/>
      <c r="H229" s="66"/>
      <c r="I229" s="67"/>
      <c r="J229" s="67"/>
      <c r="K229" s="67"/>
      <c r="L229" s="66"/>
      <c r="M229" s="68"/>
      <c r="N229" s="66"/>
      <c r="O229" s="69"/>
      <c r="P229" s="67"/>
      <c r="Q229" s="69"/>
      <c r="R229" s="69"/>
      <c r="S229" s="68"/>
      <c r="U229" s="53"/>
      <c r="V229" s="53"/>
      <c r="W229" s="54"/>
      <c r="X229" s="54"/>
      <c r="Y229" s="55"/>
    </row>
    <row r="230" spans="1:25" ht="33" x14ac:dyDescent="0.4">
      <c r="A230" s="65"/>
      <c r="B230" s="65"/>
      <c r="C230" s="66"/>
      <c r="D230" s="66"/>
      <c r="E230" s="67"/>
      <c r="F230" s="68"/>
      <c r="G230" s="68"/>
      <c r="H230" s="66"/>
      <c r="I230" s="67"/>
      <c r="J230" s="67"/>
      <c r="K230" s="67"/>
      <c r="L230" s="66"/>
      <c r="M230" s="68"/>
      <c r="N230" s="66"/>
      <c r="O230" s="69"/>
      <c r="P230" s="67"/>
      <c r="Q230" s="69"/>
      <c r="R230" s="69"/>
      <c r="S230" s="68"/>
      <c r="U230" s="53"/>
      <c r="V230" s="53"/>
      <c r="W230" s="54"/>
      <c r="X230" s="54"/>
      <c r="Y230" s="55"/>
    </row>
    <row r="231" spans="1:25" ht="30.75" x14ac:dyDescent="0.4">
      <c r="A231" s="65"/>
      <c r="B231" s="65"/>
      <c r="C231" s="66"/>
      <c r="D231" s="66"/>
      <c r="E231" s="67"/>
      <c r="F231" s="68"/>
      <c r="G231" s="68"/>
      <c r="H231" s="66"/>
      <c r="I231" s="67"/>
      <c r="J231" s="67"/>
      <c r="K231" s="67"/>
      <c r="L231" s="66"/>
      <c r="M231" s="68"/>
      <c r="N231" s="66"/>
      <c r="O231" s="69"/>
      <c r="P231" s="67"/>
      <c r="Q231" s="69"/>
      <c r="R231" s="69"/>
      <c r="S231" s="68"/>
      <c r="U231" s="56"/>
      <c r="V231" s="56"/>
      <c r="W231" s="54"/>
      <c r="X231" s="54"/>
      <c r="Y231" s="55"/>
    </row>
    <row r="232" spans="1:25" ht="27" x14ac:dyDescent="0.4">
      <c r="A232" s="65"/>
      <c r="B232" s="65"/>
      <c r="C232" s="66"/>
      <c r="D232" s="66"/>
      <c r="E232" s="67"/>
      <c r="F232" s="68"/>
      <c r="G232" s="68"/>
      <c r="H232" s="66"/>
      <c r="I232" s="67"/>
      <c r="J232" s="67"/>
      <c r="K232" s="67"/>
      <c r="L232" s="66"/>
      <c r="M232" s="68"/>
      <c r="N232" s="66"/>
      <c r="O232" s="69"/>
      <c r="P232" s="67"/>
      <c r="Q232" s="69"/>
      <c r="R232" s="69"/>
      <c r="S232" s="68"/>
    </row>
    <row r="233" spans="1:25" ht="27" x14ac:dyDescent="0.4">
      <c r="A233" s="65"/>
      <c r="B233" s="65"/>
      <c r="C233" s="66"/>
      <c r="D233" s="66"/>
      <c r="E233" s="67"/>
      <c r="F233" s="68"/>
      <c r="G233" s="68"/>
      <c r="H233" s="66"/>
      <c r="I233" s="67"/>
      <c r="J233" s="67"/>
      <c r="K233" s="67"/>
      <c r="L233" s="66"/>
      <c r="M233" s="68"/>
      <c r="N233" s="66"/>
      <c r="O233" s="69"/>
      <c r="P233" s="67"/>
      <c r="Q233" s="69"/>
      <c r="R233" s="69"/>
      <c r="S233" s="68"/>
    </row>
    <row r="234" spans="1:25" ht="27" x14ac:dyDescent="0.4">
      <c r="A234" s="65"/>
      <c r="B234" s="65"/>
      <c r="C234" s="66"/>
      <c r="D234" s="66"/>
      <c r="E234" s="67"/>
      <c r="F234" s="68"/>
      <c r="G234" s="68"/>
      <c r="H234" s="66"/>
      <c r="I234" s="67"/>
      <c r="J234" s="67"/>
      <c r="K234" s="67"/>
      <c r="L234" s="66"/>
      <c r="M234" s="68"/>
      <c r="N234" s="66"/>
      <c r="O234" s="69"/>
      <c r="P234" s="67"/>
      <c r="Q234" s="69"/>
      <c r="R234" s="69"/>
      <c r="S234" s="68"/>
    </row>
    <row r="235" spans="1:25" ht="33" x14ac:dyDescent="0.4">
      <c r="A235" s="65"/>
      <c r="B235" s="65"/>
      <c r="C235" s="66"/>
      <c r="D235" s="66"/>
      <c r="E235" s="67"/>
      <c r="F235" s="68"/>
      <c r="G235" s="68"/>
      <c r="H235" s="66"/>
      <c r="I235" s="67"/>
      <c r="J235" s="67"/>
      <c r="K235" s="67"/>
      <c r="L235" s="66"/>
      <c r="M235" s="68"/>
      <c r="N235" s="66"/>
      <c r="O235" s="69"/>
      <c r="P235" s="67"/>
      <c r="Q235" s="69"/>
      <c r="R235" s="69"/>
      <c r="S235" s="68"/>
      <c r="U235" s="53"/>
      <c r="V235" s="53"/>
      <c r="W235" s="54"/>
      <c r="X235" s="54"/>
      <c r="Y235" s="55"/>
    </row>
    <row r="236" spans="1:25" ht="33" x14ac:dyDescent="0.4">
      <c r="A236" s="65"/>
      <c r="B236" s="65"/>
      <c r="C236" s="66"/>
      <c r="D236" s="66"/>
      <c r="E236" s="67"/>
      <c r="F236" s="68"/>
      <c r="G236" s="68"/>
      <c r="H236" s="66"/>
      <c r="I236" s="67"/>
      <c r="J236" s="67"/>
      <c r="K236" s="67"/>
      <c r="L236" s="66"/>
      <c r="M236" s="68"/>
      <c r="N236" s="66"/>
      <c r="O236" s="69"/>
      <c r="P236" s="67"/>
      <c r="Q236" s="69"/>
      <c r="R236" s="69"/>
      <c r="S236" s="68"/>
      <c r="U236" s="53"/>
      <c r="V236" s="53"/>
      <c r="W236" s="54"/>
      <c r="X236" s="54"/>
      <c r="Y236" s="55"/>
    </row>
    <row r="237" spans="1:25" ht="33" x14ac:dyDescent="0.4">
      <c r="A237" s="65"/>
      <c r="B237" s="65"/>
      <c r="C237" s="66"/>
      <c r="D237" s="66"/>
      <c r="E237" s="67"/>
      <c r="F237" s="68"/>
      <c r="G237" s="68"/>
      <c r="H237" s="66"/>
      <c r="I237" s="67"/>
      <c r="J237" s="67"/>
      <c r="K237" s="67"/>
      <c r="L237" s="66"/>
      <c r="M237" s="68"/>
      <c r="N237" s="66"/>
      <c r="O237" s="69"/>
      <c r="P237" s="67"/>
      <c r="Q237" s="69"/>
      <c r="R237" s="69"/>
      <c r="S237" s="68"/>
      <c r="U237" s="53"/>
      <c r="V237" s="53"/>
      <c r="W237" s="54"/>
      <c r="X237" s="54"/>
      <c r="Y237" s="55"/>
    </row>
    <row r="238" spans="1:25" ht="33" x14ac:dyDescent="0.4">
      <c r="A238" s="65"/>
      <c r="B238" s="65"/>
      <c r="C238" s="66"/>
      <c r="D238" s="66"/>
      <c r="E238" s="67"/>
      <c r="F238" s="68"/>
      <c r="G238" s="68"/>
      <c r="H238" s="66"/>
      <c r="I238" s="67"/>
      <c r="J238" s="67"/>
      <c r="K238" s="67"/>
      <c r="L238" s="66"/>
      <c r="M238" s="68"/>
      <c r="N238" s="66"/>
      <c r="O238" s="69"/>
      <c r="P238" s="67"/>
      <c r="Q238" s="69"/>
      <c r="R238" s="69"/>
      <c r="S238" s="68"/>
      <c r="U238" s="53"/>
      <c r="V238" s="53"/>
      <c r="W238" s="54"/>
      <c r="X238" s="54"/>
      <c r="Y238" s="55"/>
    </row>
    <row r="239" spans="1:25" ht="33" x14ac:dyDescent="0.4">
      <c r="A239" s="65"/>
      <c r="B239" s="65"/>
      <c r="C239" s="66"/>
      <c r="D239" s="66"/>
      <c r="E239" s="67"/>
      <c r="F239" s="68"/>
      <c r="G239" s="68"/>
      <c r="H239" s="66"/>
      <c r="I239" s="67"/>
      <c r="J239" s="67"/>
      <c r="K239" s="67"/>
      <c r="L239" s="66"/>
      <c r="M239" s="68"/>
      <c r="N239" s="66"/>
      <c r="O239" s="69"/>
      <c r="P239" s="67"/>
      <c r="Q239" s="69"/>
      <c r="R239" s="69"/>
      <c r="S239" s="68"/>
      <c r="U239" s="53"/>
      <c r="V239" s="53"/>
      <c r="W239" s="54"/>
      <c r="X239" s="54"/>
      <c r="Y239" s="55"/>
    </row>
    <row r="240" spans="1:25" ht="30.75" x14ac:dyDescent="0.4">
      <c r="A240" s="65"/>
      <c r="B240" s="65"/>
      <c r="C240" s="66"/>
      <c r="D240" s="66"/>
      <c r="E240" s="67"/>
      <c r="F240" s="68"/>
      <c r="G240" s="68"/>
      <c r="H240" s="66"/>
      <c r="I240" s="67"/>
      <c r="J240" s="67"/>
      <c r="K240" s="67"/>
      <c r="L240" s="66"/>
      <c r="M240" s="68"/>
      <c r="N240" s="66"/>
      <c r="O240" s="69"/>
      <c r="P240" s="67"/>
      <c r="Q240" s="69"/>
      <c r="R240" s="69"/>
      <c r="S240" s="68"/>
      <c r="U240" s="56"/>
      <c r="V240" s="56"/>
      <c r="W240" s="54"/>
      <c r="X240" s="54"/>
      <c r="Y240" s="55"/>
    </row>
    <row r="241" spans="1:19" ht="27" x14ac:dyDescent="0.4">
      <c r="A241" s="65"/>
      <c r="B241" s="65"/>
      <c r="C241" s="66"/>
      <c r="D241" s="66"/>
      <c r="E241" s="67"/>
      <c r="F241" s="68"/>
      <c r="G241" s="68"/>
      <c r="H241" s="66"/>
      <c r="I241" s="67"/>
      <c r="J241" s="67"/>
      <c r="K241" s="67"/>
      <c r="L241" s="66"/>
      <c r="M241" s="68"/>
      <c r="N241" s="66"/>
      <c r="O241" s="69"/>
      <c r="P241" s="67"/>
      <c r="Q241" s="69"/>
      <c r="R241" s="69"/>
      <c r="S241" s="68"/>
    </row>
    <row r="242" spans="1:19" ht="27" x14ac:dyDescent="0.4">
      <c r="A242" s="65"/>
      <c r="B242" s="65"/>
      <c r="C242" s="66"/>
      <c r="D242" s="66"/>
      <c r="E242" s="67"/>
      <c r="F242" s="68"/>
      <c r="G242" s="68"/>
      <c r="H242" s="66"/>
      <c r="I242" s="67"/>
      <c r="J242" s="67"/>
      <c r="K242" s="67"/>
      <c r="L242" s="66"/>
      <c r="M242" s="68"/>
      <c r="N242" s="66"/>
      <c r="O242" s="69"/>
      <c r="P242" s="67"/>
      <c r="Q242" s="69"/>
      <c r="R242" s="69"/>
      <c r="S242" s="68"/>
    </row>
    <row r="243" spans="1:19" ht="27" x14ac:dyDescent="0.4">
      <c r="A243" s="65"/>
      <c r="B243" s="65"/>
      <c r="C243" s="66"/>
      <c r="D243" s="66"/>
      <c r="E243" s="67"/>
      <c r="F243" s="68"/>
      <c r="G243" s="68"/>
      <c r="H243" s="66"/>
      <c r="I243" s="67"/>
      <c r="J243" s="67"/>
      <c r="K243" s="67"/>
      <c r="L243" s="66"/>
      <c r="M243" s="68"/>
      <c r="N243" s="66"/>
      <c r="O243" s="69"/>
      <c r="P243" s="67"/>
      <c r="Q243" s="69"/>
      <c r="R243" s="69"/>
      <c r="S243" s="68"/>
    </row>
    <row r="244" spans="1:19" ht="27" x14ac:dyDescent="0.4">
      <c r="A244" s="65"/>
      <c r="B244" s="65"/>
      <c r="C244" s="66"/>
      <c r="D244" s="66"/>
      <c r="E244" s="67"/>
      <c r="F244" s="68"/>
      <c r="G244" s="68"/>
      <c r="H244" s="66"/>
      <c r="I244" s="67"/>
      <c r="J244" s="67"/>
      <c r="K244" s="67"/>
      <c r="L244" s="66"/>
      <c r="M244" s="68"/>
      <c r="N244" s="66"/>
      <c r="O244" s="69"/>
      <c r="P244" s="67"/>
      <c r="Q244" s="69"/>
      <c r="R244" s="69"/>
      <c r="S244" s="68"/>
    </row>
    <row r="245" spans="1:19" ht="27" x14ac:dyDescent="0.4">
      <c r="A245" s="65"/>
      <c r="B245" s="65"/>
      <c r="C245" s="66"/>
      <c r="D245" s="66"/>
      <c r="E245" s="67"/>
      <c r="F245" s="68"/>
      <c r="G245" s="68"/>
      <c r="H245" s="66"/>
      <c r="I245" s="67"/>
      <c r="J245" s="67"/>
      <c r="K245" s="67"/>
      <c r="L245" s="66"/>
      <c r="M245" s="68"/>
      <c r="N245" s="66"/>
      <c r="O245" s="69"/>
      <c r="P245" s="67"/>
      <c r="Q245" s="69"/>
      <c r="R245" s="69"/>
      <c r="S245" s="68"/>
    </row>
    <row r="246" spans="1:19" ht="27" x14ac:dyDescent="0.4">
      <c r="A246" s="65"/>
      <c r="B246" s="65"/>
      <c r="C246" s="66"/>
      <c r="D246" s="66"/>
      <c r="E246" s="67"/>
      <c r="F246" s="68"/>
      <c r="G246" s="68"/>
      <c r="H246" s="66"/>
      <c r="I246" s="67"/>
      <c r="J246" s="67"/>
      <c r="K246" s="67"/>
      <c r="L246" s="66"/>
      <c r="M246" s="68"/>
      <c r="N246" s="66"/>
      <c r="O246" s="69"/>
      <c r="P246" s="67"/>
      <c r="Q246" s="69"/>
      <c r="R246" s="69"/>
      <c r="S246" s="68"/>
    </row>
    <row r="247" spans="1:19" ht="27" x14ac:dyDescent="0.4">
      <c r="A247" s="65"/>
      <c r="B247" s="65"/>
      <c r="C247" s="66"/>
      <c r="D247" s="66"/>
      <c r="E247" s="67"/>
      <c r="F247" s="68"/>
      <c r="G247" s="68"/>
      <c r="H247" s="66"/>
      <c r="I247" s="67"/>
      <c r="J247" s="67"/>
      <c r="K247" s="67"/>
      <c r="L247" s="66"/>
      <c r="M247" s="68"/>
      <c r="N247" s="66"/>
      <c r="O247" s="69"/>
      <c r="P247" s="67"/>
      <c r="Q247" s="69"/>
      <c r="R247" s="69"/>
      <c r="S247" s="68"/>
    </row>
    <row r="248" spans="1:19" ht="27" x14ac:dyDescent="0.4">
      <c r="A248" s="65"/>
      <c r="B248" s="65"/>
      <c r="C248" s="66"/>
      <c r="D248" s="66"/>
      <c r="E248" s="67"/>
      <c r="F248" s="68"/>
      <c r="G248" s="68"/>
      <c r="H248" s="66"/>
      <c r="I248" s="67"/>
      <c r="J248" s="67"/>
      <c r="K248" s="67"/>
      <c r="L248" s="66"/>
      <c r="M248" s="68"/>
      <c r="N248" s="66"/>
      <c r="O248" s="69"/>
      <c r="P248" s="67"/>
      <c r="Q248" s="69"/>
      <c r="R248" s="69"/>
      <c r="S248" s="68"/>
    </row>
    <row r="249" spans="1:19" ht="27" x14ac:dyDescent="0.4">
      <c r="A249" s="65"/>
      <c r="B249" s="65"/>
      <c r="C249" s="66"/>
      <c r="D249" s="66"/>
      <c r="E249" s="67"/>
      <c r="F249" s="68"/>
      <c r="G249" s="68"/>
      <c r="H249" s="66"/>
      <c r="I249" s="67"/>
      <c r="J249" s="67"/>
      <c r="K249" s="67"/>
      <c r="L249" s="66"/>
      <c r="M249" s="68"/>
      <c r="N249" s="66"/>
      <c r="O249" s="69"/>
      <c r="P249" s="67"/>
      <c r="Q249" s="69"/>
      <c r="R249" s="69"/>
      <c r="S249" s="68"/>
    </row>
    <row r="250" spans="1:19" ht="27" x14ac:dyDescent="0.4">
      <c r="A250" s="65"/>
      <c r="B250" s="65"/>
      <c r="C250" s="66"/>
      <c r="D250" s="66"/>
      <c r="E250" s="67"/>
      <c r="F250" s="68"/>
      <c r="G250" s="68"/>
      <c r="H250" s="66"/>
      <c r="I250" s="67"/>
      <c r="J250" s="67"/>
      <c r="K250" s="67"/>
      <c r="L250" s="66"/>
      <c r="M250" s="68"/>
      <c r="N250" s="66"/>
      <c r="O250" s="69"/>
      <c r="P250" s="67"/>
      <c r="Q250" s="69"/>
      <c r="R250" s="69"/>
      <c r="S250" s="68"/>
    </row>
    <row r="251" spans="1:19" ht="27" x14ac:dyDescent="0.4">
      <c r="A251" s="65"/>
      <c r="B251" s="65"/>
      <c r="C251" s="66"/>
      <c r="D251" s="66"/>
      <c r="E251" s="67"/>
      <c r="F251" s="68"/>
      <c r="G251" s="68"/>
      <c r="H251" s="66"/>
      <c r="I251" s="67"/>
      <c r="J251" s="67"/>
      <c r="K251" s="67"/>
      <c r="L251" s="66"/>
      <c r="M251" s="68"/>
      <c r="N251" s="66"/>
      <c r="O251" s="69"/>
      <c r="P251" s="67"/>
      <c r="Q251" s="69"/>
      <c r="R251" s="69"/>
      <c r="S251" s="68"/>
    </row>
    <row r="252" spans="1:19" ht="27" x14ac:dyDescent="0.4">
      <c r="A252" s="65"/>
      <c r="B252" s="65"/>
      <c r="C252" s="66"/>
      <c r="D252" s="66"/>
      <c r="E252" s="67"/>
      <c r="F252" s="68"/>
      <c r="G252" s="68"/>
      <c r="H252" s="66"/>
      <c r="I252" s="67"/>
      <c r="J252" s="67"/>
      <c r="K252" s="67"/>
      <c r="L252" s="66"/>
      <c r="M252" s="68"/>
      <c r="N252" s="66"/>
      <c r="O252" s="69"/>
      <c r="P252" s="67"/>
      <c r="Q252" s="69"/>
      <c r="R252" s="69"/>
      <c r="S252" s="68"/>
    </row>
    <row r="253" spans="1:19" ht="27" x14ac:dyDescent="0.4">
      <c r="A253" s="65"/>
      <c r="B253" s="65"/>
      <c r="C253" s="66"/>
      <c r="D253" s="66"/>
      <c r="E253" s="67"/>
      <c r="F253" s="68"/>
      <c r="G253" s="68"/>
      <c r="H253" s="66"/>
      <c r="I253" s="67"/>
      <c r="J253" s="67"/>
      <c r="K253" s="67"/>
      <c r="L253" s="66"/>
      <c r="M253" s="68"/>
      <c r="N253" s="66"/>
      <c r="O253" s="69"/>
      <c r="P253" s="67"/>
      <c r="Q253" s="69"/>
      <c r="R253" s="69"/>
      <c r="S253" s="70"/>
    </row>
    <row r="254" spans="1:19" ht="27" x14ac:dyDescent="0.4">
      <c r="A254" s="65"/>
      <c r="B254" s="65"/>
      <c r="C254" s="66"/>
      <c r="D254" s="66"/>
      <c r="E254" s="67"/>
      <c r="F254" s="68"/>
      <c r="G254" s="68"/>
      <c r="H254" s="66"/>
      <c r="I254" s="67"/>
      <c r="J254" s="67"/>
      <c r="K254" s="67"/>
      <c r="L254" s="66"/>
      <c r="M254" s="68"/>
      <c r="N254" s="66"/>
      <c r="O254" s="69"/>
      <c r="P254" s="67"/>
      <c r="Q254" s="69"/>
      <c r="R254" s="69"/>
      <c r="S254" s="68"/>
    </row>
    <row r="255" spans="1:19" ht="27" x14ac:dyDescent="0.4">
      <c r="A255" s="65"/>
      <c r="B255" s="65"/>
      <c r="C255" s="66"/>
      <c r="D255" s="66"/>
      <c r="E255" s="67"/>
      <c r="F255" s="68"/>
      <c r="G255" s="68"/>
      <c r="H255" s="66"/>
      <c r="I255" s="67"/>
      <c r="J255" s="67"/>
      <c r="K255" s="67"/>
      <c r="L255" s="66"/>
      <c r="M255" s="68"/>
      <c r="N255" s="66"/>
      <c r="O255" s="69"/>
      <c r="P255" s="67"/>
      <c r="Q255" s="69"/>
      <c r="R255" s="69"/>
      <c r="S255" s="68"/>
    </row>
    <row r="256" spans="1:19" ht="27" x14ac:dyDescent="0.4">
      <c r="A256" s="65"/>
      <c r="B256" s="65"/>
      <c r="C256" s="66"/>
      <c r="D256" s="66"/>
      <c r="E256" s="67"/>
      <c r="F256" s="68"/>
      <c r="G256" s="68"/>
      <c r="H256" s="66"/>
      <c r="I256" s="67"/>
      <c r="J256" s="67"/>
      <c r="K256" s="67"/>
      <c r="L256" s="66"/>
      <c r="M256" s="68"/>
      <c r="N256" s="66"/>
      <c r="O256" s="69"/>
      <c r="P256" s="67"/>
      <c r="Q256" s="69"/>
      <c r="R256" s="69"/>
      <c r="S256" s="68"/>
    </row>
    <row r="257" spans="1:19" ht="27" x14ac:dyDescent="0.4">
      <c r="A257" s="65"/>
      <c r="B257" s="65"/>
      <c r="C257" s="66"/>
      <c r="D257" s="66"/>
      <c r="E257" s="67"/>
      <c r="F257" s="68"/>
      <c r="G257" s="68"/>
      <c r="H257" s="66"/>
      <c r="I257" s="67"/>
      <c r="J257" s="67"/>
      <c r="K257" s="67"/>
      <c r="L257" s="66"/>
      <c r="M257" s="68"/>
      <c r="N257" s="66"/>
      <c r="O257" s="69"/>
      <c r="P257" s="67"/>
      <c r="Q257" s="69"/>
      <c r="R257" s="69"/>
      <c r="S257" s="68"/>
    </row>
    <row r="258" spans="1:19" ht="27" x14ac:dyDescent="0.4">
      <c r="A258" s="65"/>
      <c r="B258" s="65"/>
      <c r="C258" s="66"/>
      <c r="D258" s="66"/>
      <c r="E258" s="67"/>
      <c r="F258" s="68"/>
      <c r="G258" s="68"/>
      <c r="H258" s="66"/>
      <c r="I258" s="67"/>
      <c r="J258" s="67"/>
      <c r="K258" s="67"/>
      <c r="L258" s="66"/>
      <c r="M258" s="68"/>
      <c r="N258" s="66"/>
      <c r="O258" s="69"/>
      <c r="P258" s="67"/>
      <c r="Q258" s="69"/>
      <c r="R258" s="69"/>
      <c r="S258" s="68"/>
    </row>
    <row r="259" spans="1:19" ht="27" x14ac:dyDescent="0.4">
      <c r="A259" s="65"/>
      <c r="B259" s="65"/>
      <c r="C259" s="66"/>
      <c r="D259" s="66"/>
      <c r="E259" s="67"/>
      <c r="F259" s="68"/>
      <c r="G259" s="68"/>
      <c r="H259" s="66"/>
      <c r="I259" s="67"/>
      <c r="J259" s="67"/>
      <c r="K259" s="67"/>
      <c r="L259" s="66"/>
      <c r="M259" s="68"/>
      <c r="N259" s="66"/>
      <c r="O259" s="69"/>
      <c r="P259" s="67"/>
      <c r="Q259" s="69"/>
      <c r="R259" s="69"/>
      <c r="S259" s="68"/>
    </row>
    <row r="260" spans="1:19" ht="27" x14ac:dyDescent="0.4">
      <c r="A260" s="65"/>
      <c r="B260" s="65"/>
      <c r="C260" s="66"/>
      <c r="D260" s="66"/>
      <c r="E260" s="67"/>
      <c r="F260" s="68"/>
      <c r="G260" s="68"/>
      <c r="H260" s="66"/>
      <c r="I260" s="67"/>
      <c r="J260" s="67"/>
      <c r="K260" s="67"/>
      <c r="L260" s="66"/>
      <c r="M260" s="68"/>
      <c r="N260" s="66"/>
      <c r="O260" s="69"/>
      <c r="P260" s="67"/>
      <c r="Q260" s="69"/>
      <c r="R260" s="69"/>
      <c r="S260" s="68"/>
    </row>
    <row r="261" spans="1:19" ht="27" x14ac:dyDescent="0.4">
      <c r="A261" s="65"/>
      <c r="B261" s="65"/>
      <c r="C261" s="66"/>
      <c r="D261" s="66"/>
      <c r="E261" s="67"/>
      <c r="F261" s="68"/>
      <c r="G261" s="68"/>
      <c r="H261" s="66"/>
      <c r="I261" s="67"/>
      <c r="J261" s="67"/>
      <c r="K261" s="67"/>
      <c r="L261" s="66"/>
      <c r="M261" s="68"/>
      <c r="N261" s="66"/>
      <c r="O261" s="69"/>
      <c r="P261" s="67"/>
      <c r="Q261" s="69"/>
      <c r="R261" s="69"/>
      <c r="S261" s="68"/>
    </row>
    <row r="262" spans="1:19" ht="27" x14ac:dyDescent="0.4">
      <c r="A262" s="65"/>
      <c r="B262" s="65"/>
      <c r="C262" s="66"/>
      <c r="D262" s="66"/>
      <c r="E262" s="67"/>
      <c r="F262" s="68"/>
      <c r="G262" s="68"/>
      <c r="H262" s="66"/>
      <c r="I262" s="67"/>
      <c r="J262" s="67"/>
      <c r="K262" s="67"/>
      <c r="L262" s="66"/>
      <c r="M262" s="68"/>
      <c r="N262" s="66"/>
      <c r="O262" s="69"/>
      <c r="P262" s="67"/>
      <c r="Q262" s="69"/>
      <c r="R262" s="69"/>
      <c r="S262" s="68"/>
    </row>
    <row r="263" spans="1:19" ht="27" x14ac:dyDescent="0.4">
      <c r="A263" s="65"/>
      <c r="B263" s="65"/>
      <c r="C263" s="66"/>
      <c r="D263" s="66"/>
      <c r="E263" s="67"/>
      <c r="F263" s="68"/>
      <c r="G263" s="68"/>
      <c r="H263" s="66"/>
      <c r="I263" s="67"/>
      <c r="J263" s="67"/>
      <c r="K263" s="67"/>
      <c r="L263" s="66"/>
      <c r="M263" s="68"/>
      <c r="N263" s="66"/>
      <c r="O263" s="69"/>
      <c r="P263" s="67"/>
      <c r="Q263" s="69"/>
      <c r="R263" s="69"/>
      <c r="S263" s="70"/>
    </row>
    <row r="264" spans="1:19" ht="27" x14ac:dyDescent="0.4">
      <c r="A264" s="65"/>
      <c r="B264" s="65"/>
      <c r="C264" s="66"/>
      <c r="D264" s="66"/>
      <c r="E264" s="67"/>
      <c r="F264" s="68"/>
      <c r="G264" s="68"/>
      <c r="H264" s="66"/>
      <c r="I264" s="67"/>
      <c r="J264" s="67"/>
      <c r="K264" s="67"/>
      <c r="L264" s="66"/>
      <c r="M264" s="68"/>
      <c r="N264" s="66"/>
      <c r="O264" s="69"/>
      <c r="P264" s="67"/>
      <c r="Q264" s="69"/>
      <c r="R264" s="69"/>
      <c r="S264" s="70"/>
    </row>
    <row r="265" spans="1:19" ht="27" x14ac:dyDescent="0.4">
      <c r="A265" s="65"/>
      <c r="B265" s="65"/>
      <c r="C265" s="66"/>
      <c r="D265" s="121"/>
      <c r="E265" s="67"/>
      <c r="F265" s="68"/>
      <c r="G265" s="68"/>
      <c r="H265" s="66"/>
      <c r="I265" s="67"/>
      <c r="J265" s="67"/>
      <c r="K265" s="67"/>
      <c r="L265" s="66"/>
      <c r="M265" s="68"/>
      <c r="N265" s="66"/>
      <c r="O265" s="69"/>
      <c r="P265" s="67"/>
      <c r="Q265" s="69"/>
      <c r="R265" s="69"/>
      <c r="S265" s="70"/>
    </row>
    <row r="266" spans="1:19" ht="27" x14ac:dyDescent="0.4">
      <c r="A266" s="65"/>
      <c r="B266" s="65"/>
      <c r="C266" s="66"/>
      <c r="D266" s="66"/>
      <c r="E266" s="67"/>
      <c r="F266" s="68"/>
      <c r="G266" s="68"/>
      <c r="H266" s="66"/>
      <c r="I266" s="67"/>
      <c r="J266" s="67"/>
      <c r="K266" s="67"/>
      <c r="L266" s="66"/>
      <c r="M266" s="68"/>
      <c r="N266" s="66"/>
      <c r="O266" s="69"/>
      <c r="P266" s="67"/>
      <c r="Q266" s="69"/>
      <c r="R266" s="69"/>
      <c r="S266" s="70"/>
    </row>
    <row r="267" spans="1:19" ht="27" x14ac:dyDescent="0.4">
      <c r="A267" s="65"/>
      <c r="B267" s="65"/>
      <c r="C267" s="66"/>
      <c r="D267" s="66"/>
      <c r="E267" s="67"/>
      <c r="F267" s="68"/>
      <c r="G267" s="68"/>
      <c r="H267" s="66"/>
      <c r="I267" s="67"/>
      <c r="J267" s="67"/>
      <c r="K267" s="67"/>
      <c r="L267" s="66"/>
      <c r="M267" s="68"/>
      <c r="N267" s="66"/>
      <c r="O267" s="69"/>
      <c r="P267" s="67"/>
      <c r="Q267" s="69"/>
      <c r="R267" s="69"/>
      <c r="S267" s="70"/>
    </row>
    <row r="268" spans="1:19" ht="27" x14ac:dyDescent="0.4">
      <c r="A268" s="65"/>
      <c r="B268" s="65"/>
      <c r="C268" s="66"/>
      <c r="D268" s="66"/>
      <c r="E268" s="67"/>
      <c r="F268" s="68"/>
      <c r="G268" s="68"/>
      <c r="H268" s="66"/>
      <c r="I268" s="67"/>
      <c r="J268" s="67"/>
      <c r="K268" s="67"/>
      <c r="L268" s="66"/>
      <c r="M268" s="68"/>
      <c r="N268" s="66"/>
      <c r="O268" s="69"/>
      <c r="P268" s="67"/>
      <c r="Q268" s="69"/>
      <c r="R268" s="69"/>
      <c r="S268" s="70"/>
    </row>
    <row r="269" spans="1:19" ht="27" x14ac:dyDescent="0.4">
      <c r="A269" s="65"/>
      <c r="B269" s="65"/>
      <c r="C269" s="66"/>
      <c r="D269" s="66"/>
      <c r="E269" s="67"/>
      <c r="F269" s="68"/>
      <c r="G269" s="68"/>
      <c r="H269" s="66"/>
      <c r="I269" s="67"/>
      <c r="J269" s="67"/>
      <c r="K269" s="67"/>
      <c r="L269" s="66"/>
      <c r="M269" s="68"/>
      <c r="N269" s="66"/>
      <c r="O269" s="69"/>
      <c r="P269" s="67"/>
      <c r="Q269" s="69"/>
      <c r="R269" s="69"/>
      <c r="S269" s="70"/>
    </row>
    <row r="270" spans="1:19" ht="27" x14ac:dyDescent="0.4">
      <c r="A270" s="65"/>
      <c r="B270" s="65"/>
      <c r="C270" s="66"/>
      <c r="D270" s="66"/>
      <c r="E270" s="67"/>
      <c r="F270" s="68"/>
      <c r="G270" s="68"/>
      <c r="H270" s="66"/>
      <c r="I270" s="67"/>
      <c r="J270" s="67"/>
      <c r="K270" s="67"/>
      <c r="L270" s="66"/>
      <c r="M270" s="68"/>
      <c r="N270" s="66"/>
      <c r="O270" s="69"/>
      <c r="P270" s="67"/>
      <c r="Q270" s="69"/>
      <c r="R270" s="69"/>
      <c r="S270" s="68"/>
    </row>
    <row r="271" spans="1:19" ht="27" x14ac:dyDescent="0.4">
      <c r="A271" s="65"/>
      <c r="B271" s="65"/>
      <c r="C271" s="66"/>
      <c r="D271" s="66"/>
      <c r="E271" s="67"/>
      <c r="F271" s="68"/>
      <c r="G271" s="68"/>
      <c r="H271" s="66"/>
      <c r="I271" s="67"/>
      <c r="J271" s="67"/>
      <c r="K271" s="67"/>
      <c r="L271" s="66"/>
      <c r="M271" s="68"/>
      <c r="N271" s="66"/>
      <c r="O271" s="69"/>
      <c r="P271" s="67"/>
      <c r="Q271" s="69"/>
      <c r="R271" s="69"/>
      <c r="S271" s="68"/>
    </row>
    <row r="272" spans="1:19" ht="27" x14ac:dyDescent="0.4">
      <c r="A272" s="65"/>
      <c r="B272" s="65"/>
      <c r="C272" s="66"/>
      <c r="D272" s="66"/>
      <c r="E272" s="67"/>
      <c r="F272" s="68"/>
      <c r="G272" s="68"/>
      <c r="H272" s="66"/>
      <c r="I272" s="67"/>
      <c r="J272" s="67"/>
      <c r="K272" s="67"/>
      <c r="L272" s="66"/>
      <c r="M272" s="68"/>
      <c r="N272" s="66"/>
      <c r="O272" s="69"/>
      <c r="P272" s="67"/>
      <c r="Q272" s="69"/>
      <c r="R272" s="69"/>
      <c r="S272" s="68"/>
    </row>
    <row r="273" spans="1:19" ht="27" x14ac:dyDescent="0.4">
      <c r="A273" s="65"/>
      <c r="B273" s="65"/>
      <c r="C273" s="66"/>
      <c r="D273" s="66"/>
      <c r="E273" s="67"/>
      <c r="F273" s="68"/>
      <c r="G273" s="68"/>
      <c r="H273" s="66"/>
      <c r="I273" s="67"/>
      <c r="J273" s="67"/>
      <c r="K273" s="67"/>
      <c r="L273" s="66"/>
      <c r="M273" s="68"/>
      <c r="N273" s="66"/>
      <c r="O273" s="69"/>
      <c r="P273" s="67"/>
      <c r="Q273" s="69"/>
      <c r="R273" s="69"/>
      <c r="S273" s="68"/>
    </row>
    <row r="274" spans="1:19" ht="27" x14ac:dyDescent="0.4">
      <c r="A274" s="65"/>
      <c r="B274" s="65"/>
      <c r="C274" s="66"/>
      <c r="D274" s="66"/>
      <c r="E274" s="67"/>
      <c r="F274" s="68"/>
      <c r="G274" s="68"/>
      <c r="H274" s="66"/>
      <c r="I274" s="67"/>
      <c r="J274" s="67"/>
      <c r="K274" s="67"/>
      <c r="L274" s="66"/>
      <c r="M274" s="68"/>
      <c r="N274" s="66"/>
      <c r="O274" s="69"/>
      <c r="P274" s="67"/>
      <c r="Q274" s="69"/>
      <c r="R274" s="69"/>
      <c r="S274" s="68"/>
    </row>
    <row r="275" spans="1:19" ht="27" x14ac:dyDescent="0.4">
      <c r="A275" s="65"/>
      <c r="B275" s="65"/>
      <c r="C275" s="66"/>
      <c r="D275" s="66"/>
      <c r="E275" s="67"/>
      <c r="F275" s="68"/>
      <c r="G275" s="68"/>
      <c r="H275" s="66"/>
      <c r="I275" s="67"/>
      <c r="J275" s="67"/>
      <c r="K275" s="67"/>
      <c r="L275" s="66"/>
      <c r="M275" s="68"/>
      <c r="N275" s="66"/>
      <c r="O275" s="69"/>
      <c r="P275" s="67"/>
      <c r="Q275" s="69"/>
      <c r="R275" s="69"/>
      <c r="S275" s="68"/>
    </row>
    <row r="276" spans="1:19" ht="27" x14ac:dyDescent="0.4">
      <c r="A276" s="65"/>
      <c r="B276" s="65"/>
      <c r="C276" s="66"/>
      <c r="D276" s="66"/>
      <c r="E276" s="67"/>
      <c r="F276" s="68"/>
      <c r="G276" s="68"/>
      <c r="H276" s="66"/>
      <c r="I276" s="67"/>
      <c r="J276" s="67"/>
      <c r="K276" s="67"/>
      <c r="L276" s="66"/>
      <c r="M276" s="68"/>
      <c r="N276" s="66"/>
      <c r="O276" s="69"/>
      <c r="P276" s="67"/>
      <c r="Q276" s="69"/>
      <c r="R276" s="69"/>
      <c r="S276" s="68"/>
    </row>
    <row r="277" spans="1:19" ht="27" x14ac:dyDescent="0.4">
      <c r="A277" s="65"/>
      <c r="B277" s="65"/>
      <c r="C277" s="66"/>
      <c r="D277" s="66"/>
      <c r="E277" s="67"/>
      <c r="F277" s="68"/>
      <c r="G277" s="68"/>
      <c r="H277" s="66"/>
      <c r="I277" s="67"/>
      <c r="J277" s="67"/>
      <c r="K277" s="67"/>
      <c r="L277" s="66"/>
      <c r="M277" s="68"/>
      <c r="N277" s="66"/>
      <c r="O277" s="69"/>
      <c r="P277" s="67"/>
      <c r="Q277" s="69"/>
      <c r="R277" s="69"/>
      <c r="S277" s="68"/>
    </row>
    <row r="278" spans="1:19" ht="27" x14ac:dyDescent="0.4">
      <c r="A278" s="65"/>
      <c r="B278" s="65"/>
      <c r="C278" s="66"/>
      <c r="D278" s="66"/>
      <c r="E278" s="67"/>
      <c r="F278" s="68"/>
      <c r="G278" s="68"/>
      <c r="H278" s="66"/>
      <c r="I278" s="67"/>
      <c r="J278" s="67"/>
      <c r="K278" s="67"/>
      <c r="L278" s="66"/>
      <c r="M278" s="68"/>
      <c r="N278" s="66"/>
      <c r="O278" s="69"/>
      <c r="P278" s="67"/>
      <c r="Q278" s="69"/>
      <c r="R278" s="69"/>
      <c r="S278" s="68"/>
    </row>
    <row r="279" spans="1:19" ht="27" x14ac:dyDescent="0.4">
      <c r="A279" s="65"/>
      <c r="B279" s="65"/>
      <c r="C279" s="66"/>
      <c r="D279" s="66"/>
      <c r="E279" s="67"/>
      <c r="F279" s="68"/>
      <c r="G279" s="68"/>
      <c r="H279" s="66"/>
      <c r="I279" s="67"/>
      <c r="J279" s="67"/>
      <c r="K279" s="67"/>
      <c r="L279" s="66"/>
      <c r="M279" s="68"/>
      <c r="N279" s="66"/>
      <c r="O279" s="69"/>
      <c r="P279" s="67"/>
      <c r="Q279" s="69"/>
      <c r="R279" s="69"/>
      <c r="S279" s="68"/>
    </row>
    <row r="280" spans="1:19" ht="27" x14ac:dyDescent="0.4">
      <c r="A280" s="65"/>
      <c r="B280" s="65"/>
      <c r="C280" s="66"/>
      <c r="D280" s="66"/>
      <c r="E280" s="67"/>
      <c r="F280" s="68"/>
      <c r="G280" s="68"/>
      <c r="H280" s="66"/>
      <c r="I280" s="67"/>
      <c r="J280" s="67"/>
      <c r="K280" s="67"/>
      <c r="L280" s="66"/>
      <c r="M280" s="68"/>
      <c r="N280" s="66"/>
      <c r="O280" s="69"/>
      <c r="P280" s="67"/>
      <c r="Q280" s="69"/>
      <c r="R280" s="69"/>
      <c r="S280" s="68"/>
    </row>
    <row r="281" spans="1:19" ht="27" x14ac:dyDescent="0.4">
      <c r="A281" s="65"/>
      <c r="B281" s="65"/>
      <c r="C281" s="66"/>
      <c r="D281" s="66"/>
      <c r="E281" s="67"/>
      <c r="F281" s="68"/>
      <c r="G281" s="68"/>
      <c r="H281" s="66"/>
      <c r="I281" s="67"/>
      <c r="J281" s="67"/>
      <c r="K281" s="67"/>
      <c r="L281" s="66"/>
      <c r="M281" s="68"/>
      <c r="N281" s="66"/>
      <c r="O281" s="69"/>
      <c r="P281" s="67"/>
      <c r="Q281" s="69"/>
      <c r="R281" s="69"/>
      <c r="S281" s="68"/>
    </row>
    <row r="282" spans="1:19" ht="27" x14ac:dyDescent="0.4">
      <c r="A282" s="65"/>
      <c r="B282" s="65"/>
      <c r="C282" s="66"/>
      <c r="D282" s="66"/>
      <c r="E282" s="67"/>
      <c r="F282" s="68"/>
      <c r="G282" s="68"/>
      <c r="H282" s="66"/>
      <c r="I282" s="67"/>
      <c r="J282" s="67"/>
      <c r="K282" s="67"/>
      <c r="L282" s="66"/>
      <c r="M282" s="68"/>
      <c r="N282" s="66"/>
      <c r="O282" s="69"/>
      <c r="P282" s="67"/>
      <c r="Q282" s="69"/>
      <c r="R282" s="69"/>
      <c r="S282" s="68"/>
    </row>
    <row r="283" spans="1:19" ht="27" x14ac:dyDescent="0.4">
      <c r="A283" s="65"/>
      <c r="B283" s="65"/>
      <c r="C283" s="66"/>
      <c r="D283" s="66"/>
      <c r="E283" s="67"/>
      <c r="F283" s="68"/>
      <c r="G283" s="68"/>
      <c r="H283" s="66"/>
      <c r="I283" s="67"/>
      <c r="J283" s="67"/>
      <c r="K283" s="67"/>
      <c r="L283" s="66"/>
      <c r="M283" s="68"/>
      <c r="N283" s="66"/>
      <c r="O283" s="69"/>
      <c r="P283" s="67"/>
      <c r="Q283" s="69"/>
      <c r="R283" s="69"/>
      <c r="S283" s="68"/>
    </row>
    <row r="284" spans="1:19" ht="27" x14ac:dyDescent="0.4">
      <c r="A284" s="65"/>
      <c r="B284" s="65"/>
      <c r="C284" s="66"/>
      <c r="D284" s="66"/>
      <c r="E284" s="67"/>
      <c r="F284" s="68"/>
      <c r="G284" s="68"/>
      <c r="H284" s="66"/>
      <c r="I284" s="67"/>
      <c r="J284" s="67"/>
      <c r="K284" s="67"/>
      <c r="L284" s="66"/>
      <c r="M284" s="68"/>
      <c r="N284" s="66"/>
      <c r="O284" s="69"/>
      <c r="P284" s="67"/>
      <c r="Q284" s="69"/>
      <c r="R284" s="69"/>
      <c r="S284" s="68"/>
    </row>
    <row r="285" spans="1:19" ht="27" x14ac:dyDescent="0.4">
      <c r="A285" s="65"/>
      <c r="B285" s="65"/>
      <c r="C285" s="66"/>
      <c r="D285" s="66"/>
      <c r="E285" s="67"/>
      <c r="F285" s="68"/>
      <c r="G285" s="68"/>
      <c r="H285" s="66"/>
      <c r="I285" s="67"/>
      <c r="J285" s="67"/>
      <c r="K285" s="67"/>
      <c r="L285" s="66"/>
      <c r="M285" s="68"/>
      <c r="N285" s="66"/>
      <c r="O285" s="69"/>
      <c r="P285" s="67"/>
      <c r="Q285" s="69"/>
      <c r="R285" s="69"/>
      <c r="S285" s="68"/>
    </row>
    <row r="286" spans="1:19" ht="27" x14ac:dyDescent="0.4">
      <c r="A286" s="65"/>
      <c r="B286" s="65"/>
      <c r="C286" s="66"/>
      <c r="D286" s="66"/>
      <c r="E286" s="67"/>
      <c r="F286" s="68"/>
      <c r="G286" s="68"/>
      <c r="H286" s="66"/>
      <c r="I286" s="67"/>
      <c r="J286" s="67"/>
      <c r="K286" s="67"/>
      <c r="L286" s="66"/>
      <c r="M286" s="68"/>
      <c r="N286" s="66"/>
      <c r="O286" s="69"/>
      <c r="P286" s="67"/>
      <c r="Q286" s="69"/>
      <c r="R286" s="69"/>
      <c r="S286" s="68"/>
    </row>
    <row r="287" spans="1:19" ht="27" x14ac:dyDescent="0.4">
      <c r="A287" s="65"/>
      <c r="B287" s="65"/>
      <c r="C287" s="66"/>
      <c r="D287" s="66"/>
      <c r="E287" s="67"/>
      <c r="F287" s="68"/>
      <c r="G287" s="68"/>
      <c r="H287" s="66"/>
      <c r="I287" s="67"/>
      <c r="J287" s="67"/>
      <c r="K287" s="67"/>
      <c r="L287" s="66"/>
      <c r="M287" s="68"/>
      <c r="N287" s="66"/>
      <c r="O287" s="69"/>
      <c r="P287" s="67"/>
      <c r="Q287" s="69"/>
      <c r="R287" s="69"/>
      <c r="S287" s="68"/>
    </row>
    <row r="288" spans="1:19" ht="27" x14ac:dyDescent="0.4">
      <c r="A288" s="65"/>
      <c r="B288" s="65"/>
      <c r="C288" s="66"/>
      <c r="D288" s="66"/>
      <c r="E288" s="67"/>
      <c r="F288" s="68"/>
      <c r="G288" s="68"/>
      <c r="H288" s="66"/>
      <c r="I288" s="67"/>
      <c r="J288" s="67"/>
      <c r="K288" s="67"/>
      <c r="L288" s="66"/>
      <c r="M288" s="68"/>
      <c r="N288" s="66"/>
      <c r="O288" s="69"/>
      <c r="P288" s="67"/>
      <c r="Q288" s="69"/>
      <c r="R288" s="69"/>
      <c r="S288" s="68"/>
    </row>
    <row r="289" spans="1:19" ht="27" x14ac:dyDescent="0.4">
      <c r="A289" s="65"/>
      <c r="B289" s="65"/>
      <c r="C289" s="66"/>
      <c r="D289" s="65"/>
      <c r="E289" s="67"/>
      <c r="F289" s="68"/>
      <c r="G289" s="68"/>
      <c r="H289" s="66"/>
      <c r="I289" s="67"/>
      <c r="J289" s="67"/>
      <c r="K289" s="67"/>
      <c r="L289" s="66"/>
      <c r="M289" s="68"/>
      <c r="N289" s="66"/>
      <c r="O289" s="69"/>
      <c r="P289" s="67"/>
      <c r="Q289" s="69"/>
      <c r="R289" s="69"/>
      <c r="S289" s="68"/>
    </row>
    <row r="290" spans="1:19" ht="27" x14ac:dyDescent="0.4">
      <c r="A290" s="65"/>
      <c r="B290" s="65"/>
      <c r="C290" s="66"/>
      <c r="D290" s="66"/>
      <c r="E290" s="67"/>
      <c r="F290" s="68"/>
      <c r="G290" s="68"/>
      <c r="H290" s="66"/>
      <c r="I290" s="67"/>
      <c r="J290" s="67"/>
      <c r="K290" s="67"/>
      <c r="L290" s="66"/>
      <c r="M290" s="68"/>
      <c r="N290" s="66"/>
      <c r="O290" s="69"/>
      <c r="P290" s="67"/>
      <c r="Q290" s="69"/>
      <c r="R290" s="69"/>
      <c r="S290" s="68"/>
    </row>
    <row r="291" spans="1:19" ht="27" x14ac:dyDescent="0.4">
      <c r="A291" s="65"/>
      <c r="B291" s="65"/>
      <c r="C291" s="66"/>
      <c r="D291" s="66"/>
      <c r="E291" s="67"/>
      <c r="F291" s="68"/>
      <c r="G291" s="68"/>
      <c r="H291" s="66"/>
      <c r="I291" s="67"/>
      <c r="J291" s="67"/>
      <c r="K291" s="67"/>
      <c r="L291" s="66"/>
      <c r="M291" s="68"/>
      <c r="N291" s="66"/>
      <c r="O291" s="69"/>
      <c r="P291" s="67"/>
      <c r="Q291" s="69"/>
      <c r="R291" s="69"/>
      <c r="S291" s="68"/>
    </row>
    <row r="292" spans="1:19" ht="27" x14ac:dyDescent="0.4">
      <c r="A292" s="65"/>
      <c r="B292" s="65"/>
      <c r="C292" s="66"/>
      <c r="D292" s="66"/>
      <c r="E292" s="67"/>
      <c r="F292" s="68"/>
      <c r="G292" s="68"/>
      <c r="H292" s="66"/>
      <c r="I292" s="67"/>
      <c r="J292" s="67"/>
      <c r="K292" s="67"/>
      <c r="L292" s="66"/>
      <c r="M292" s="68"/>
      <c r="N292" s="66"/>
      <c r="O292" s="69"/>
      <c r="P292" s="67"/>
      <c r="Q292" s="69"/>
      <c r="R292" s="69"/>
      <c r="S292" s="68"/>
    </row>
    <row r="293" spans="1:19" ht="27" x14ac:dyDescent="0.4">
      <c r="A293" s="65"/>
      <c r="B293" s="65"/>
      <c r="C293" s="66"/>
      <c r="D293" s="66"/>
      <c r="E293" s="67"/>
      <c r="F293" s="68"/>
      <c r="G293" s="68"/>
      <c r="H293" s="66"/>
      <c r="I293" s="67"/>
      <c r="J293" s="67"/>
      <c r="K293" s="67"/>
      <c r="L293" s="66"/>
      <c r="M293" s="68"/>
      <c r="N293" s="66"/>
      <c r="O293" s="69"/>
      <c r="P293" s="67"/>
      <c r="Q293" s="69"/>
      <c r="R293" s="69"/>
      <c r="S293" s="68"/>
    </row>
    <row r="294" spans="1:19" ht="27" x14ac:dyDescent="0.4">
      <c r="A294" s="65"/>
      <c r="B294" s="65"/>
      <c r="C294" s="66"/>
      <c r="D294" s="66"/>
      <c r="E294" s="67"/>
      <c r="F294" s="68"/>
      <c r="G294" s="68"/>
      <c r="H294" s="66"/>
      <c r="I294" s="67"/>
      <c r="J294" s="67"/>
      <c r="K294" s="67"/>
      <c r="L294" s="66"/>
      <c r="M294" s="68"/>
      <c r="N294" s="66"/>
      <c r="O294" s="69"/>
      <c r="P294" s="67"/>
      <c r="Q294" s="69"/>
      <c r="R294" s="69"/>
      <c r="S294" s="68"/>
    </row>
    <row r="295" spans="1:19" ht="27" x14ac:dyDescent="0.4">
      <c r="A295" s="65"/>
      <c r="B295" s="65"/>
      <c r="C295" s="66"/>
      <c r="D295" s="66"/>
      <c r="E295" s="67"/>
      <c r="F295" s="68"/>
      <c r="G295" s="68"/>
      <c r="H295" s="66"/>
      <c r="I295" s="67"/>
      <c r="J295" s="67"/>
      <c r="K295" s="67"/>
      <c r="L295" s="66"/>
      <c r="M295" s="68"/>
      <c r="N295" s="66"/>
      <c r="O295" s="69"/>
      <c r="P295" s="67"/>
      <c r="Q295" s="69"/>
      <c r="R295" s="69"/>
      <c r="S295" s="68"/>
    </row>
    <row r="296" spans="1:19" ht="27" x14ac:dyDescent="0.4">
      <c r="A296" s="65"/>
      <c r="B296" s="65"/>
      <c r="C296" s="66"/>
      <c r="D296" s="66"/>
      <c r="E296" s="67"/>
      <c r="F296" s="68"/>
      <c r="G296" s="68"/>
      <c r="H296" s="66"/>
      <c r="I296" s="67"/>
      <c r="J296" s="67"/>
      <c r="K296" s="67"/>
      <c r="L296" s="66"/>
      <c r="M296" s="68"/>
      <c r="N296" s="66"/>
      <c r="O296" s="69"/>
      <c r="P296" s="67"/>
      <c r="Q296" s="69"/>
      <c r="R296" s="69"/>
      <c r="S296" s="68"/>
    </row>
    <row r="297" spans="1:19" ht="27" x14ac:dyDescent="0.4">
      <c r="A297" s="65"/>
      <c r="B297" s="65"/>
      <c r="C297" s="66"/>
      <c r="D297" s="66"/>
      <c r="E297" s="67"/>
      <c r="F297" s="68"/>
      <c r="G297" s="68"/>
      <c r="H297" s="66"/>
      <c r="I297" s="67"/>
      <c r="J297" s="67"/>
      <c r="K297" s="67"/>
      <c r="L297" s="66"/>
      <c r="M297" s="68"/>
      <c r="N297" s="66"/>
      <c r="O297" s="69"/>
      <c r="P297" s="67"/>
      <c r="Q297" s="69"/>
      <c r="R297" s="69"/>
      <c r="S297" s="68"/>
    </row>
    <row r="298" spans="1:19" ht="27" x14ac:dyDescent="0.4">
      <c r="A298" s="65"/>
      <c r="B298" s="65"/>
      <c r="C298" s="66"/>
      <c r="D298" s="66"/>
      <c r="E298" s="67"/>
      <c r="F298" s="68"/>
      <c r="G298" s="68"/>
      <c r="H298" s="66"/>
      <c r="I298" s="67"/>
      <c r="J298" s="67"/>
      <c r="K298" s="67"/>
      <c r="L298" s="66"/>
      <c r="M298" s="68"/>
      <c r="N298" s="66"/>
      <c r="O298" s="69"/>
      <c r="P298" s="67"/>
      <c r="Q298" s="69"/>
      <c r="R298" s="69"/>
      <c r="S298" s="68"/>
    </row>
    <row r="299" spans="1:19" ht="27" x14ac:dyDescent="0.4">
      <c r="A299" s="65"/>
      <c r="B299" s="65"/>
      <c r="C299" s="66"/>
      <c r="D299" s="66"/>
      <c r="E299" s="67"/>
      <c r="F299" s="68"/>
      <c r="G299" s="68"/>
      <c r="H299" s="66"/>
      <c r="I299" s="67"/>
      <c r="J299" s="67"/>
      <c r="K299" s="67"/>
      <c r="L299" s="66"/>
      <c r="M299" s="68"/>
      <c r="N299" s="66"/>
      <c r="O299" s="69"/>
      <c r="P299" s="67"/>
      <c r="Q299" s="69"/>
      <c r="R299" s="69"/>
      <c r="S299" s="68"/>
    </row>
    <row r="300" spans="1:19" ht="27" x14ac:dyDescent="0.4">
      <c r="A300" s="65"/>
      <c r="B300" s="65"/>
      <c r="C300" s="66"/>
      <c r="D300" s="66"/>
      <c r="E300" s="67"/>
      <c r="F300" s="68"/>
      <c r="G300" s="68"/>
      <c r="H300" s="66"/>
      <c r="I300" s="67"/>
      <c r="J300" s="67"/>
      <c r="K300" s="67"/>
      <c r="L300" s="66"/>
      <c r="M300" s="68"/>
      <c r="N300" s="66"/>
      <c r="O300" s="69"/>
      <c r="P300" s="67"/>
      <c r="Q300" s="69"/>
      <c r="R300" s="69"/>
      <c r="S300" s="68"/>
    </row>
    <row r="301" spans="1:19" ht="27" x14ac:dyDescent="0.4">
      <c r="A301" s="65"/>
      <c r="B301" s="65"/>
      <c r="C301" s="66"/>
      <c r="D301" s="66"/>
      <c r="E301" s="67"/>
      <c r="F301" s="68"/>
      <c r="G301" s="68"/>
      <c r="H301" s="66"/>
      <c r="I301" s="67"/>
      <c r="J301" s="67"/>
      <c r="K301" s="67"/>
      <c r="L301" s="66"/>
      <c r="M301" s="68"/>
      <c r="N301" s="66"/>
      <c r="O301" s="69"/>
      <c r="P301" s="67"/>
      <c r="Q301" s="69"/>
      <c r="R301" s="69"/>
      <c r="S301" s="68"/>
    </row>
    <row r="302" spans="1:19" ht="27" x14ac:dyDescent="0.4">
      <c r="A302" s="65"/>
      <c r="B302" s="65"/>
      <c r="C302" s="66"/>
      <c r="D302" s="66"/>
      <c r="E302" s="67"/>
      <c r="F302" s="68"/>
      <c r="G302" s="68"/>
      <c r="H302" s="66"/>
      <c r="I302" s="67"/>
      <c r="J302" s="67"/>
      <c r="K302" s="67"/>
      <c r="L302" s="66"/>
      <c r="M302" s="68"/>
      <c r="N302" s="66"/>
      <c r="O302" s="69"/>
      <c r="P302" s="67"/>
      <c r="Q302" s="69"/>
      <c r="R302" s="69"/>
      <c r="S302" s="68"/>
    </row>
    <row r="303" spans="1:19" ht="27" x14ac:dyDescent="0.4">
      <c r="A303" s="65"/>
      <c r="B303" s="65"/>
      <c r="C303" s="66"/>
      <c r="D303" s="66"/>
      <c r="E303" s="67"/>
      <c r="F303" s="68"/>
      <c r="G303" s="68"/>
      <c r="H303" s="66"/>
      <c r="I303" s="67"/>
      <c r="J303" s="67"/>
      <c r="K303" s="67"/>
      <c r="L303" s="66"/>
      <c r="M303" s="68"/>
      <c r="N303" s="66"/>
      <c r="O303" s="69"/>
      <c r="P303" s="67"/>
      <c r="Q303" s="69"/>
      <c r="R303" s="69"/>
      <c r="S303" s="68"/>
    </row>
    <row r="304" spans="1:19" ht="27" x14ac:dyDescent="0.4">
      <c r="A304" s="65"/>
      <c r="B304" s="65"/>
      <c r="C304" s="66"/>
      <c r="D304" s="66"/>
      <c r="E304" s="67"/>
      <c r="F304" s="68"/>
      <c r="G304" s="68"/>
      <c r="H304" s="66"/>
      <c r="I304" s="67"/>
      <c r="J304" s="67"/>
      <c r="K304" s="67"/>
      <c r="L304" s="66"/>
      <c r="M304" s="68"/>
      <c r="N304" s="66"/>
      <c r="O304" s="69"/>
      <c r="P304" s="67"/>
      <c r="Q304" s="69"/>
      <c r="R304" s="69"/>
      <c r="S304" s="68"/>
    </row>
    <row r="305" spans="1:19" ht="27" x14ac:dyDescent="0.4">
      <c r="A305" s="65"/>
      <c r="B305" s="65"/>
      <c r="C305" s="66"/>
      <c r="D305" s="66"/>
      <c r="E305" s="67"/>
      <c r="F305" s="68"/>
      <c r="G305" s="68"/>
      <c r="H305" s="66"/>
      <c r="I305" s="67"/>
      <c r="J305" s="67"/>
      <c r="K305" s="67"/>
      <c r="L305" s="66"/>
      <c r="M305" s="68"/>
      <c r="N305" s="66"/>
      <c r="O305" s="69"/>
      <c r="P305" s="67"/>
      <c r="Q305" s="69"/>
      <c r="R305" s="69"/>
      <c r="S305" s="68"/>
    </row>
    <row r="306" spans="1:19" ht="27" x14ac:dyDescent="0.4">
      <c r="A306" s="65"/>
      <c r="B306" s="65"/>
      <c r="C306" s="66"/>
      <c r="D306" s="66"/>
      <c r="E306" s="67"/>
      <c r="F306" s="68"/>
      <c r="G306" s="68"/>
      <c r="H306" s="66"/>
      <c r="I306" s="67"/>
      <c r="J306" s="67"/>
      <c r="K306" s="67"/>
      <c r="L306" s="66"/>
      <c r="M306" s="68"/>
      <c r="N306" s="66"/>
      <c r="O306" s="69"/>
      <c r="P306" s="67"/>
      <c r="Q306" s="69"/>
      <c r="R306" s="69"/>
      <c r="S306" s="68"/>
    </row>
    <row r="307" spans="1:19" ht="27" x14ac:dyDescent="0.4">
      <c r="A307" s="65"/>
      <c r="B307" s="65"/>
      <c r="C307" s="66"/>
      <c r="D307" s="66"/>
      <c r="E307" s="67"/>
      <c r="F307" s="68"/>
      <c r="G307" s="68"/>
      <c r="H307" s="66"/>
      <c r="I307" s="67"/>
      <c r="J307" s="67"/>
      <c r="K307" s="67"/>
      <c r="L307" s="66"/>
      <c r="M307" s="68"/>
      <c r="N307" s="66"/>
      <c r="O307" s="69"/>
      <c r="P307" s="67"/>
      <c r="Q307" s="69"/>
      <c r="R307" s="69"/>
      <c r="S307" s="68"/>
    </row>
    <row r="308" spans="1:19" ht="27" x14ac:dyDescent="0.4">
      <c r="A308" s="65"/>
      <c r="B308" s="65"/>
      <c r="C308" s="66"/>
      <c r="D308" s="66"/>
      <c r="E308" s="67"/>
      <c r="F308" s="68"/>
      <c r="G308" s="68"/>
      <c r="H308" s="66"/>
      <c r="I308" s="67"/>
      <c r="J308" s="67"/>
      <c r="K308" s="67"/>
      <c r="L308" s="66"/>
      <c r="M308" s="68"/>
      <c r="N308" s="66"/>
      <c r="O308" s="69"/>
      <c r="P308" s="67"/>
      <c r="Q308" s="69"/>
      <c r="R308" s="69"/>
      <c r="S308" s="68"/>
    </row>
    <row r="309" spans="1:19" ht="27" x14ac:dyDescent="0.4">
      <c r="A309" s="65"/>
      <c r="B309" s="65"/>
      <c r="C309" s="66"/>
      <c r="D309" s="66"/>
      <c r="E309" s="67"/>
      <c r="F309" s="68"/>
      <c r="G309" s="68"/>
      <c r="H309" s="66"/>
      <c r="I309" s="67"/>
      <c r="J309" s="67"/>
      <c r="K309" s="67"/>
      <c r="L309" s="66"/>
      <c r="M309" s="68"/>
      <c r="N309" s="66"/>
      <c r="O309" s="69"/>
      <c r="P309" s="67"/>
      <c r="Q309" s="69"/>
      <c r="R309" s="69"/>
      <c r="S309" s="68"/>
    </row>
    <row r="310" spans="1:19" ht="27" x14ac:dyDescent="0.4">
      <c r="A310" s="65"/>
      <c r="B310" s="65"/>
      <c r="C310" s="66"/>
      <c r="D310" s="66"/>
      <c r="E310" s="67"/>
      <c r="F310" s="68"/>
      <c r="G310" s="68"/>
      <c r="H310" s="66"/>
      <c r="I310" s="67"/>
      <c r="J310" s="67"/>
      <c r="K310" s="67"/>
      <c r="L310" s="66"/>
      <c r="M310" s="68"/>
      <c r="N310" s="66"/>
      <c r="O310" s="69"/>
      <c r="P310" s="67"/>
      <c r="Q310" s="69"/>
      <c r="R310" s="69"/>
      <c r="S310" s="68"/>
    </row>
    <row r="311" spans="1:19" ht="27" x14ac:dyDescent="0.4">
      <c r="A311" s="65"/>
      <c r="B311" s="65"/>
      <c r="C311" s="66"/>
      <c r="D311" s="66"/>
      <c r="E311" s="67"/>
      <c r="F311" s="68"/>
      <c r="G311" s="68"/>
      <c r="H311" s="66"/>
      <c r="I311" s="67"/>
      <c r="J311" s="67"/>
      <c r="K311" s="67"/>
      <c r="L311" s="66"/>
      <c r="M311" s="68"/>
      <c r="N311" s="66"/>
      <c r="O311" s="69"/>
      <c r="P311" s="67"/>
      <c r="Q311" s="69"/>
      <c r="R311" s="69"/>
      <c r="S311" s="68"/>
    </row>
    <row r="312" spans="1:19" ht="27" x14ac:dyDescent="0.4">
      <c r="A312" s="65"/>
      <c r="B312" s="65"/>
      <c r="C312" s="66"/>
      <c r="D312" s="66"/>
      <c r="E312" s="67"/>
      <c r="F312" s="68"/>
      <c r="G312" s="68"/>
      <c r="H312" s="66"/>
      <c r="I312" s="67"/>
      <c r="J312" s="67"/>
      <c r="K312" s="67"/>
      <c r="L312" s="66"/>
      <c r="M312" s="68"/>
      <c r="N312" s="66"/>
      <c r="O312" s="69"/>
      <c r="P312" s="67"/>
      <c r="Q312" s="69"/>
      <c r="R312" s="69"/>
      <c r="S312" s="68"/>
    </row>
    <row r="313" spans="1:19" ht="27" x14ac:dyDescent="0.4">
      <c r="A313" s="65"/>
      <c r="B313" s="65"/>
      <c r="C313" s="66"/>
      <c r="D313" s="66"/>
      <c r="E313" s="67"/>
      <c r="F313" s="68"/>
      <c r="G313" s="68"/>
      <c r="H313" s="66"/>
      <c r="I313" s="67"/>
      <c r="J313" s="67"/>
      <c r="K313" s="67"/>
      <c r="L313" s="66"/>
      <c r="M313" s="68"/>
      <c r="N313" s="66"/>
      <c r="O313" s="69"/>
      <c r="P313" s="67"/>
      <c r="Q313" s="69"/>
      <c r="R313" s="69"/>
      <c r="S313" s="68"/>
    </row>
    <row r="314" spans="1:19" ht="27" x14ac:dyDescent="0.4">
      <c r="A314" s="65"/>
      <c r="B314" s="65"/>
      <c r="C314" s="66"/>
      <c r="D314" s="66"/>
      <c r="E314" s="67"/>
      <c r="F314" s="68"/>
      <c r="G314" s="68"/>
      <c r="H314" s="66"/>
      <c r="I314" s="67"/>
      <c r="J314" s="67"/>
      <c r="K314" s="67"/>
      <c r="L314" s="66"/>
      <c r="M314" s="68"/>
      <c r="N314" s="66"/>
      <c r="O314" s="69"/>
      <c r="P314" s="67"/>
      <c r="Q314" s="69"/>
      <c r="R314" s="69"/>
      <c r="S314" s="68"/>
    </row>
    <row r="315" spans="1:19" ht="27" x14ac:dyDescent="0.4">
      <c r="A315" s="65"/>
      <c r="B315" s="65"/>
      <c r="C315" s="66"/>
      <c r="D315" s="66"/>
      <c r="E315" s="67"/>
      <c r="F315" s="68"/>
      <c r="G315" s="68"/>
      <c r="H315" s="66"/>
      <c r="I315" s="67"/>
      <c r="J315" s="67"/>
      <c r="K315" s="67"/>
      <c r="L315" s="66"/>
      <c r="M315" s="68"/>
      <c r="N315" s="66"/>
      <c r="O315" s="69"/>
      <c r="P315" s="67"/>
      <c r="Q315" s="69"/>
      <c r="R315" s="69"/>
      <c r="S315" s="68"/>
    </row>
    <row r="316" spans="1:19" ht="27" x14ac:dyDescent="0.4">
      <c r="A316" s="65"/>
      <c r="B316" s="65"/>
      <c r="C316" s="66"/>
      <c r="D316" s="66"/>
      <c r="E316" s="67"/>
      <c r="F316" s="68"/>
      <c r="G316" s="68"/>
      <c r="H316" s="66"/>
      <c r="I316" s="67"/>
      <c r="J316" s="67"/>
      <c r="K316" s="67"/>
      <c r="L316" s="66"/>
      <c r="M316" s="68"/>
      <c r="N316" s="66"/>
      <c r="O316" s="69"/>
      <c r="P316" s="67"/>
      <c r="Q316" s="69"/>
      <c r="R316" s="69"/>
      <c r="S316" s="68"/>
    </row>
    <row r="317" spans="1:19" ht="27" x14ac:dyDescent="0.4">
      <c r="A317" s="65"/>
      <c r="B317" s="65"/>
      <c r="C317" s="66"/>
      <c r="D317" s="66"/>
      <c r="E317" s="67"/>
      <c r="F317" s="68"/>
      <c r="G317" s="68"/>
      <c r="H317" s="66"/>
      <c r="I317" s="67"/>
      <c r="J317" s="67"/>
      <c r="K317" s="67"/>
      <c r="L317" s="66"/>
      <c r="M317" s="68"/>
      <c r="N317" s="66"/>
      <c r="O317" s="69"/>
      <c r="P317" s="67"/>
      <c r="Q317" s="69"/>
      <c r="R317" s="69"/>
      <c r="S317" s="68"/>
    </row>
    <row r="318" spans="1:19" ht="27" x14ac:dyDescent="0.4">
      <c r="A318" s="65"/>
      <c r="B318" s="65"/>
      <c r="C318" s="66"/>
      <c r="D318" s="66"/>
      <c r="E318" s="67"/>
      <c r="F318" s="68"/>
      <c r="G318" s="68"/>
      <c r="H318" s="66"/>
      <c r="I318" s="67"/>
      <c r="J318" s="67"/>
      <c r="K318" s="67"/>
      <c r="L318" s="66"/>
      <c r="M318" s="68"/>
      <c r="N318" s="66"/>
      <c r="O318" s="69"/>
      <c r="P318" s="67"/>
      <c r="Q318" s="69"/>
      <c r="R318" s="69"/>
      <c r="S318" s="68"/>
    </row>
    <row r="319" spans="1:19" ht="27" x14ac:dyDescent="0.4">
      <c r="A319" s="65"/>
      <c r="B319" s="65"/>
      <c r="C319" s="66"/>
      <c r="D319" s="66"/>
      <c r="E319" s="67"/>
      <c r="F319" s="68"/>
      <c r="G319" s="68"/>
      <c r="H319" s="66"/>
      <c r="I319" s="67"/>
      <c r="J319" s="67"/>
      <c r="K319" s="67"/>
      <c r="L319" s="66"/>
      <c r="M319" s="68"/>
      <c r="N319" s="66"/>
      <c r="O319" s="69"/>
      <c r="P319" s="67"/>
      <c r="Q319" s="69"/>
      <c r="R319" s="69"/>
      <c r="S319" s="68"/>
    </row>
    <row r="320" spans="1:19" ht="27" x14ac:dyDescent="0.4">
      <c r="A320" s="65"/>
      <c r="B320" s="65"/>
      <c r="C320" s="66"/>
      <c r="D320" s="66"/>
      <c r="E320" s="67"/>
      <c r="F320" s="68"/>
      <c r="G320" s="68"/>
      <c r="H320" s="66"/>
      <c r="I320" s="67"/>
      <c r="J320" s="67"/>
      <c r="K320" s="67"/>
      <c r="L320" s="66"/>
      <c r="M320" s="68"/>
      <c r="N320" s="66"/>
      <c r="O320" s="69"/>
      <c r="P320" s="67"/>
      <c r="Q320" s="69"/>
      <c r="R320" s="69"/>
      <c r="S320" s="68"/>
    </row>
    <row r="321" spans="1:19" ht="27" x14ac:dyDescent="0.4">
      <c r="A321" s="65"/>
      <c r="B321" s="65"/>
      <c r="C321" s="66"/>
      <c r="D321" s="66"/>
      <c r="E321" s="67"/>
      <c r="F321" s="68"/>
      <c r="G321" s="68"/>
      <c r="H321" s="66"/>
      <c r="I321" s="67"/>
      <c r="J321" s="67"/>
      <c r="K321" s="67"/>
      <c r="L321" s="66"/>
      <c r="M321" s="68"/>
      <c r="N321" s="66"/>
      <c r="O321" s="69"/>
      <c r="P321" s="67"/>
      <c r="Q321" s="69"/>
      <c r="R321" s="69"/>
      <c r="S321" s="68"/>
    </row>
  </sheetData>
  <mergeCells count="11">
    <mergeCell ref="G1:G2"/>
    <mergeCell ref="H1:L1"/>
    <mergeCell ref="M1:M2"/>
    <mergeCell ref="N1:R1"/>
    <mergeCell ref="S1:S2"/>
    <mergeCell ref="A1:A2"/>
    <mergeCell ref="C1:C2"/>
    <mergeCell ref="D1:D2"/>
    <mergeCell ref="E1:E2"/>
    <mergeCell ref="F1:F2"/>
    <mergeCell ref="B1:B2"/>
  </mergeCells>
  <dataValidations count="1">
    <dataValidation type="list" allowBlank="1" showInputMessage="1" showErrorMessage="1" sqref="N3:N321" xr:uid="{0466BEAD-D05E-48BB-B7E4-E01225C77E80}">
      <formula1>INDIRECT(T3)</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16BC-BB72-4D2E-93FC-4D7D1396E97F}">
  <dimension ref="A1:Y321"/>
  <sheetViews>
    <sheetView zoomScale="57" zoomScaleNormal="57" workbookViewId="0">
      <selection activeCell="F19" sqref="F19"/>
    </sheetView>
  </sheetViews>
  <sheetFormatPr defaultRowHeight="17.25" x14ac:dyDescent="0.4"/>
  <cols>
    <col min="1" max="2" width="7.140625" style="1" customWidth="1"/>
    <col min="3" max="3" width="14.7109375" style="1" customWidth="1"/>
    <col min="4" max="4" width="15.5703125" style="1" customWidth="1"/>
    <col min="5" max="5" width="9.28515625" style="1" bestFit="1" customWidth="1"/>
    <col min="6" max="6" width="24.140625" style="1" customWidth="1"/>
    <col min="7" max="7" width="33.28515625" style="1" customWidth="1"/>
    <col min="8" max="8" width="9.140625" style="1"/>
    <col min="9" max="12" width="9.28515625" style="1" bestFit="1" customWidth="1"/>
    <col min="13" max="13" width="37" style="1" customWidth="1"/>
    <col min="14" max="14" width="9.140625" style="1"/>
    <col min="15" max="18" width="9.28515625" style="1" bestFit="1" customWidth="1"/>
    <col min="19" max="19" width="20" style="1" customWidth="1"/>
    <col min="20" max="20" width="9.140625" style="1"/>
    <col min="21" max="21" width="9.28515625" style="1" bestFit="1" customWidth="1"/>
    <col min="22" max="22" width="9.140625" style="1"/>
    <col min="23" max="23" width="9.42578125" style="1" customWidth="1"/>
    <col min="24" max="24" width="14.140625" style="1" customWidth="1"/>
    <col min="25" max="25" width="13.140625" style="1" customWidth="1"/>
    <col min="26" max="16384" width="9.140625" style="1"/>
  </cols>
  <sheetData>
    <row r="1" spans="1:19" ht="27" x14ac:dyDescent="0.4">
      <c r="A1" s="164" t="s">
        <v>0</v>
      </c>
      <c r="B1" s="166" t="s">
        <v>64</v>
      </c>
      <c r="C1" s="166" t="s">
        <v>1</v>
      </c>
      <c r="D1" s="164" t="s">
        <v>2</v>
      </c>
      <c r="E1" s="165" t="s">
        <v>3</v>
      </c>
      <c r="F1" s="165" t="s">
        <v>4</v>
      </c>
      <c r="G1" s="161" t="s">
        <v>5</v>
      </c>
      <c r="H1" s="161" t="s">
        <v>6</v>
      </c>
      <c r="I1" s="161"/>
      <c r="J1" s="161"/>
      <c r="K1" s="161"/>
      <c r="L1" s="161"/>
      <c r="M1" s="168" t="s">
        <v>7</v>
      </c>
      <c r="N1" s="168" t="s">
        <v>8</v>
      </c>
      <c r="O1" s="168"/>
      <c r="P1" s="168"/>
      <c r="Q1" s="168"/>
      <c r="R1" s="168"/>
      <c r="S1" s="169" t="s">
        <v>9</v>
      </c>
    </row>
    <row r="2" spans="1:19" ht="108" x14ac:dyDescent="0.4">
      <c r="A2" s="164"/>
      <c r="B2" s="167"/>
      <c r="C2" s="167"/>
      <c r="D2" s="164"/>
      <c r="E2" s="165"/>
      <c r="F2" s="165"/>
      <c r="G2" s="161"/>
      <c r="H2" s="63" t="s">
        <v>10</v>
      </c>
      <c r="I2" s="63" t="s">
        <v>11</v>
      </c>
      <c r="J2" s="63" t="s">
        <v>12</v>
      </c>
      <c r="K2" s="63" t="s">
        <v>13</v>
      </c>
      <c r="L2" s="63" t="s">
        <v>14</v>
      </c>
      <c r="M2" s="168"/>
      <c r="N2" s="64" t="s">
        <v>10</v>
      </c>
      <c r="O2" s="64" t="s">
        <v>11</v>
      </c>
      <c r="P2" s="64" t="s">
        <v>15</v>
      </c>
      <c r="Q2" s="64" t="s">
        <v>16</v>
      </c>
      <c r="R2" s="64" t="s">
        <v>17</v>
      </c>
      <c r="S2" s="169"/>
    </row>
    <row r="3" spans="1:19" ht="27" x14ac:dyDescent="0.4">
      <c r="A3" s="65"/>
      <c r="B3" s="65"/>
      <c r="C3" s="66"/>
      <c r="D3" s="66"/>
      <c r="E3" s="67"/>
      <c r="F3" s="68"/>
      <c r="G3" s="68"/>
      <c r="H3" s="66"/>
      <c r="I3" s="67"/>
      <c r="J3" s="67"/>
      <c r="K3" s="67"/>
      <c r="L3" s="66"/>
      <c r="M3" s="68"/>
      <c r="N3" s="66"/>
      <c r="O3" s="69"/>
      <c r="P3" s="67"/>
      <c r="Q3" s="66"/>
      <c r="R3" s="65"/>
      <c r="S3" s="70"/>
    </row>
    <row r="4" spans="1:19" ht="27" x14ac:dyDescent="0.4">
      <c r="A4" s="65"/>
      <c r="B4" s="65"/>
      <c r="C4" s="66"/>
      <c r="D4" s="66"/>
      <c r="E4" s="67"/>
      <c r="F4" s="68"/>
      <c r="G4" s="68"/>
      <c r="H4" s="66"/>
      <c r="I4" s="67"/>
      <c r="J4" s="67"/>
      <c r="K4" s="67"/>
      <c r="L4" s="66"/>
      <c r="M4" s="68"/>
      <c r="N4" s="66"/>
      <c r="O4" s="69"/>
      <c r="P4" s="67"/>
      <c r="Q4" s="66"/>
      <c r="R4" s="65"/>
      <c r="S4" s="70"/>
    </row>
    <row r="5" spans="1:19" ht="27" x14ac:dyDescent="0.4">
      <c r="A5" s="65"/>
      <c r="B5" s="65"/>
      <c r="C5" s="66"/>
      <c r="D5" s="66"/>
      <c r="E5" s="67"/>
      <c r="F5" s="68"/>
      <c r="G5" s="68"/>
      <c r="H5" s="66"/>
      <c r="I5" s="67"/>
      <c r="J5" s="67"/>
      <c r="K5" s="67"/>
      <c r="L5" s="66"/>
      <c r="M5" s="68"/>
      <c r="N5" s="66"/>
      <c r="O5" s="69"/>
      <c r="P5" s="67"/>
      <c r="Q5" s="66"/>
      <c r="R5" s="65"/>
      <c r="S5" s="68"/>
    </row>
    <row r="6" spans="1:19" ht="27" x14ac:dyDescent="0.4">
      <c r="A6" s="65"/>
      <c r="B6" s="65"/>
      <c r="C6" s="66"/>
      <c r="D6" s="66"/>
      <c r="E6" s="67"/>
      <c r="F6" s="68"/>
      <c r="G6" s="68"/>
      <c r="H6" s="66"/>
      <c r="I6" s="67"/>
      <c r="J6" s="67"/>
      <c r="K6" s="67"/>
      <c r="L6" s="66"/>
      <c r="M6" s="68"/>
      <c r="N6" s="66"/>
      <c r="O6" s="69"/>
      <c r="P6" s="67"/>
      <c r="Q6" s="66"/>
      <c r="R6" s="65"/>
      <c r="S6" s="70"/>
    </row>
    <row r="7" spans="1:19" ht="27" x14ac:dyDescent="0.4">
      <c r="A7" s="65"/>
      <c r="B7" s="65"/>
      <c r="C7" s="66"/>
      <c r="D7" s="66"/>
      <c r="E7" s="67"/>
      <c r="F7" s="68"/>
      <c r="G7" s="68"/>
      <c r="H7" s="66"/>
      <c r="I7" s="67"/>
      <c r="J7" s="67"/>
      <c r="K7" s="67"/>
      <c r="L7" s="66"/>
      <c r="M7" s="68"/>
      <c r="N7" s="66"/>
      <c r="O7" s="69"/>
      <c r="P7" s="67"/>
      <c r="Q7" s="66"/>
      <c r="R7" s="65"/>
      <c r="S7" s="70"/>
    </row>
    <row r="8" spans="1:19" ht="27" x14ac:dyDescent="0.4">
      <c r="A8" s="65"/>
      <c r="B8" s="65"/>
      <c r="C8" s="66"/>
      <c r="D8" s="66"/>
      <c r="E8" s="67"/>
      <c r="F8" s="68"/>
      <c r="G8" s="68"/>
      <c r="H8" s="66"/>
      <c r="I8" s="67"/>
      <c r="J8" s="67"/>
      <c r="K8" s="67"/>
      <c r="L8" s="66"/>
      <c r="M8" s="68"/>
      <c r="N8" s="66"/>
      <c r="O8" s="69"/>
      <c r="P8" s="67"/>
      <c r="Q8" s="66"/>
      <c r="R8" s="65"/>
      <c r="S8" s="70"/>
    </row>
    <row r="9" spans="1:19" ht="27" x14ac:dyDescent="0.4">
      <c r="A9" s="65"/>
      <c r="B9" s="65"/>
      <c r="C9" s="66"/>
      <c r="D9" s="66"/>
      <c r="E9" s="67"/>
      <c r="F9" s="68"/>
      <c r="G9" s="68"/>
      <c r="H9" s="66"/>
      <c r="I9" s="67"/>
      <c r="J9" s="67"/>
      <c r="K9" s="67"/>
      <c r="L9" s="66"/>
      <c r="M9" s="68"/>
      <c r="N9" s="66"/>
      <c r="O9" s="69"/>
      <c r="P9" s="67"/>
      <c r="Q9" s="66"/>
      <c r="R9" s="65"/>
      <c r="S9" s="70"/>
    </row>
    <row r="10" spans="1:19" ht="27" x14ac:dyDescent="0.4">
      <c r="A10" s="65"/>
      <c r="B10" s="65"/>
      <c r="C10" s="66"/>
      <c r="D10" s="66"/>
      <c r="E10" s="67"/>
      <c r="F10" s="68"/>
      <c r="G10" s="68"/>
      <c r="H10" s="66"/>
      <c r="I10" s="67"/>
      <c r="J10" s="67"/>
      <c r="K10" s="67"/>
      <c r="L10" s="66"/>
      <c r="M10" s="68"/>
      <c r="N10" s="66"/>
      <c r="O10" s="69"/>
      <c r="P10" s="67"/>
      <c r="Q10" s="66"/>
      <c r="R10" s="65"/>
      <c r="S10" s="70"/>
    </row>
    <row r="11" spans="1:19" ht="27" x14ac:dyDescent="0.4">
      <c r="A11" s="65"/>
      <c r="B11" s="65"/>
      <c r="C11" s="66"/>
      <c r="D11" s="66"/>
      <c r="E11" s="67"/>
      <c r="F11" s="68"/>
      <c r="G11" s="68"/>
      <c r="H11" s="66"/>
      <c r="I11" s="67"/>
      <c r="J11" s="67"/>
      <c r="K11" s="67"/>
      <c r="L11" s="66"/>
      <c r="M11" s="68"/>
      <c r="N11" s="66"/>
      <c r="O11" s="69"/>
      <c r="P11" s="67"/>
      <c r="Q11" s="66"/>
      <c r="R11" s="65"/>
      <c r="S11" s="70"/>
    </row>
    <row r="12" spans="1:19" ht="27" x14ac:dyDescent="0.4">
      <c r="A12" s="65"/>
      <c r="B12" s="65"/>
      <c r="C12" s="66"/>
      <c r="D12" s="66"/>
      <c r="E12" s="67"/>
      <c r="F12" s="68"/>
      <c r="G12" s="68"/>
      <c r="H12" s="66"/>
      <c r="I12" s="67"/>
      <c r="J12" s="67"/>
      <c r="K12" s="67"/>
      <c r="L12" s="66"/>
      <c r="M12" s="68"/>
      <c r="N12" s="66"/>
      <c r="O12" s="69"/>
      <c r="P12" s="67"/>
      <c r="Q12" s="66"/>
      <c r="R12" s="65"/>
      <c r="S12" s="68"/>
    </row>
    <row r="13" spans="1:19" ht="27" x14ac:dyDescent="0.4">
      <c r="A13" s="65"/>
      <c r="B13" s="65"/>
      <c r="C13" s="66"/>
      <c r="D13" s="66"/>
      <c r="E13" s="67"/>
      <c r="F13" s="68"/>
      <c r="G13" s="68"/>
      <c r="H13" s="66"/>
      <c r="I13" s="67"/>
      <c r="J13" s="67"/>
      <c r="K13" s="67"/>
      <c r="L13" s="66"/>
      <c r="M13" s="68"/>
      <c r="N13" s="66"/>
      <c r="O13" s="69"/>
      <c r="P13" s="67"/>
      <c r="Q13" s="66"/>
      <c r="R13" s="65"/>
      <c r="S13" s="68"/>
    </row>
    <row r="14" spans="1:19" ht="27" x14ac:dyDescent="0.4">
      <c r="A14" s="65"/>
      <c r="B14" s="65"/>
      <c r="C14" s="66"/>
      <c r="D14" s="66"/>
      <c r="E14" s="67"/>
      <c r="F14" s="68"/>
      <c r="G14" s="68"/>
      <c r="H14" s="66"/>
      <c r="I14" s="67"/>
      <c r="J14" s="67"/>
      <c r="K14" s="67"/>
      <c r="L14" s="66"/>
      <c r="M14" s="68"/>
      <c r="N14" s="66"/>
      <c r="O14" s="69"/>
      <c r="P14" s="67"/>
      <c r="Q14" s="66"/>
      <c r="R14" s="65"/>
      <c r="S14" s="68"/>
    </row>
    <row r="15" spans="1:19" ht="27" x14ac:dyDescent="0.4">
      <c r="A15" s="65"/>
      <c r="B15" s="65"/>
      <c r="C15" s="66"/>
      <c r="D15" s="66"/>
      <c r="E15" s="67"/>
      <c r="F15" s="68"/>
      <c r="G15" s="68"/>
      <c r="H15" s="66"/>
      <c r="I15" s="67"/>
      <c r="J15" s="67"/>
      <c r="K15" s="67"/>
      <c r="L15" s="66"/>
      <c r="M15" s="68"/>
      <c r="N15" s="66"/>
      <c r="O15" s="69"/>
      <c r="P15" s="67"/>
      <c r="Q15" s="66"/>
      <c r="R15" s="65"/>
      <c r="S15" s="65"/>
    </row>
    <row r="16" spans="1:19" ht="27" x14ac:dyDescent="0.4">
      <c r="A16" s="65"/>
      <c r="B16" s="65"/>
      <c r="C16" s="66"/>
      <c r="D16" s="66"/>
      <c r="E16" s="67"/>
      <c r="F16" s="68"/>
      <c r="G16" s="68"/>
      <c r="H16" s="66"/>
      <c r="I16" s="67"/>
      <c r="J16" s="67"/>
      <c r="K16" s="67"/>
      <c r="L16" s="66"/>
      <c r="M16" s="68"/>
      <c r="N16" s="66"/>
      <c r="O16" s="69"/>
      <c r="P16" s="67"/>
      <c r="Q16" s="66"/>
      <c r="R16" s="65"/>
      <c r="S16" s="120"/>
    </row>
    <row r="17" spans="1:19" ht="27" x14ac:dyDescent="0.4">
      <c r="A17" s="65"/>
      <c r="B17" s="65"/>
      <c r="C17" s="66"/>
      <c r="D17" s="66"/>
      <c r="E17" s="67"/>
      <c r="F17" s="68"/>
      <c r="G17" s="68"/>
      <c r="H17" s="66"/>
      <c r="I17" s="67"/>
      <c r="J17" s="67"/>
      <c r="K17" s="67"/>
      <c r="L17" s="66"/>
      <c r="M17" s="68"/>
      <c r="N17" s="66"/>
      <c r="O17" s="69"/>
      <c r="P17" s="67"/>
      <c r="Q17" s="66"/>
      <c r="R17" s="65"/>
      <c r="S17" s="65"/>
    </row>
    <row r="18" spans="1:19" ht="27" x14ac:dyDescent="0.4">
      <c r="A18" s="65"/>
      <c r="B18" s="65"/>
      <c r="C18" s="66"/>
      <c r="D18" s="66"/>
      <c r="E18" s="67"/>
      <c r="F18" s="68"/>
      <c r="G18" s="68"/>
      <c r="H18" s="66"/>
      <c r="I18" s="67"/>
      <c r="J18" s="67"/>
      <c r="K18" s="67"/>
      <c r="L18" s="66"/>
      <c r="M18" s="68"/>
      <c r="N18" s="66"/>
      <c r="O18" s="69"/>
      <c r="P18" s="67"/>
      <c r="Q18" s="66"/>
      <c r="R18" s="65"/>
      <c r="S18" s="70"/>
    </row>
    <row r="19" spans="1:19" ht="27" x14ac:dyDescent="0.4">
      <c r="A19" s="65"/>
      <c r="B19" s="65"/>
      <c r="C19" s="66"/>
      <c r="D19" s="66"/>
      <c r="E19" s="67"/>
      <c r="F19" s="68"/>
      <c r="G19" s="68"/>
      <c r="H19" s="66"/>
      <c r="I19" s="67"/>
      <c r="J19" s="67"/>
      <c r="K19" s="67"/>
      <c r="L19" s="66"/>
      <c r="M19" s="68"/>
      <c r="N19" s="66"/>
      <c r="O19" s="69"/>
      <c r="P19" s="67"/>
      <c r="Q19" s="66"/>
      <c r="R19" s="65"/>
      <c r="S19" s="68"/>
    </row>
    <row r="20" spans="1:19" ht="27" x14ac:dyDescent="0.4">
      <c r="A20" s="65"/>
      <c r="B20" s="65"/>
      <c r="C20" s="66"/>
      <c r="D20" s="66"/>
      <c r="E20" s="67"/>
      <c r="F20" s="68"/>
      <c r="G20" s="68"/>
      <c r="H20" s="66"/>
      <c r="I20" s="67"/>
      <c r="J20" s="67"/>
      <c r="K20" s="67"/>
      <c r="L20" s="66"/>
      <c r="M20" s="68"/>
      <c r="N20" s="66"/>
      <c r="O20" s="69"/>
      <c r="P20" s="67"/>
      <c r="Q20" s="66"/>
      <c r="R20" s="65"/>
      <c r="S20" s="68"/>
    </row>
    <row r="21" spans="1:19" ht="27" x14ac:dyDescent="0.4">
      <c r="A21" s="65"/>
      <c r="B21" s="65"/>
      <c r="C21" s="66"/>
      <c r="D21" s="66"/>
      <c r="E21" s="67"/>
      <c r="F21" s="68"/>
      <c r="G21" s="68"/>
      <c r="H21" s="66"/>
      <c r="I21" s="67"/>
      <c r="J21" s="67"/>
      <c r="K21" s="67"/>
      <c r="L21" s="66"/>
      <c r="M21" s="68"/>
      <c r="N21" s="66"/>
      <c r="O21" s="69"/>
      <c r="P21" s="67"/>
      <c r="Q21" s="66"/>
      <c r="R21" s="65"/>
      <c r="S21" s="68"/>
    </row>
    <row r="22" spans="1:19" ht="27" x14ac:dyDescent="0.4">
      <c r="A22" s="65"/>
      <c r="B22" s="65"/>
      <c r="C22" s="66"/>
      <c r="D22" s="66"/>
      <c r="E22" s="67"/>
      <c r="F22" s="68"/>
      <c r="G22" s="68"/>
      <c r="H22" s="66"/>
      <c r="I22" s="67"/>
      <c r="J22" s="67"/>
      <c r="K22" s="67"/>
      <c r="L22" s="66"/>
      <c r="M22" s="68"/>
      <c r="N22" s="66"/>
      <c r="O22" s="69"/>
      <c r="P22" s="67"/>
      <c r="Q22" s="66"/>
      <c r="R22" s="65"/>
      <c r="S22" s="68"/>
    </row>
    <row r="23" spans="1:19" ht="27" x14ac:dyDescent="0.4">
      <c r="A23" s="65"/>
      <c r="B23" s="65"/>
      <c r="C23" s="66"/>
      <c r="D23" s="66"/>
      <c r="E23" s="67"/>
      <c r="F23" s="68"/>
      <c r="G23" s="68"/>
      <c r="H23" s="66"/>
      <c r="I23" s="67"/>
      <c r="J23" s="67"/>
      <c r="K23" s="67"/>
      <c r="L23" s="66"/>
      <c r="M23" s="68"/>
      <c r="N23" s="66"/>
      <c r="O23" s="69"/>
      <c r="P23" s="67"/>
      <c r="Q23" s="66"/>
      <c r="R23" s="65"/>
      <c r="S23" s="68"/>
    </row>
    <row r="24" spans="1:19" ht="27" x14ac:dyDescent="0.4">
      <c r="A24" s="65"/>
      <c r="B24" s="65"/>
      <c r="C24" s="66"/>
      <c r="D24" s="66"/>
      <c r="E24" s="67"/>
      <c r="F24" s="68"/>
      <c r="G24" s="68"/>
      <c r="H24" s="66"/>
      <c r="I24" s="67"/>
      <c r="J24" s="67"/>
      <c r="K24" s="67"/>
      <c r="L24" s="66"/>
      <c r="M24" s="68"/>
      <c r="N24" s="66"/>
      <c r="O24" s="69"/>
      <c r="P24" s="67"/>
      <c r="Q24" s="66"/>
      <c r="R24" s="65"/>
      <c r="S24" s="68"/>
    </row>
    <row r="25" spans="1:19" ht="27" x14ac:dyDescent="0.4">
      <c r="A25" s="65"/>
      <c r="B25" s="65"/>
      <c r="C25" s="66"/>
      <c r="D25" s="66"/>
      <c r="E25" s="67"/>
      <c r="F25" s="68"/>
      <c r="G25" s="68"/>
      <c r="H25" s="66"/>
      <c r="I25" s="67"/>
      <c r="J25" s="67"/>
      <c r="K25" s="67"/>
      <c r="L25" s="66"/>
      <c r="M25" s="68"/>
      <c r="N25" s="66"/>
      <c r="O25" s="69"/>
      <c r="P25" s="67"/>
      <c r="Q25" s="66"/>
      <c r="R25" s="65"/>
      <c r="S25" s="68"/>
    </row>
    <row r="26" spans="1:19" ht="27" x14ac:dyDescent="0.4">
      <c r="A26" s="65"/>
      <c r="B26" s="65"/>
      <c r="C26" s="66"/>
      <c r="D26" s="66"/>
      <c r="E26" s="67"/>
      <c r="F26" s="68"/>
      <c r="G26" s="68"/>
      <c r="H26" s="66"/>
      <c r="I26" s="67"/>
      <c r="J26" s="67"/>
      <c r="K26" s="67"/>
      <c r="L26" s="66"/>
      <c r="M26" s="68"/>
      <c r="N26" s="66"/>
      <c r="O26" s="69"/>
      <c r="P26" s="67"/>
      <c r="Q26" s="66"/>
      <c r="R26" s="65"/>
      <c r="S26" s="68"/>
    </row>
    <row r="27" spans="1:19" ht="27" x14ac:dyDescent="0.4">
      <c r="A27" s="65"/>
      <c r="B27" s="65"/>
      <c r="C27" s="66"/>
      <c r="D27" s="66"/>
      <c r="E27" s="67"/>
      <c r="F27" s="68"/>
      <c r="G27" s="68"/>
      <c r="H27" s="66"/>
      <c r="I27" s="67"/>
      <c r="J27" s="67"/>
      <c r="K27" s="67"/>
      <c r="L27" s="66"/>
      <c r="M27" s="68"/>
      <c r="N27" s="66"/>
      <c r="O27" s="69"/>
      <c r="P27" s="67"/>
      <c r="Q27" s="66"/>
      <c r="R27" s="65"/>
      <c r="S27" s="68"/>
    </row>
    <row r="28" spans="1:19" ht="27" x14ac:dyDescent="0.4">
      <c r="A28" s="65"/>
      <c r="B28" s="65"/>
      <c r="C28" s="66"/>
      <c r="D28" s="66"/>
      <c r="E28" s="67"/>
      <c r="F28" s="68"/>
      <c r="G28" s="68"/>
      <c r="H28" s="66"/>
      <c r="I28" s="67"/>
      <c r="J28" s="67"/>
      <c r="K28" s="67"/>
      <c r="L28" s="66"/>
      <c r="M28" s="68"/>
      <c r="N28" s="66"/>
      <c r="O28" s="69"/>
      <c r="P28" s="67"/>
      <c r="Q28" s="66"/>
      <c r="R28" s="65"/>
      <c r="S28" s="68"/>
    </row>
    <row r="29" spans="1:19" ht="27" x14ac:dyDescent="0.4">
      <c r="A29" s="65"/>
      <c r="B29" s="65"/>
      <c r="C29" s="66"/>
      <c r="D29" s="66"/>
      <c r="E29" s="67"/>
      <c r="F29" s="68"/>
      <c r="G29" s="68"/>
      <c r="H29" s="66"/>
      <c r="I29" s="67"/>
      <c r="J29" s="67"/>
      <c r="K29" s="67"/>
      <c r="L29" s="71"/>
      <c r="M29" s="68"/>
      <c r="N29" s="66"/>
      <c r="O29" s="69"/>
      <c r="P29" s="67"/>
      <c r="Q29" s="71"/>
      <c r="R29" s="65"/>
      <c r="S29" s="68"/>
    </row>
    <row r="30" spans="1:19" ht="27" x14ac:dyDescent="0.4">
      <c r="A30" s="65"/>
      <c r="B30" s="65"/>
      <c r="C30" s="66"/>
      <c r="D30" s="66"/>
      <c r="E30" s="67"/>
      <c r="F30" s="68"/>
      <c r="G30" s="68"/>
      <c r="H30" s="66"/>
      <c r="I30" s="67"/>
      <c r="J30" s="67"/>
      <c r="K30" s="67"/>
      <c r="L30" s="71"/>
      <c r="M30" s="68"/>
      <c r="N30" s="66"/>
      <c r="O30" s="69"/>
      <c r="P30" s="67"/>
      <c r="Q30" s="71"/>
      <c r="R30" s="65"/>
      <c r="S30" s="68"/>
    </row>
    <row r="31" spans="1:19" ht="27" x14ac:dyDescent="0.4">
      <c r="A31" s="65"/>
      <c r="B31" s="65"/>
      <c r="C31" s="66"/>
      <c r="D31" s="66"/>
      <c r="E31" s="67"/>
      <c r="F31" s="68"/>
      <c r="G31" s="68"/>
      <c r="H31" s="66"/>
      <c r="I31" s="67"/>
      <c r="J31" s="67"/>
      <c r="K31" s="67"/>
      <c r="L31" s="71"/>
      <c r="M31" s="68"/>
      <c r="N31" s="66"/>
      <c r="O31" s="69"/>
      <c r="P31" s="67"/>
      <c r="Q31" s="71"/>
      <c r="R31" s="65"/>
      <c r="S31" s="68"/>
    </row>
    <row r="32" spans="1:19" ht="27" x14ac:dyDescent="0.4">
      <c r="A32" s="65"/>
      <c r="B32" s="65"/>
      <c r="C32" s="66"/>
      <c r="D32" s="66"/>
      <c r="E32" s="67"/>
      <c r="F32" s="68"/>
      <c r="G32" s="68"/>
      <c r="H32" s="66"/>
      <c r="I32" s="67"/>
      <c r="J32" s="67"/>
      <c r="K32" s="67"/>
      <c r="L32" s="66"/>
      <c r="M32" s="68"/>
      <c r="N32" s="66"/>
      <c r="O32" s="69"/>
      <c r="P32" s="67"/>
      <c r="Q32" s="66"/>
      <c r="R32" s="65"/>
      <c r="S32" s="68"/>
    </row>
    <row r="33" spans="1:19" ht="27" x14ac:dyDescent="0.4">
      <c r="A33" s="65"/>
      <c r="B33" s="65"/>
      <c r="C33" s="66"/>
      <c r="D33" s="66"/>
      <c r="E33" s="67"/>
      <c r="F33" s="68"/>
      <c r="G33" s="68"/>
      <c r="H33" s="66"/>
      <c r="I33" s="67"/>
      <c r="J33" s="67"/>
      <c r="K33" s="67"/>
      <c r="L33" s="66"/>
      <c r="M33" s="68"/>
      <c r="N33" s="66"/>
      <c r="O33" s="69"/>
      <c r="P33" s="67"/>
      <c r="Q33" s="66"/>
      <c r="R33" s="68"/>
      <c r="S33" s="68"/>
    </row>
    <row r="34" spans="1:19" ht="27" x14ac:dyDescent="0.4">
      <c r="A34" s="65"/>
      <c r="B34" s="65"/>
      <c r="C34" s="66"/>
      <c r="D34" s="66"/>
      <c r="E34" s="67"/>
      <c r="F34" s="68"/>
      <c r="G34" s="68"/>
      <c r="H34" s="66"/>
      <c r="I34" s="67"/>
      <c r="J34" s="67"/>
      <c r="K34" s="67"/>
      <c r="L34" s="66"/>
      <c r="M34" s="68"/>
      <c r="N34" s="66"/>
      <c r="O34" s="69"/>
      <c r="P34" s="67"/>
      <c r="Q34" s="66"/>
      <c r="R34" s="68"/>
      <c r="S34" s="68"/>
    </row>
    <row r="35" spans="1:19" ht="27" x14ac:dyDescent="0.4">
      <c r="A35" s="65"/>
      <c r="B35" s="65"/>
      <c r="C35" s="66"/>
      <c r="D35" s="66"/>
      <c r="E35" s="67"/>
      <c r="F35" s="68"/>
      <c r="G35" s="68"/>
      <c r="H35" s="66"/>
      <c r="I35" s="67"/>
      <c r="J35" s="67"/>
      <c r="K35" s="67"/>
      <c r="L35" s="66"/>
      <c r="M35" s="68"/>
      <c r="N35" s="66"/>
      <c r="O35" s="69"/>
      <c r="P35" s="67"/>
      <c r="Q35" s="66"/>
      <c r="R35" s="68"/>
      <c r="S35" s="68"/>
    </row>
    <row r="36" spans="1:19" ht="27" x14ac:dyDescent="0.4">
      <c r="A36" s="65"/>
      <c r="B36" s="65"/>
      <c r="C36" s="66"/>
      <c r="D36" s="66"/>
      <c r="E36" s="67"/>
      <c r="F36" s="68"/>
      <c r="G36" s="68"/>
      <c r="H36" s="66"/>
      <c r="I36" s="67"/>
      <c r="J36" s="67"/>
      <c r="K36" s="67"/>
      <c r="L36" s="66"/>
      <c r="M36" s="68"/>
      <c r="N36" s="66"/>
      <c r="O36" s="69"/>
      <c r="P36" s="67"/>
      <c r="Q36" s="66"/>
      <c r="R36" s="68"/>
      <c r="S36" s="68"/>
    </row>
    <row r="37" spans="1:19" ht="27" x14ac:dyDescent="0.4">
      <c r="A37" s="65"/>
      <c r="B37" s="65"/>
      <c r="C37" s="66"/>
      <c r="D37" s="66"/>
      <c r="E37" s="67"/>
      <c r="F37" s="68"/>
      <c r="G37" s="68"/>
      <c r="H37" s="66"/>
      <c r="I37" s="67"/>
      <c r="J37" s="67"/>
      <c r="K37" s="67"/>
      <c r="L37" s="66"/>
      <c r="M37" s="68"/>
      <c r="N37" s="66"/>
      <c r="O37" s="69"/>
      <c r="P37" s="67"/>
      <c r="Q37" s="66"/>
      <c r="R37" s="68"/>
      <c r="S37" s="68"/>
    </row>
    <row r="38" spans="1:19" ht="27" x14ac:dyDescent="0.4">
      <c r="A38" s="65"/>
      <c r="B38" s="65"/>
      <c r="C38" s="66"/>
      <c r="D38" s="66"/>
      <c r="E38" s="67"/>
      <c r="F38" s="68"/>
      <c r="G38" s="68"/>
      <c r="H38" s="66"/>
      <c r="I38" s="67"/>
      <c r="J38" s="67"/>
      <c r="K38" s="67"/>
      <c r="L38" s="66"/>
      <c r="M38" s="68"/>
      <c r="N38" s="66"/>
      <c r="O38" s="69"/>
      <c r="P38" s="67"/>
      <c r="Q38" s="66"/>
      <c r="R38" s="68"/>
      <c r="S38" s="68"/>
    </row>
    <row r="39" spans="1:19" ht="27" x14ac:dyDescent="0.4">
      <c r="A39" s="65"/>
      <c r="B39" s="65"/>
      <c r="C39" s="66"/>
      <c r="D39" s="66"/>
      <c r="E39" s="67"/>
      <c r="F39" s="68"/>
      <c r="G39" s="68"/>
      <c r="H39" s="66"/>
      <c r="I39" s="67"/>
      <c r="J39" s="67"/>
      <c r="K39" s="67"/>
      <c r="L39" s="66"/>
      <c r="M39" s="68"/>
      <c r="N39" s="66"/>
      <c r="O39" s="69"/>
      <c r="P39" s="67"/>
      <c r="Q39" s="66"/>
      <c r="R39" s="68"/>
      <c r="S39" s="68"/>
    </row>
    <row r="40" spans="1:19" ht="27" x14ac:dyDescent="0.4">
      <c r="A40" s="65"/>
      <c r="B40" s="65"/>
      <c r="C40" s="66"/>
      <c r="D40" s="66"/>
      <c r="E40" s="67"/>
      <c r="F40" s="68"/>
      <c r="G40" s="68"/>
      <c r="H40" s="66"/>
      <c r="I40" s="67"/>
      <c r="J40" s="67"/>
      <c r="K40" s="67"/>
      <c r="L40" s="66"/>
      <c r="M40" s="68"/>
      <c r="N40" s="66"/>
      <c r="O40" s="69"/>
      <c r="P40" s="67"/>
      <c r="Q40" s="66"/>
      <c r="R40" s="68"/>
      <c r="S40" s="68"/>
    </row>
    <row r="41" spans="1:19" ht="27" x14ac:dyDescent="0.4">
      <c r="A41" s="65"/>
      <c r="B41" s="65"/>
      <c r="C41" s="66"/>
      <c r="D41" s="66"/>
      <c r="E41" s="67"/>
      <c r="F41" s="73"/>
      <c r="G41" s="68"/>
      <c r="H41" s="66"/>
      <c r="I41" s="67"/>
      <c r="J41" s="67"/>
      <c r="K41" s="67"/>
      <c r="L41" s="66"/>
      <c r="M41" s="68"/>
      <c r="N41" s="66"/>
      <c r="O41" s="69"/>
      <c r="P41" s="67"/>
      <c r="Q41" s="66"/>
      <c r="R41" s="68"/>
      <c r="S41" s="68"/>
    </row>
    <row r="42" spans="1:19" ht="27" x14ac:dyDescent="0.4">
      <c r="A42" s="65"/>
      <c r="B42" s="65"/>
      <c r="C42" s="66"/>
      <c r="D42" s="66"/>
      <c r="E42" s="67"/>
      <c r="F42" s="68"/>
      <c r="G42" s="68"/>
      <c r="H42" s="66"/>
      <c r="I42" s="67"/>
      <c r="J42" s="67"/>
      <c r="K42" s="67"/>
      <c r="L42" s="66"/>
      <c r="M42" s="68"/>
      <c r="N42" s="66"/>
      <c r="O42" s="69"/>
      <c r="P42" s="67"/>
      <c r="Q42" s="66"/>
      <c r="R42" s="68"/>
      <c r="S42" s="68"/>
    </row>
    <row r="43" spans="1:19" ht="27" x14ac:dyDescent="0.4">
      <c r="A43" s="65"/>
      <c r="B43" s="65"/>
      <c r="C43" s="66"/>
      <c r="D43" s="66"/>
      <c r="E43" s="67"/>
      <c r="F43" s="68"/>
      <c r="G43" s="68"/>
      <c r="H43" s="66"/>
      <c r="I43" s="67"/>
      <c r="J43" s="67"/>
      <c r="K43" s="67"/>
      <c r="L43" s="66"/>
      <c r="M43" s="68"/>
      <c r="N43" s="66"/>
      <c r="O43" s="69"/>
      <c r="P43" s="67"/>
      <c r="Q43" s="66"/>
      <c r="R43" s="68"/>
      <c r="S43" s="68"/>
    </row>
    <row r="44" spans="1:19" ht="27" x14ac:dyDescent="0.4">
      <c r="A44" s="65"/>
      <c r="B44" s="65"/>
      <c r="C44" s="66"/>
      <c r="D44" s="66"/>
      <c r="E44" s="67"/>
      <c r="F44" s="68"/>
      <c r="G44" s="68"/>
      <c r="H44" s="66"/>
      <c r="I44" s="67"/>
      <c r="J44" s="67"/>
      <c r="K44" s="67"/>
      <c r="L44" s="66"/>
      <c r="M44" s="68"/>
      <c r="N44" s="66"/>
      <c r="O44" s="69"/>
      <c r="P44" s="67"/>
      <c r="Q44" s="66"/>
      <c r="R44" s="68"/>
      <c r="S44" s="68"/>
    </row>
    <row r="45" spans="1:19" ht="27" x14ac:dyDescent="0.4">
      <c r="A45" s="65"/>
      <c r="B45" s="65"/>
      <c r="C45" s="66"/>
      <c r="D45" s="66"/>
      <c r="E45" s="67"/>
      <c r="F45" s="68"/>
      <c r="G45" s="68"/>
      <c r="H45" s="66"/>
      <c r="I45" s="67"/>
      <c r="J45" s="67"/>
      <c r="K45" s="67"/>
      <c r="L45" s="66"/>
      <c r="M45" s="68"/>
      <c r="N45" s="66"/>
      <c r="O45" s="69"/>
      <c r="P45" s="67"/>
      <c r="Q45" s="66"/>
      <c r="R45" s="68"/>
      <c r="S45" s="68"/>
    </row>
    <row r="46" spans="1:19" ht="27" x14ac:dyDescent="0.4">
      <c r="A46" s="65"/>
      <c r="B46" s="65"/>
      <c r="C46" s="66"/>
      <c r="D46" s="66"/>
      <c r="E46" s="67"/>
      <c r="F46" s="68"/>
      <c r="G46" s="68"/>
      <c r="H46" s="66"/>
      <c r="I46" s="67"/>
      <c r="J46" s="67"/>
      <c r="K46" s="67"/>
      <c r="L46" s="66"/>
      <c r="M46" s="68"/>
      <c r="N46" s="66"/>
      <c r="O46" s="69"/>
      <c r="P46" s="67"/>
      <c r="Q46" s="66"/>
      <c r="R46" s="68"/>
      <c r="S46" s="68"/>
    </row>
    <row r="47" spans="1:19" ht="27" x14ac:dyDescent="0.4">
      <c r="A47" s="65"/>
      <c r="B47" s="65"/>
      <c r="C47" s="66"/>
      <c r="D47" s="66"/>
      <c r="E47" s="67"/>
      <c r="F47" s="68"/>
      <c r="G47" s="68"/>
      <c r="H47" s="66"/>
      <c r="I47" s="67"/>
      <c r="J47" s="67"/>
      <c r="K47" s="67"/>
      <c r="L47" s="66"/>
      <c r="M47" s="68"/>
      <c r="N47" s="66"/>
      <c r="O47" s="69"/>
      <c r="P47" s="67"/>
      <c r="Q47" s="66"/>
      <c r="R47" s="68"/>
      <c r="S47" s="68"/>
    </row>
    <row r="48" spans="1:19" ht="27" x14ac:dyDescent="0.4">
      <c r="A48" s="65"/>
      <c r="B48" s="65"/>
      <c r="C48" s="66"/>
      <c r="D48" s="66"/>
      <c r="E48" s="67"/>
      <c r="F48" s="68"/>
      <c r="G48" s="68"/>
      <c r="H48" s="66"/>
      <c r="I48" s="67"/>
      <c r="J48" s="67"/>
      <c r="K48" s="67"/>
      <c r="L48" s="66"/>
      <c r="M48" s="72"/>
      <c r="N48" s="66"/>
      <c r="O48" s="69"/>
      <c r="P48" s="67"/>
      <c r="Q48" s="66"/>
      <c r="R48" s="68"/>
      <c r="S48" s="68"/>
    </row>
    <row r="49" spans="1:19" ht="27" x14ac:dyDescent="0.4">
      <c r="A49" s="65"/>
      <c r="B49" s="65"/>
      <c r="C49" s="66"/>
      <c r="D49" s="66"/>
      <c r="E49" s="67"/>
      <c r="F49" s="68"/>
      <c r="G49" s="68"/>
      <c r="H49" s="66"/>
      <c r="I49" s="67"/>
      <c r="J49" s="67"/>
      <c r="K49" s="67"/>
      <c r="L49" s="66"/>
      <c r="M49" s="68"/>
      <c r="N49" s="66"/>
      <c r="O49" s="69"/>
      <c r="P49" s="67"/>
      <c r="Q49" s="66"/>
      <c r="R49" s="68"/>
      <c r="S49" s="68"/>
    </row>
    <row r="50" spans="1:19" ht="27" x14ac:dyDescent="0.4">
      <c r="A50" s="65"/>
      <c r="B50" s="65"/>
      <c r="C50" s="66"/>
      <c r="D50" s="66"/>
      <c r="E50" s="67"/>
      <c r="F50" s="68"/>
      <c r="G50" s="68"/>
      <c r="H50" s="66"/>
      <c r="I50" s="67"/>
      <c r="J50" s="67"/>
      <c r="K50" s="67"/>
      <c r="L50" s="66"/>
      <c r="M50" s="68"/>
      <c r="N50" s="66"/>
      <c r="O50" s="69"/>
      <c r="P50" s="67"/>
      <c r="Q50" s="66"/>
      <c r="R50" s="68"/>
      <c r="S50" s="68"/>
    </row>
    <row r="51" spans="1:19" ht="27" x14ac:dyDescent="0.4">
      <c r="A51" s="65"/>
      <c r="B51" s="65"/>
      <c r="C51" s="66"/>
      <c r="D51" s="66"/>
      <c r="E51" s="67"/>
      <c r="F51" s="68"/>
      <c r="G51" s="68"/>
      <c r="H51" s="66"/>
      <c r="I51" s="67"/>
      <c r="J51" s="67"/>
      <c r="K51" s="67"/>
      <c r="L51" s="66"/>
      <c r="M51" s="68"/>
      <c r="N51" s="66"/>
      <c r="O51" s="69"/>
      <c r="P51" s="67"/>
      <c r="Q51" s="66"/>
      <c r="R51" s="68"/>
      <c r="S51" s="68"/>
    </row>
    <row r="52" spans="1:19" ht="27" x14ac:dyDescent="0.4">
      <c r="A52" s="65"/>
      <c r="B52" s="65"/>
      <c r="C52" s="66"/>
      <c r="D52" s="66"/>
      <c r="E52" s="67"/>
      <c r="F52" s="68"/>
      <c r="G52" s="68"/>
      <c r="H52" s="66"/>
      <c r="I52" s="67"/>
      <c r="J52" s="67"/>
      <c r="K52" s="67"/>
      <c r="L52" s="66"/>
      <c r="M52" s="68"/>
      <c r="N52" s="66"/>
      <c r="O52" s="69"/>
      <c r="P52" s="67"/>
      <c r="Q52" s="66"/>
      <c r="R52" s="68"/>
      <c r="S52" s="68"/>
    </row>
    <row r="53" spans="1:19" ht="27" x14ac:dyDescent="0.4">
      <c r="A53" s="65"/>
      <c r="B53" s="65"/>
      <c r="C53" s="66"/>
      <c r="D53" s="66"/>
      <c r="E53" s="67"/>
      <c r="F53" s="68"/>
      <c r="G53" s="68"/>
      <c r="H53" s="66"/>
      <c r="I53" s="67"/>
      <c r="J53" s="67"/>
      <c r="K53" s="67"/>
      <c r="L53" s="66"/>
      <c r="M53" s="72"/>
      <c r="N53" s="66"/>
      <c r="O53" s="69"/>
      <c r="P53" s="67"/>
      <c r="Q53" s="66"/>
      <c r="R53" s="68"/>
      <c r="S53" s="68"/>
    </row>
    <row r="54" spans="1:19" ht="27" x14ac:dyDescent="0.4">
      <c r="A54" s="65"/>
      <c r="B54" s="65"/>
      <c r="C54" s="66"/>
      <c r="D54" s="66"/>
      <c r="E54" s="67"/>
      <c r="F54" s="68"/>
      <c r="G54" s="68"/>
      <c r="H54" s="66"/>
      <c r="I54" s="67"/>
      <c r="J54" s="67"/>
      <c r="K54" s="67"/>
      <c r="L54" s="66"/>
      <c r="M54" s="68"/>
      <c r="N54" s="66"/>
      <c r="O54" s="69"/>
      <c r="P54" s="67"/>
      <c r="Q54" s="66"/>
      <c r="R54" s="68"/>
      <c r="S54" s="68"/>
    </row>
    <row r="55" spans="1:19" ht="27" x14ac:dyDescent="0.4">
      <c r="A55" s="65"/>
      <c r="B55" s="65"/>
      <c r="C55" s="66"/>
      <c r="D55" s="66"/>
      <c r="E55" s="67"/>
      <c r="F55" s="68"/>
      <c r="G55" s="68"/>
      <c r="H55" s="66"/>
      <c r="I55" s="67"/>
      <c r="J55" s="67"/>
      <c r="K55" s="67"/>
      <c r="L55" s="66"/>
      <c r="M55" s="68"/>
      <c r="N55" s="66"/>
      <c r="O55" s="69"/>
      <c r="P55" s="67"/>
      <c r="Q55" s="66"/>
      <c r="R55" s="68"/>
      <c r="S55" s="68"/>
    </row>
    <row r="56" spans="1:19" ht="27" x14ac:dyDescent="0.4">
      <c r="A56" s="65"/>
      <c r="B56" s="65"/>
      <c r="C56" s="66"/>
      <c r="D56" s="66"/>
      <c r="E56" s="67"/>
      <c r="F56" s="68"/>
      <c r="G56" s="68"/>
      <c r="H56" s="66"/>
      <c r="I56" s="67"/>
      <c r="J56" s="67"/>
      <c r="K56" s="67"/>
      <c r="L56" s="66"/>
      <c r="M56" s="68"/>
      <c r="N56" s="66"/>
      <c r="O56" s="69"/>
      <c r="P56" s="67"/>
      <c r="Q56" s="66"/>
      <c r="R56" s="65"/>
      <c r="S56" s="68"/>
    </row>
    <row r="57" spans="1:19" ht="27" x14ac:dyDescent="0.4">
      <c r="A57" s="65"/>
      <c r="B57" s="65"/>
      <c r="C57" s="66"/>
      <c r="D57" s="66"/>
      <c r="E57" s="67"/>
      <c r="F57" s="68"/>
      <c r="G57" s="73"/>
      <c r="H57" s="66"/>
      <c r="I57" s="67"/>
      <c r="J57" s="67"/>
      <c r="K57" s="67"/>
      <c r="L57" s="66"/>
      <c r="M57" s="68"/>
      <c r="N57" s="66"/>
      <c r="O57" s="69"/>
      <c r="P57" s="67"/>
      <c r="Q57" s="66"/>
      <c r="R57" s="65"/>
      <c r="S57" s="68"/>
    </row>
    <row r="58" spans="1:19" ht="27" x14ac:dyDescent="0.4">
      <c r="A58" s="65"/>
      <c r="B58" s="65"/>
      <c r="C58" s="66"/>
      <c r="D58" s="66"/>
      <c r="E58" s="67"/>
      <c r="F58" s="68"/>
      <c r="G58" s="68"/>
      <c r="H58" s="66"/>
      <c r="I58" s="67"/>
      <c r="J58" s="67"/>
      <c r="K58" s="67"/>
      <c r="L58" s="66"/>
      <c r="M58" s="68"/>
      <c r="N58" s="66"/>
      <c r="O58" s="69"/>
      <c r="P58" s="67"/>
      <c r="Q58" s="66"/>
      <c r="R58" s="65"/>
      <c r="S58" s="68"/>
    </row>
    <row r="59" spans="1:19" ht="27" x14ac:dyDescent="0.4">
      <c r="A59" s="65"/>
      <c r="B59" s="65"/>
      <c r="C59" s="66"/>
      <c r="D59" s="66"/>
      <c r="E59" s="67"/>
      <c r="F59" s="68"/>
      <c r="G59" s="68"/>
      <c r="H59" s="66"/>
      <c r="I59" s="67"/>
      <c r="J59" s="67"/>
      <c r="K59" s="67"/>
      <c r="L59" s="66"/>
      <c r="M59" s="68"/>
      <c r="N59" s="66"/>
      <c r="O59" s="69"/>
      <c r="P59" s="67"/>
      <c r="Q59" s="66"/>
      <c r="R59" s="65"/>
      <c r="S59" s="68"/>
    </row>
    <row r="60" spans="1:19" ht="27" x14ac:dyDescent="0.4">
      <c r="A60" s="65"/>
      <c r="B60" s="65"/>
      <c r="C60" s="66"/>
      <c r="D60" s="66"/>
      <c r="E60" s="67"/>
      <c r="F60" s="68"/>
      <c r="G60" s="68"/>
      <c r="H60" s="66"/>
      <c r="I60" s="67"/>
      <c r="J60" s="67"/>
      <c r="K60" s="67"/>
      <c r="L60" s="66"/>
      <c r="M60" s="68"/>
      <c r="N60" s="66"/>
      <c r="O60" s="69"/>
      <c r="P60" s="67"/>
      <c r="Q60" s="66"/>
      <c r="R60" s="65"/>
      <c r="S60" s="68"/>
    </row>
    <row r="61" spans="1:19" ht="27" x14ac:dyDescent="0.4">
      <c r="A61" s="65"/>
      <c r="B61" s="65"/>
      <c r="C61" s="66"/>
      <c r="D61" s="66"/>
      <c r="E61" s="67"/>
      <c r="F61" s="68"/>
      <c r="G61" s="68"/>
      <c r="H61" s="66"/>
      <c r="I61" s="67"/>
      <c r="J61" s="67"/>
      <c r="K61" s="67"/>
      <c r="L61" s="66"/>
      <c r="M61" s="68"/>
      <c r="N61" s="66"/>
      <c r="O61" s="69"/>
      <c r="P61" s="67"/>
      <c r="Q61" s="66"/>
      <c r="R61" s="65"/>
      <c r="S61" s="68"/>
    </row>
    <row r="62" spans="1:19" ht="27" x14ac:dyDescent="0.4">
      <c r="A62" s="65"/>
      <c r="B62" s="65"/>
      <c r="C62" s="66"/>
      <c r="D62" s="66"/>
      <c r="E62" s="67"/>
      <c r="F62" s="68"/>
      <c r="G62" s="68"/>
      <c r="H62" s="66"/>
      <c r="I62" s="67"/>
      <c r="J62" s="67"/>
      <c r="K62" s="67"/>
      <c r="L62" s="66"/>
      <c r="M62" s="68"/>
      <c r="N62" s="66"/>
      <c r="O62" s="69"/>
      <c r="P62" s="67"/>
      <c r="Q62" s="66"/>
      <c r="R62" s="65"/>
      <c r="S62" s="68"/>
    </row>
    <row r="63" spans="1:19" ht="27" x14ac:dyDescent="0.4">
      <c r="A63" s="65"/>
      <c r="B63" s="65"/>
      <c r="C63" s="66"/>
      <c r="D63" s="66"/>
      <c r="E63" s="67"/>
      <c r="F63" s="68"/>
      <c r="G63" s="68"/>
      <c r="H63" s="66"/>
      <c r="I63" s="67"/>
      <c r="J63" s="67"/>
      <c r="K63" s="67"/>
      <c r="L63" s="66"/>
      <c r="M63" s="68"/>
      <c r="N63" s="66"/>
      <c r="O63" s="69"/>
      <c r="P63" s="67"/>
      <c r="Q63" s="66"/>
      <c r="R63" s="65"/>
      <c r="S63" s="68"/>
    </row>
    <row r="64" spans="1:19" ht="27" x14ac:dyDescent="0.4">
      <c r="A64" s="65"/>
      <c r="B64" s="65"/>
      <c r="C64" s="66"/>
      <c r="D64" s="66"/>
      <c r="E64" s="67"/>
      <c r="F64" s="68"/>
      <c r="G64" s="68"/>
      <c r="H64" s="66"/>
      <c r="I64" s="67"/>
      <c r="J64" s="67"/>
      <c r="K64" s="67"/>
      <c r="L64" s="66"/>
      <c r="M64" s="68"/>
      <c r="N64" s="66"/>
      <c r="O64" s="69"/>
      <c r="P64" s="67"/>
      <c r="Q64" s="66"/>
      <c r="R64" s="65"/>
      <c r="S64" s="68"/>
    </row>
    <row r="65" spans="1:19" ht="27" x14ac:dyDescent="0.4">
      <c r="A65" s="65"/>
      <c r="B65" s="65"/>
      <c r="C65" s="66"/>
      <c r="D65" s="66"/>
      <c r="E65" s="67"/>
      <c r="F65" s="68"/>
      <c r="G65" s="68"/>
      <c r="H65" s="66"/>
      <c r="I65" s="67"/>
      <c r="J65" s="67"/>
      <c r="K65" s="67"/>
      <c r="L65" s="66"/>
      <c r="M65" s="68"/>
      <c r="N65" s="66"/>
      <c r="O65" s="69"/>
      <c r="P65" s="67"/>
      <c r="Q65" s="66"/>
      <c r="R65" s="65"/>
      <c r="S65" s="68"/>
    </row>
    <row r="66" spans="1:19" ht="27" x14ac:dyDescent="0.4">
      <c r="A66" s="65"/>
      <c r="B66" s="65"/>
      <c r="C66" s="66"/>
      <c r="D66" s="66"/>
      <c r="E66" s="67"/>
      <c r="F66" s="68"/>
      <c r="G66" s="68"/>
      <c r="H66" s="66"/>
      <c r="I66" s="67"/>
      <c r="J66" s="67"/>
      <c r="K66" s="67"/>
      <c r="L66" s="66"/>
      <c r="M66" s="68"/>
      <c r="N66" s="66"/>
      <c r="O66" s="69"/>
      <c r="P66" s="67"/>
      <c r="Q66" s="66"/>
      <c r="R66" s="65"/>
      <c r="S66" s="68"/>
    </row>
    <row r="67" spans="1:19" ht="27" x14ac:dyDescent="0.4">
      <c r="A67" s="65"/>
      <c r="B67" s="65"/>
      <c r="C67" s="66"/>
      <c r="D67" s="66"/>
      <c r="E67" s="67"/>
      <c r="F67" s="68"/>
      <c r="G67" s="68"/>
      <c r="H67" s="66"/>
      <c r="I67" s="67"/>
      <c r="J67" s="67"/>
      <c r="K67" s="67"/>
      <c r="L67" s="66"/>
      <c r="M67" s="68"/>
      <c r="N67" s="66"/>
      <c r="O67" s="69"/>
      <c r="P67" s="67"/>
      <c r="Q67" s="66"/>
      <c r="R67" s="65"/>
      <c r="S67" s="68"/>
    </row>
    <row r="68" spans="1:19" ht="27" x14ac:dyDescent="0.4">
      <c r="A68" s="65"/>
      <c r="B68" s="65"/>
      <c r="C68" s="66"/>
      <c r="D68" s="66"/>
      <c r="E68" s="67"/>
      <c r="F68" s="68"/>
      <c r="G68" s="68"/>
      <c r="H68" s="66"/>
      <c r="I68" s="67"/>
      <c r="J68" s="67"/>
      <c r="K68" s="67"/>
      <c r="L68" s="66"/>
      <c r="M68" s="68"/>
      <c r="N68" s="66"/>
      <c r="O68" s="69"/>
      <c r="P68" s="67"/>
      <c r="Q68" s="66"/>
      <c r="R68" s="65"/>
      <c r="S68" s="68"/>
    </row>
    <row r="69" spans="1:19" ht="27" x14ac:dyDescent="0.4">
      <c r="A69" s="65"/>
      <c r="B69" s="65"/>
      <c r="C69" s="66"/>
      <c r="D69" s="66"/>
      <c r="E69" s="67"/>
      <c r="F69" s="68"/>
      <c r="G69" s="68"/>
      <c r="H69" s="66"/>
      <c r="I69" s="67"/>
      <c r="J69" s="67"/>
      <c r="K69" s="67"/>
      <c r="L69" s="66"/>
      <c r="M69" s="68"/>
      <c r="N69" s="66"/>
      <c r="O69" s="69"/>
      <c r="P69" s="67"/>
      <c r="Q69" s="66"/>
      <c r="R69" s="65"/>
      <c r="S69" s="68"/>
    </row>
    <row r="70" spans="1:19" ht="27" x14ac:dyDescent="0.4">
      <c r="A70" s="65"/>
      <c r="B70" s="65"/>
      <c r="C70" s="66"/>
      <c r="D70" s="66"/>
      <c r="E70" s="67"/>
      <c r="F70" s="68"/>
      <c r="G70" s="68"/>
      <c r="H70" s="66"/>
      <c r="I70" s="67"/>
      <c r="J70" s="67"/>
      <c r="K70" s="67"/>
      <c r="L70" s="66"/>
      <c r="M70" s="68"/>
      <c r="N70" s="66"/>
      <c r="O70" s="69"/>
      <c r="P70" s="67"/>
      <c r="Q70" s="66"/>
      <c r="R70" s="65"/>
      <c r="S70" s="68"/>
    </row>
    <row r="71" spans="1:19" ht="27" x14ac:dyDescent="0.4">
      <c r="A71" s="65"/>
      <c r="B71" s="65"/>
      <c r="C71" s="66"/>
      <c r="D71" s="66"/>
      <c r="E71" s="67"/>
      <c r="F71" s="68"/>
      <c r="G71" s="68"/>
      <c r="H71" s="66"/>
      <c r="I71" s="67"/>
      <c r="J71" s="67"/>
      <c r="K71" s="67"/>
      <c r="L71" s="66"/>
      <c r="M71" s="68"/>
      <c r="N71" s="66"/>
      <c r="O71" s="69"/>
      <c r="P71" s="67"/>
      <c r="Q71" s="66"/>
      <c r="R71" s="65"/>
      <c r="S71" s="68"/>
    </row>
    <row r="72" spans="1:19" ht="27" x14ac:dyDescent="0.4">
      <c r="A72" s="65"/>
      <c r="B72" s="65"/>
      <c r="C72" s="66"/>
      <c r="D72" s="66"/>
      <c r="E72" s="67"/>
      <c r="F72" s="68"/>
      <c r="G72" s="68"/>
      <c r="H72" s="66"/>
      <c r="I72" s="67"/>
      <c r="J72" s="67"/>
      <c r="K72" s="67"/>
      <c r="L72" s="66"/>
      <c r="M72" s="68"/>
      <c r="N72" s="66"/>
      <c r="O72" s="69"/>
      <c r="P72" s="67"/>
      <c r="Q72" s="66"/>
      <c r="R72" s="65"/>
      <c r="S72" s="68"/>
    </row>
    <row r="73" spans="1:19" ht="27" x14ac:dyDescent="0.4">
      <c r="A73" s="65"/>
      <c r="B73" s="65"/>
      <c r="C73" s="66"/>
      <c r="D73" s="66"/>
      <c r="E73" s="67"/>
      <c r="F73" s="68"/>
      <c r="G73" s="68"/>
      <c r="H73" s="66"/>
      <c r="I73" s="67"/>
      <c r="J73" s="67"/>
      <c r="K73" s="67"/>
      <c r="L73" s="66"/>
      <c r="M73" s="68"/>
      <c r="N73" s="66"/>
      <c r="O73" s="69"/>
      <c r="P73" s="67"/>
      <c r="Q73" s="66"/>
      <c r="R73" s="65"/>
      <c r="S73" s="68"/>
    </row>
    <row r="74" spans="1:19" ht="27" x14ac:dyDescent="0.4">
      <c r="A74" s="65"/>
      <c r="B74" s="65"/>
      <c r="C74" s="66"/>
      <c r="D74" s="66"/>
      <c r="E74" s="67"/>
      <c r="F74" s="68"/>
      <c r="G74" s="68"/>
      <c r="H74" s="66"/>
      <c r="I74" s="67"/>
      <c r="J74" s="67"/>
      <c r="K74" s="67"/>
      <c r="L74" s="66"/>
      <c r="M74" s="68"/>
      <c r="N74" s="66"/>
      <c r="O74" s="69"/>
      <c r="P74" s="67"/>
      <c r="Q74" s="66"/>
      <c r="R74" s="65"/>
      <c r="S74" s="68"/>
    </row>
    <row r="75" spans="1:19" ht="27" x14ac:dyDescent="0.4">
      <c r="A75" s="65"/>
      <c r="B75" s="65"/>
      <c r="C75" s="66"/>
      <c r="D75" s="66"/>
      <c r="E75" s="67"/>
      <c r="F75" s="68"/>
      <c r="G75" s="68"/>
      <c r="H75" s="66"/>
      <c r="I75" s="67"/>
      <c r="J75" s="67"/>
      <c r="K75" s="67"/>
      <c r="L75" s="66"/>
      <c r="M75" s="68"/>
      <c r="N75" s="66"/>
      <c r="O75" s="69"/>
      <c r="P75" s="67"/>
      <c r="Q75" s="66"/>
      <c r="R75" s="65"/>
      <c r="S75" s="68"/>
    </row>
    <row r="76" spans="1:19" ht="27" x14ac:dyDescent="0.4">
      <c r="A76" s="65"/>
      <c r="B76" s="65"/>
      <c r="C76" s="66"/>
      <c r="D76" s="66"/>
      <c r="E76" s="67"/>
      <c r="F76" s="68"/>
      <c r="G76" s="68"/>
      <c r="H76" s="66"/>
      <c r="I76" s="67"/>
      <c r="J76" s="67"/>
      <c r="K76" s="67"/>
      <c r="L76" s="66"/>
      <c r="M76" s="68"/>
      <c r="N76" s="66"/>
      <c r="O76" s="69"/>
      <c r="P76" s="67"/>
      <c r="Q76" s="66"/>
      <c r="R76" s="65"/>
      <c r="S76" s="68"/>
    </row>
    <row r="77" spans="1:19" ht="27" x14ac:dyDescent="0.4">
      <c r="A77" s="65"/>
      <c r="B77" s="65"/>
      <c r="C77" s="66"/>
      <c r="D77" s="66"/>
      <c r="E77" s="67"/>
      <c r="F77" s="68"/>
      <c r="G77" s="68"/>
      <c r="H77" s="66"/>
      <c r="I77" s="67"/>
      <c r="J77" s="67"/>
      <c r="K77" s="67"/>
      <c r="L77" s="66"/>
      <c r="M77" s="68"/>
      <c r="N77" s="66"/>
      <c r="O77" s="69"/>
      <c r="P77" s="67"/>
      <c r="Q77" s="66"/>
      <c r="R77" s="65"/>
      <c r="S77" s="68"/>
    </row>
    <row r="78" spans="1:19" ht="27" x14ac:dyDescent="0.4">
      <c r="A78" s="65"/>
      <c r="B78" s="65"/>
      <c r="C78" s="66"/>
      <c r="D78" s="66"/>
      <c r="E78" s="67"/>
      <c r="F78" s="68"/>
      <c r="G78" s="68"/>
      <c r="H78" s="66"/>
      <c r="I78" s="67"/>
      <c r="J78" s="67"/>
      <c r="K78" s="67"/>
      <c r="L78" s="66"/>
      <c r="M78" s="68"/>
      <c r="N78" s="66"/>
      <c r="O78" s="69"/>
      <c r="P78" s="67"/>
      <c r="Q78" s="66"/>
      <c r="R78" s="65"/>
      <c r="S78" s="68"/>
    </row>
    <row r="79" spans="1:19" ht="27" x14ac:dyDescent="0.4">
      <c r="A79" s="65"/>
      <c r="B79" s="65"/>
      <c r="C79" s="66"/>
      <c r="D79" s="66"/>
      <c r="E79" s="67"/>
      <c r="F79" s="68"/>
      <c r="G79" s="68"/>
      <c r="H79" s="66"/>
      <c r="I79" s="67"/>
      <c r="J79" s="67"/>
      <c r="K79" s="67"/>
      <c r="L79" s="66"/>
      <c r="M79" s="68"/>
      <c r="N79" s="66"/>
      <c r="O79" s="69"/>
      <c r="P79" s="67"/>
      <c r="Q79" s="66"/>
      <c r="R79" s="65"/>
      <c r="S79" s="68"/>
    </row>
    <row r="80" spans="1:19" ht="27" x14ac:dyDescent="0.4">
      <c r="A80" s="65"/>
      <c r="B80" s="65"/>
      <c r="C80" s="66"/>
      <c r="D80" s="66"/>
      <c r="E80" s="67"/>
      <c r="F80" s="68"/>
      <c r="G80" s="68"/>
      <c r="H80" s="66"/>
      <c r="I80" s="67"/>
      <c r="J80" s="67"/>
      <c r="K80" s="67"/>
      <c r="L80" s="66"/>
      <c r="M80" s="68"/>
      <c r="N80" s="66"/>
      <c r="O80" s="69"/>
      <c r="P80" s="67"/>
      <c r="Q80" s="66"/>
      <c r="R80" s="65"/>
      <c r="S80" s="65"/>
    </row>
    <row r="81" spans="1:25" ht="27" x14ac:dyDescent="0.4">
      <c r="A81" s="65"/>
      <c r="B81" s="65"/>
      <c r="C81" s="66"/>
      <c r="D81" s="66"/>
      <c r="E81" s="67"/>
      <c r="F81" s="68"/>
      <c r="G81" s="68"/>
      <c r="H81" s="66"/>
      <c r="I81" s="67"/>
      <c r="J81" s="67"/>
      <c r="K81" s="67"/>
      <c r="L81" s="66"/>
      <c r="M81" s="68"/>
      <c r="N81" s="66"/>
      <c r="O81" s="69"/>
      <c r="P81" s="67"/>
      <c r="Q81" s="66"/>
      <c r="R81" s="65"/>
      <c r="S81" s="65"/>
    </row>
    <row r="82" spans="1:25" ht="27" x14ac:dyDescent="0.4">
      <c r="A82" s="65"/>
      <c r="B82" s="65"/>
      <c r="C82" s="66"/>
      <c r="D82" s="66"/>
      <c r="E82" s="67"/>
      <c r="F82" s="68"/>
      <c r="G82" s="68"/>
      <c r="H82" s="66"/>
      <c r="I82" s="67"/>
      <c r="J82" s="67"/>
      <c r="K82" s="67"/>
      <c r="L82" s="66"/>
      <c r="M82" s="68"/>
      <c r="N82" s="66"/>
      <c r="O82" s="69"/>
      <c r="P82" s="67"/>
      <c r="Q82" s="66"/>
      <c r="R82" s="65"/>
      <c r="S82" s="65"/>
    </row>
    <row r="83" spans="1:25" ht="27" x14ac:dyDescent="0.4">
      <c r="A83" s="65"/>
      <c r="B83" s="65"/>
      <c r="C83" s="66"/>
      <c r="D83" s="66"/>
      <c r="E83" s="67"/>
      <c r="F83" s="68"/>
      <c r="G83" s="68"/>
      <c r="H83" s="66"/>
      <c r="I83" s="67"/>
      <c r="J83" s="67"/>
      <c r="K83" s="67"/>
      <c r="L83" s="66"/>
      <c r="M83" s="68"/>
      <c r="N83" s="66"/>
      <c r="O83" s="69"/>
      <c r="P83" s="67"/>
      <c r="Q83" s="66"/>
      <c r="R83" s="65"/>
      <c r="S83" s="65"/>
    </row>
    <row r="84" spans="1:25" ht="27" x14ac:dyDescent="0.4">
      <c r="A84" s="65"/>
      <c r="B84" s="65"/>
      <c r="C84" s="66"/>
      <c r="D84" s="66"/>
      <c r="E84" s="67"/>
      <c r="F84" s="68"/>
      <c r="G84" s="68"/>
      <c r="H84" s="66"/>
      <c r="I84" s="67"/>
      <c r="J84" s="67"/>
      <c r="K84" s="67"/>
      <c r="L84" s="66"/>
      <c r="M84" s="68"/>
      <c r="N84" s="66"/>
      <c r="O84" s="69"/>
      <c r="P84" s="67"/>
      <c r="Q84" s="66"/>
      <c r="R84" s="65"/>
      <c r="S84" s="70"/>
    </row>
    <row r="85" spans="1:25" ht="27" x14ac:dyDescent="0.4">
      <c r="A85" s="65"/>
      <c r="B85" s="65"/>
      <c r="C85" s="66"/>
      <c r="D85" s="66"/>
      <c r="E85" s="67"/>
      <c r="F85" s="68"/>
      <c r="G85" s="68"/>
      <c r="H85" s="66"/>
      <c r="I85" s="67"/>
      <c r="J85" s="67"/>
      <c r="K85" s="67"/>
      <c r="L85" s="66"/>
      <c r="M85" s="68"/>
      <c r="N85" s="66"/>
      <c r="O85" s="69"/>
      <c r="P85" s="67"/>
      <c r="Q85" s="66"/>
      <c r="R85" s="65"/>
      <c r="S85" s="70"/>
    </row>
    <row r="86" spans="1:25" ht="27" x14ac:dyDescent="0.4">
      <c r="A86" s="65"/>
      <c r="B86" s="65"/>
      <c r="C86" s="66"/>
      <c r="D86" s="66"/>
      <c r="E86" s="67"/>
      <c r="F86" s="68"/>
      <c r="G86" s="68"/>
      <c r="H86" s="66"/>
      <c r="I86" s="67"/>
      <c r="J86" s="67"/>
      <c r="K86" s="67"/>
      <c r="L86" s="66"/>
      <c r="M86" s="68"/>
      <c r="N86" s="66"/>
      <c r="O86" s="69"/>
      <c r="P86" s="67"/>
      <c r="Q86" s="66"/>
      <c r="R86" s="65"/>
      <c r="S86" s="70"/>
    </row>
    <row r="87" spans="1:25" ht="27" x14ac:dyDescent="0.4">
      <c r="A87" s="65"/>
      <c r="B87" s="65"/>
      <c r="C87" s="66"/>
      <c r="D87" s="66"/>
      <c r="E87" s="67"/>
      <c r="F87" s="68"/>
      <c r="G87" s="68"/>
      <c r="H87" s="66"/>
      <c r="I87" s="67"/>
      <c r="J87" s="67"/>
      <c r="K87" s="67"/>
      <c r="L87" s="66"/>
      <c r="M87" s="68"/>
      <c r="N87" s="66"/>
      <c r="O87" s="69"/>
      <c r="P87" s="67"/>
      <c r="Q87" s="66"/>
      <c r="R87" s="65"/>
      <c r="S87" s="70"/>
    </row>
    <row r="88" spans="1:25" ht="33" x14ac:dyDescent="0.4">
      <c r="A88" s="65"/>
      <c r="B88" s="65"/>
      <c r="C88" s="66"/>
      <c r="D88" s="66"/>
      <c r="E88" s="67"/>
      <c r="F88" s="68"/>
      <c r="G88" s="68"/>
      <c r="H88" s="66"/>
      <c r="I88" s="67"/>
      <c r="J88" s="67"/>
      <c r="K88" s="67"/>
      <c r="L88" s="66"/>
      <c r="M88" s="68"/>
      <c r="N88" s="66"/>
      <c r="O88" s="69"/>
      <c r="P88" s="67"/>
      <c r="Q88" s="66"/>
      <c r="R88" s="65"/>
      <c r="S88" s="70"/>
      <c r="U88" s="53"/>
      <c r="V88" s="53"/>
      <c r="W88" s="54"/>
      <c r="X88" s="54"/>
      <c r="Y88" s="55"/>
    </row>
    <row r="89" spans="1:25" ht="33" x14ac:dyDescent="0.4">
      <c r="A89" s="65"/>
      <c r="B89" s="65"/>
      <c r="C89" s="66"/>
      <c r="D89" s="66"/>
      <c r="E89" s="67"/>
      <c r="F89" s="68"/>
      <c r="G89" s="68"/>
      <c r="H89" s="66"/>
      <c r="I89" s="67"/>
      <c r="J89" s="67"/>
      <c r="K89" s="67"/>
      <c r="L89" s="66"/>
      <c r="M89" s="68"/>
      <c r="N89" s="66"/>
      <c r="O89" s="69"/>
      <c r="P89" s="67"/>
      <c r="Q89" s="66"/>
      <c r="R89" s="65"/>
      <c r="S89" s="70"/>
      <c r="U89" s="53"/>
      <c r="V89" s="53"/>
      <c r="W89" s="54"/>
      <c r="X89" s="54"/>
      <c r="Y89" s="55"/>
    </row>
    <row r="90" spans="1:25" ht="33" x14ac:dyDescent="0.4">
      <c r="A90" s="65"/>
      <c r="B90" s="65"/>
      <c r="C90" s="66"/>
      <c r="D90" s="66"/>
      <c r="E90" s="67"/>
      <c r="F90" s="68"/>
      <c r="G90" s="68"/>
      <c r="H90" s="66"/>
      <c r="I90" s="67"/>
      <c r="J90" s="67"/>
      <c r="K90" s="67"/>
      <c r="L90" s="66"/>
      <c r="M90" s="68"/>
      <c r="N90" s="66"/>
      <c r="O90" s="69"/>
      <c r="P90" s="67"/>
      <c r="Q90" s="66"/>
      <c r="R90" s="65"/>
      <c r="S90" s="70"/>
      <c r="U90" s="53"/>
      <c r="V90" s="53"/>
      <c r="W90" s="54"/>
      <c r="X90" s="54"/>
      <c r="Y90" s="55"/>
    </row>
    <row r="91" spans="1:25" ht="33" x14ac:dyDescent="0.4">
      <c r="A91" s="65"/>
      <c r="B91" s="65"/>
      <c r="C91" s="66"/>
      <c r="D91" s="66"/>
      <c r="E91" s="67"/>
      <c r="F91" s="68"/>
      <c r="G91" s="68"/>
      <c r="H91" s="66"/>
      <c r="I91" s="67"/>
      <c r="J91" s="67"/>
      <c r="K91" s="67"/>
      <c r="L91" s="66"/>
      <c r="M91" s="68"/>
      <c r="N91" s="66"/>
      <c r="O91" s="69"/>
      <c r="P91" s="67"/>
      <c r="Q91" s="66"/>
      <c r="R91" s="65"/>
      <c r="S91" s="70"/>
      <c r="U91" s="53"/>
      <c r="V91" s="53"/>
      <c r="W91" s="54"/>
      <c r="X91" s="54"/>
      <c r="Y91" s="55"/>
    </row>
    <row r="92" spans="1:25" ht="33" x14ac:dyDescent="0.4">
      <c r="A92" s="65"/>
      <c r="B92" s="65"/>
      <c r="C92" s="66"/>
      <c r="D92" s="66"/>
      <c r="E92" s="67"/>
      <c r="F92" s="68"/>
      <c r="G92" s="68"/>
      <c r="H92" s="66"/>
      <c r="I92" s="67"/>
      <c r="J92" s="67"/>
      <c r="K92" s="67"/>
      <c r="L92" s="66"/>
      <c r="M92" s="68"/>
      <c r="N92" s="66"/>
      <c r="O92" s="69"/>
      <c r="P92" s="67"/>
      <c r="Q92" s="66"/>
      <c r="R92" s="65"/>
      <c r="S92" s="70"/>
      <c r="U92" s="53"/>
      <c r="V92" s="53"/>
      <c r="W92" s="54"/>
      <c r="X92" s="54"/>
      <c r="Y92" s="55"/>
    </row>
    <row r="93" spans="1:25" ht="33" x14ac:dyDescent="0.4">
      <c r="A93" s="65"/>
      <c r="B93" s="65"/>
      <c r="C93" s="66"/>
      <c r="D93" s="66"/>
      <c r="E93" s="67"/>
      <c r="F93" s="68"/>
      <c r="G93" s="68"/>
      <c r="H93" s="66"/>
      <c r="I93" s="67"/>
      <c r="J93" s="67"/>
      <c r="K93" s="67"/>
      <c r="L93" s="66"/>
      <c r="M93" s="68"/>
      <c r="N93" s="66"/>
      <c r="O93" s="69"/>
      <c r="P93" s="67"/>
      <c r="Q93" s="66"/>
      <c r="R93" s="65"/>
      <c r="S93" s="70"/>
      <c r="U93" s="53"/>
      <c r="V93" s="53"/>
      <c r="W93" s="54"/>
      <c r="X93" s="54"/>
      <c r="Y93" s="55"/>
    </row>
    <row r="94" spans="1:25" ht="33" x14ac:dyDescent="0.4">
      <c r="A94" s="65"/>
      <c r="B94" s="65"/>
      <c r="C94" s="66"/>
      <c r="D94" s="66"/>
      <c r="E94" s="67"/>
      <c r="F94" s="68"/>
      <c r="G94" s="68"/>
      <c r="H94" s="66"/>
      <c r="I94" s="67"/>
      <c r="J94" s="67"/>
      <c r="K94" s="67"/>
      <c r="L94" s="66"/>
      <c r="M94" s="68"/>
      <c r="N94" s="66"/>
      <c r="O94" s="69"/>
      <c r="P94" s="67"/>
      <c r="Q94" s="66"/>
      <c r="R94" s="65"/>
      <c r="S94" s="70"/>
      <c r="U94" s="53"/>
      <c r="V94" s="53"/>
      <c r="W94" s="54"/>
      <c r="X94" s="54"/>
      <c r="Y94" s="55"/>
    </row>
    <row r="95" spans="1:25" ht="33" x14ac:dyDescent="0.4">
      <c r="A95" s="65"/>
      <c r="B95" s="65"/>
      <c r="C95" s="66"/>
      <c r="D95" s="66"/>
      <c r="E95" s="67"/>
      <c r="F95" s="68"/>
      <c r="G95" s="68"/>
      <c r="H95" s="66"/>
      <c r="I95" s="67"/>
      <c r="J95" s="67"/>
      <c r="K95" s="67"/>
      <c r="L95" s="66"/>
      <c r="M95" s="68"/>
      <c r="N95" s="66"/>
      <c r="O95" s="69"/>
      <c r="P95" s="67"/>
      <c r="Q95" s="66"/>
      <c r="R95" s="65"/>
      <c r="S95" s="70"/>
      <c r="U95" s="53"/>
      <c r="V95" s="53"/>
      <c r="W95" s="54"/>
      <c r="X95" s="54"/>
      <c r="Y95" s="55"/>
    </row>
    <row r="96" spans="1:25" ht="33" x14ac:dyDescent="0.4">
      <c r="A96" s="65"/>
      <c r="B96" s="65"/>
      <c r="C96" s="66"/>
      <c r="D96" s="66"/>
      <c r="E96" s="67"/>
      <c r="F96" s="68"/>
      <c r="G96" s="68"/>
      <c r="H96" s="66"/>
      <c r="I96" s="67"/>
      <c r="J96" s="67"/>
      <c r="K96" s="67"/>
      <c r="L96" s="66"/>
      <c r="M96" s="68"/>
      <c r="N96" s="66"/>
      <c r="O96" s="69"/>
      <c r="P96" s="67"/>
      <c r="Q96" s="66"/>
      <c r="R96" s="65"/>
      <c r="S96" s="70"/>
      <c r="U96" s="53"/>
      <c r="V96" s="53"/>
      <c r="W96" s="54"/>
      <c r="X96" s="54"/>
      <c r="Y96" s="55"/>
    </row>
    <row r="97" spans="1:25" ht="33" x14ac:dyDescent="0.4">
      <c r="A97" s="65"/>
      <c r="B97" s="65"/>
      <c r="C97" s="66"/>
      <c r="D97" s="66"/>
      <c r="E97" s="67"/>
      <c r="F97" s="68"/>
      <c r="G97" s="68"/>
      <c r="H97" s="66"/>
      <c r="I97" s="67"/>
      <c r="J97" s="67"/>
      <c r="K97" s="67"/>
      <c r="L97" s="66"/>
      <c r="M97" s="68"/>
      <c r="N97" s="66"/>
      <c r="O97" s="69"/>
      <c r="P97" s="67"/>
      <c r="Q97" s="66"/>
      <c r="R97" s="65"/>
      <c r="S97" s="70"/>
      <c r="U97" s="53"/>
      <c r="V97" s="53"/>
      <c r="W97" s="54"/>
      <c r="X97" s="54"/>
      <c r="Y97" s="55"/>
    </row>
    <row r="98" spans="1:25" ht="33" x14ac:dyDescent="0.4">
      <c r="A98" s="65"/>
      <c r="B98" s="65"/>
      <c r="C98" s="66"/>
      <c r="D98" s="66"/>
      <c r="E98" s="67"/>
      <c r="F98" s="68"/>
      <c r="G98" s="68"/>
      <c r="H98" s="66"/>
      <c r="I98" s="67"/>
      <c r="J98" s="67"/>
      <c r="K98" s="67"/>
      <c r="L98" s="66"/>
      <c r="M98" s="68"/>
      <c r="N98" s="66"/>
      <c r="O98" s="69"/>
      <c r="P98" s="67"/>
      <c r="Q98" s="66"/>
      <c r="R98" s="65"/>
      <c r="S98" s="70"/>
      <c r="U98" s="53"/>
      <c r="V98" s="53"/>
      <c r="W98" s="54"/>
      <c r="X98" s="54"/>
      <c r="Y98" s="55"/>
    </row>
    <row r="99" spans="1:25" ht="33" x14ac:dyDescent="0.4">
      <c r="A99" s="65"/>
      <c r="B99" s="65"/>
      <c r="C99" s="66"/>
      <c r="D99" s="66"/>
      <c r="E99" s="67"/>
      <c r="F99" s="68"/>
      <c r="G99" s="68"/>
      <c r="H99" s="66"/>
      <c r="I99" s="67"/>
      <c r="J99" s="67"/>
      <c r="K99" s="67"/>
      <c r="L99" s="66"/>
      <c r="M99" s="68"/>
      <c r="N99" s="66"/>
      <c r="O99" s="69"/>
      <c r="P99" s="67"/>
      <c r="Q99" s="66"/>
      <c r="R99" s="65"/>
      <c r="S99" s="70"/>
      <c r="U99" s="53"/>
      <c r="V99" s="53"/>
      <c r="W99" s="54"/>
      <c r="X99" s="54"/>
      <c r="Y99" s="55"/>
    </row>
    <row r="100" spans="1:25" ht="27" x14ac:dyDescent="0.4">
      <c r="A100" s="65"/>
      <c r="B100" s="65"/>
      <c r="C100" s="66"/>
      <c r="D100" s="66"/>
      <c r="E100" s="67"/>
      <c r="F100" s="68"/>
      <c r="G100" s="68"/>
      <c r="H100" s="66"/>
      <c r="I100" s="67"/>
      <c r="J100" s="67"/>
      <c r="K100" s="67"/>
      <c r="L100" s="66"/>
      <c r="M100" s="68"/>
      <c r="N100" s="66"/>
      <c r="O100" s="69"/>
      <c r="P100" s="67"/>
      <c r="Q100" s="66"/>
      <c r="R100" s="65"/>
      <c r="S100" s="70"/>
    </row>
    <row r="101" spans="1:25" ht="27" x14ac:dyDescent="0.4">
      <c r="A101" s="65"/>
      <c r="B101" s="65"/>
      <c r="C101" s="66"/>
      <c r="D101" s="66"/>
      <c r="E101" s="67"/>
      <c r="F101" s="68"/>
      <c r="G101" s="68"/>
      <c r="H101" s="66"/>
      <c r="I101" s="67"/>
      <c r="J101" s="67"/>
      <c r="K101" s="67"/>
      <c r="L101" s="66"/>
      <c r="M101" s="68"/>
      <c r="N101" s="66"/>
      <c r="O101" s="69"/>
      <c r="P101" s="67"/>
      <c r="Q101" s="66"/>
      <c r="R101" s="65"/>
      <c r="S101" s="70"/>
    </row>
    <row r="102" spans="1:25" ht="33" x14ac:dyDescent="0.4">
      <c r="A102" s="65"/>
      <c r="B102" s="65"/>
      <c r="C102" s="66"/>
      <c r="D102" s="66"/>
      <c r="E102" s="67"/>
      <c r="F102" s="68"/>
      <c r="G102" s="68"/>
      <c r="H102" s="66"/>
      <c r="I102" s="67"/>
      <c r="J102" s="67"/>
      <c r="K102" s="67"/>
      <c r="L102" s="66"/>
      <c r="M102" s="68"/>
      <c r="N102" s="66"/>
      <c r="O102" s="69"/>
      <c r="P102" s="67"/>
      <c r="Q102" s="66"/>
      <c r="R102" s="65"/>
      <c r="S102" s="70"/>
      <c r="U102" s="59">
        <v>89</v>
      </c>
      <c r="V102" s="60" t="s">
        <v>20</v>
      </c>
      <c r="W102" s="61" t="s">
        <v>18</v>
      </c>
      <c r="X102" s="61">
        <v>87</v>
      </c>
      <c r="Y102" s="62">
        <f>X102/U102</f>
        <v>0.97752808988764039</v>
      </c>
    </row>
    <row r="103" spans="1:25" ht="33" x14ac:dyDescent="0.4">
      <c r="A103" s="65"/>
      <c r="B103" s="65"/>
      <c r="C103" s="66"/>
      <c r="D103" s="66"/>
      <c r="E103" s="67"/>
      <c r="F103" s="68"/>
      <c r="G103" s="68"/>
      <c r="H103" s="66"/>
      <c r="I103" s="67"/>
      <c r="J103" s="67"/>
      <c r="K103" s="67"/>
      <c r="L103" s="66"/>
      <c r="M103" s="68"/>
      <c r="N103" s="66"/>
      <c r="O103" s="69"/>
      <c r="P103" s="67"/>
      <c r="Q103" s="66"/>
      <c r="R103" s="65"/>
      <c r="S103" s="70"/>
      <c r="U103" s="53"/>
      <c r="V103" s="53"/>
      <c r="W103" s="61" t="s">
        <v>19</v>
      </c>
      <c r="X103" s="61">
        <v>2</v>
      </c>
      <c r="Y103" s="62">
        <f>X103/U102</f>
        <v>2.247191011235955E-2</v>
      </c>
    </row>
    <row r="104" spans="1:25" ht="33" x14ac:dyDescent="0.4">
      <c r="A104" s="65"/>
      <c r="B104" s="65"/>
      <c r="C104" s="66"/>
      <c r="D104" s="66"/>
      <c r="E104" s="67"/>
      <c r="F104" s="68"/>
      <c r="G104" s="68"/>
      <c r="H104" s="66"/>
      <c r="I104" s="67"/>
      <c r="J104" s="67"/>
      <c r="K104" s="67"/>
      <c r="L104" s="66"/>
      <c r="M104" s="68"/>
      <c r="N104" s="66"/>
      <c r="O104" s="69"/>
      <c r="P104" s="67"/>
      <c r="Q104" s="66"/>
      <c r="R104" s="65"/>
      <c r="S104" s="70"/>
      <c r="U104" s="53"/>
      <c r="V104" s="60" t="s">
        <v>21</v>
      </c>
      <c r="W104" s="61" t="s">
        <v>18</v>
      </c>
      <c r="X104" s="61">
        <v>84</v>
      </c>
      <c r="Y104" s="62">
        <f>X104/U102</f>
        <v>0.9438202247191011</v>
      </c>
    </row>
    <row r="105" spans="1:25" ht="33" x14ac:dyDescent="0.4">
      <c r="A105" s="65"/>
      <c r="B105" s="65"/>
      <c r="C105" s="66"/>
      <c r="D105" s="66"/>
      <c r="E105" s="67"/>
      <c r="F105" s="68"/>
      <c r="G105" s="68"/>
      <c r="H105" s="66"/>
      <c r="I105" s="67"/>
      <c r="J105" s="67"/>
      <c r="K105" s="67"/>
      <c r="L105" s="66"/>
      <c r="M105" s="68"/>
      <c r="N105" s="66"/>
      <c r="O105" s="69"/>
      <c r="P105" s="67"/>
      <c r="Q105" s="66"/>
      <c r="R105" s="65"/>
      <c r="S105" s="70"/>
      <c r="U105" s="53"/>
      <c r="V105" s="53"/>
      <c r="W105" s="61" t="s">
        <v>19</v>
      </c>
      <c r="X105" s="61">
        <v>5</v>
      </c>
      <c r="Y105" s="62">
        <f>X105/U102</f>
        <v>5.6179775280898875E-2</v>
      </c>
    </row>
    <row r="106" spans="1:25" ht="33" x14ac:dyDescent="0.4">
      <c r="A106" s="65"/>
      <c r="B106" s="65"/>
      <c r="C106" s="66"/>
      <c r="D106" s="66"/>
      <c r="E106" s="67"/>
      <c r="F106" s="68"/>
      <c r="G106" s="68"/>
      <c r="H106" s="66"/>
      <c r="I106" s="67"/>
      <c r="J106" s="67"/>
      <c r="K106" s="67"/>
      <c r="L106" s="66"/>
      <c r="M106" s="68"/>
      <c r="N106" s="66"/>
      <c r="O106" s="69"/>
      <c r="P106" s="67"/>
      <c r="Q106" s="66"/>
      <c r="R106" s="65"/>
      <c r="S106" s="70"/>
      <c r="U106" s="53"/>
      <c r="V106" s="60" t="s">
        <v>22</v>
      </c>
      <c r="W106" s="61" t="s">
        <v>18</v>
      </c>
      <c r="X106" s="61">
        <v>89</v>
      </c>
      <c r="Y106" s="62">
        <f>X106/U102</f>
        <v>1</v>
      </c>
    </row>
    <row r="107" spans="1:25" ht="30.75" x14ac:dyDescent="0.4">
      <c r="A107" s="65"/>
      <c r="B107" s="65"/>
      <c r="C107" s="66"/>
      <c r="D107" s="66"/>
      <c r="E107" s="67"/>
      <c r="F107" s="68"/>
      <c r="G107" s="68"/>
      <c r="H107" s="66"/>
      <c r="I107" s="67"/>
      <c r="J107" s="67"/>
      <c r="K107" s="67"/>
      <c r="L107" s="66"/>
      <c r="M107" s="68"/>
      <c r="N107" s="66"/>
      <c r="O107" s="69"/>
      <c r="P107" s="67"/>
      <c r="Q107" s="66"/>
      <c r="R107" s="65"/>
      <c r="S107" s="70"/>
      <c r="U107" s="56"/>
      <c r="V107" s="56"/>
      <c r="W107" s="61" t="s">
        <v>19</v>
      </c>
      <c r="X107" s="61">
        <v>0</v>
      </c>
      <c r="Y107" s="62">
        <f>X107/U102</f>
        <v>0</v>
      </c>
    </row>
    <row r="108" spans="1:25" ht="27" x14ac:dyDescent="0.4">
      <c r="A108" s="65"/>
      <c r="B108" s="65"/>
      <c r="C108" s="66"/>
      <c r="D108" s="66"/>
      <c r="E108" s="67"/>
      <c r="F108" s="68"/>
      <c r="G108" s="68"/>
      <c r="H108" s="66"/>
      <c r="I108" s="67"/>
      <c r="J108" s="67"/>
      <c r="K108" s="67"/>
      <c r="L108" s="66"/>
      <c r="M108" s="68"/>
      <c r="N108" s="66"/>
      <c r="O108" s="69"/>
      <c r="P108" s="67"/>
      <c r="Q108" s="66"/>
      <c r="R108" s="65"/>
      <c r="S108" s="70"/>
    </row>
    <row r="109" spans="1:25" ht="27" x14ac:dyDescent="0.4">
      <c r="A109" s="65"/>
      <c r="B109" s="65"/>
      <c r="C109" s="66"/>
      <c r="D109" s="66"/>
      <c r="E109" s="67"/>
      <c r="F109" s="68"/>
      <c r="G109" s="68"/>
      <c r="H109" s="66"/>
      <c r="I109" s="67"/>
      <c r="J109" s="67"/>
      <c r="K109" s="67"/>
      <c r="L109" s="66"/>
      <c r="M109" s="68"/>
      <c r="N109" s="66"/>
      <c r="O109" s="69"/>
      <c r="P109" s="67"/>
      <c r="Q109" s="66"/>
      <c r="R109" s="65"/>
      <c r="S109" s="70"/>
    </row>
    <row r="110" spans="1:25" ht="27" x14ac:dyDescent="0.4">
      <c r="A110" s="65"/>
      <c r="B110" s="65"/>
      <c r="C110" s="66"/>
      <c r="D110" s="66"/>
      <c r="E110" s="67"/>
      <c r="F110" s="68"/>
      <c r="G110" s="68"/>
      <c r="H110" s="66"/>
      <c r="I110" s="67"/>
      <c r="J110" s="67"/>
      <c r="K110" s="67"/>
      <c r="L110" s="66"/>
      <c r="M110" s="68"/>
      <c r="N110" s="66"/>
      <c r="O110" s="69"/>
      <c r="P110" s="67"/>
      <c r="Q110" s="66"/>
      <c r="R110" s="65"/>
      <c r="S110" s="70"/>
    </row>
    <row r="111" spans="1:25" ht="27" x14ac:dyDescent="0.4">
      <c r="A111" s="65"/>
      <c r="B111" s="65"/>
      <c r="C111" s="66"/>
      <c r="D111" s="66"/>
      <c r="E111" s="67"/>
      <c r="F111" s="68"/>
      <c r="G111" s="68"/>
      <c r="H111" s="66"/>
      <c r="I111" s="67"/>
      <c r="J111" s="67"/>
      <c r="K111" s="67"/>
      <c r="L111" s="66"/>
      <c r="M111" s="68"/>
      <c r="N111" s="66"/>
      <c r="O111" s="69"/>
      <c r="P111" s="67"/>
      <c r="Q111" s="66"/>
      <c r="R111" s="65"/>
      <c r="S111" s="70"/>
    </row>
    <row r="112" spans="1:25" ht="27" x14ac:dyDescent="0.4">
      <c r="A112" s="65"/>
      <c r="B112" s="65"/>
      <c r="C112" s="66"/>
      <c r="D112" s="66"/>
      <c r="E112" s="67"/>
      <c r="F112" s="68"/>
      <c r="G112" s="68"/>
      <c r="H112" s="66"/>
      <c r="I112" s="67"/>
      <c r="J112" s="67"/>
      <c r="K112" s="67"/>
      <c r="L112" s="66"/>
      <c r="M112" s="68"/>
      <c r="N112" s="66"/>
      <c r="O112" s="69"/>
      <c r="P112" s="67"/>
      <c r="Q112" s="66"/>
      <c r="R112" s="65"/>
      <c r="S112" s="70"/>
    </row>
    <row r="113" spans="1:19" ht="27" x14ac:dyDescent="0.4">
      <c r="A113" s="65"/>
      <c r="B113" s="65"/>
      <c r="C113" s="66"/>
      <c r="D113" s="66"/>
      <c r="E113" s="67"/>
      <c r="F113" s="68"/>
      <c r="G113" s="68"/>
      <c r="H113" s="66"/>
      <c r="I113" s="67"/>
      <c r="J113" s="67"/>
      <c r="K113" s="67"/>
      <c r="L113" s="66"/>
      <c r="M113" s="68"/>
      <c r="N113" s="66"/>
      <c r="O113" s="69"/>
      <c r="P113" s="67"/>
      <c r="Q113" s="66"/>
      <c r="R113" s="65"/>
      <c r="S113" s="70"/>
    </row>
    <row r="114" spans="1:19" ht="27" x14ac:dyDescent="0.4">
      <c r="A114" s="65"/>
      <c r="B114" s="65"/>
      <c r="C114" s="66"/>
      <c r="D114" s="66"/>
      <c r="E114" s="67"/>
      <c r="F114" s="68"/>
      <c r="G114" s="68"/>
      <c r="H114" s="66"/>
      <c r="I114" s="67"/>
      <c r="J114" s="67"/>
      <c r="K114" s="67"/>
      <c r="L114" s="66"/>
      <c r="M114" s="68"/>
      <c r="N114" s="66"/>
      <c r="O114" s="69"/>
      <c r="P114" s="67"/>
      <c r="Q114" s="66"/>
      <c r="R114" s="65"/>
      <c r="S114" s="70"/>
    </row>
    <row r="115" spans="1:19" ht="27" x14ac:dyDescent="0.4">
      <c r="A115" s="65"/>
      <c r="B115" s="65"/>
      <c r="C115" s="66"/>
      <c r="D115" s="66"/>
      <c r="E115" s="67"/>
      <c r="F115" s="68"/>
      <c r="G115" s="68"/>
      <c r="H115" s="66"/>
      <c r="I115" s="67"/>
      <c r="J115" s="67"/>
      <c r="K115" s="67"/>
      <c r="L115" s="66"/>
      <c r="M115" s="68"/>
      <c r="N115" s="66"/>
      <c r="O115" s="69"/>
      <c r="P115" s="67"/>
      <c r="Q115" s="66"/>
      <c r="R115" s="65"/>
      <c r="S115" s="70"/>
    </row>
    <row r="116" spans="1:19" ht="27" x14ac:dyDescent="0.4">
      <c r="A116" s="65"/>
      <c r="B116" s="65"/>
      <c r="C116" s="66"/>
      <c r="D116" s="66"/>
      <c r="E116" s="67"/>
      <c r="F116" s="68"/>
      <c r="G116" s="68"/>
      <c r="H116" s="66"/>
      <c r="I116" s="67"/>
      <c r="J116" s="67"/>
      <c r="K116" s="67"/>
      <c r="L116" s="66"/>
      <c r="M116" s="68"/>
      <c r="N116" s="66"/>
      <c r="O116" s="69"/>
      <c r="P116" s="67"/>
      <c r="Q116" s="66"/>
      <c r="R116" s="65"/>
      <c r="S116" s="70"/>
    </row>
    <row r="117" spans="1:19" ht="27" x14ac:dyDescent="0.4">
      <c r="A117" s="65"/>
      <c r="B117" s="65"/>
      <c r="C117" s="66"/>
      <c r="D117" s="66"/>
      <c r="E117" s="67"/>
      <c r="F117" s="68"/>
      <c r="G117" s="68"/>
      <c r="H117" s="66"/>
      <c r="I117" s="67"/>
      <c r="J117" s="67"/>
      <c r="K117" s="67"/>
      <c r="L117" s="66"/>
      <c r="M117" s="68"/>
      <c r="N117" s="66"/>
      <c r="O117" s="69"/>
      <c r="P117" s="67"/>
      <c r="Q117" s="66"/>
      <c r="R117" s="65"/>
      <c r="S117" s="70"/>
    </row>
    <row r="118" spans="1:19" ht="27" x14ac:dyDescent="0.4">
      <c r="A118" s="65"/>
      <c r="B118" s="65"/>
      <c r="C118" s="66"/>
      <c r="D118" s="66"/>
      <c r="E118" s="67"/>
      <c r="F118" s="68"/>
      <c r="G118" s="68"/>
      <c r="H118" s="66"/>
      <c r="I118" s="67"/>
      <c r="J118" s="67"/>
      <c r="K118" s="67"/>
      <c r="L118" s="66"/>
      <c r="M118" s="68"/>
      <c r="N118" s="66"/>
      <c r="O118" s="69"/>
      <c r="P118" s="67"/>
      <c r="Q118" s="66"/>
      <c r="R118" s="65"/>
      <c r="S118" s="70"/>
    </row>
    <row r="119" spans="1:19" ht="27" x14ac:dyDescent="0.4">
      <c r="A119" s="65"/>
      <c r="B119" s="65"/>
      <c r="C119" s="66"/>
      <c r="D119" s="66"/>
      <c r="E119" s="67"/>
      <c r="F119" s="68"/>
      <c r="G119" s="68"/>
      <c r="H119" s="66"/>
      <c r="I119" s="67"/>
      <c r="J119" s="67"/>
      <c r="K119" s="67"/>
      <c r="L119" s="66"/>
      <c r="M119" s="68"/>
      <c r="N119" s="66"/>
      <c r="O119" s="69"/>
      <c r="P119" s="67"/>
      <c r="Q119" s="66"/>
      <c r="R119" s="65"/>
      <c r="S119" s="70"/>
    </row>
    <row r="120" spans="1:19" ht="27" x14ac:dyDescent="0.4">
      <c r="A120" s="65"/>
      <c r="B120" s="65"/>
      <c r="C120" s="66"/>
      <c r="D120" s="66"/>
      <c r="E120" s="67"/>
      <c r="F120" s="68"/>
      <c r="G120" s="68"/>
      <c r="H120" s="66"/>
      <c r="I120" s="67"/>
      <c r="J120" s="67"/>
      <c r="K120" s="67"/>
      <c r="L120" s="66"/>
      <c r="M120" s="68"/>
      <c r="N120" s="66"/>
      <c r="O120" s="69"/>
      <c r="P120" s="67"/>
      <c r="Q120" s="66"/>
      <c r="R120" s="65"/>
      <c r="S120" s="70"/>
    </row>
    <row r="121" spans="1:19" ht="27" x14ac:dyDescent="0.4">
      <c r="A121" s="65"/>
      <c r="B121" s="65"/>
      <c r="C121" s="66"/>
      <c r="D121" s="66"/>
      <c r="E121" s="67"/>
      <c r="F121" s="68"/>
      <c r="G121" s="68"/>
      <c r="H121" s="66"/>
      <c r="I121" s="67"/>
      <c r="J121" s="67"/>
      <c r="K121" s="67"/>
      <c r="L121" s="66"/>
      <c r="M121" s="68"/>
      <c r="N121" s="66"/>
      <c r="O121" s="69"/>
      <c r="P121" s="67"/>
      <c r="Q121" s="66"/>
      <c r="R121" s="65"/>
      <c r="S121" s="70"/>
    </row>
    <row r="122" spans="1:19" ht="27" x14ac:dyDescent="0.4">
      <c r="A122" s="65"/>
      <c r="B122" s="65"/>
      <c r="C122" s="66"/>
      <c r="D122" s="66"/>
      <c r="E122" s="67"/>
      <c r="F122" s="68"/>
      <c r="G122" s="68"/>
      <c r="H122" s="66"/>
      <c r="I122" s="67"/>
      <c r="J122" s="67"/>
      <c r="K122" s="67"/>
      <c r="L122" s="66"/>
      <c r="M122" s="68"/>
      <c r="N122" s="66"/>
      <c r="O122" s="69"/>
      <c r="P122" s="67"/>
      <c r="Q122" s="66"/>
      <c r="R122" s="65"/>
      <c r="S122" s="70"/>
    </row>
    <row r="123" spans="1:19" ht="27" x14ac:dyDescent="0.4">
      <c r="A123" s="65"/>
      <c r="B123" s="65"/>
      <c r="C123" s="66"/>
      <c r="D123" s="66"/>
      <c r="E123" s="67"/>
      <c r="F123" s="68"/>
      <c r="G123" s="68"/>
      <c r="H123" s="66"/>
      <c r="I123" s="67"/>
      <c r="J123" s="67"/>
      <c r="K123" s="67"/>
      <c r="L123" s="66"/>
      <c r="M123" s="68"/>
      <c r="N123" s="66"/>
      <c r="O123" s="69"/>
      <c r="P123" s="67"/>
      <c r="Q123" s="66"/>
      <c r="R123" s="65"/>
      <c r="S123" s="68"/>
    </row>
    <row r="124" spans="1:19" ht="27" x14ac:dyDescent="0.4">
      <c r="A124" s="65"/>
      <c r="B124" s="65"/>
      <c r="C124" s="66"/>
      <c r="D124" s="66"/>
      <c r="E124" s="67"/>
      <c r="F124" s="68"/>
      <c r="G124" s="68"/>
      <c r="H124" s="66"/>
      <c r="I124" s="67"/>
      <c r="J124" s="67"/>
      <c r="K124" s="67"/>
      <c r="L124" s="66"/>
      <c r="M124" s="68"/>
      <c r="N124" s="66"/>
      <c r="O124" s="69"/>
      <c r="P124" s="67"/>
      <c r="Q124" s="66"/>
      <c r="R124" s="65"/>
      <c r="S124" s="70"/>
    </row>
    <row r="125" spans="1:19" ht="27" x14ac:dyDescent="0.4">
      <c r="A125" s="65"/>
      <c r="B125" s="65"/>
      <c r="C125" s="66"/>
      <c r="D125" s="66"/>
      <c r="E125" s="67"/>
      <c r="F125" s="68"/>
      <c r="G125" s="68"/>
      <c r="H125" s="66"/>
      <c r="I125" s="67"/>
      <c r="J125" s="67"/>
      <c r="K125" s="67"/>
      <c r="L125" s="66"/>
      <c r="M125" s="68"/>
      <c r="N125" s="66"/>
      <c r="O125" s="69"/>
      <c r="P125" s="67"/>
      <c r="Q125" s="66"/>
      <c r="R125" s="65"/>
      <c r="S125" s="70"/>
    </row>
    <row r="126" spans="1:19" ht="27" x14ac:dyDescent="0.4">
      <c r="A126" s="65"/>
      <c r="B126" s="65"/>
      <c r="C126" s="66"/>
      <c r="D126" s="66"/>
      <c r="E126" s="67"/>
      <c r="F126" s="68"/>
      <c r="G126" s="68"/>
      <c r="H126" s="66"/>
      <c r="I126" s="67"/>
      <c r="J126" s="67"/>
      <c r="K126" s="67"/>
      <c r="L126" s="66"/>
      <c r="M126" s="68"/>
      <c r="N126" s="66"/>
      <c r="O126" s="69"/>
      <c r="P126" s="67"/>
      <c r="Q126" s="66"/>
      <c r="R126" s="65"/>
      <c r="S126" s="70"/>
    </row>
    <row r="127" spans="1:19" ht="27" x14ac:dyDescent="0.4">
      <c r="A127" s="65"/>
      <c r="B127" s="65"/>
      <c r="C127" s="66"/>
      <c r="D127" s="66"/>
      <c r="E127" s="67"/>
      <c r="F127" s="68"/>
      <c r="G127" s="68"/>
      <c r="H127" s="66"/>
      <c r="I127" s="67"/>
      <c r="J127" s="67"/>
      <c r="K127" s="67"/>
      <c r="L127" s="66"/>
      <c r="M127" s="68"/>
      <c r="N127" s="66"/>
      <c r="O127" s="69"/>
      <c r="P127" s="67"/>
      <c r="Q127" s="66"/>
      <c r="R127" s="65"/>
      <c r="S127" s="70"/>
    </row>
    <row r="128" spans="1:19" ht="27" x14ac:dyDescent="0.4">
      <c r="A128" s="65"/>
      <c r="B128" s="65"/>
      <c r="C128" s="66"/>
      <c r="D128" s="66"/>
      <c r="E128" s="67"/>
      <c r="F128" s="68"/>
      <c r="G128" s="68"/>
      <c r="H128" s="66"/>
      <c r="I128" s="67"/>
      <c r="J128" s="67"/>
      <c r="K128" s="67"/>
      <c r="L128" s="66"/>
      <c r="M128" s="68"/>
      <c r="N128" s="66"/>
      <c r="O128" s="69"/>
      <c r="P128" s="67"/>
      <c r="Q128" s="66"/>
      <c r="R128" s="65"/>
      <c r="S128" s="68"/>
    </row>
    <row r="129" spans="1:19" ht="27" x14ac:dyDescent="0.4">
      <c r="A129" s="65"/>
      <c r="B129" s="65"/>
      <c r="C129" s="66"/>
      <c r="D129" s="66"/>
      <c r="E129" s="67"/>
      <c r="F129" s="68"/>
      <c r="G129" s="68"/>
      <c r="H129" s="66"/>
      <c r="I129" s="67"/>
      <c r="J129" s="67"/>
      <c r="K129" s="67"/>
      <c r="L129" s="66"/>
      <c r="M129" s="68"/>
      <c r="N129" s="66"/>
      <c r="O129" s="69"/>
      <c r="P129" s="67"/>
      <c r="Q129" s="66"/>
      <c r="R129" s="65"/>
      <c r="S129" s="68"/>
    </row>
    <row r="130" spans="1:19" ht="27" x14ac:dyDescent="0.4">
      <c r="A130" s="65"/>
      <c r="B130" s="65"/>
      <c r="C130" s="66"/>
      <c r="D130" s="66"/>
      <c r="E130" s="67"/>
      <c r="F130" s="68"/>
      <c r="G130" s="68"/>
      <c r="H130" s="66"/>
      <c r="I130" s="67"/>
      <c r="J130" s="67"/>
      <c r="K130" s="67"/>
      <c r="L130" s="66"/>
      <c r="M130" s="68"/>
      <c r="N130" s="66"/>
      <c r="O130" s="69"/>
      <c r="P130" s="67"/>
      <c r="Q130" s="66"/>
      <c r="R130" s="65"/>
      <c r="S130" s="68"/>
    </row>
    <row r="131" spans="1:19" ht="27" x14ac:dyDescent="0.4">
      <c r="A131" s="65"/>
      <c r="B131" s="65"/>
      <c r="C131" s="66"/>
      <c r="D131" s="66"/>
      <c r="E131" s="67"/>
      <c r="F131" s="68"/>
      <c r="G131" s="68"/>
      <c r="H131" s="66"/>
      <c r="I131" s="67"/>
      <c r="J131" s="67"/>
      <c r="K131" s="67"/>
      <c r="L131" s="66"/>
      <c r="M131" s="68"/>
      <c r="N131" s="66"/>
      <c r="O131" s="69"/>
      <c r="P131" s="67"/>
      <c r="Q131" s="66"/>
      <c r="R131" s="65"/>
      <c r="S131" s="68"/>
    </row>
    <row r="132" spans="1:19" ht="27" x14ac:dyDescent="0.4">
      <c r="A132" s="65"/>
      <c r="B132" s="65"/>
      <c r="C132" s="66"/>
      <c r="D132" s="66"/>
      <c r="E132" s="67"/>
      <c r="F132" s="68"/>
      <c r="G132" s="68"/>
      <c r="H132" s="66"/>
      <c r="I132" s="67"/>
      <c r="J132" s="67"/>
      <c r="K132" s="67"/>
      <c r="L132" s="66"/>
      <c r="M132" s="68"/>
      <c r="N132" s="66"/>
      <c r="O132" s="69"/>
      <c r="P132" s="67"/>
      <c r="Q132" s="66"/>
      <c r="R132" s="65"/>
      <c r="S132" s="68"/>
    </row>
    <row r="133" spans="1:19" ht="27" x14ac:dyDescent="0.4">
      <c r="A133" s="65"/>
      <c r="B133" s="65"/>
      <c r="C133" s="66"/>
      <c r="D133" s="66"/>
      <c r="E133" s="67"/>
      <c r="F133" s="68"/>
      <c r="G133" s="68"/>
      <c r="H133" s="66"/>
      <c r="I133" s="67"/>
      <c r="J133" s="67"/>
      <c r="K133" s="67"/>
      <c r="L133" s="66"/>
      <c r="M133" s="68"/>
      <c r="N133" s="66"/>
      <c r="O133" s="69"/>
      <c r="P133" s="67"/>
      <c r="Q133" s="66"/>
      <c r="R133" s="65"/>
      <c r="S133" s="68"/>
    </row>
    <row r="134" spans="1:19" ht="27" x14ac:dyDescent="0.4">
      <c r="A134" s="65"/>
      <c r="B134" s="65"/>
      <c r="C134" s="66"/>
      <c r="D134" s="66"/>
      <c r="E134" s="67"/>
      <c r="F134" s="68"/>
      <c r="G134" s="68"/>
      <c r="H134" s="66"/>
      <c r="I134" s="67"/>
      <c r="J134" s="67"/>
      <c r="K134" s="67"/>
      <c r="L134" s="66"/>
      <c r="M134" s="68"/>
      <c r="N134" s="66"/>
      <c r="O134" s="69"/>
      <c r="P134" s="67"/>
      <c r="Q134" s="66"/>
      <c r="R134" s="65"/>
      <c r="S134" s="68"/>
    </row>
    <row r="135" spans="1:19" ht="27" x14ac:dyDescent="0.4">
      <c r="A135" s="65"/>
      <c r="B135" s="65"/>
      <c r="C135" s="66"/>
      <c r="D135" s="66"/>
      <c r="E135" s="67"/>
      <c r="F135" s="68"/>
      <c r="G135" s="68"/>
      <c r="H135" s="66"/>
      <c r="I135" s="67"/>
      <c r="J135" s="67"/>
      <c r="K135" s="67"/>
      <c r="L135" s="66"/>
      <c r="M135" s="68"/>
      <c r="N135" s="66"/>
      <c r="O135" s="69"/>
      <c r="P135" s="67"/>
      <c r="Q135" s="66"/>
      <c r="R135" s="65"/>
      <c r="S135" s="68"/>
    </row>
    <row r="136" spans="1:19" ht="27" x14ac:dyDescent="0.4">
      <c r="A136" s="65"/>
      <c r="B136" s="65"/>
      <c r="C136" s="66"/>
      <c r="D136" s="66"/>
      <c r="E136" s="67"/>
      <c r="F136" s="68"/>
      <c r="G136" s="68"/>
      <c r="H136" s="66"/>
      <c r="I136" s="67"/>
      <c r="J136" s="67"/>
      <c r="K136" s="67"/>
      <c r="L136" s="66"/>
      <c r="M136" s="68"/>
      <c r="N136" s="66"/>
      <c r="O136" s="69"/>
      <c r="P136" s="67"/>
      <c r="Q136" s="66"/>
      <c r="R136" s="65"/>
      <c r="S136" s="68"/>
    </row>
    <row r="137" spans="1:19" ht="27" x14ac:dyDescent="0.4">
      <c r="A137" s="65"/>
      <c r="B137" s="65"/>
      <c r="C137" s="66"/>
      <c r="D137" s="66"/>
      <c r="E137" s="67"/>
      <c r="F137" s="68"/>
      <c r="G137" s="68"/>
      <c r="H137" s="66"/>
      <c r="I137" s="67"/>
      <c r="J137" s="67"/>
      <c r="K137" s="67"/>
      <c r="L137" s="66"/>
      <c r="M137" s="68"/>
      <c r="N137" s="66"/>
      <c r="O137" s="69"/>
      <c r="P137" s="67"/>
      <c r="Q137" s="66"/>
      <c r="R137" s="65"/>
      <c r="S137" s="68"/>
    </row>
    <row r="138" spans="1:19" ht="27" x14ac:dyDescent="0.4">
      <c r="A138" s="65"/>
      <c r="B138" s="65"/>
      <c r="C138" s="66"/>
      <c r="D138" s="66"/>
      <c r="E138" s="67"/>
      <c r="F138" s="68"/>
      <c r="G138" s="68"/>
      <c r="H138" s="66"/>
      <c r="I138" s="67"/>
      <c r="J138" s="67"/>
      <c r="K138" s="67"/>
      <c r="L138" s="66"/>
      <c r="M138" s="68"/>
      <c r="N138" s="66"/>
      <c r="O138" s="69"/>
      <c r="P138" s="67"/>
      <c r="Q138" s="66"/>
      <c r="R138" s="65"/>
      <c r="S138" s="68"/>
    </row>
    <row r="139" spans="1:19" ht="27" x14ac:dyDescent="0.4">
      <c r="A139" s="65"/>
      <c r="B139" s="65"/>
      <c r="C139" s="66"/>
      <c r="D139" s="66"/>
      <c r="E139" s="67"/>
      <c r="F139" s="68"/>
      <c r="G139" s="68"/>
      <c r="H139" s="66"/>
      <c r="I139" s="67"/>
      <c r="J139" s="67"/>
      <c r="K139" s="67"/>
      <c r="L139" s="66"/>
      <c r="M139" s="68"/>
      <c r="N139" s="66"/>
      <c r="O139" s="69"/>
      <c r="P139" s="67"/>
      <c r="Q139" s="66"/>
      <c r="R139" s="65"/>
      <c r="S139" s="68"/>
    </row>
    <row r="140" spans="1:19" ht="27" x14ac:dyDescent="0.4">
      <c r="A140" s="65"/>
      <c r="B140" s="65"/>
      <c r="C140" s="66"/>
      <c r="D140" s="66"/>
      <c r="E140" s="67"/>
      <c r="F140" s="68"/>
      <c r="G140" s="68"/>
      <c r="H140" s="66"/>
      <c r="I140" s="67"/>
      <c r="J140" s="67"/>
      <c r="K140" s="67"/>
      <c r="L140" s="66"/>
      <c r="M140" s="68"/>
      <c r="N140" s="66"/>
      <c r="O140" s="69"/>
      <c r="P140" s="67"/>
      <c r="Q140" s="66"/>
      <c r="R140" s="65"/>
      <c r="S140" s="68"/>
    </row>
    <row r="141" spans="1:19" ht="27" x14ac:dyDescent="0.4">
      <c r="A141" s="65"/>
      <c r="B141" s="65"/>
      <c r="C141" s="66"/>
      <c r="D141" s="66"/>
      <c r="E141" s="67"/>
      <c r="F141" s="68"/>
      <c r="G141" s="68"/>
      <c r="H141" s="66"/>
      <c r="I141" s="67"/>
      <c r="J141" s="67"/>
      <c r="K141" s="67"/>
      <c r="L141" s="66"/>
      <c r="M141" s="68"/>
      <c r="N141" s="66"/>
      <c r="O141" s="69"/>
      <c r="P141" s="67"/>
      <c r="Q141" s="66"/>
      <c r="R141" s="65"/>
      <c r="S141" s="68"/>
    </row>
    <row r="142" spans="1:19" ht="27" x14ac:dyDescent="0.4">
      <c r="A142" s="65"/>
      <c r="B142" s="65"/>
      <c r="C142" s="66"/>
      <c r="D142" s="66"/>
      <c r="E142" s="67"/>
      <c r="F142" s="68"/>
      <c r="G142" s="68"/>
      <c r="H142" s="66"/>
      <c r="I142" s="67"/>
      <c r="J142" s="67"/>
      <c r="K142" s="67"/>
      <c r="L142" s="66"/>
      <c r="M142" s="68"/>
      <c r="N142" s="66"/>
      <c r="O142" s="69"/>
      <c r="P142" s="67"/>
      <c r="Q142" s="66"/>
      <c r="R142" s="65"/>
      <c r="S142" s="70"/>
    </row>
    <row r="143" spans="1:19" ht="27" x14ac:dyDescent="0.4">
      <c r="A143" s="65"/>
      <c r="B143" s="65"/>
      <c r="C143" s="66"/>
      <c r="D143" s="66"/>
      <c r="E143" s="67"/>
      <c r="F143" s="68"/>
      <c r="G143" s="68"/>
      <c r="H143" s="66"/>
      <c r="I143" s="67"/>
      <c r="J143" s="67"/>
      <c r="K143" s="67"/>
      <c r="L143" s="66"/>
      <c r="M143" s="68"/>
      <c r="N143" s="66"/>
      <c r="O143" s="69"/>
      <c r="P143" s="67"/>
      <c r="Q143" s="66"/>
      <c r="R143" s="65"/>
      <c r="S143" s="70"/>
    </row>
    <row r="144" spans="1:19" ht="27" x14ac:dyDescent="0.4">
      <c r="A144" s="65"/>
      <c r="B144" s="65"/>
      <c r="C144" s="66"/>
      <c r="D144" s="66"/>
      <c r="E144" s="67"/>
      <c r="F144" s="68"/>
      <c r="G144" s="68"/>
      <c r="H144" s="66"/>
      <c r="I144" s="67"/>
      <c r="J144" s="67"/>
      <c r="K144" s="67"/>
      <c r="L144" s="66"/>
      <c r="M144" s="68"/>
      <c r="N144" s="66"/>
      <c r="O144" s="69"/>
      <c r="P144" s="67"/>
      <c r="Q144" s="66"/>
      <c r="R144" s="65"/>
      <c r="S144" s="68"/>
    </row>
    <row r="145" spans="1:19" ht="27" x14ac:dyDescent="0.4">
      <c r="A145" s="65"/>
      <c r="B145" s="65"/>
      <c r="C145" s="66"/>
      <c r="D145" s="66"/>
      <c r="E145" s="67"/>
      <c r="F145" s="68"/>
      <c r="G145" s="68"/>
      <c r="H145" s="66"/>
      <c r="I145" s="67"/>
      <c r="J145" s="67"/>
      <c r="K145" s="67"/>
      <c r="L145" s="66"/>
      <c r="M145" s="68"/>
      <c r="N145" s="66"/>
      <c r="O145" s="69"/>
      <c r="P145" s="67"/>
      <c r="Q145" s="66"/>
      <c r="R145" s="65"/>
      <c r="S145" s="68"/>
    </row>
    <row r="146" spans="1:19" ht="27" x14ac:dyDescent="0.4">
      <c r="A146" s="65"/>
      <c r="B146" s="65"/>
      <c r="C146" s="66"/>
      <c r="D146" s="66"/>
      <c r="E146" s="67"/>
      <c r="F146" s="68"/>
      <c r="G146" s="68"/>
      <c r="H146" s="66"/>
      <c r="I146" s="67"/>
      <c r="J146" s="67"/>
      <c r="K146" s="67"/>
      <c r="L146" s="66"/>
      <c r="M146" s="68"/>
      <c r="N146" s="66"/>
      <c r="O146" s="69"/>
      <c r="P146" s="67"/>
      <c r="Q146" s="66"/>
      <c r="R146" s="65"/>
      <c r="S146" s="68"/>
    </row>
    <row r="147" spans="1:19" ht="27" x14ac:dyDescent="0.4">
      <c r="A147" s="65"/>
      <c r="B147" s="65"/>
      <c r="C147" s="66"/>
      <c r="D147" s="66"/>
      <c r="E147" s="67"/>
      <c r="F147" s="68"/>
      <c r="G147" s="68"/>
      <c r="H147" s="66"/>
      <c r="I147" s="67"/>
      <c r="J147" s="67"/>
      <c r="K147" s="67"/>
      <c r="L147" s="66"/>
      <c r="M147" s="68"/>
      <c r="N147" s="66"/>
      <c r="O147" s="69"/>
      <c r="P147" s="67"/>
      <c r="Q147" s="66"/>
      <c r="R147" s="65"/>
      <c r="S147" s="68"/>
    </row>
    <row r="148" spans="1:19" ht="27" x14ac:dyDescent="0.4">
      <c r="A148" s="65"/>
      <c r="B148" s="65"/>
      <c r="C148" s="66"/>
      <c r="D148" s="66"/>
      <c r="E148" s="67"/>
      <c r="F148" s="68"/>
      <c r="G148" s="68"/>
      <c r="H148" s="66"/>
      <c r="I148" s="67"/>
      <c r="J148" s="67"/>
      <c r="K148" s="67"/>
      <c r="L148" s="66"/>
      <c r="M148" s="68"/>
      <c r="N148" s="66"/>
      <c r="O148" s="69"/>
      <c r="P148" s="67"/>
      <c r="Q148" s="66"/>
      <c r="R148" s="65"/>
      <c r="S148" s="68"/>
    </row>
    <row r="149" spans="1:19" ht="27" x14ac:dyDescent="0.4">
      <c r="A149" s="65"/>
      <c r="B149" s="65"/>
      <c r="C149" s="66"/>
      <c r="D149" s="66"/>
      <c r="E149" s="67"/>
      <c r="F149" s="68"/>
      <c r="G149" s="68"/>
      <c r="H149" s="66"/>
      <c r="I149" s="67"/>
      <c r="J149" s="67"/>
      <c r="K149" s="67"/>
      <c r="L149" s="66"/>
      <c r="M149" s="68"/>
      <c r="N149" s="66"/>
      <c r="O149" s="69"/>
      <c r="P149" s="67"/>
      <c r="Q149" s="66"/>
      <c r="R149" s="65"/>
      <c r="S149" s="68"/>
    </row>
    <row r="150" spans="1:19" ht="27" x14ac:dyDescent="0.4">
      <c r="A150" s="65"/>
      <c r="B150" s="65"/>
      <c r="C150" s="66"/>
      <c r="D150" s="66"/>
      <c r="E150" s="67"/>
      <c r="F150" s="68"/>
      <c r="G150" s="68"/>
      <c r="H150" s="66"/>
      <c r="I150" s="67"/>
      <c r="J150" s="67"/>
      <c r="K150" s="67"/>
      <c r="L150" s="66"/>
      <c r="M150" s="68"/>
      <c r="N150" s="66"/>
      <c r="O150" s="69"/>
      <c r="P150" s="67"/>
      <c r="Q150" s="66"/>
      <c r="R150" s="65"/>
      <c r="S150" s="68"/>
    </row>
    <row r="151" spans="1:19" ht="27" x14ac:dyDescent="0.4">
      <c r="A151" s="65"/>
      <c r="B151" s="65"/>
      <c r="C151" s="66"/>
      <c r="D151" s="66"/>
      <c r="E151" s="67"/>
      <c r="F151" s="68"/>
      <c r="G151" s="68"/>
      <c r="H151" s="66"/>
      <c r="I151" s="67"/>
      <c r="J151" s="67"/>
      <c r="K151" s="67"/>
      <c r="L151" s="66"/>
      <c r="M151" s="68"/>
      <c r="N151" s="66"/>
      <c r="O151" s="69"/>
      <c r="P151" s="67"/>
      <c r="Q151" s="66"/>
      <c r="R151" s="65"/>
      <c r="S151" s="68"/>
    </row>
    <row r="152" spans="1:19" ht="27" x14ac:dyDescent="0.4">
      <c r="A152" s="65"/>
      <c r="B152" s="65"/>
      <c r="C152" s="66"/>
      <c r="D152" s="66"/>
      <c r="E152" s="67"/>
      <c r="F152" s="68"/>
      <c r="G152" s="68"/>
      <c r="H152" s="66"/>
      <c r="I152" s="67"/>
      <c r="J152" s="67"/>
      <c r="K152" s="67"/>
      <c r="L152" s="66"/>
      <c r="M152" s="68"/>
      <c r="N152" s="66"/>
      <c r="O152" s="69"/>
      <c r="P152" s="67"/>
      <c r="Q152" s="66"/>
      <c r="R152" s="65"/>
      <c r="S152" s="68"/>
    </row>
    <row r="153" spans="1:19" ht="27" x14ac:dyDescent="0.4">
      <c r="A153" s="65"/>
      <c r="B153" s="65"/>
      <c r="C153" s="66"/>
      <c r="D153" s="66"/>
      <c r="E153" s="67"/>
      <c r="F153" s="68"/>
      <c r="G153" s="68"/>
      <c r="H153" s="66"/>
      <c r="I153" s="67"/>
      <c r="J153" s="67"/>
      <c r="K153" s="67"/>
      <c r="L153" s="66"/>
      <c r="M153" s="68"/>
      <c r="N153" s="66"/>
      <c r="O153" s="69"/>
      <c r="P153" s="67"/>
      <c r="Q153" s="66"/>
      <c r="R153" s="65"/>
      <c r="S153" s="68"/>
    </row>
    <row r="154" spans="1:19" ht="27" x14ac:dyDescent="0.4">
      <c r="A154" s="65"/>
      <c r="B154" s="65"/>
      <c r="C154" s="66"/>
      <c r="D154" s="66"/>
      <c r="E154" s="67"/>
      <c r="F154" s="68"/>
      <c r="G154" s="68"/>
      <c r="H154" s="66"/>
      <c r="I154" s="67"/>
      <c r="J154" s="67"/>
      <c r="K154" s="67"/>
      <c r="L154" s="66"/>
      <c r="M154" s="68"/>
      <c r="N154" s="66"/>
      <c r="O154" s="69"/>
      <c r="P154" s="67"/>
      <c r="Q154" s="66"/>
      <c r="R154" s="65"/>
      <c r="S154" s="68"/>
    </row>
    <row r="155" spans="1:19" ht="27" x14ac:dyDescent="0.4">
      <c r="A155" s="65"/>
      <c r="B155" s="65"/>
      <c r="C155" s="66"/>
      <c r="D155" s="66"/>
      <c r="E155" s="67"/>
      <c r="F155" s="68"/>
      <c r="G155" s="68"/>
      <c r="H155" s="66"/>
      <c r="I155" s="67"/>
      <c r="J155" s="67"/>
      <c r="K155" s="67"/>
      <c r="L155" s="66"/>
      <c r="M155" s="68"/>
      <c r="N155" s="66"/>
      <c r="O155" s="69"/>
      <c r="P155" s="67"/>
      <c r="Q155" s="66"/>
      <c r="R155" s="65"/>
      <c r="S155" s="68"/>
    </row>
    <row r="156" spans="1:19" ht="27" x14ac:dyDescent="0.4">
      <c r="A156" s="65"/>
      <c r="B156" s="65"/>
      <c r="C156" s="66"/>
      <c r="D156" s="66"/>
      <c r="E156" s="67"/>
      <c r="F156" s="68"/>
      <c r="G156" s="68"/>
      <c r="H156" s="66"/>
      <c r="I156" s="67"/>
      <c r="J156" s="67"/>
      <c r="K156" s="67"/>
      <c r="L156" s="66"/>
      <c r="M156" s="68"/>
      <c r="N156" s="66"/>
      <c r="O156" s="69"/>
      <c r="P156" s="67"/>
      <c r="Q156" s="66"/>
      <c r="R156" s="65"/>
      <c r="S156" s="68"/>
    </row>
    <row r="157" spans="1:19" ht="27" x14ac:dyDescent="0.4">
      <c r="A157" s="65"/>
      <c r="B157" s="65"/>
      <c r="C157" s="66"/>
      <c r="D157" s="66"/>
      <c r="E157" s="67"/>
      <c r="F157" s="68"/>
      <c r="G157" s="68"/>
      <c r="H157" s="66"/>
      <c r="I157" s="67"/>
      <c r="J157" s="67"/>
      <c r="K157" s="67"/>
      <c r="L157" s="66"/>
      <c r="M157" s="68"/>
      <c r="N157" s="66"/>
      <c r="O157" s="69"/>
      <c r="P157" s="67"/>
      <c r="Q157" s="66"/>
      <c r="R157" s="65"/>
      <c r="S157" s="68"/>
    </row>
    <row r="158" spans="1:19" ht="27" x14ac:dyDescent="0.4">
      <c r="A158" s="65"/>
      <c r="B158" s="65"/>
      <c r="C158" s="66"/>
      <c r="D158" s="66"/>
      <c r="E158" s="67"/>
      <c r="F158" s="68"/>
      <c r="G158" s="68"/>
      <c r="H158" s="66"/>
      <c r="I158" s="67"/>
      <c r="J158" s="67"/>
      <c r="K158" s="67"/>
      <c r="L158" s="66"/>
      <c r="M158" s="68"/>
      <c r="N158" s="66"/>
      <c r="O158" s="69"/>
      <c r="P158" s="67"/>
      <c r="Q158" s="66"/>
      <c r="R158" s="65"/>
      <c r="S158" s="68"/>
    </row>
    <row r="159" spans="1:19" ht="27" x14ac:dyDescent="0.4">
      <c r="A159" s="65"/>
      <c r="B159" s="65"/>
      <c r="C159" s="66"/>
      <c r="D159" s="66"/>
      <c r="E159" s="67"/>
      <c r="F159" s="68"/>
      <c r="G159" s="68"/>
      <c r="H159" s="66"/>
      <c r="I159" s="67"/>
      <c r="J159" s="67"/>
      <c r="K159" s="67"/>
      <c r="L159" s="66"/>
      <c r="M159" s="68"/>
      <c r="N159" s="66"/>
      <c r="O159" s="69"/>
      <c r="P159" s="67"/>
      <c r="Q159" s="66"/>
      <c r="R159" s="65"/>
      <c r="S159" s="68"/>
    </row>
    <row r="160" spans="1:19" ht="27" x14ac:dyDescent="0.4">
      <c r="A160" s="65"/>
      <c r="B160" s="65"/>
      <c r="C160" s="66"/>
      <c r="D160" s="66"/>
      <c r="E160" s="67"/>
      <c r="F160" s="68"/>
      <c r="G160" s="68"/>
      <c r="H160" s="66"/>
      <c r="I160" s="67"/>
      <c r="J160" s="67"/>
      <c r="K160" s="67"/>
      <c r="L160" s="66"/>
      <c r="M160" s="68"/>
      <c r="N160" s="66"/>
      <c r="O160" s="69"/>
      <c r="P160" s="67"/>
      <c r="Q160" s="66"/>
      <c r="R160" s="65"/>
      <c r="S160" s="68"/>
    </row>
    <row r="161" spans="1:19" ht="27" x14ac:dyDescent="0.4">
      <c r="A161" s="65"/>
      <c r="B161" s="65"/>
      <c r="C161" s="66"/>
      <c r="D161" s="66"/>
      <c r="E161" s="67"/>
      <c r="F161" s="68"/>
      <c r="G161" s="68"/>
      <c r="H161" s="66"/>
      <c r="I161" s="67"/>
      <c r="J161" s="67"/>
      <c r="K161" s="67"/>
      <c r="L161" s="66"/>
      <c r="M161" s="68"/>
      <c r="N161" s="66"/>
      <c r="O161" s="69"/>
      <c r="P161" s="67"/>
      <c r="Q161" s="66"/>
      <c r="R161" s="65"/>
      <c r="S161" s="68"/>
    </row>
    <row r="162" spans="1:19" ht="27" x14ac:dyDescent="0.4">
      <c r="A162" s="65"/>
      <c r="B162" s="65"/>
      <c r="C162" s="66"/>
      <c r="D162" s="66"/>
      <c r="E162" s="67"/>
      <c r="F162" s="68"/>
      <c r="G162" s="68"/>
      <c r="H162" s="66"/>
      <c r="I162" s="67"/>
      <c r="J162" s="67"/>
      <c r="K162" s="67"/>
      <c r="L162" s="66"/>
      <c r="M162" s="68"/>
      <c r="N162" s="66"/>
      <c r="O162" s="69"/>
      <c r="P162" s="67"/>
      <c r="Q162" s="66"/>
      <c r="R162" s="65"/>
      <c r="S162" s="68"/>
    </row>
    <row r="163" spans="1:19" ht="27" x14ac:dyDescent="0.4">
      <c r="A163" s="65"/>
      <c r="B163" s="65"/>
      <c r="C163" s="66"/>
      <c r="D163" s="66"/>
      <c r="E163" s="67"/>
      <c r="F163" s="68"/>
      <c r="G163" s="68"/>
      <c r="H163" s="66"/>
      <c r="I163" s="67"/>
      <c r="J163" s="67"/>
      <c r="K163" s="67"/>
      <c r="L163" s="66"/>
      <c r="M163" s="68"/>
      <c r="N163" s="66"/>
      <c r="O163" s="69"/>
      <c r="P163" s="67"/>
      <c r="Q163" s="66"/>
      <c r="R163" s="65"/>
      <c r="S163" s="68"/>
    </row>
    <row r="164" spans="1:19" ht="27" x14ac:dyDescent="0.4">
      <c r="A164" s="65"/>
      <c r="B164" s="65"/>
      <c r="C164" s="66"/>
      <c r="D164" s="66"/>
      <c r="E164" s="67"/>
      <c r="F164" s="68"/>
      <c r="G164" s="68"/>
      <c r="H164" s="66"/>
      <c r="I164" s="67"/>
      <c r="J164" s="67"/>
      <c r="K164" s="67"/>
      <c r="L164" s="66"/>
      <c r="M164" s="68"/>
      <c r="N164" s="66"/>
      <c r="O164" s="69"/>
      <c r="P164" s="67"/>
      <c r="Q164" s="66"/>
      <c r="R164" s="65"/>
      <c r="S164" s="68"/>
    </row>
    <row r="165" spans="1:19" ht="27" x14ac:dyDescent="0.4">
      <c r="A165" s="65"/>
      <c r="B165" s="65"/>
      <c r="C165" s="66"/>
      <c r="D165" s="66"/>
      <c r="E165" s="67"/>
      <c r="F165" s="68"/>
      <c r="G165" s="68"/>
      <c r="H165" s="66"/>
      <c r="I165" s="67"/>
      <c r="J165" s="67"/>
      <c r="K165" s="67"/>
      <c r="L165" s="66"/>
      <c r="M165" s="68"/>
      <c r="N165" s="66"/>
      <c r="O165" s="69"/>
      <c r="P165" s="67"/>
      <c r="Q165" s="66"/>
      <c r="R165" s="65"/>
      <c r="S165" s="68"/>
    </row>
    <row r="166" spans="1:19" ht="27" x14ac:dyDescent="0.4">
      <c r="A166" s="65"/>
      <c r="B166" s="65"/>
      <c r="C166" s="66"/>
      <c r="D166" s="66"/>
      <c r="E166" s="67"/>
      <c r="F166" s="68"/>
      <c r="G166" s="68"/>
      <c r="H166" s="66"/>
      <c r="I166" s="67"/>
      <c r="J166" s="67"/>
      <c r="K166" s="67"/>
      <c r="L166" s="66"/>
      <c r="M166" s="68"/>
      <c r="N166" s="66"/>
      <c r="O166" s="69"/>
      <c r="P166" s="67"/>
      <c r="Q166" s="66"/>
      <c r="R166" s="65"/>
      <c r="S166" s="68"/>
    </row>
    <row r="167" spans="1:19" ht="27" x14ac:dyDescent="0.4">
      <c r="A167" s="65"/>
      <c r="B167" s="65"/>
      <c r="C167" s="66"/>
      <c r="D167" s="66"/>
      <c r="E167" s="67"/>
      <c r="F167" s="68"/>
      <c r="G167" s="68"/>
      <c r="H167" s="66"/>
      <c r="I167" s="67"/>
      <c r="J167" s="67"/>
      <c r="K167" s="67"/>
      <c r="L167" s="66"/>
      <c r="M167" s="68"/>
      <c r="N167" s="66"/>
      <c r="O167" s="69"/>
      <c r="P167" s="67"/>
      <c r="Q167" s="66"/>
      <c r="R167" s="65"/>
      <c r="S167" s="68"/>
    </row>
    <row r="168" spans="1:19" ht="27" x14ac:dyDescent="0.4">
      <c r="A168" s="65"/>
      <c r="B168" s="65"/>
      <c r="C168" s="66"/>
      <c r="D168" s="66"/>
      <c r="E168" s="67"/>
      <c r="F168" s="68"/>
      <c r="G168" s="68"/>
      <c r="H168" s="66"/>
      <c r="I168" s="67"/>
      <c r="J168" s="67"/>
      <c r="K168" s="67"/>
      <c r="L168" s="66"/>
      <c r="M168" s="68"/>
      <c r="N168" s="66"/>
      <c r="O168" s="69"/>
      <c r="P168" s="67"/>
      <c r="Q168" s="66"/>
      <c r="R168" s="65"/>
      <c r="S168" s="70"/>
    </row>
    <row r="169" spans="1:19" ht="27" x14ac:dyDescent="0.4">
      <c r="A169" s="65"/>
      <c r="B169" s="65"/>
      <c r="C169" s="66"/>
      <c r="D169" s="66"/>
      <c r="E169" s="67"/>
      <c r="F169" s="68"/>
      <c r="G169" s="68"/>
      <c r="H169" s="66"/>
      <c r="I169" s="67"/>
      <c r="J169" s="67"/>
      <c r="K169" s="67"/>
      <c r="L169" s="66"/>
      <c r="M169" s="68"/>
      <c r="N169" s="66"/>
      <c r="O169" s="69"/>
      <c r="P169" s="67"/>
      <c r="Q169" s="66"/>
      <c r="R169" s="65"/>
      <c r="S169" s="70"/>
    </row>
    <row r="170" spans="1:19" ht="27" x14ac:dyDescent="0.4">
      <c r="A170" s="65"/>
      <c r="B170" s="65"/>
      <c r="C170" s="66"/>
      <c r="D170" s="66"/>
      <c r="E170" s="67"/>
      <c r="F170" s="68"/>
      <c r="G170" s="68"/>
      <c r="H170" s="66"/>
      <c r="I170" s="67"/>
      <c r="J170" s="67"/>
      <c r="K170" s="67"/>
      <c r="L170" s="66"/>
      <c r="M170" s="68"/>
      <c r="N170" s="66"/>
      <c r="O170" s="69"/>
      <c r="P170" s="67"/>
      <c r="Q170" s="66"/>
      <c r="R170" s="65"/>
      <c r="S170" s="70"/>
    </row>
    <row r="171" spans="1:19" ht="27" x14ac:dyDescent="0.4">
      <c r="A171" s="65"/>
      <c r="B171" s="65"/>
      <c r="C171" s="66"/>
      <c r="D171" s="66"/>
      <c r="E171" s="67"/>
      <c r="F171" s="68"/>
      <c r="G171" s="68"/>
      <c r="H171" s="66"/>
      <c r="I171" s="67"/>
      <c r="J171" s="67"/>
      <c r="K171" s="67"/>
      <c r="L171" s="66"/>
      <c r="M171" s="68"/>
      <c r="N171" s="66"/>
      <c r="O171" s="69"/>
      <c r="P171" s="67"/>
      <c r="Q171" s="66"/>
      <c r="R171" s="65"/>
      <c r="S171" s="70"/>
    </row>
    <row r="172" spans="1:19" ht="27" x14ac:dyDescent="0.4">
      <c r="A172" s="65"/>
      <c r="B172" s="65"/>
      <c r="C172" s="66"/>
      <c r="D172" s="66"/>
      <c r="E172" s="67"/>
      <c r="F172" s="68"/>
      <c r="G172" s="68"/>
      <c r="H172" s="66"/>
      <c r="I172" s="67"/>
      <c r="J172" s="67"/>
      <c r="K172" s="67"/>
      <c r="L172" s="66"/>
      <c r="M172" s="68"/>
      <c r="N172" s="66"/>
      <c r="O172" s="69"/>
      <c r="P172" s="67"/>
      <c r="Q172" s="66"/>
      <c r="R172" s="65"/>
      <c r="S172" s="70"/>
    </row>
    <row r="173" spans="1:19" ht="27" x14ac:dyDescent="0.4">
      <c r="A173" s="65"/>
      <c r="B173" s="65"/>
      <c r="C173" s="66"/>
      <c r="D173" s="66"/>
      <c r="E173" s="67"/>
      <c r="F173" s="68"/>
      <c r="G173" s="68"/>
      <c r="H173" s="66"/>
      <c r="I173" s="67"/>
      <c r="J173" s="67"/>
      <c r="K173" s="67"/>
      <c r="L173" s="66"/>
      <c r="M173" s="68"/>
      <c r="N173" s="66"/>
      <c r="O173" s="69"/>
      <c r="P173" s="67"/>
      <c r="Q173" s="66"/>
      <c r="R173" s="65"/>
      <c r="S173" s="70"/>
    </row>
    <row r="174" spans="1:19" ht="27" x14ac:dyDescent="0.4">
      <c r="A174" s="65"/>
      <c r="B174" s="65"/>
      <c r="C174" s="66"/>
      <c r="D174" s="66"/>
      <c r="E174" s="67"/>
      <c r="F174" s="68"/>
      <c r="G174" s="68"/>
      <c r="H174" s="66"/>
      <c r="I174" s="67"/>
      <c r="J174" s="67"/>
      <c r="K174" s="67"/>
      <c r="L174" s="66"/>
      <c r="M174" s="68"/>
      <c r="N174" s="66"/>
      <c r="O174" s="69"/>
      <c r="P174" s="67"/>
      <c r="Q174" s="66"/>
      <c r="R174" s="65"/>
      <c r="S174" s="70"/>
    </row>
    <row r="175" spans="1:19" ht="27" x14ac:dyDescent="0.4">
      <c r="A175" s="65"/>
      <c r="B175" s="65"/>
      <c r="C175" s="66"/>
      <c r="D175" s="66"/>
      <c r="E175" s="67"/>
      <c r="F175" s="68"/>
      <c r="G175" s="68"/>
      <c r="H175" s="66"/>
      <c r="I175" s="67"/>
      <c r="J175" s="67"/>
      <c r="K175" s="67"/>
      <c r="L175" s="66"/>
      <c r="M175" s="68"/>
      <c r="N175" s="66"/>
      <c r="O175" s="69"/>
      <c r="P175" s="67"/>
      <c r="Q175" s="66"/>
      <c r="R175" s="65"/>
      <c r="S175" s="70"/>
    </row>
    <row r="176" spans="1:19" ht="27" x14ac:dyDescent="0.4">
      <c r="A176" s="65"/>
      <c r="B176" s="65"/>
      <c r="C176" s="66"/>
      <c r="D176" s="66"/>
      <c r="E176" s="67"/>
      <c r="F176" s="68"/>
      <c r="G176" s="68"/>
      <c r="H176" s="66"/>
      <c r="I176" s="67"/>
      <c r="J176" s="67"/>
      <c r="K176" s="67"/>
      <c r="L176" s="66"/>
      <c r="M176" s="68"/>
      <c r="N176" s="66"/>
      <c r="O176" s="69"/>
      <c r="P176" s="67"/>
      <c r="Q176" s="66"/>
      <c r="R176" s="65"/>
      <c r="S176" s="70"/>
    </row>
    <row r="177" spans="1:19" ht="27" x14ac:dyDescent="0.4">
      <c r="A177" s="65"/>
      <c r="B177" s="65"/>
      <c r="C177" s="66"/>
      <c r="D177" s="66"/>
      <c r="E177" s="67"/>
      <c r="F177" s="68"/>
      <c r="G177" s="68"/>
      <c r="H177" s="66"/>
      <c r="I177" s="67"/>
      <c r="J177" s="67"/>
      <c r="K177" s="67"/>
      <c r="L177" s="66"/>
      <c r="M177" s="68"/>
      <c r="N177" s="66"/>
      <c r="O177" s="69"/>
      <c r="P177" s="67"/>
      <c r="Q177" s="66"/>
      <c r="R177" s="65"/>
      <c r="S177" s="70"/>
    </row>
    <row r="178" spans="1:19" ht="27" x14ac:dyDescent="0.4">
      <c r="A178" s="65"/>
      <c r="B178" s="65"/>
      <c r="C178" s="66"/>
      <c r="D178" s="66"/>
      <c r="E178" s="67"/>
      <c r="F178" s="68"/>
      <c r="G178" s="68"/>
      <c r="H178" s="66"/>
      <c r="I178" s="67"/>
      <c r="J178" s="67"/>
      <c r="K178" s="67"/>
      <c r="L178" s="66"/>
      <c r="M178" s="68"/>
      <c r="N178" s="66"/>
      <c r="O178" s="69"/>
      <c r="P178" s="67"/>
      <c r="Q178" s="66"/>
      <c r="R178" s="65"/>
      <c r="S178" s="70"/>
    </row>
    <row r="179" spans="1:19" ht="27" x14ac:dyDescent="0.4">
      <c r="A179" s="65"/>
      <c r="B179" s="65"/>
      <c r="C179" s="66"/>
      <c r="D179" s="66"/>
      <c r="E179" s="67"/>
      <c r="F179" s="68"/>
      <c r="G179" s="68"/>
      <c r="H179" s="66"/>
      <c r="I179" s="67"/>
      <c r="J179" s="67"/>
      <c r="K179" s="67"/>
      <c r="L179" s="66"/>
      <c r="M179" s="68"/>
      <c r="N179" s="66"/>
      <c r="O179" s="69"/>
      <c r="P179" s="67"/>
      <c r="Q179" s="66"/>
      <c r="R179" s="65"/>
      <c r="S179" s="70"/>
    </row>
    <row r="180" spans="1:19" ht="27" x14ac:dyDescent="0.4">
      <c r="A180" s="65"/>
      <c r="B180" s="65"/>
      <c r="C180" s="66"/>
      <c r="D180" s="66"/>
      <c r="E180" s="67"/>
      <c r="F180" s="68"/>
      <c r="G180" s="68"/>
      <c r="H180" s="66"/>
      <c r="I180" s="67"/>
      <c r="J180" s="67"/>
      <c r="K180" s="67"/>
      <c r="L180" s="66"/>
      <c r="M180" s="68"/>
      <c r="N180" s="66"/>
      <c r="O180" s="69"/>
      <c r="P180" s="67"/>
      <c r="Q180" s="66"/>
      <c r="R180" s="65"/>
      <c r="S180" s="70"/>
    </row>
    <row r="181" spans="1:19" ht="27" x14ac:dyDescent="0.4">
      <c r="A181" s="65"/>
      <c r="B181" s="65"/>
      <c r="C181" s="66"/>
      <c r="D181" s="66"/>
      <c r="E181" s="67"/>
      <c r="F181" s="68"/>
      <c r="G181" s="68"/>
      <c r="H181" s="66"/>
      <c r="I181" s="67"/>
      <c r="J181" s="67"/>
      <c r="K181" s="67"/>
      <c r="L181" s="66"/>
      <c r="M181" s="68"/>
      <c r="N181" s="66"/>
      <c r="O181" s="69"/>
      <c r="P181" s="67"/>
      <c r="Q181" s="66"/>
      <c r="R181" s="65"/>
      <c r="S181" s="70"/>
    </row>
    <row r="182" spans="1:19" ht="27" x14ac:dyDescent="0.4">
      <c r="A182" s="65"/>
      <c r="B182" s="65"/>
      <c r="C182" s="66"/>
      <c r="D182" s="66"/>
      <c r="E182" s="67"/>
      <c r="F182" s="68"/>
      <c r="G182" s="68"/>
      <c r="H182" s="66"/>
      <c r="I182" s="67"/>
      <c r="J182" s="67"/>
      <c r="K182" s="67"/>
      <c r="L182" s="66"/>
      <c r="M182" s="68"/>
      <c r="N182" s="66"/>
      <c r="O182" s="69"/>
      <c r="P182" s="67"/>
      <c r="Q182" s="66"/>
      <c r="R182" s="65"/>
      <c r="S182" s="68"/>
    </row>
    <row r="183" spans="1:19" ht="27" x14ac:dyDescent="0.4">
      <c r="A183" s="65"/>
      <c r="B183" s="65"/>
      <c r="C183" s="66"/>
      <c r="D183" s="66"/>
      <c r="E183" s="67"/>
      <c r="F183" s="68"/>
      <c r="G183" s="68"/>
      <c r="H183" s="66"/>
      <c r="I183" s="67"/>
      <c r="J183" s="67"/>
      <c r="K183" s="67"/>
      <c r="L183" s="66"/>
      <c r="M183" s="68"/>
      <c r="N183" s="66"/>
      <c r="O183" s="69"/>
      <c r="P183" s="67"/>
      <c r="Q183" s="66"/>
      <c r="R183" s="65"/>
      <c r="S183" s="70"/>
    </row>
    <row r="184" spans="1:19" ht="27" x14ac:dyDescent="0.4">
      <c r="A184" s="65"/>
      <c r="B184" s="65"/>
      <c r="C184" s="66"/>
      <c r="D184" s="66"/>
      <c r="E184" s="67"/>
      <c r="F184" s="68"/>
      <c r="G184" s="68"/>
      <c r="H184" s="66"/>
      <c r="I184" s="67"/>
      <c r="J184" s="67"/>
      <c r="K184" s="67"/>
      <c r="L184" s="66"/>
      <c r="M184" s="68"/>
      <c r="N184" s="66"/>
      <c r="O184" s="69"/>
      <c r="P184" s="67"/>
      <c r="Q184" s="66"/>
      <c r="R184" s="65"/>
      <c r="S184" s="70"/>
    </row>
    <row r="185" spans="1:19" ht="27" x14ac:dyDescent="0.4">
      <c r="A185" s="65"/>
      <c r="B185" s="65"/>
      <c r="C185" s="66"/>
      <c r="D185" s="66"/>
      <c r="E185" s="67"/>
      <c r="F185" s="68"/>
      <c r="G185" s="68"/>
      <c r="H185" s="66"/>
      <c r="I185" s="67"/>
      <c r="J185" s="67"/>
      <c r="K185" s="67"/>
      <c r="L185" s="66"/>
      <c r="M185" s="68"/>
      <c r="N185" s="66"/>
      <c r="O185" s="69"/>
      <c r="P185" s="67"/>
      <c r="Q185" s="66"/>
      <c r="R185" s="65"/>
      <c r="S185" s="68"/>
    </row>
    <row r="186" spans="1:19" ht="27" x14ac:dyDescent="0.4">
      <c r="A186" s="65"/>
      <c r="B186" s="65"/>
      <c r="C186" s="66"/>
      <c r="D186" s="66"/>
      <c r="E186" s="67"/>
      <c r="F186" s="68"/>
      <c r="G186" s="68"/>
      <c r="H186" s="66"/>
      <c r="I186" s="67"/>
      <c r="J186" s="67"/>
      <c r="K186" s="67"/>
      <c r="L186" s="66"/>
      <c r="M186" s="68"/>
      <c r="N186" s="66"/>
      <c r="O186" s="69"/>
      <c r="P186" s="67"/>
      <c r="Q186" s="66"/>
      <c r="R186" s="65"/>
      <c r="S186" s="68"/>
    </row>
    <row r="187" spans="1:19" ht="27" x14ac:dyDescent="0.4">
      <c r="A187" s="65"/>
      <c r="B187" s="65"/>
      <c r="C187" s="66"/>
      <c r="D187" s="66"/>
      <c r="E187" s="67"/>
      <c r="F187" s="68"/>
      <c r="G187" s="68"/>
      <c r="H187" s="66"/>
      <c r="I187" s="67"/>
      <c r="J187" s="67"/>
      <c r="K187" s="67"/>
      <c r="L187" s="66"/>
      <c r="M187" s="68"/>
      <c r="N187" s="66"/>
      <c r="O187" s="69"/>
      <c r="P187" s="67"/>
      <c r="Q187" s="66"/>
      <c r="R187" s="65"/>
      <c r="S187" s="68"/>
    </row>
    <row r="188" spans="1:19" ht="27" x14ac:dyDescent="0.4">
      <c r="A188" s="65"/>
      <c r="B188" s="65"/>
      <c r="C188" s="66"/>
      <c r="D188" s="66"/>
      <c r="E188" s="67"/>
      <c r="F188" s="68"/>
      <c r="G188" s="68"/>
      <c r="H188" s="66"/>
      <c r="I188" s="67"/>
      <c r="J188" s="67"/>
      <c r="K188" s="67"/>
      <c r="L188" s="66"/>
      <c r="M188" s="68"/>
      <c r="N188" s="66"/>
      <c r="O188" s="69"/>
      <c r="P188" s="67"/>
      <c r="Q188" s="66"/>
      <c r="R188" s="65"/>
      <c r="S188" s="68"/>
    </row>
    <row r="189" spans="1:19" ht="27" x14ac:dyDescent="0.4">
      <c r="A189" s="65"/>
      <c r="B189" s="65"/>
      <c r="C189" s="66"/>
      <c r="D189" s="66"/>
      <c r="E189" s="67"/>
      <c r="F189" s="68"/>
      <c r="G189" s="68"/>
      <c r="H189" s="66"/>
      <c r="I189" s="67"/>
      <c r="J189" s="67"/>
      <c r="K189" s="67"/>
      <c r="L189" s="66"/>
      <c r="M189" s="68"/>
      <c r="N189" s="66"/>
      <c r="O189" s="69"/>
      <c r="P189" s="67"/>
      <c r="Q189" s="66"/>
      <c r="R189" s="65"/>
      <c r="S189" s="68"/>
    </row>
    <row r="190" spans="1:19" ht="27" x14ac:dyDescent="0.4">
      <c r="A190" s="65"/>
      <c r="B190" s="65"/>
      <c r="C190" s="66"/>
      <c r="D190" s="66"/>
      <c r="E190" s="67"/>
      <c r="F190" s="68"/>
      <c r="G190" s="68"/>
      <c r="H190" s="66"/>
      <c r="I190" s="67"/>
      <c r="J190" s="67"/>
      <c r="K190" s="67"/>
      <c r="L190" s="66"/>
      <c r="M190" s="68"/>
      <c r="N190" s="66"/>
      <c r="O190" s="69"/>
      <c r="P190" s="67"/>
      <c r="Q190" s="66"/>
      <c r="R190" s="65"/>
      <c r="S190" s="68"/>
    </row>
    <row r="191" spans="1:19" ht="27" x14ac:dyDescent="0.4">
      <c r="A191" s="65"/>
      <c r="B191" s="65"/>
      <c r="C191" s="66"/>
      <c r="D191" s="66"/>
      <c r="E191" s="67"/>
      <c r="F191" s="68"/>
      <c r="G191" s="68"/>
      <c r="H191" s="66"/>
      <c r="I191" s="67"/>
      <c r="J191" s="67"/>
      <c r="K191" s="67"/>
      <c r="L191" s="66"/>
      <c r="M191" s="68"/>
      <c r="N191" s="66"/>
      <c r="O191" s="69"/>
      <c r="P191" s="67"/>
      <c r="Q191" s="66"/>
      <c r="R191" s="65"/>
      <c r="S191" s="68"/>
    </row>
    <row r="192" spans="1:19" ht="27" x14ac:dyDescent="0.4">
      <c r="A192" s="65"/>
      <c r="B192" s="65"/>
      <c r="C192" s="66"/>
      <c r="D192" s="66"/>
      <c r="E192" s="67"/>
      <c r="F192" s="68"/>
      <c r="G192" s="68"/>
      <c r="H192" s="66"/>
      <c r="I192" s="67"/>
      <c r="J192" s="67"/>
      <c r="K192" s="67"/>
      <c r="L192" s="66"/>
      <c r="M192" s="68"/>
      <c r="N192" s="66"/>
      <c r="O192" s="69"/>
      <c r="P192" s="67"/>
      <c r="Q192" s="66"/>
      <c r="R192" s="65"/>
      <c r="S192" s="68"/>
    </row>
    <row r="193" spans="1:19" ht="27" x14ac:dyDescent="0.4">
      <c r="A193" s="65"/>
      <c r="B193" s="65"/>
      <c r="C193" s="66"/>
      <c r="D193" s="66"/>
      <c r="E193" s="67"/>
      <c r="F193" s="68"/>
      <c r="G193" s="68"/>
      <c r="H193" s="66"/>
      <c r="I193" s="67"/>
      <c r="J193" s="67"/>
      <c r="K193" s="67"/>
      <c r="L193" s="66"/>
      <c r="M193" s="68"/>
      <c r="N193" s="66"/>
      <c r="O193" s="69"/>
      <c r="P193" s="67"/>
      <c r="Q193" s="66"/>
      <c r="R193" s="65"/>
      <c r="S193" s="68"/>
    </row>
    <row r="194" spans="1:19" ht="27" x14ac:dyDescent="0.4">
      <c r="A194" s="65"/>
      <c r="B194" s="65"/>
      <c r="C194" s="66"/>
      <c r="D194" s="66"/>
      <c r="E194" s="67"/>
      <c r="F194" s="68"/>
      <c r="G194" s="68"/>
      <c r="H194" s="66"/>
      <c r="I194" s="67"/>
      <c r="J194" s="67"/>
      <c r="K194" s="67"/>
      <c r="L194" s="66"/>
      <c r="M194" s="68"/>
      <c r="N194" s="66"/>
      <c r="O194" s="69"/>
      <c r="P194" s="67"/>
      <c r="Q194" s="66"/>
      <c r="R194" s="65"/>
      <c r="S194" s="68"/>
    </row>
    <row r="195" spans="1:19" ht="27" x14ac:dyDescent="0.4">
      <c r="A195" s="65"/>
      <c r="B195" s="65"/>
      <c r="C195" s="66"/>
      <c r="D195" s="66"/>
      <c r="E195" s="67"/>
      <c r="F195" s="68"/>
      <c r="G195" s="68"/>
      <c r="H195" s="66"/>
      <c r="I195" s="67"/>
      <c r="J195" s="67"/>
      <c r="K195" s="67"/>
      <c r="L195" s="66"/>
      <c r="M195" s="68"/>
      <c r="N195" s="66"/>
      <c r="O195" s="69"/>
      <c r="P195" s="67"/>
      <c r="Q195" s="66"/>
      <c r="R195" s="65"/>
      <c r="S195" s="68"/>
    </row>
    <row r="196" spans="1:19" ht="27" x14ac:dyDescent="0.4">
      <c r="A196" s="65"/>
      <c r="B196" s="65"/>
      <c r="C196" s="66"/>
      <c r="D196" s="66"/>
      <c r="E196" s="67"/>
      <c r="F196" s="68"/>
      <c r="G196" s="68"/>
      <c r="H196" s="66"/>
      <c r="I196" s="67"/>
      <c r="J196" s="67"/>
      <c r="K196" s="67"/>
      <c r="L196" s="66"/>
      <c r="M196" s="68"/>
      <c r="N196" s="66"/>
      <c r="O196" s="69"/>
      <c r="P196" s="67"/>
      <c r="Q196" s="66"/>
      <c r="R196" s="65"/>
      <c r="S196" s="68"/>
    </row>
    <row r="197" spans="1:19" ht="27" x14ac:dyDescent="0.4">
      <c r="A197" s="65"/>
      <c r="B197" s="65"/>
      <c r="C197" s="66"/>
      <c r="D197" s="66"/>
      <c r="E197" s="67"/>
      <c r="F197" s="68"/>
      <c r="G197" s="68"/>
      <c r="H197" s="66"/>
      <c r="I197" s="67"/>
      <c r="J197" s="67"/>
      <c r="K197" s="67"/>
      <c r="L197" s="66"/>
      <c r="M197" s="68"/>
      <c r="N197" s="66"/>
      <c r="O197" s="69"/>
      <c r="P197" s="67"/>
      <c r="Q197" s="66"/>
      <c r="R197" s="65"/>
      <c r="S197" s="68"/>
    </row>
    <row r="198" spans="1:19" ht="27" x14ac:dyDescent="0.4">
      <c r="A198" s="65"/>
      <c r="B198" s="65"/>
      <c r="C198" s="66"/>
      <c r="D198" s="66"/>
      <c r="E198" s="67"/>
      <c r="F198" s="68"/>
      <c r="G198" s="68"/>
      <c r="H198" s="66"/>
      <c r="I198" s="67"/>
      <c r="J198" s="67"/>
      <c r="K198" s="67"/>
      <c r="L198" s="66"/>
      <c r="M198" s="68"/>
      <c r="N198" s="66"/>
      <c r="O198" s="69"/>
      <c r="P198" s="67"/>
      <c r="Q198" s="66"/>
      <c r="R198" s="65"/>
      <c r="S198" s="68"/>
    </row>
    <row r="199" spans="1:19" ht="27" x14ac:dyDescent="0.4">
      <c r="A199" s="65"/>
      <c r="B199" s="65"/>
      <c r="C199" s="66"/>
      <c r="D199" s="66"/>
      <c r="E199" s="67"/>
      <c r="F199" s="68"/>
      <c r="G199" s="68"/>
      <c r="H199" s="66"/>
      <c r="I199" s="67"/>
      <c r="J199" s="67"/>
      <c r="K199" s="67"/>
      <c r="L199" s="66"/>
      <c r="M199" s="68"/>
      <c r="N199" s="66"/>
      <c r="O199" s="69"/>
      <c r="P199" s="67"/>
      <c r="Q199" s="66"/>
      <c r="R199" s="65"/>
      <c r="S199" s="68"/>
    </row>
    <row r="200" spans="1:19" ht="27" x14ac:dyDescent="0.4">
      <c r="A200" s="65"/>
      <c r="B200" s="65"/>
      <c r="C200" s="66"/>
      <c r="D200" s="66"/>
      <c r="E200" s="67"/>
      <c r="F200" s="68"/>
      <c r="G200" s="68"/>
      <c r="H200" s="66"/>
      <c r="I200" s="67"/>
      <c r="J200" s="67"/>
      <c r="K200" s="67"/>
      <c r="L200" s="66"/>
      <c r="M200" s="68"/>
      <c r="N200" s="66"/>
      <c r="O200" s="69"/>
      <c r="P200" s="67"/>
      <c r="Q200" s="66"/>
      <c r="R200" s="65"/>
      <c r="S200" s="68"/>
    </row>
    <row r="201" spans="1:19" ht="27" x14ac:dyDescent="0.4">
      <c r="A201" s="65"/>
      <c r="B201" s="65"/>
      <c r="C201" s="66"/>
      <c r="D201" s="66"/>
      <c r="E201" s="67"/>
      <c r="F201" s="68"/>
      <c r="G201" s="68"/>
      <c r="H201" s="66"/>
      <c r="I201" s="67"/>
      <c r="J201" s="67"/>
      <c r="K201" s="67"/>
      <c r="L201" s="66"/>
      <c r="M201" s="68"/>
      <c r="N201" s="66"/>
      <c r="O201" s="69"/>
      <c r="P201" s="67"/>
      <c r="Q201" s="66"/>
      <c r="R201" s="65"/>
      <c r="S201" s="68"/>
    </row>
    <row r="202" spans="1:19" ht="27" x14ac:dyDescent="0.4">
      <c r="A202" s="65"/>
      <c r="B202" s="65"/>
      <c r="C202" s="66"/>
      <c r="D202" s="66"/>
      <c r="E202" s="67"/>
      <c r="F202" s="68"/>
      <c r="G202" s="68"/>
      <c r="H202" s="66"/>
      <c r="I202" s="67"/>
      <c r="J202" s="67"/>
      <c r="K202" s="67"/>
      <c r="L202" s="66"/>
      <c r="M202" s="68"/>
      <c r="N202" s="66"/>
      <c r="O202" s="69"/>
      <c r="P202" s="67"/>
      <c r="Q202" s="66"/>
      <c r="R202" s="65"/>
      <c r="S202" s="68"/>
    </row>
    <row r="203" spans="1:19" ht="27" x14ac:dyDescent="0.4">
      <c r="A203" s="65"/>
      <c r="B203" s="65"/>
      <c r="C203" s="66"/>
      <c r="D203" s="66"/>
      <c r="E203" s="67"/>
      <c r="F203" s="68"/>
      <c r="G203" s="68"/>
      <c r="H203" s="66"/>
      <c r="I203" s="67"/>
      <c r="J203" s="67"/>
      <c r="K203" s="67"/>
      <c r="L203" s="66"/>
      <c r="M203" s="68"/>
      <c r="N203" s="66"/>
      <c r="O203" s="69"/>
      <c r="P203" s="67"/>
      <c r="Q203" s="66"/>
      <c r="R203" s="65"/>
      <c r="S203" s="68"/>
    </row>
    <row r="204" spans="1:19" ht="27" x14ac:dyDescent="0.4">
      <c r="A204" s="65"/>
      <c r="B204" s="65"/>
      <c r="C204" s="66"/>
      <c r="D204" s="66"/>
      <c r="E204" s="67"/>
      <c r="F204" s="68"/>
      <c r="G204" s="68"/>
      <c r="H204" s="66"/>
      <c r="I204" s="67"/>
      <c r="J204" s="67"/>
      <c r="K204" s="67"/>
      <c r="L204" s="66"/>
      <c r="M204" s="68"/>
      <c r="N204" s="66"/>
      <c r="O204" s="69"/>
      <c r="P204" s="67"/>
      <c r="Q204" s="66"/>
      <c r="R204" s="65"/>
      <c r="S204" s="68"/>
    </row>
    <row r="205" spans="1:19" ht="27" x14ac:dyDescent="0.4">
      <c r="A205" s="65"/>
      <c r="B205" s="65"/>
      <c r="C205" s="66"/>
      <c r="D205" s="66"/>
      <c r="E205" s="67"/>
      <c r="F205" s="68"/>
      <c r="G205" s="68"/>
      <c r="H205" s="66"/>
      <c r="I205" s="67"/>
      <c r="J205" s="67"/>
      <c r="K205" s="67"/>
      <c r="L205" s="66"/>
      <c r="M205" s="68"/>
      <c r="N205" s="66"/>
      <c r="O205" s="69"/>
      <c r="P205" s="67"/>
      <c r="Q205" s="66"/>
      <c r="R205" s="65"/>
      <c r="S205" s="68"/>
    </row>
    <row r="206" spans="1:19" ht="27" x14ac:dyDescent="0.4">
      <c r="A206" s="65"/>
      <c r="B206" s="65"/>
      <c r="C206" s="66"/>
      <c r="D206" s="66"/>
      <c r="E206" s="67"/>
      <c r="F206" s="68"/>
      <c r="G206" s="68"/>
      <c r="H206" s="66"/>
      <c r="I206" s="67"/>
      <c r="J206" s="67"/>
      <c r="K206" s="67"/>
      <c r="L206" s="66"/>
      <c r="M206" s="68"/>
      <c r="N206" s="66"/>
      <c r="O206" s="69"/>
      <c r="P206" s="67"/>
      <c r="Q206" s="66"/>
      <c r="R206" s="65"/>
      <c r="S206" s="68"/>
    </row>
    <row r="207" spans="1:19" ht="27" x14ac:dyDescent="0.4">
      <c r="A207" s="65"/>
      <c r="B207" s="65"/>
      <c r="C207" s="66"/>
      <c r="D207" s="66"/>
      <c r="E207" s="67"/>
      <c r="F207" s="68"/>
      <c r="G207" s="68"/>
      <c r="H207" s="66"/>
      <c r="I207" s="67"/>
      <c r="J207" s="67"/>
      <c r="K207" s="67"/>
      <c r="L207" s="66"/>
      <c r="M207" s="68"/>
      <c r="N207" s="66"/>
      <c r="O207" s="69"/>
      <c r="P207" s="67"/>
      <c r="Q207" s="66"/>
      <c r="R207" s="65"/>
      <c r="S207" s="68"/>
    </row>
    <row r="208" spans="1:19" ht="27" x14ac:dyDescent="0.4">
      <c r="A208" s="65"/>
      <c r="B208" s="65"/>
      <c r="C208" s="66"/>
      <c r="D208" s="66"/>
      <c r="E208" s="67"/>
      <c r="F208" s="68"/>
      <c r="G208" s="68"/>
      <c r="H208" s="66"/>
      <c r="I208" s="67"/>
      <c r="J208" s="67"/>
      <c r="K208" s="67"/>
      <c r="L208" s="66"/>
      <c r="M208" s="68"/>
      <c r="N208" s="66"/>
      <c r="O208" s="69"/>
      <c r="P208" s="67"/>
      <c r="Q208" s="66"/>
      <c r="R208" s="65"/>
      <c r="S208" s="68"/>
    </row>
    <row r="209" spans="1:19" ht="27" x14ac:dyDescent="0.4">
      <c r="A209" s="65"/>
      <c r="B209" s="65"/>
      <c r="C209" s="66"/>
      <c r="D209" s="66"/>
      <c r="E209" s="67"/>
      <c r="F209" s="68"/>
      <c r="G209" s="68"/>
      <c r="H209" s="66"/>
      <c r="I209" s="67"/>
      <c r="J209" s="67"/>
      <c r="K209" s="67"/>
      <c r="L209" s="66"/>
      <c r="M209" s="68"/>
      <c r="N209" s="66"/>
      <c r="O209" s="69"/>
      <c r="P209" s="67"/>
      <c r="Q209" s="66"/>
      <c r="R209" s="65"/>
      <c r="S209" s="68"/>
    </row>
    <row r="210" spans="1:19" ht="27" x14ac:dyDescent="0.4">
      <c r="A210" s="65"/>
      <c r="B210" s="65"/>
      <c r="C210" s="66"/>
      <c r="D210" s="66"/>
      <c r="E210" s="67"/>
      <c r="F210" s="68"/>
      <c r="G210" s="68"/>
      <c r="H210" s="66"/>
      <c r="I210" s="67"/>
      <c r="J210" s="67"/>
      <c r="K210" s="67"/>
      <c r="L210" s="66"/>
      <c r="M210" s="68"/>
      <c r="N210" s="66"/>
      <c r="O210" s="69"/>
      <c r="P210" s="67"/>
      <c r="Q210" s="66"/>
      <c r="R210" s="65"/>
      <c r="S210" s="68"/>
    </row>
    <row r="211" spans="1:19" ht="27" x14ac:dyDescent="0.4">
      <c r="A211" s="65"/>
      <c r="B211" s="65"/>
      <c r="C211" s="125"/>
      <c r="D211" s="125"/>
      <c r="E211" s="126"/>
      <c r="F211" s="127"/>
      <c r="G211" s="127"/>
      <c r="H211" s="125"/>
      <c r="I211" s="126"/>
      <c r="J211" s="126"/>
      <c r="K211" s="126"/>
      <c r="L211" s="125"/>
      <c r="M211" s="127"/>
      <c r="N211" s="125"/>
      <c r="O211" s="128"/>
      <c r="P211" s="126"/>
      <c r="Q211" s="125"/>
      <c r="R211" s="65"/>
      <c r="S211" s="68"/>
    </row>
    <row r="212" spans="1:19" ht="27" x14ac:dyDescent="0.4">
      <c r="A212" s="65"/>
      <c r="B212" s="65"/>
      <c r="C212" s="125"/>
      <c r="D212" s="125"/>
      <c r="E212" s="126"/>
      <c r="F212" s="127"/>
      <c r="G212" s="127"/>
      <c r="H212" s="125"/>
      <c r="I212" s="126"/>
      <c r="J212" s="126"/>
      <c r="K212" s="126"/>
      <c r="L212" s="125"/>
      <c r="M212" s="127"/>
      <c r="N212" s="125"/>
      <c r="O212" s="128"/>
      <c r="P212" s="126"/>
      <c r="Q212" s="125"/>
      <c r="R212" s="65"/>
      <c r="S212" s="68"/>
    </row>
    <row r="213" spans="1:19" ht="27" x14ac:dyDescent="0.4">
      <c r="A213" s="65"/>
      <c r="B213" s="65"/>
      <c r="C213" s="125"/>
      <c r="D213" s="125"/>
      <c r="E213" s="126"/>
      <c r="F213" s="127"/>
      <c r="G213" s="127"/>
      <c r="H213" s="125"/>
      <c r="I213" s="126"/>
      <c r="J213" s="126"/>
      <c r="K213" s="126"/>
      <c r="L213" s="125"/>
      <c r="M213" s="127"/>
      <c r="N213" s="125"/>
      <c r="O213" s="128"/>
      <c r="P213" s="126"/>
      <c r="Q213" s="125"/>
      <c r="R213" s="65"/>
      <c r="S213" s="68"/>
    </row>
    <row r="214" spans="1:19" ht="27" x14ac:dyDescent="0.4">
      <c r="A214" s="65"/>
      <c r="B214" s="65"/>
      <c r="C214" s="125"/>
      <c r="D214" s="125"/>
      <c r="E214" s="126"/>
      <c r="F214" s="127"/>
      <c r="G214" s="127"/>
      <c r="H214" s="125"/>
      <c r="I214" s="126"/>
      <c r="J214" s="126"/>
      <c r="K214" s="126"/>
      <c r="L214" s="125"/>
      <c r="M214" s="127"/>
      <c r="N214" s="125"/>
      <c r="O214" s="128"/>
      <c r="P214" s="126"/>
      <c r="Q214" s="125"/>
      <c r="R214" s="65"/>
      <c r="S214" s="68"/>
    </row>
    <row r="215" spans="1:19" ht="27" x14ac:dyDescent="0.4">
      <c r="A215" s="65"/>
      <c r="B215" s="65"/>
      <c r="C215" s="125"/>
      <c r="D215" s="125"/>
      <c r="E215" s="126"/>
      <c r="F215" s="127"/>
      <c r="G215" s="127"/>
      <c r="H215" s="125"/>
      <c r="I215" s="126"/>
      <c r="J215" s="126"/>
      <c r="K215" s="126"/>
      <c r="L215" s="125"/>
      <c r="M215" s="127"/>
      <c r="N215" s="125"/>
      <c r="O215" s="128"/>
      <c r="P215" s="126"/>
      <c r="Q215" s="125"/>
      <c r="R215" s="65"/>
      <c r="S215" s="68"/>
    </row>
    <row r="216" spans="1:19" ht="27" x14ac:dyDescent="0.4">
      <c r="A216" s="65"/>
      <c r="B216" s="65"/>
      <c r="C216" s="125"/>
      <c r="D216" s="125"/>
      <c r="E216" s="126"/>
      <c r="F216" s="127"/>
      <c r="G216" s="127"/>
      <c r="H216" s="125"/>
      <c r="I216" s="126"/>
      <c r="J216" s="126"/>
      <c r="K216" s="126"/>
      <c r="L216" s="125"/>
      <c r="M216" s="127"/>
      <c r="N216" s="125"/>
      <c r="O216" s="128"/>
      <c r="P216" s="126"/>
      <c r="Q216" s="125"/>
      <c r="R216" s="65"/>
      <c r="S216" s="68"/>
    </row>
    <row r="217" spans="1:19" ht="27" x14ac:dyDescent="0.4">
      <c r="A217" s="65"/>
      <c r="B217" s="65"/>
      <c r="C217" s="125"/>
      <c r="D217" s="125"/>
      <c r="E217" s="126"/>
      <c r="F217" s="127"/>
      <c r="G217" s="127"/>
      <c r="H217" s="125"/>
      <c r="I217" s="126"/>
      <c r="J217" s="126"/>
      <c r="K217" s="126"/>
      <c r="L217" s="125"/>
      <c r="M217" s="127"/>
      <c r="N217" s="125"/>
      <c r="O217" s="128"/>
      <c r="P217" s="126"/>
      <c r="Q217" s="125"/>
      <c r="R217" s="65"/>
      <c r="S217" s="68"/>
    </row>
    <row r="218" spans="1:19" ht="27" x14ac:dyDescent="0.4">
      <c r="A218" s="65"/>
      <c r="B218" s="65"/>
      <c r="C218" s="125"/>
      <c r="D218" s="125"/>
      <c r="E218" s="126"/>
      <c r="F218" s="127"/>
      <c r="G218" s="127"/>
      <c r="H218" s="125"/>
      <c r="I218" s="126"/>
      <c r="J218" s="126"/>
      <c r="K218" s="126"/>
      <c r="L218" s="125"/>
      <c r="M218" s="127"/>
      <c r="N218" s="125"/>
      <c r="O218" s="128"/>
      <c r="P218" s="126"/>
      <c r="Q218" s="125"/>
      <c r="R218" s="65"/>
      <c r="S218" s="68"/>
    </row>
    <row r="219" spans="1:19" ht="27" x14ac:dyDescent="0.4">
      <c r="A219" s="65"/>
      <c r="B219" s="65"/>
      <c r="C219" s="66"/>
      <c r="D219" s="65"/>
      <c r="E219" s="67"/>
      <c r="F219" s="68"/>
      <c r="G219" s="68"/>
      <c r="H219" s="66"/>
      <c r="I219" s="67"/>
      <c r="J219" s="67"/>
      <c r="K219" s="67"/>
      <c r="L219" s="66"/>
      <c r="M219" s="68"/>
      <c r="N219" s="66"/>
      <c r="O219" s="69"/>
      <c r="P219" s="67"/>
      <c r="Q219" s="66"/>
      <c r="R219" s="65"/>
      <c r="S219" s="68"/>
    </row>
    <row r="220" spans="1:19" ht="27" x14ac:dyDescent="0.4">
      <c r="A220" s="65"/>
      <c r="B220" s="65"/>
      <c r="C220" s="66"/>
      <c r="D220" s="66"/>
      <c r="E220" s="67"/>
      <c r="F220" s="68"/>
      <c r="G220" s="68"/>
      <c r="H220" s="66"/>
      <c r="I220" s="67"/>
      <c r="J220" s="67"/>
      <c r="K220" s="67"/>
      <c r="L220" s="66"/>
      <c r="M220" s="68"/>
      <c r="N220" s="66"/>
      <c r="O220" s="69"/>
      <c r="P220" s="67"/>
      <c r="Q220" s="66"/>
      <c r="R220" s="65"/>
      <c r="S220" s="68"/>
    </row>
    <row r="221" spans="1:19" ht="27" x14ac:dyDescent="0.4">
      <c r="A221" s="65"/>
      <c r="B221" s="65"/>
      <c r="C221" s="66"/>
      <c r="D221" s="66"/>
      <c r="E221" s="67"/>
      <c r="F221" s="68"/>
      <c r="G221" s="68"/>
      <c r="H221" s="66"/>
      <c r="I221" s="67"/>
      <c r="J221" s="67"/>
      <c r="K221" s="67"/>
      <c r="L221" s="66"/>
      <c r="M221" s="68"/>
      <c r="N221" s="66"/>
      <c r="O221" s="69"/>
      <c r="P221" s="67"/>
      <c r="Q221" s="66"/>
      <c r="R221" s="65"/>
      <c r="S221" s="65"/>
    </row>
    <row r="222" spans="1:19" ht="27" x14ac:dyDescent="0.4">
      <c r="A222" s="65"/>
      <c r="B222" s="65"/>
      <c r="C222" s="66"/>
      <c r="D222" s="66"/>
      <c r="E222" s="67"/>
      <c r="F222" s="68"/>
      <c r="G222" s="68"/>
      <c r="H222" s="66"/>
      <c r="I222" s="67"/>
      <c r="J222" s="67"/>
      <c r="K222" s="67"/>
      <c r="L222" s="66"/>
      <c r="M222" s="68"/>
      <c r="N222" s="66"/>
      <c r="O222" s="69"/>
      <c r="P222" s="67"/>
      <c r="Q222" s="66"/>
      <c r="R222" s="65"/>
      <c r="S222" s="65"/>
    </row>
    <row r="223" spans="1:19" ht="27" x14ac:dyDescent="0.4">
      <c r="A223" s="65"/>
      <c r="B223" s="65"/>
      <c r="C223" s="66"/>
      <c r="D223" s="66"/>
      <c r="E223" s="67"/>
      <c r="F223" s="68"/>
      <c r="G223" s="68"/>
      <c r="H223" s="66"/>
      <c r="I223" s="67"/>
      <c r="J223" s="67"/>
      <c r="K223" s="67"/>
      <c r="L223" s="66"/>
      <c r="M223" s="68"/>
      <c r="N223" s="66"/>
      <c r="O223" s="69"/>
      <c r="P223" s="67"/>
      <c r="Q223" s="66"/>
      <c r="R223" s="65"/>
      <c r="S223" s="65"/>
    </row>
    <row r="224" spans="1:19" ht="27" x14ac:dyDescent="0.4">
      <c r="A224" s="65"/>
      <c r="B224" s="65"/>
      <c r="C224" s="66"/>
      <c r="D224" s="66"/>
      <c r="E224" s="67"/>
      <c r="F224" s="68"/>
      <c r="G224" s="68"/>
      <c r="H224" s="66"/>
      <c r="I224" s="67"/>
      <c r="J224" s="67"/>
      <c r="K224" s="67"/>
      <c r="L224" s="66"/>
      <c r="M224" s="68"/>
      <c r="N224" s="66"/>
      <c r="O224" s="69"/>
      <c r="P224" s="67"/>
      <c r="Q224" s="66"/>
      <c r="R224" s="65"/>
      <c r="S224" s="65"/>
    </row>
    <row r="225" spans="1:19" ht="27" x14ac:dyDescent="0.4">
      <c r="A225" s="65"/>
      <c r="B225" s="65"/>
      <c r="C225" s="66"/>
      <c r="D225" s="66"/>
      <c r="E225" s="67"/>
      <c r="F225" s="68"/>
      <c r="G225" s="68"/>
      <c r="H225" s="66"/>
      <c r="I225" s="67"/>
      <c r="J225" s="67"/>
      <c r="K225" s="67"/>
      <c r="L225" s="66"/>
      <c r="M225" s="68"/>
      <c r="N225" s="66"/>
      <c r="O225" s="69"/>
      <c r="P225" s="67"/>
      <c r="Q225" s="66"/>
      <c r="R225" s="65"/>
      <c r="S225" s="65"/>
    </row>
    <row r="226" spans="1:19" ht="27" x14ac:dyDescent="0.4">
      <c r="A226" s="65"/>
      <c r="B226" s="65"/>
      <c r="C226" s="66"/>
      <c r="D226" s="66"/>
      <c r="E226" s="67"/>
      <c r="F226" s="68"/>
      <c r="G226" s="68"/>
      <c r="H226" s="66"/>
      <c r="I226" s="67"/>
      <c r="J226" s="67"/>
      <c r="K226" s="67"/>
      <c r="L226" s="66"/>
      <c r="M226" s="68"/>
      <c r="N226" s="66"/>
      <c r="O226" s="69"/>
      <c r="P226" s="67"/>
      <c r="Q226" s="66"/>
      <c r="R226" s="65"/>
      <c r="S226" s="70"/>
    </row>
    <row r="227" spans="1:19" ht="27" x14ac:dyDescent="0.4">
      <c r="A227" s="65"/>
      <c r="B227" s="65"/>
      <c r="C227" s="66"/>
      <c r="D227" s="66"/>
      <c r="E227" s="67"/>
      <c r="F227" s="68"/>
      <c r="G227" s="68"/>
      <c r="H227" s="66"/>
      <c r="I227" s="67"/>
      <c r="J227" s="67"/>
      <c r="K227" s="67"/>
      <c r="L227" s="66"/>
      <c r="M227" s="68"/>
      <c r="N227" s="66"/>
      <c r="O227" s="69"/>
      <c r="P227" s="67"/>
      <c r="Q227" s="66"/>
      <c r="R227" s="65"/>
      <c r="S227" s="65"/>
    </row>
    <row r="228" spans="1:19" ht="27" x14ac:dyDescent="0.4">
      <c r="A228" s="65"/>
      <c r="B228" s="65"/>
      <c r="C228" s="66"/>
      <c r="D228" s="66"/>
      <c r="E228" s="67"/>
      <c r="F228" s="68"/>
      <c r="G228" s="68"/>
      <c r="H228" s="66"/>
      <c r="I228" s="67"/>
      <c r="J228" s="67"/>
      <c r="K228" s="67"/>
      <c r="L228" s="66"/>
      <c r="M228" s="68"/>
      <c r="N228" s="66"/>
      <c r="O228" s="69"/>
      <c r="P228" s="67"/>
      <c r="Q228" s="66"/>
      <c r="R228" s="65"/>
      <c r="S228" s="68"/>
    </row>
    <row r="229" spans="1:19" ht="27" x14ac:dyDescent="0.4">
      <c r="A229" s="65"/>
      <c r="B229" s="65"/>
      <c r="C229" s="66"/>
      <c r="D229" s="66"/>
      <c r="E229" s="67"/>
      <c r="F229" s="68"/>
      <c r="G229" s="68"/>
      <c r="H229" s="66"/>
      <c r="I229" s="67"/>
      <c r="J229" s="67"/>
      <c r="K229" s="67"/>
      <c r="L229" s="66"/>
      <c r="M229" s="68"/>
      <c r="N229" s="66"/>
      <c r="O229" s="69"/>
      <c r="P229" s="67"/>
      <c r="Q229" s="66"/>
      <c r="R229" s="65"/>
      <c r="S229" s="68"/>
    </row>
    <row r="230" spans="1:19" ht="27" x14ac:dyDescent="0.4">
      <c r="A230" s="65"/>
      <c r="B230" s="65"/>
      <c r="C230" s="66"/>
      <c r="D230" s="66"/>
      <c r="E230" s="67"/>
      <c r="F230" s="68"/>
      <c r="G230" s="68"/>
      <c r="H230" s="66"/>
      <c r="I230" s="67"/>
      <c r="J230" s="67"/>
      <c r="K230" s="67"/>
      <c r="L230" s="66"/>
      <c r="M230" s="68"/>
      <c r="N230" s="66"/>
      <c r="O230" s="69"/>
      <c r="P230" s="67"/>
      <c r="Q230" s="66"/>
      <c r="R230" s="65"/>
      <c r="S230" s="68"/>
    </row>
    <row r="231" spans="1:19" ht="27" x14ac:dyDescent="0.4">
      <c r="A231" s="65"/>
      <c r="B231" s="65"/>
      <c r="C231" s="66"/>
      <c r="D231" s="66"/>
      <c r="E231" s="67"/>
      <c r="F231" s="68"/>
      <c r="G231" s="68"/>
      <c r="H231" s="66"/>
      <c r="I231" s="67"/>
      <c r="J231" s="67"/>
      <c r="K231" s="67"/>
      <c r="L231" s="66"/>
      <c r="M231" s="68"/>
      <c r="N231" s="66"/>
      <c r="O231" s="69"/>
      <c r="P231" s="67"/>
      <c r="Q231" s="66"/>
      <c r="R231" s="65"/>
      <c r="S231" s="68"/>
    </row>
    <row r="232" spans="1:19" ht="27" x14ac:dyDescent="0.4">
      <c r="A232" s="65"/>
      <c r="B232" s="65"/>
      <c r="C232" s="66"/>
      <c r="D232" s="66"/>
      <c r="E232" s="67"/>
      <c r="F232" s="68"/>
      <c r="G232" s="68"/>
      <c r="H232" s="66"/>
      <c r="I232" s="67"/>
      <c r="J232" s="67"/>
      <c r="K232" s="67"/>
      <c r="L232" s="66"/>
      <c r="M232" s="68"/>
      <c r="N232" s="66"/>
      <c r="O232" s="69"/>
      <c r="P232" s="67"/>
      <c r="Q232" s="66"/>
      <c r="R232" s="65"/>
      <c r="S232" s="68"/>
    </row>
    <row r="233" spans="1:19" ht="27" x14ac:dyDescent="0.4">
      <c r="A233" s="65"/>
      <c r="B233" s="65"/>
      <c r="C233" s="66"/>
      <c r="D233" s="66"/>
      <c r="E233" s="67"/>
      <c r="F233" s="68"/>
      <c r="G233" s="68"/>
      <c r="H233" s="66"/>
      <c r="I233" s="67"/>
      <c r="J233" s="67"/>
      <c r="K233" s="67"/>
      <c r="L233" s="66"/>
      <c r="M233" s="68"/>
      <c r="N233" s="66"/>
      <c r="O233" s="69"/>
      <c r="P233" s="67"/>
      <c r="Q233" s="66"/>
      <c r="R233" s="65"/>
      <c r="S233" s="68"/>
    </row>
    <row r="234" spans="1:19" ht="27" x14ac:dyDescent="0.4">
      <c r="A234" s="65"/>
      <c r="B234" s="65"/>
      <c r="C234" s="66"/>
      <c r="D234" s="66"/>
      <c r="E234" s="67"/>
      <c r="F234" s="68"/>
      <c r="G234" s="68"/>
      <c r="H234" s="66"/>
      <c r="I234" s="67"/>
      <c r="J234" s="67"/>
      <c r="K234" s="67"/>
      <c r="L234" s="66"/>
      <c r="M234" s="68"/>
      <c r="N234" s="66"/>
      <c r="O234" s="69"/>
      <c r="P234" s="67"/>
      <c r="Q234" s="66"/>
      <c r="R234" s="65"/>
      <c r="S234" s="68"/>
    </row>
    <row r="235" spans="1:19" ht="27" x14ac:dyDescent="0.4">
      <c r="A235" s="65"/>
      <c r="B235" s="65"/>
      <c r="C235" s="66"/>
      <c r="D235" s="66"/>
      <c r="E235" s="67"/>
      <c r="F235" s="68"/>
      <c r="G235" s="68"/>
      <c r="H235" s="66"/>
      <c r="I235" s="67"/>
      <c r="J235" s="67"/>
      <c r="K235" s="67"/>
      <c r="L235" s="66"/>
      <c r="M235" s="68"/>
      <c r="N235" s="66"/>
      <c r="O235" s="69"/>
      <c r="P235" s="67"/>
      <c r="Q235" s="66"/>
      <c r="R235" s="65"/>
      <c r="S235" s="68"/>
    </row>
    <row r="236" spans="1:19" ht="27" x14ac:dyDescent="0.4">
      <c r="A236" s="65"/>
      <c r="B236" s="65"/>
      <c r="C236" s="66"/>
      <c r="D236" s="66"/>
      <c r="E236" s="67"/>
      <c r="F236" s="68"/>
      <c r="G236" s="68"/>
      <c r="H236" s="66"/>
      <c r="I236" s="67"/>
      <c r="J236" s="67"/>
      <c r="K236" s="67"/>
      <c r="L236" s="66"/>
      <c r="M236" s="68"/>
      <c r="N236" s="66"/>
      <c r="O236" s="69"/>
      <c r="P236" s="67"/>
      <c r="Q236" s="66"/>
      <c r="R236" s="65"/>
      <c r="S236" s="68"/>
    </row>
    <row r="237" spans="1:19" ht="27" x14ac:dyDescent="0.4">
      <c r="A237" s="65"/>
      <c r="B237" s="65"/>
      <c r="C237" s="66"/>
      <c r="D237" s="66"/>
      <c r="E237" s="67"/>
      <c r="F237" s="68"/>
      <c r="G237" s="68"/>
      <c r="H237" s="66"/>
      <c r="I237" s="67"/>
      <c r="J237" s="67"/>
      <c r="K237" s="67"/>
      <c r="L237" s="66"/>
      <c r="M237" s="68"/>
      <c r="N237" s="66"/>
      <c r="O237" s="69"/>
      <c r="P237" s="67"/>
      <c r="Q237" s="66"/>
      <c r="R237" s="65"/>
      <c r="S237" s="68"/>
    </row>
    <row r="238" spans="1:19" ht="27" x14ac:dyDescent="0.4">
      <c r="A238" s="65"/>
      <c r="B238" s="65"/>
      <c r="C238" s="66"/>
      <c r="D238" s="66"/>
      <c r="E238" s="67"/>
      <c r="F238" s="68"/>
      <c r="G238" s="68"/>
      <c r="H238" s="66"/>
      <c r="I238" s="67"/>
      <c r="J238" s="67"/>
      <c r="K238" s="67"/>
      <c r="L238" s="66"/>
      <c r="M238" s="68"/>
      <c r="N238" s="66"/>
      <c r="O238" s="69"/>
      <c r="P238" s="67"/>
      <c r="Q238" s="66"/>
      <c r="R238" s="65"/>
      <c r="S238" s="68"/>
    </row>
    <row r="239" spans="1:19" ht="27" x14ac:dyDescent="0.4">
      <c r="A239" s="65"/>
      <c r="B239" s="65"/>
      <c r="C239" s="66"/>
      <c r="D239" s="66"/>
      <c r="E239" s="67"/>
      <c r="F239" s="68"/>
      <c r="G239" s="68"/>
      <c r="H239" s="66"/>
      <c r="I239" s="67"/>
      <c r="J239" s="67"/>
      <c r="K239" s="67"/>
      <c r="L239" s="66"/>
      <c r="M239" s="68"/>
      <c r="N239" s="66"/>
      <c r="O239" s="69"/>
      <c r="P239" s="67"/>
      <c r="Q239" s="66"/>
      <c r="R239" s="65"/>
      <c r="S239" s="68"/>
    </row>
    <row r="240" spans="1:19" ht="27" x14ac:dyDescent="0.4">
      <c r="A240" s="65"/>
      <c r="B240" s="65"/>
      <c r="C240" s="66"/>
      <c r="D240" s="66"/>
      <c r="E240" s="67"/>
      <c r="F240" s="68"/>
      <c r="G240" s="68"/>
      <c r="H240" s="66"/>
      <c r="I240" s="67"/>
      <c r="J240" s="67"/>
      <c r="K240" s="67"/>
      <c r="L240" s="66"/>
      <c r="M240" s="68"/>
      <c r="N240" s="66"/>
      <c r="O240" s="69"/>
      <c r="P240" s="67"/>
      <c r="Q240" s="66"/>
      <c r="R240" s="65"/>
      <c r="S240" s="68"/>
    </row>
    <row r="241" spans="1:19" ht="27" x14ac:dyDescent="0.4">
      <c r="A241" s="65"/>
      <c r="B241" s="65"/>
      <c r="C241" s="66"/>
      <c r="D241" s="66"/>
      <c r="E241" s="67"/>
      <c r="F241" s="68"/>
      <c r="G241" s="68"/>
      <c r="H241" s="66"/>
      <c r="I241" s="67"/>
      <c r="J241" s="67"/>
      <c r="K241" s="67"/>
      <c r="L241" s="66"/>
      <c r="M241" s="68"/>
      <c r="N241" s="66"/>
      <c r="O241" s="69"/>
      <c r="P241" s="67"/>
      <c r="Q241" s="66"/>
      <c r="R241" s="65"/>
      <c r="S241" s="68"/>
    </row>
    <row r="242" spans="1:19" ht="27" x14ac:dyDescent="0.4">
      <c r="A242" s="65"/>
      <c r="B242" s="65"/>
      <c r="C242" s="66"/>
      <c r="D242" s="66"/>
      <c r="E242" s="67"/>
      <c r="F242" s="68"/>
      <c r="G242" s="68"/>
      <c r="H242" s="66"/>
      <c r="I242" s="67"/>
      <c r="J242" s="67"/>
      <c r="K242" s="67"/>
      <c r="L242" s="66"/>
      <c r="M242" s="68"/>
      <c r="N242" s="66"/>
      <c r="O242" s="69"/>
      <c r="P242" s="67"/>
      <c r="Q242" s="66"/>
      <c r="R242" s="65"/>
      <c r="S242" s="68"/>
    </row>
    <row r="243" spans="1:19" ht="27" x14ac:dyDescent="0.4">
      <c r="A243" s="65"/>
      <c r="B243" s="65"/>
      <c r="C243" s="66"/>
      <c r="D243" s="66"/>
      <c r="E243" s="67"/>
      <c r="F243" s="68"/>
      <c r="G243" s="68"/>
      <c r="H243" s="66"/>
      <c r="I243" s="67"/>
      <c r="J243" s="67"/>
      <c r="K243" s="67"/>
      <c r="L243" s="66"/>
      <c r="M243" s="68"/>
      <c r="N243" s="66"/>
      <c r="O243" s="69"/>
      <c r="P243" s="67"/>
      <c r="Q243" s="66"/>
      <c r="R243" s="65"/>
      <c r="S243" s="68"/>
    </row>
    <row r="244" spans="1:19" ht="27" x14ac:dyDescent="0.4">
      <c r="A244" s="65"/>
      <c r="B244" s="65"/>
      <c r="C244" s="66"/>
      <c r="D244" s="66"/>
      <c r="E244" s="67"/>
      <c r="F244" s="68"/>
      <c r="G244" s="68"/>
      <c r="H244" s="66"/>
      <c r="I244" s="67"/>
      <c r="J244" s="67"/>
      <c r="K244" s="67"/>
      <c r="L244" s="66"/>
      <c r="M244" s="68"/>
      <c r="N244" s="66"/>
      <c r="O244" s="69"/>
      <c r="P244" s="67"/>
      <c r="Q244" s="66"/>
      <c r="R244" s="65"/>
      <c r="S244" s="68"/>
    </row>
    <row r="245" spans="1:19" ht="27" x14ac:dyDescent="0.4">
      <c r="A245" s="65"/>
      <c r="B245" s="65"/>
      <c r="C245" s="66"/>
      <c r="D245" s="66"/>
      <c r="E245" s="67"/>
      <c r="F245" s="68"/>
      <c r="G245" s="68"/>
      <c r="H245" s="66"/>
      <c r="I245" s="67"/>
      <c r="J245" s="67"/>
      <c r="K245" s="67"/>
      <c r="L245" s="66"/>
      <c r="M245" s="68"/>
      <c r="N245" s="66"/>
      <c r="O245" s="69"/>
      <c r="P245" s="67"/>
      <c r="Q245" s="66"/>
      <c r="R245" s="65"/>
      <c r="S245" s="68"/>
    </row>
    <row r="246" spans="1:19" ht="27" x14ac:dyDescent="0.4">
      <c r="A246" s="65"/>
      <c r="B246" s="65"/>
      <c r="C246" s="66"/>
      <c r="D246" s="66"/>
      <c r="E246" s="67"/>
      <c r="F246" s="68"/>
      <c r="G246" s="68"/>
      <c r="H246" s="66"/>
      <c r="I246" s="67"/>
      <c r="J246" s="67"/>
      <c r="K246" s="67"/>
      <c r="L246" s="66"/>
      <c r="M246" s="68"/>
      <c r="N246" s="66"/>
      <c r="O246" s="69"/>
      <c r="P246" s="67"/>
      <c r="Q246" s="66"/>
      <c r="R246" s="65"/>
      <c r="S246" s="68"/>
    </row>
    <row r="247" spans="1:19" ht="27" x14ac:dyDescent="0.4">
      <c r="A247" s="65"/>
      <c r="B247" s="65"/>
      <c r="C247" s="66"/>
      <c r="D247" s="66"/>
      <c r="E247" s="67"/>
      <c r="F247" s="68"/>
      <c r="G247" s="68"/>
      <c r="H247" s="66"/>
      <c r="I247" s="67"/>
      <c r="J247" s="67"/>
      <c r="K247" s="67"/>
      <c r="L247" s="66"/>
      <c r="M247" s="68"/>
      <c r="N247" s="66"/>
      <c r="O247" s="69"/>
      <c r="P247" s="67"/>
      <c r="Q247" s="66"/>
      <c r="R247" s="65"/>
      <c r="S247" s="68"/>
    </row>
    <row r="248" spans="1:19" ht="27" x14ac:dyDescent="0.4">
      <c r="A248" s="65"/>
      <c r="B248" s="65"/>
      <c r="C248" s="66"/>
      <c r="D248" s="66"/>
      <c r="E248" s="67"/>
      <c r="F248" s="68"/>
      <c r="G248" s="68"/>
      <c r="H248" s="66"/>
      <c r="I248" s="67"/>
      <c r="J248" s="67"/>
      <c r="K248" s="67"/>
      <c r="L248" s="66"/>
      <c r="M248" s="68"/>
      <c r="N248" s="66"/>
      <c r="O248" s="69"/>
      <c r="P248" s="67"/>
      <c r="Q248" s="66"/>
      <c r="R248" s="65"/>
      <c r="S248" s="68"/>
    </row>
    <row r="249" spans="1:19" ht="27" x14ac:dyDescent="0.4">
      <c r="A249" s="65"/>
      <c r="B249" s="65"/>
      <c r="C249" s="66"/>
      <c r="D249" s="66"/>
      <c r="E249" s="67"/>
      <c r="F249" s="68"/>
      <c r="G249" s="68"/>
      <c r="H249" s="66"/>
      <c r="I249" s="67"/>
      <c r="J249" s="67"/>
      <c r="K249" s="67"/>
      <c r="L249" s="66"/>
      <c r="M249" s="68"/>
      <c r="N249" s="66"/>
      <c r="O249" s="69"/>
      <c r="P249" s="67"/>
      <c r="Q249" s="66"/>
      <c r="R249" s="65"/>
      <c r="S249" s="68"/>
    </row>
    <row r="250" spans="1:19" ht="27" x14ac:dyDescent="0.4">
      <c r="A250" s="65"/>
      <c r="B250" s="65"/>
      <c r="C250" s="66"/>
      <c r="D250" s="66"/>
      <c r="E250" s="67"/>
      <c r="F250" s="68"/>
      <c r="G250" s="68"/>
      <c r="H250" s="66"/>
      <c r="I250" s="67"/>
      <c r="J250" s="67"/>
      <c r="K250" s="67"/>
      <c r="L250" s="66"/>
      <c r="M250" s="68"/>
      <c r="N250" s="66"/>
      <c r="O250" s="69"/>
      <c r="P250" s="67"/>
      <c r="Q250" s="66"/>
      <c r="R250" s="65"/>
      <c r="S250" s="68"/>
    </row>
    <row r="251" spans="1:19" ht="27" x14ac:dyDescent="0.4">
      <c r="A251" s="65"/>
      <c r="B251" s="65"/>
      <c r="C251" s="66"/>
      <c r="D251" s="66"/>
      <c r="E251" s="67"/>
      <c r="F251" s="68"/>
      <c r="G251" s="68"/>
      <c r="H251" s="66"/>
      <c r="I251" s="67"/>
      <c r="J251" s="67"/>
      <c r="K251" s="67"/>
      <c r="L251" s="66"/>
      <c r="M251" s="68"/>
      <c r="N251" s="66"/>
      <c r="O251" s="69"/>
      <c r="P251" s="67"/>
      <c r="Q251" s="66"/>
      <c r="R251" s="65"/>
      <c r="S251" s="68"/>
    </row>
    <row r="252" spans="1:19" ht="27" x14ac:dyDescent="0.4">
      <c r="A252" s="65"/>
      <c r="B252" s="65"/>
      <c r="C252" s="66"/>
      <c r="D252" s="66"/>
      <c r="E252" s="67"/>
      <c r="F252" s="68"/>
      <c r="G252" s="68"/>
      <c r="H252" s="66"/>
      <c r="I252" s="67"/>
      <c r="J252" s="67"/>
      <c r="K252" s="67"/>
      <c r="L252" s="66"/>
      <c r="M252" s="68"/>
      <c r="N252" s="66"/>
      <c r="O252" s="69"/>
      <c r="P252" s="67"/>
      <c r="Q252" s="66"/>
      <c r="R252" s="65"/>
      <c r="S252" s="68"/>
    </row>
    <row r="253" spans="1:19" ht="27" x14ac:dyDescent="0.4">
      <c r="A253" s="65"/>
      <c r="B253" s="65"/>
      <c r="C253" s="66"/>
      <c r="D253" s="66"/>
      <c r="E253" s="67"/>
      <c r="F253" s="68"/>
      <c r="G253" s="68"/>
      <c r="H253" s="66"/>
      <c r="I253" s="67"/>
      <c r="J253" s="67"/>
      <c r="K253" s="67"/>
      <c r="L253" s="66"/>
      <c r="M253" s="68"/>
      <c r="N253" s="66"/>
      <c r="O253" s="69"/>
      <c r="P253" s="67"/>
      <c r="Q253" s="66"/>
      <c r="R253" s="65"/>
      <c r="S253" s="70"/>
    </row>
    <row r="254" spans="1:19" ht="27" x14ac:dyDescent="0.4">
      <c r="A254" s="65"/>
      <c r="B254" s="65"/>
      <c r="C254" s="66"/>
      <c r="D254" s="66"/>
      <c r="E254" s="67"/>
      <c r="F254" s="68"/>
      <c r="G254" s="68"/>
      <c r="H254" s="66"/>
      <c r="I254" s="67"/>
      <c r="J254" s="67"/>
      <c r="K254" s="67"/>
      <c r="L254" s="66"/>
      <c r="M254" s="68"/>
      <c r="N254" s="66"/>
      <c r="O254" s="69"/>
      <c r="P254" s="67"/>
      <c r="Q254" s="66"/>
      <c r="R254" s="65"/>
      <c r="S254" s="68"/>
    </row>
    <row r="255" spans="1:19" ht="27" x14ac:dyDescent="0.4">
      <c r="A255" s="65"/>
      <c r="B255" s="65"/>
      <c r="C255" s="66"/>
      <c r="D255" s="66"/>
      <c r="E255" s="67"/>
      <c r="F255" s="68"/>
      <c r="G255" s="68"/>
      <c r="H255" s="66"/>
      <c r="I255" s="67"/>
      <c r="J255" s="67"/>
      <c r="K255" s="67"/>
      <c r="L255" s="66"/>
      <c r="M255" s="68"/>
      <c r="N255" s="66"/>
      <c r="O255" s="69"/>
      <c r="P255" s="67"/>
      <c r="Q255" s="66"/>
      <c r="R255" s="65"/>
      <c r="S255" s="68"/>
    </row>
    <row r="256" spans="1:19" ht="27" x14ac:dyDescent="0.4">
      <c r="A256" s="65"/>
      <c r="B256" s="65"/>
      <c r="C256" s="66"/>
      <c r="D256" s="66"/>
      <c r="E256" s="67"/>
      <c r="F256" s="68"/>
      <c r="G256" s="68"/>
      <c r="H256" s="66"/>
      <c r="I256" s="67"/>
      <c r="J256" s="67"/>
      <c r="K256" s="67"/>
      <c r="L256" s="66"/>
      <c r="M256" s="68"/>
      <c r="N256" s="66"/>
      <c r="O256" s="69"/>
      <c r="P256" s="67"/>
      <c r="Q256" s="66"/>
      <c r="R256" s="65"/>
      <c r="S256" s="68"/>
    </row>
    <row r="257" spans="1:19" ht="27" x14ac:dyDescent="0.4">
      <c r="A257" s="65"/>
      <c r="B257" s="65"/>
      <c r="C257" s="66"/>
      <c r="D257" s="66"/>
      <c r="E257" s="67"/>
      <c r="F257" s="68"/>
      <c r="G257" s="68"/>
      <c r="H257" s="66"/>
      <c r="I257" s="67"/>
      <c r="J257" s="67"/>
      <c r="K257" s="67"/>
      <c r="L257" s="66"/>
      <c r="M257" s="68"/>
      <c r="N257" s="66"/>
      <c r="O257" s="69"/>
      <c r="P257" s="67"/>
      <c r="Q257" s="66"/>
      <c r="R257" s="65"/>
      <c r="S257" s="68"/>
    </row>
    <row r="258" spans="1:19" ht="27" x14ac:dyDescent="0.4">
      <c r="A258" s="65"/>
      <c r="B258" s="65"/>
      <c r="C258" s="66"/>
      <c r="D258" s="66"/>
      <c r="E258" s="67"/>
      <c r="F258" s="68"/>
      <c r="G258" s="68"/>
      <c r="H258" s="66"/>
      <c r="I258" s="67"/>
      <c r="J258" s="67"/>
      <c r="K258" s="67"/>
      <c r="L258" s="66"/>
      <c r="M258" s="68"/>
      <c r="N258" s="66"/>
      <c r="O258" s="69"/>
      <c r="P258" s="67"/>
      <c r="Q258" s="66"/>
      <c r="R258" s="65"/>
      <c r="S258" s="68"/>
    </row>
    <row r="259" spans="1:19" ht="27" x14ac:dyDescent="0.4">
      <c r="A259" s="65"/>
      <c r="B259" s="65"/>
      <c r="C259" s="66"/>
      <c r="D259" s="66"/>
      <c r="E259" s="67"/>
      <c r="F259" s="68"/>
      <c r="G259" s="68"/>
      <c r="H259" s="66"/>
      <c r="I259" s="67"/>
      <c r="J259" s="67"/>
      <c r="K259" s="67"/>
      <c r="L259" s="66"/>
      <c r="M259" s="68"/>
      <c r="N259" s="66"/>
      <c r="O259" s="69"/>
      <c r="P259" s="67"/>
      <c r="Q259" s="66"/>
      <c r="R259" s="65"/>
      <c r="S259" s="68"/>
    </row>
    <row r="260" spans="1:19" ht="27" x14ac:dyDescent="0.4">
      <c r="A260" s="65"/>
      <c r="B260" s="65"/>
      <c r="C260" s="66"/>
      <c r="D260" s="66"/>
      <c r="E260" s="67"/>
      <c r="F260" s="68"/>
      <c r="G260" s="68"/>
      <c r="H260" s="66"/>
      <c r="I260" s="67"/>
      <c r="J260" s="67"/>
      <c r="K260" s="67"/>
      <c r="L260" s="66"/>
      <c r="M260" s="68"/>
      <c r="N260" s="66"/>
      <c r="O260" s="69"/>
      <c r="P260" s="67"/>
      <c r="Q260" s="66"/>
      <c r="R260" s="65"/>
      <c r="S260" s="68"/>
    </row>
    <row r="261" spans="1:19" ht="27" x14ac:dyDescent="0.4">
      <c r="A261" s="65"/>
      <c r="B261" s="65"/>
      <c r="C261" s="66"/>
      <c r="D261" s="66"/>
      <c r="E261" s="67"/>
      <c r="F261" s="68"/>
      <c r="G261" s="68"/>
      <c r="H261" s="66"/>
      <c r="I261" s="67"/>
      <c r="J261" s="67"/>
      <c r="K261" s="67"/>
      <c r="L261" s="66"/>
      <c r="M261" s="68"/>
      <c r="N261" s="66"/>
      <c r="O261" s="69"/>
      <c r="P261" s="67"/>
      <c r="Q261" s="66"/>
      <c r="R261" s="65"/>
      <c r="S261" s="68"/>
    </row>
    <row r="262" spans="1:19" ht="27" x14ac:dyDescent="0.4">
      <c r="A262" s="65"/>
      <c r="B262" s="65"/>
      <c r="C262" s="66"/>
      <c r="D262" s="66"/>
      <c r="E262" s="67"/>
      <c r="F262" s="68"/>
      <c r="G262" s="68"/>
      <c r="H262" s="66"/>
      <c r="I262" s="67"/>
      <c r="J262" s="67"/>
      <c r="K262" s="67"/>
      <c r="L262" s="66"/>
      <c r="M262" s="68"/>
      <c r="N262" s="66"/>
      <c r="O262" s="69"/>
      <c r="P262" s="67"/>
      <c r="Q262" s="66"/>
      <c r="R262" s="65"/>
      <c r="S262" s="68"/>
    </row>
    <row r="263" spans="1:19" ht="27" x14ac:dyDescent="0.4">
      <c r="A263" s="65"/>
      <c r="B263" s="65"/>
      <c r="C263" s="66"/>
      <c r="D263" s="66"/>
      <c r="E263" s="67"/>
      <c r="F263" s="68"/>
      <c r="G263" s="68"/>
      <c r="H263" s="66"/>
      <c r="I263" s="67"/>
      <c r="J263" s="67"/>
      <c r="K263" s="67"/>
      <c r="L263" s="66"/>
      <c r="M263" s="68"/>
      <c r="N263" s="66"/>
      <c r="O263" s="69"/>
      <c r="P263" s="67"/>
      <c r="Q263" s="66"/>
      <c r="R263" s="65"/>
      <c r="S263" s="70"/>
    </row>
    <row r="264" spans="1:19" ht="27" x14ac:dyDescent="0.4">
      <c r="A264" s="65"/>
      <c r="B264" s="65"/>
      <c r="C264" s="66"/>
      <c r="D264" s="66"/>
      <c r="E264" s="67"/>
      <c r="F264" s="68"/>
      <c r="G264" s="68"/>
      <c r="H264" s="66"/>
      <c r="I264" s="67"/>
      <c r="J264" s="67"/>
      <c r="K264" s="67"/>
      <c r="L264" s="66"/>
      <c r="M264" s="68"/>
      <c r="N264" s="66"/>
      <c r="O264" s="69"/>
      <c r="P264" s="67"/>
      <c r="Q264" s="66"/>
      <c r="R264" s="65"/>
      <c r="S264" s="70"/>
    </row>
    <row r="265" spans="1:19" ht="27" x14ac:dyDescent="0.4">
      <c r="A265" s="65"/>
      <c r="B265" s="65"/>
      <c r="C265" s="66"/>
      <c r="D265" s="121"/>
      <c r="E265" s="67"/>
      <c r="F265" s="68"/>
      <c r="G265" s="68"/>
      <c r="H265" s="66"/>
      <c r="I265" s="67"/>
      <c r="J265" s="67"/>
      <c r="K265" s="67"/>
      <c r="L265" s="66"/>
      <c r="M265" s="68"/>
      <c r="N265" s="66"/>
      <c r="O265" s="69"/>
      <c r="P265" s="67"/>
      <c r="Q265" s="66"/>
      <c r="R265" s="65"/>
      <c r="S265" s="70"/>
    </row>
    <row r="266" spans="1:19" ht="27" x14ac:dyDescent="0.4">
      <c r="A266" s="65"/>
      <c r="B266" s="65"/>
      <c r="C266" s="66"/>
      <c r="D266" s="66"/>
      <c r="E266" s="67"/>
      <c r="F266" s="68"/>
      <c r="G266" s="68"/>
      <c r="H266" s="66"/>
      <c r="I266" s="67"/>
      <c r="J266" s="67"/>
      <c r="K266" s="67"/>
      <c r="L266" s="66"/>
      <c r="M266" s="68"/>
      <c r="N266" s="66"/>
      <c r="O266" s="69"/>
      <c r="P266" s="67"/>
      <c r="Q266" s="66"/>
      <c r="R266" s="65"/>
      <c r="S266" s="70"/>
    </row>
    <row r="267" spans="1:19" ht="27" x14ac:dyDescent="0.4">
      <c r="A267" s="65"/>
      <c r="B267" s="65"/>
      <c r="C267" s="66"/>
      <c r="D267" s="66"/>
      <c r="E267" s="67"/>
      <c r="F267" s="68"/>
      <c r="G267" s="68"/>
      <c r="H267" s="66"/>
      <c r="I267" s="67"/>
      <c r="J267" s="67"/>
      <c r="K267" s="67"/>
      <c r="L267" s="66"/>
      <c r="M267" s="68"/>
      <c r="N267" s="66"/>
      <c r="O267" s="69"/>
      <c r="P267" s="67"/>
      <c r="Q267" s="66"/>
      <c r="R267" s="65"/>
      <c r="S267" s="70"/>
    </row>
    <row r="268" spans="1:19" ht="27" x14ac:dyDescent="0.4">
      <c r="A268" s="65"/>
      <c r="B268" s="65"/>
      <c r="C268" s="66"/>
      <c r="D268" s="66"/>
      <c r="E268" s="67"/>
      <c r="F268" s="68"/>
      <c r="G268" s="68"/>
      <c r="H268" s="66"/>
      <c r="I268" s="67"/>
      <c r="J268" s="67"/>
      <c r="K268" s="67"/>
      <c r="L268" s="66"/>
      <c r="M268" s="68"/>
      <c r="N268" s="66"/>
      <c r="O268" s="69"/>
      <c r="P268" s="67"/>
      <c r="Q268" s="66"/>
      <c r="R268" s="65"/>
      <c r="S268" s="70"/>
    </row>
    <row r="269" spans="1:19" ht="27" x14ac:dyDescent="0.4">
      <c r="A269" s="65"/>
      <c r="B269" s="65"/>
      <c r="C269" s="66"/>
      <c r="D269" s="66"/>
      <c r="E269" s="67"/>
      <c r="F269" s="68"/>
      <c r="G269" s="68"/>
      <c r="H269" s="66"/>
      <c r="I269" s="67"/>
      <c r="J269" s="67"/>
      <c r="K269" s="67"/>
      <c r="L269" s="66"/>
      <c r="M269" s="68"/>
      <c r="N269" s="66"/>
      <c r="O269" s="69"/>
      <c r="P269" s="67"/>
      <c r="Q269" s="66"/>
      <c r="R269" s="65"/>
      <c r="S269" s="70"/>
    </row>
    <row r="270" spans="1:19" ht="27" x14ac:dyDescent="0.4">
      <c r="A270" s="65"/>
      <c r="B270" s="65"/>
      <c r="C270" s="66"/>
      <c r="D270" s="66"/>
      <c r="E270" s="67"/>
      <c r="F270" s="68"/>
      <c r="G270" s="68"/>
      <c r="H270" s="66"/>
      <c r="I270" s="67"/>
      <c r="J270" s="67"/>
      <c r="K270" s="67"/>
      <c r="L270" s="66"/>
      <c r="M270" s="68"/>
      <c r="N270" s="66"/>
      <c r="O270" s="69"/>
      <c r="P270" s="67"/>
      <c r="Q270" s="66"/>
      <c r="R270" s="65"/>
      <c r="S270" s="68"/>
    </row>
    <row r="271" spans="1:19" ht="27" x14ac:dyDescent="0.4">
      <c r="A271" s="65"/>
      <c r="B271" s="65"/>
      <c r="C271" s="66"/>
      <c r="D271" s="66"/>
      <c r="E271" s="67"/>
      <c r="F271" s="68"/>
      <c r="G271" s="68"/>
      <c r="H271" s="66"/>
      <c r="I271" s="67"/>
      <c r="J271" s="67"/>
      <c r="K271" s="67"/>
      <c r="L271" s="66"/>
      <c r="M271" s="68"/>
      <c r="N271" s="66"/>
      <c r="O271" s="69"/>
      <c r="P271" s="67"/>
      <c r="Q271" s="66"/>
      <c r="R271" s="65"/>
      <c r="S271" s="68"/>
    </row>
    <row r="272" spans="1:19" ht="27" x14ac:dyDescent="0.4">
      <c r="A272" s="65"/>
      <c r="B272" s="65"/>
      <c r="C272" s="66"/>
      <c r="D272" s="66"/>
      <c r="E272" s="67"/>
      <c r="F272" s="68"/>
      <c r="G272" s="68"/>
      <c r="H272" s="66"/>
      <c r="I272" s="67"/>
      <c r="J272" s="67"/>
      <c r="K272" s="67"/>
      <c r="L272" s="66"/>
      <c r="M272" s="68"/>
      <c r="N272" s="66"/>
      <c r="O272" s="69"/>
      <c r="P272" s="67"/>
      <c r="Q272" s="66"/>
      <c r="R272" s="65"/>
      <c r="S272" s="68"/>
    </row>
    <row r="273" spans="1:19" ht="27" x14ac:dyDescent="0.4">
      <c r="A273" s="65"/>
      <c r="B273" s="65"/>
      <c r="C273" s="66"/>
      <c r="D273" s="66"/>
      <c r="E273" s="67"/>
      <c r="F273" s="68"/>
      <c r="G273" s="68"/>
      <c r="H273" s="66"/>
      <c r="I273" s="67"/>
      <c r="J273" s="67"/>
      <c r="K273" s="67"/>
      <c r="L273" s="66"/>
      <c r="M273" s="68"/>
      <c r="N273" s="66"/>
      <c r="O273" s="69"/>
      <c r="P273" s="67"/>
      <c r="Q273" s="66"/>
      <c r="R273" s="65"/>
      <c r="S273" s="68"/>
    </row>
    <row r="274" spans="1:19" ht="27" x14ac:dyDescent="0.4">
      <c r="A274" s="65"/>
      <c r="B274" s="65"/>
      <c r="C274" s="66"/>
      <c r="D274" s="66"/>
      <c r="E274" s="67"/>
      <c r="F274" s="68"/>
      <c r="G274" s="68"/>
      <c r="H274" s="66"/>
      <c r="I274" s="67"/>
      <c r="J274" s="67"/>
      <c r="K274" s="67"/>
      <c r="L274" s="66"/>
      <c r="M274" s="68"/>
      <c r="N274" s="66"/>
      <c r="O274" s="69"/>
      <c r="P274" s="67"/>
      <c r="Q274" s="66"/>
      <c r="R274" s="65"/>
      <c r="S274" s="68"/>
    </row>
    <row r="275" spans="1:19" ht="27" x14ac:dyDescent="0.4">
      <c r="A275" s="65"/>
      <c r="B275" s="65"/>
      <c r="C275" s="66"/>
      <c r="D275" s="66"/>
      <c r="E275" s="67"/>
      <c r="F275" s="68"/>
      <c r="G275" s="68"/>
      <c r="H275" s="66"/>
      <c r="I275" s="67"/>
      <c r="J275" s="67"/>
      <c r="K275" s="67"/>
      <c r="L275" s="66"/>
      <c r="M275" s="68"/>
      <c r="N275" s="66"/>
      <c r="O275" s="69"/>
      <c r="P275" s="67"/>
      <c r="Q275" s="66"/>
      <c r="R275" s="65"/>
      <c r="S275" s="68"/>
    </row>
    <row r="276" spans="1:19" ht="27" x14ac:dyDescent="0.4">
      <c r="A276" s="65"/>
      <c r="B276" s="65"/>
      <c r="C276" s="66"/>
      <c r="D276" s="66"/>
      <c r="E276" s="67"/>
      <c r="F276" s="68"/>
      <c r="G276" s="68"/>
      <c r="H276" s="66"/>
      <c r="I276" s="67"/>
      <c r="J276" s="67"/>
      <c r="K276" s="67"/>
      <c r="L276" s="66"/>
      <c r="M276" s="68"/>
      <c r="N276" s="66"/>
      <c r="O276" s="69"/>
      <c r="P276" s="67"/>
      <c r="Q276" s="66"/>
      <c r="R276" s="65"/>
      <c r="S276" s="68"/>
    </row>
    <row r="277" spans="1:19" ht="27" x14ac:dyDescent="0.4">
      <c r="A277" s="65"/>
      <c r="B277" s="65"/>
      <c r="C277" s="66"/>
      <c r="D277" s="66"/>
      <c r="E277" s="67"/>
      <c r="F277" s="68"/>
      <c r="G277" s="68"/>
      <c r="H277" s="66"/>
      <c r="I277" s="67"/>
      <c r="J277" s="67"/>
      <c r="K277" s="67"/>
      <c r="L277" s="66"/>
      <c r="M277" s="68"/>
      <c r="N277" s="66"/>
      <c r="O277" s="69"/>
      <c r="P277" s="67"/>
      <c r="Q277" s="66"/>
      <c r="R277" s="65"/>
      <c r="S277" s="68"/>
    </row>
    <row r="278" spans="1:19" ht="27" x14ac:dyDescent="0.4">
      <c r="A278" s="65"/>
      <c r="B278" s="65"/>
      <c r="C278" s="66"/>
      <c r="D278" s="66"/>
      <c r="E278" s="67"/>
      <c r="F278" s="68"/>
      <c r="G278" s="68"/>
      <c r="H278" s="66"/>
      <c r="I278" s="67"/>
      <c r="J278" s="67"/>
      <c r="K278" s="67"/>
      <c r="L278" s="66"/>
      <c r="M278" s="68"/>
      <c r="N278" s="66"/>
      <c r="O278" s="69"/>
      <c r="P278" s="67"/>
      <c r="Q278" s="66"/>
      <c r="R278" s="65"/>
      <c r="S278" s="68"/>
    </row>
    <row r="279" spans="1:19" ht="27" x14ac:dyDescent="0.4">
      <c r="A279" s="65"/>
      <c r="B279" s="65"/>
      <c r="C279" s="66"/>
      <c r="D279" s="66"/>
      <c r="E279" s="67"/>
      <c r="F279" s="68"/>
      <c r="G279" s="68"/>
      <c r="H279" s="66"/>
      <c r="I279" s="67"/>
      <c r="J279" s="67"/>
      <c r="K279" s="67"/>
      <c r="L279" s="66"/>
      <c r="M279" s="68"/>
      <c r="N279" s="66"/>
      <c r="O279" s="69"/>
      <c r="P279" s="67"/>
      <c r="Q279" s="66"/>
      <c r="R279" s="65"/>
      <c r="S279" s="68"/>
    </row>
    <row r="280" spans="1:19" ht="27" x14ac:dyDescent="0.4">
      <c r="A280" s="65"/>
      <c r="B280" s="65"/>
      <c r="C280" s="66"/>
      <c r="D280" s="66"/>
      <c r="E280" s="67"/>
      <c r="F280" s="68"/>
      <c r="G280" s="68"/>
      <c r="H280" s="66"/>
      <c r="I280" s="67"/>
      <c r="J280" s="67"/>
      <c r="K280" s="67"/>
      <c r="L280" s="66"/>
      <c r="M280" s="68"/>
      <c r="N280" s="66"/>
      <c r="O280" s="69"/>
      <c r="P280" s="67"/>
      <c r="Q280" s="66"/>
      <c r="R280" s="65"/>
      <c r="S280" s="68"/>
    </row>
    <row r="281" spans="1:19" ht="27" x14ac:dyDescent="0.4">
      <c r="A281" s="65"/>
      <c r="B281" s="65"/>
      <c r="C281" s="66"/>
      <c r="D281" s="66"/>
      <c r="E281" s="67"/>
      <c r="F281" s="68"/>
      <c r="G281" s="68"/>
      <c r="H281" s="66"/>
      <c r="I281" s="67"/>
      <c r="J281" s="67"/>
      <c r="K281" s="67"/>
      <c r="L281" s="66"/>
      <c r="M281" s="68"/>
      <c r="N281" s="66"/>
      <c r="O281" s="69"/>
      <c r="P281" s="67"/>
      <c r="Q281" s="66"/>
      <c r="R281" s="65"/>
      <c r="S281" s="68"/>
    </row>
    <row r="282" spans="1:19" ht="27" x14ac:dyDescent="0.4">
      <c r="A282" s="65"/>
      <c r="B282" s="65"/>
      <c r="C282" s="66"/>
      <c r="D282" s="66"/>
      <c r="E282" s="67"/>
      <c r="F282" s="68"/>
      <c r="G282" s="68"/>
      <c r="H282" s="66"/>
      <c r="I282" s="67"/>
      <c r="J282" s="67"/>
      <c r="K282" s="67"/>
      <c r="L282" s="66"/>
      <c r="M282" s="68"/>
      <c r="N282" s="66"/>
      <c r="O282" s="69"/>
      <c r="P282" s="67"/>
      <c r="Q282" s="66"/>
      <c r="R282" s="65"/>
      <c r="S282" s="68"/>
    </row>
    <row r="283" spans="1:19" ht="27" x14ac:dyDescent="0.4">
      <c r="A283" s="65"/>
      <c r="B283" s="65"/>
      <c r="C283" s="66"/>
      <c r="D283" s="66"/>
      <c r="E283" s="67"/>
      <c r="F283" s="68"/>
      <c r="G283" s="68"/>
      <c r="H283" s="66"/>
      <c r="I283" s="67"/>
      <c r="J283" s="67"/>
      <c r="K283" s="67"/>
      <c r="L283" s="66"/>
      <c r="M283" s="68"/>
      <c r="N283" s="66"/>
      <c r="O283" s="69"/>
      <c r="P283" s="67"/>
      <c r="Q283" s="66"/>
      <c r="R283" s="65"/>
      <c r="S283" s="68"/>
    </row>
    <row r="284" spans="1:19" ht="27" x14ac:dyDescent="0.4">
      <c r="A284" s="65"/>
      <c r="B284" s="65"/>
      <c r="C284" s="66"/>
      <c r="D284" s="66"/>
      <c r="E284" s="67"/>
      <c r="F284" s="68"/>
      <c r="G284" s="68"/>
      <c r="H284" s="66"/>
      <c r="I284" s="67"/>
      <c r="J284" s="67"/>
      <c r="K284" s="67"/>
      <c r="L284" s="66"/>
      <c r="M284" s="68"/>
      <c r="N284" s="66"/>
      <c r="O284" s="69"/>
      <c r="P284" s="67"/>
      <c r="Q284" s="66"/>
      <c r="R284" s="65"/>
      <c r="S284" s="68"/>
    </row>
    <row r="285" spans="1:19" ht="27" x14ac:dyDescent="0.4">
      <c r="A285" s="65"/>
      <c r="B285" s="65"/>
      <c r="C285" s="66"/>
      <c r="D285" s="66"/>
      <c r="E285" s="67"/>
      <c r="F285" s="68"/>
      <c r="G285" s="68"/>
      <c r="H285" s="66"/>
      <c r="I285" s="67"/>
      <c r="J285" s="67"/>
      <c r="K285" s="67"/>
      <c r="L285" s="66"/>
      <c r="M285" s="68"/>
      <c r="N285" s="66"/>
      <c r="O285" s="69"/>
      <c r="P285" s="67"/>
      <c r="Q285" s="66"/>
      <c r="R285" s="65"/>
      <c r="S285" s="68"/>
    </row>
    <row r="286" spans="1:19" ht="27" x14ac:dyDescent="0.4">
      <c r="A286" s="65"/>
      <c r="B286" s="65"/>
      <c r="C286" s="66"/>
      <c r="D286" s="66"/>
      <c r="E286" s="67"/>
      <c r="F286" s="68"/>
      <c r="G286" s="68"/>
      <c r="H286" s="66"/>
      <c r="I286" s="67"/>
      <c r="J286" s="67"/>
      <c r="K286" s="67"/>
      <c r="L286" s="66"/>
      <c r="M286" s="68"/>
      <c r="N286" s="66"/>
      <c r="O286" s="69"/>
      <c r="P286" s="67"/>
      <c r="Q286" s="66"/>
      <c r="R286" s="65"/>
      <c r="S286" s="68"/>
    </row>
    <row r="287" spans="1:19" ht="27" x14ac:dyDescent="0.4">
      <c r="A287" s="65"/>
      <c r="B287" s="65"/>
      <c r="C287" s="66"/>
      <c r="D287" s="66"/>
      <c r="E287" s="67"/>
      <c r="F287" s="68"/>
      <c r="G287" s="68"/>
      <c r="H287" s="66"/>
      <c r="I287" s="67"/>
      <c r="J287" s="67"/>
      <c r="K287" s="67"/>
      <c r="L287" s="66"/>
      <c r="M287" s="68"/>
      <c r="N287" s="66"/>
      <c r="O287" s="69"/>
      <c r="P287" s="67"/>
      <c r="Q287" s="66"/>
      <c r="R287" s="65"/>
      <c r="S287" s="68"/>
    </row>
    <row r="288" spans="1:19" ht="27" x14ac:dyDescent="0.4">
      <c r="A288" s="65"/>
      <c r="B288" s="65"/>
      <c r="C288" s="66"/>
      <c r="D288" s="66"/>
      <c r="E288" s="67"/>
      <c r="F288" s="68"/>
      <c r="G288" s="68"/>
      <c r="H288" s="66"/>
      <c r="I288" s="67"/>
      <c r="J288" s="67"/>
      <c r="K288" s="67"/>
      <c r="L288" s="66"/>
      <c r="M288" s="68"/>
      <c r="N288" s="66"/>
      <c r="O288" s="69"/>
      <c r="P288" s="67"/>
      <c r="Q288" s="66"/>
      <c r="R288" s="65"/>
      <c r="S288" s="68"/>
    </row>
    <row r="289" spans="1:19" ht="27" x14ac:dyDescent="0.4">
      <c r="A289" s="65"/>
      <c r="B289" s="65"/>
      <c r="C289" s="66"/>
      <c r="D289" s="65"/>
      <c r="E289" s="67"/>
      <c r="F289" s="68"/>
      <c r="G289" s="68"/>
      <c r="H289" s="66"/>
      <c r="I289" s="67"/>
      <c r="J289" s="67"/>
      <c r="K289" s="67"/>
      <c r="L289" s="66"/>
      <c r="M289" s="68"/>
      <c r="N289" s="66"/>
      <c r="O289" s="69"/>
      <c r="P289" s="67"/>
      <c r="Q289" s="66"/>
      <c r="R289" s="65"/>
      <c r="S289" s="68"/>
    </row>
    <row r="290" spans="1:19" ht="27" x14ac:dyDescent="0.4">
      <c r="A290" s="65"/>
      <c r="B290" s="65"/>
      <c r="C290" s="66"/>
      <c r="D290" s="66"/>
      <c r="E290" s="67"/>
      <c r="F290" s="68"/>
      <c r="G290" s="68"/>
      <c r="H290" s="66"/>
      <c r="I290" s="67"/>
      <c r="J290" s="67"/>
      <c r="K290" s="67"/>
      <c r="L290" s="66"/>
      <c r="M290" s="68"/>
      <c r="N290" s="66"/>
      <c r="O290" s="69"/>
      <c r="P290" s="67"/>
      <c r="Q290" s="66"/>
      <c r="R290" s="65"/>
      <c r="S290" s="68"/>
    </row>
    <row r="291" spans="1:19" ht="27" x14ac:dyDescent="0.4">
      <c r="A291" s="65"/>
      <c r="B291" s="65"/>
      <c r="C291" s="66"/>
      <c r="D291" s="66"/>
      <c r="E291" s="67"/>
      <c r="F291" s="68"/>
      <c r="G291" s="68"/>
      <c r="H291" s="66"/>
      <c r="I291" s="67"/>
      <c r="J291" s="67"/>
      <c r="K291" s="67"/>
      <c r="L291" s="66"/>
      <c r="M291" s="68"/>
      <c r="N291" s="66"/>
      <c r="O291" s="69"/>
      <c r="P291" s="67"/>
      <c r="Q291" s="66"/>
      <c r="R291" s="65"/>
      <c r="S291" s="68"/>
    </row>
    <row r="292" spans="1:19" ht="27" x14ac:dyDescent="0.4">
      <c r="A292" s="65"/>
      <c r="B292" s="65"/>
      <c r="C292" s="66"/>
      <c r="D292" s="66"/>
      <c r="E292" s="67"/>
      <c r="F292" s="68"/>
      <c r="G292" s="68"/>
      <c r="H292" s="66"/>
      <c r="I292" s="67"/>
      <c r="J292" s="67"/>
      <c r="K292" s="67"/>
      <c r="L292" s="66"/>
      <c r="M292" s="68"/>
      <c r="N292" s="66"/>
      <c r="O292" s="69"/>
      <c r="P292" s="67"/>
      <c r="Q292" s="66"/>
      <c r="R292" s="65"/>
      <c r="S292" s="68"/>
    </row>
    <row r="293" spans="1:19" ht="27" x14ac:dyDescent="0.4">
      <c r="A293" s="65"/>
      <c r="B293" s="65"/>
      <c r="C293" s="66"/>
      <c r="D293" s="66"/>
      <c r="E293" s="67"/>
      <c r="F293" s="68"/>
      <c r="G293" s="68"/>
      <c r="H293" s="66"/>
      <c r="I293" s="67"/>
      <c r="J293" s="67"/>
      <c r="K293" s="67"/>
      <c r="L293" s="66"/>
      <c r="M293" s="68"/>
      <c r="N293" s="66"/>
      <c r="O293" s="69"/>
      <c r="P293" s="67"/>
      <c r="Q293" s="66"/>
      <c r="R293" s="65"/>
      <c r="S293" s="68"/>
    </row>
    <row r="294" spans="1:19" ht="27" x14ac:dyDescent="0.4">
      <c r="A294" s="65"/>
      <c r="B294" s="65"/>
      <c r="C294" s="66"/>
      <c r="D294" s="66"/>
      <c r="E294" s="67"/>
      <c r="F294" s="68"/>
      <c r="G294" s="68"/>
      <c r="H294" s="66"/>
      <c r="I294" s="67"/>
      <c r="J294" s="67"/>
      <c r="K294" s="67"/>
      <c r="L294" s="66"/>
      <c r="M294" s="68"/>
      <c r="N294" s="66"/>
      <c r="O294" s="69"/>
      <c r="P294" s="67"/>
      <c r="Q294" s="66"/>
      <c r="R294" s="65"/>
      <c r="S294" s="68"/>
    </row>
    <row r="295" spans="1:19" ht="27" x14ac:dyDescent="0.4">
      <c r="A295" s="65"/>
      <c r="B295" s="65"/>
      <c r="C295" s="66"/>
      <c r="D295" s="66"/>
      <c r="E295" s="67"/>
      <c r="F295" s="68"/>
      <c r="G295" s="68"/>
      <c r="H295" s="66"/>
      <c r="I295" s="67"/>
      <c r="J295" s="67"/>
      <c r="K295" s="67"/>
      <c r="L295" s="66"/>
      <c r="M295" s="68"/>
      <c r="N295" s="66"/>
      <c r="O295" s="69"/>
      <c r="P295" s="67"/>
      <c r="Q295" s="66"/>
      <c r="R295" s="65"/>
      <c r="S295" s="68"/>
    </row>
    <row r="296" spans="1:19" ht="27" x14ac:dyDescent="0.4">
      <c r="A296" s="65"/>
      <c r="B296" s="65"/>
      <c r="C296" s="66"/>
      <c r="D296" s="66"/>
      <c r="E296" s="67"/>
      <c r="F296" s="68"/>
      <c r="G296" s="68"/>
      <c r="H296" s="66"/>
      <c r="I296" s="67"/>
      <c r="J296" s="67"/>
      <c r="K296" s="67"/>
      <c r="L296" s="66"/>
      <c r="M296" s="68"/>
      <c r="N296" s="66"/>
      <c r="O296" s="69"/>
      <c r="P296" s="67"/>
      <c r="Q296" s="66"/>
      <c r="R296" s="65"/>
      <c r="S296" s="68"/>
    </row>
    <row r="297" spans="1:19" ht="27" x14ac:dyDescent="0.4">
      <c r="A297" s="65"/>
      <c r="B297" s="65"/>
      <c r="C297" s="66"/>
      <c r="D297" s="66"/>
      <c r="E297" s="67"/>
      <c r="F297" s="68"/>
      <c r="G297" s="68"/>
      <c r="H297" s="66"/>
      <c r="I297" s="67"/>
      <c r="J297" s="67"/>
      <c r="K297" s="67"/>
      <c r="L297" s="66"/>
      <c r="M297" s="68"/>
      <c r="N297" s="66"/>
      <c r="O297" s="69"/>
      <c r="P297" s="67"/>
      <c r="Q297" s="66"/>
      <c r="R297" s="65"/>
      <c r="S297" s="68"/>
    </row>
    <row r="298" spans="1:19" ht="27" x14ac:dyDescent="0.4">
      <c r="A298" s="65"/>
      <c r="B298" s="65"/>
      <c r="C298" s="66"/>
      <c r="D298" s="66"/>
      <c r="E298" s="67"/>
      <c r="F298" s="68"/>
      <c r="G298" s="68"/>
      <c r="H298" s="66"/>
      <c r="I298" s="67"/>
      <c r="J298" s="67"/>
      <c r="K298" s="67"/>
      <c r="L298" s="66"/>
      <c r="M298" s="68"/>
      <c r="N298" s="66"/>
      <c r="O298" s="69"/>
      <c r="P298" s="67"/>
      <c r="Q298" s="66"/>
      <c r="R298" s="65"/>
      <c r="S298" s="68"/>
    </row>
    <row r="299" spans="1:19" ht="27" x14ac:dyDescent="0.4">
      <c r="A299" s="65"/>
      <c r="B299" s="65"/>
      <c r="C299" s="66"/>
      <c r="D299" s="66"/>
      <c r="E299" s="67"/>
      <c r="F299" s="68"/>
      <c r="G299" s="68"/>
      <c r="H299" s="66"/>
      <c r="I299" s="67"/>
      <c r="J299" s="67"/>
      <c r="K299" s="67"/>
      <c r="L299" s="66"/>
      <c r="M299" s="68"/>
      <c r="N299" s="66"/>
      <c r="O299" s="69"/>
      <c r="P299" s="67"/>
      <c r="Q299" s="66"/>
      <c r="R299" s="65"/>
      <c r="S299" s="68"/>
    </row>
    <row r="300" spans="1:19" ht="27" x14ac:dyDescent="0.4">
      <c r="A300" s="65"/>
      <c r="B300" s="65"/>
      <c r="C300" s="66"/>
      <c r="D300" s="66"/>
      <c r="E300" s="67"/>
      <c r="F300" s="68"/>
      <c r="G300" s="68"/>
      <c r="H300" s="66"/>
      <c r="I300" s="67"/>
      <c r="J300" s="67"/>
      <c r="K300" s="67"/>
      <c r="L300" s="66"/>
      <c r="M300" s="68"/>
      <c r="N300" s="66"/>
      <c r="O300" s="69"/>
      <c r="P300" s="67"/>
      <c r="Q300" s="66"/>
      <c r="R300" s="65"/>
      <c r="S300" s="68"/>
    </row>
    <row r="301" spans="1:19" ht="27" x14ac:dyDescent="0.4">
      <c r="A301" s="65"/>
      <c r="B301" s="65"/>
      <c r="C301" s="66"/>
      <c r="D301" s="66"/>
      <c r="E301" s="67"/>
      <c r="F301" s="68"/>
      <c r="G301" s="68"/>
      <c r="H301" s="66"/>
      <c r="I301" s="67"/>
      <c r="J301" s="67"/>
      <c r="K301" s="67"/>
      <c r="L301" s="66"/>
      <c r="M301" s="68"/>
      <c r="N301" s="66"/>
      <c r="O301" s="69"/>
      <c r="P301" s="67"/>
      <c r="Q301" s="66"/>
      <c r="R301" s="65"/>
      <c r="S301" s="68"/>
    </row>
    <row r="302" spans="1:19" ht="27" x14ac:dyDescent="0.4">
      <c r="A302" s="65"/>
      <c r="B302" s="65"/>
      <c r="C302" s="66"/>
      <c r="D302" s="66"/>
      <c r="E302" s="67"/>
      <c r="F302" s="68"/>
      <c r="G302" s="68"/>
      <c r="H302" s="66"/>
      <c r="I302" s="67"/>
      <c r="J302" s="67"/>
      <c r="K302" s="67"/>
      <c r="L302" s="66"/>
      <c r="M302" s="68"/>
      <c r="N302" s="66"/>
      <c r="O302" s="69"/>
      <c r="P302" s="67"/>
      <c r="Q302" s="66"/>
      <c r="R302" s="65"/>
      <c r="S302" s="68"/>
    </row>
    <row r="303" spans="1:19" ht="27" x14ac:dyDescent="0.4">
      <c r="A303" s="65"/>
      <c r="B303" s="65"/>
      <c r="C303" s="66"/>
      <c r="D303" s="66"/>
      <c r="E303" s="67"/>
      <c r="F303" s="68"/>
      <c r="G303" s="68"/>
      <c r="H303" s="66"/>
      <c r="I303" s="67"/>
      <c r="J303" s="67"/>
      <c r="K303" s="67"/>
      <c r="L303" s="66"/>
      <c r="M303" s="68"/>
      <c r="N303" s="66"/>
      <c r="O303" s="69"/>
      <c r="P303" s="67"/>
      <c r="Q303" s="66"/>
      <c r="R303" s="65"/>
      <c r="S303" s="68"/>
    </row>
    <row r="304" spans="1:19" ht="27" x14ac:dyDescent="0.4">
      <c r="A304" s="65"/>
      <c r="B304" s="65"/>
      <c r="C304" s="66"/>
      <c r="D304" s="66"/>
      <c r="E304" s="67"/>
      <c r="F304" s="68"/>
      <c r="G304" s="68"/>
      <c r="H304" s="66"/>
      <c r="I304" s="67"/>
      <c r="J304" s="67"/>
      <c r="K304" s="67"/>
      <c r="L304" s="66"/>
      <c r="M304" s="68"/>
      <c r="N304" s="66"/>
      <c r="O304" s="69"/>
      <c r="P304" s="67"/>
      <c r="Q304" s="66"/>
      <c r="R304" s="65"/>
      <c r="S304" s="68"/>
    </row>
    <row r="305" spans="1:19" ht="27" x14ac:dyDescent="0.4">
      <c r="A305" s="65"/>
      <c r="B305" s="65"/>
      <c r="C305" s="66"/>
      <c r="D305" s="66"/>
      <c r="E305" s="67"/>
      <c r="F305" s="68"/>
      <c r="G305" s="68"/>
      <c r="H305" s="66"/>
      <c r="I305" s="67"/>
      <c r="J305" s="67"/>
      <c r="K305" s="67"/>
      <c r="L305" s="66"/>
      <c r="M305" s="68"/>
      <c r="N305" s="66"/>
      <c r="O305" s="69"/>
      <c r="P305" s="67"/>
      <c r="Q305" s="66"/>
      <c r="R305" s="65"/>
      <c r="S305" s="68"/>
    </row>
    <row r="306" spans="1:19" ht="27" x14ac:dyDescent="0.4">
      <c r="A306" s="65"/>
      <c r="B306" s="65"/>
      <c r="C306" s="66"/>
      <c r="D306" s="66"/>
      <c r="E306" s="67"/>
      <c r="F306" s="68"/>
      <c r="G306" s="68"/>
      <c r="H306" s="66"/>
      <c r="I306" s="67"/>
      <c r="J306" s="67"/>
      <c r="K306" s="67"/>
      <c r="L306" s="66"/>
      <c r="M306" s="68"/>
      <c r="N306" s="66"/>
      <c r="O306" s="69"/>
      <c r="P306" s="67"/>
      <c r="Q306" s="66"/>
      <c r="R306" s="65"/>
      <c r="S306" s="68"/>
    </row>
    <row r="307" spans="1:19" ht="27" x14ac:dyDescent="0.4">
      <c r="A307" s="65"/>
      <c r="B307" s="65"/>
      <c r="C307" s="66"/>
      <c r="D307" s="66"/>
      <c r="E307" s="67"/>
      <c r="F307" s="68"/>
      <c r="G307" s="68"/>
      <c r="H307" s="66"/>
      <c r="I307" s="67"/>
      <c r="J307" s="67"/>
      <c r="K307" s="67"/>
      <c r="L307" s="66"/>
      <c r="M307" s="68"/>
      <c r="N307" s="66"/>
      <c r="O307" s="69"/>
      <c r="P307" s="67"/>
      <c r="Q307" s="66"/>
      <c r="R307" s="65"/>
      <c r="S307" s="68"/>
    </row>
    <row r="308" spans="1:19" ht="27" x14ac:dyDescent="0.4">
      <c r="A308" s="65"/>
      <c r="B308" s="65"/>
      <c r="C308" s="66"/>
      <c r="D308" s="66"/>
      <c r="E308" s="67"/>
      <c r="F308" s="68"/>
      <c r="G308" s="68"/>
      <c r="H308" s="66"/>
      <c r="I308" s="67"/>
      <c r="J308" s="67"/>
      <c r="K308" s="67"/>
      <c r="L308" s="66"/>
      <c r="M308" s="68"/>
      <c r="N308" s="66"/>
      <c r="O308" s="69"/>
      <c r="P308" s="67"/>
      <c r="Q308" s="66"/>
      <c r="R308" s="65"/>
      <c r="S308" s="68"/>
    </row>
    <row r="309" spans="1:19" ht="27" x14ac:dyDescent="0.4">
      <c r="A309" s="65"/>
      <c r="B309" s="65"/>
      <c r="C309" s="66"/>
      <c r="D309" s="66"/>
      <c r="E309" s="67"/>
      <c r="F309" s="68"/>
      <c r="G309" s="68"/>
      <c r="H309" s="66"/>
      <c r="I309" s="67"/>
      <c r="J309" s="67"/>
      <c r="K309" s="67"/>
      <c r="L309" s="66"/>
      <c r="M309" s="68"/>
      <c r="N309" s="66"/>
      <c r="O309" s="69"/>
      <c r="P309" s="67"/>
      <c r="Q309" s="66"/>
      <c r="R309" s="65"/>
      <c r="S309" s="68"/>
    </row>
    <row r="310" spans="1:19" ht="27" x14ac:dyDescent="0.4">
      <c r="A310" s="65"/>
      <c r="B310" s="65"/>
      <c r="C310" s="66"/>
      <c r="D310" s="66"/>
      <c r="E310" s="67"/>
      <c r="F310" s="68"/>
      <c r="G310" s="68"/>
      <c r="H310" s="66"/>
      <c r="I310" s="67"/>
      <c r="J310" s="67"/>
      <c r="K310" s="67"/>
      <c r="L310" s="66"/>
      <c r="M310" s="68"/>
      <c r="N310" s="66"/>
      <c r="O310" s="69"/>
      <c r="P310" s="67"/>
      <c r="Q310" s="66"/>
      <c r="R310" s="65"/>
      <c r="S310" s="68"/>
    </row>
    <row r="311" spans="1:19" ht="27" x14ac:dyDescent="0.4">
      <c r="A311" s="65"/>
      <c r="B311" s="65"/>
      <c r="C311" s="66"/>
      <c r="D311" s="66"/>
      <c r="E311" s="67"/>
      <c r="F311" s="68"/>
      <c r="G311" s="68"/>
      <c r="H311" s="66"/>
      <c r="I311" s="67"/>
      <c r="J311" s="67"/>
      <c r="K311" s="67"/>
      <c r="L311" s="66"/>
      <c r="M311" s="68"/>
      <c r="N311" s="66"/>
      <c r="O311" s="69"/>
      <c r="P311" s="67"/>
      <c r="Q311" s="66"/>
      <c r="R311" s="65"/>
      <c r="S311" s="68"/>
    </row>
    <row r="312" spans="1:19" ht="27" x14ac:dyDescent="0.4">
      <c r="A312" s="65"/>
      <c r="B312" s="65"/>
      <c r="C312" s="66"/>
      <c r="D312" s="66"/>
      <c r="E312" s="67"/>
      <c r="F312" s="68"/>
      <c r="G312" s="68"/>
      <c r="H312" s="66"/>
      <c r="I312" s="67"/>
      <c r="J312" s="67"/>
      <c r="K312" s="67"/>
      <c r="L312" s="66"/>
      <c r="M312" s="68"/>
      <c r="N312" s="66"/>
      <c r="O312" s="69"/>
      <c r="P312" s="67"/>
      <c r="Q312" s="66"/>
      <c r="R312" s="65"/>
      <c r="S312" s="68"/>
    </row>
    <row r="313" spans="1:19" ht="27" x14ac:dyDescent="0.4">
      <c r="A313" s="65"/>
      <c r="B313" s="65"/>
      <c r="C313" s="66"/>
      <c r="D313" s="66"/>
      <c r="E313" s="67"/>
      <c r="F313" s="68"/>
      <c r="G313" s="68"/>
      <c r="H313" s="66"/>
      <c r="I313" s="67"/>
      <c r="J313" s="67"/>
      <c r="K313" s="67"/>
      <c r="L313" s="66"/>
      <c r="M313" s="68"/>
      <c r="N313" s="66"/>
      <c r="O313" s="69"/>
      <c r="P313" s="67"/>
      <c r="Q313" s="66"/>
      <c r="R313" s="65"/>
      <c r="S313" s="68"/>
    </row>
    <row r="314" spans="1:19" ht="27" x14ac:dyDescent="0.4">
      <c r="A314" s="65"/>
      <c r="B314" s="65"/>
      <c r="C314" s="66"/>
      <c r="D314" s="66"/>
      <c r="E314" s="67"/>
      <c r="F314" s="68"/>
      <c r="G314" s="68"/>
      <c r="H314" s="66"/>
      <c r="I314" s="67"/>
      <c r="J314" s="67"/>
      <c r="K314" s="67"/>
      <c r="L314" s="66"/>
      <c r="M314" s="68"/>
      <c r="N314" s="66"/>
      <c r="O314" s="69"/>
      <c r="P314" s="67"/>
      <c r="Q314" s="66"/>
      <c r="R314" s="65"/>
      <c r="S314" s="68"/>
    </row>
    <row r="315" spans="1:19" ht="27" x14ac:dyDescent="0.4">
      <c r="A315" s="65"/>
      <c r="B315" s="65"/>
      <c r="C315" s="66"/>
      <c r="D315" s="66"/>
      <c r="E315" s="67"/>
      <c r="F315" s="68"/>
      <c r="G315" s="68"/>
      <c r="H315" s="66"/>
      <c r="I315" s="67"/>
      <c r="J315" s="67"/>
      <c r="K315" s="67"/>
      <c r="L315" s="66"/>
      <c r="M315" s="68"/>
      <c r="N315" s="66"/>
      <c r="O315" s="69"/>
      <c r="P315" s="67"/>
      <c r="Q315" s="66"/>
      <c r="R315" s="65"/>
      <c r="S315" s="68"/>
    </row>
    <row r="316" spans="1:19" ht="27" x14ac:dyDescent="0.4">
      <c r="A316" s="65"/>
      <c r="B316" s="65"/>
      <c r="C316" s="66"/>
      <c r="D316" s="66"/>
      <c r="E316" s="67"/>
      <c r="F316" s="68"/>
      <c r="G316" s="68"/>
      <c r="H316" s="66"/>
      <c r="I316" s="67"/>
      <c r="J316" s="67"/>
      <c r="K316" s="67"/>
      <c r="L316" s="66"/>
      <c r="M316" s="68"/>
      <c r="N316" s="66"/>
      <c r="O316" s="69"/>
      <c r="P316" s="67"/>
      <c r="Q316" s="66"/>
      <c r="R316" s="65"/>
      <c r="S316" s="68"/>
    </row>
    <row r="317" spans="1:19" ht="27" x14ac:dyDescent="0.4">
      <c r="A317" s="65"/>
      <c r="B317" s="65"/>
      <c r="C317" s="66"/>
      <c r="D317" s="66"/>
      <c r="E317" s="67"/>
      <c r="F317" s="68"/>
      <c r="G317" s="68"/>
      <c r="H317" s="66"/>
      <c r="I317" s="67"/>
      <c r="J317" s="67"/>
      <c r="K317" s="67"/>
      <c r="L317" s="66"/>
      <c r="M317" s="68"/>
      <c r="N317" s="66"/>
      <c r="O317" s="69"/>
      <c r="P317" s="67"/>
      <c r="Q317" s="66"/>
      <c r="R317" s="65"/>
      <c r="S317" s="68"/>
    </row>
    <row r="318" spans="1:19" ht="27" x14ac:dyDescent="0.4">
      <c r="A318" s="65"/>
      <c r="B318" s="65"/>
      <c r="C318" s="66"/>
      <c r="D318" s="66"/>
      <c r="E318" s="67"/>
      <c r="F318" s="68"/>
      <c r="G318" s="68"/>
      <c r="H318" s="66"/>
      <c r="I318" s="67"/>
      <c r="J318" s="67"/>
      <c r="K318" s="67"/>
      <c r="L318" s="66"/>
      <c r="M318" s="68"/>
      <c r="N318" s="66"/>
      <c r="O318" s="69"/>
      <c r="P318" s="67"/>
      <c r="Q318" s="66"/>
      <c r="R318" s="65"/>
      <c r="S318" s="68"/>
    </row>
    <row r="319" spans="1:19" ht="27" x14ac:dyDescent="0.4">
      <c r="A319" s="65"/>
      <c r="B319" s="65"/>
      <c r="C319" s="66"/>
      <c r="D319" s="66"/>
      <c r="E319" s="67"/>
      <c r="F319" s="68"/>
      <c r="G319" s="68"/>
      <c r="H319" s="66"/>
      <c r="I319" s="67"/>
      <c r="J319" s="67"/>
      <c r="K319" s="67"/>
      <c r="L319" s="66"/>
      <c r="M319" s="68"/>
      <c r="N319" s="66"/>
      <c r="O319" s="69"/>
      <c r="P319" s="67"/>
      <c r="Q319" s="66"/>
      <c r="R319" s="65"/>
      <c r="S319" s="68"/>
    </row>
    <row r="320" spans="1:19" ht="27" x14ac:dyDescent="0.4">
      <c r="A320" s="65"/>
      <c r="B320" s="65"/>
      <c r="C320" s="66"/>
      <c r="D320" s="66"/>
      <c r="E320" s="67"/>
      <c r="F320" s="68"/>
      <c r="G320" s="68"/>
      <c r="H320" s="66"/>
      <c r="I320" s="67"/>
      <c r="J320" s="67"/>
      <c r="K320" s="67"/>
      <c r="L320" s="66"/>
      <c r="M320" s="68"/>
      <c r="N320" s="66"/>
      <c r="O320" s="69"/>
      <c r="P320" s="67"/>
      <c r="Q320" s="66"/>
      <c r="R320" s="65"/>
      <c r="S320" s="68"/>
    </row>
    <row r="321" spans="1:19" ht="27" x14ac:dyDescent="0.4">
      <c r="A321" s="65"/>
      <c r="B321" s="65"/>
      <c r="C321" s="66"/>
      <c r="D321" s="66"/>
      <c r="E321" s="67"/>
      <c r="F321" s="68"/>
      <c r="G321" s="68"/>
      <c r="H321" s="66"/>
      <c r="I321" s="67"/>
      <c r="J321" s="67"/>
      <c r="K321" s="67"/>
      <c r="L321" s="66"/>
      <c r="M321" s="68"/>
      <c r="N321" s="66"/>
      <c r="O321" s="69"/>
      <c r="P321" s="67"/>
      <c r="Q321" s="66"/>
      <c r="R321" s="65"/>
      <c r="S321" s="68"/>
    </row>
  </sheetData>
  <mergeCells count="11">
    <mergeCell ref="G1:G2"/>
    <mergeCell ref="H1:L1"/>
    <mergeCell ref="M1:M2"/>
    <mergeCell ref="N1:R1"/>
    <mergeCell ref="S1:S2"/>
    <mergeCell ref="A1:A2"/>
    <mergeCell ref="C1:C2"/>
    <mergeCell ref="D1:D2"/>
    <mergeCell ref="E1:E2"/>
    <mergeCell ref="F1:F2"/>
    <mergeCell ref="B1:B2"/>
  </mergeCells>
  <dataValidations count="1">
    <dataValidation type="list" allowBlank="1" showInputMessage="1" showErrorMessage="1" sqref="N3:N321" xr:uid="{03FE3AD0-CD0A-462E-803C-64532174DCAF}">
      <formula1>INDIRECT(T3)</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959D-D3AB-432B-8078-F3F42BECB54C}">
  <dimension ref="A1:XFC321"/>
  <sheetViews>
    <sheetView zoomScale="70" zoomScaleNormal="70" workbookViewId="0">
      <selection activeCell="G14" sqref="G14"/>
    </sheetView>
  </sheetViews>
  <sheetFormatPr defaultRowHeight="17.25" x14ac:dyDescent="0.4"/>
  <cols>
    <col min="1" max="2" width="6" style="1" customWidth="1"/>
    <col min="3" max="3" width="14.85546875" style="1" customWidth="1"/>
    <col min="4" max="4" width="13.7109375" style="1" customWidth="1"/>
    <col min="5" max="5" width="9.28515625" style="1" bestFit="1" customWidth="1"/>
    <col min="6" max="6" width="29.85546875" style="1" customWidth="1"/>
    <col min="7" max="7" width="26.85546875" style="1" customWidth="1"/>
    <col min="8" max="8" width="9.140625" style="1"/>
    <col min="9" max="12" width="9.28515625" style="1" bestFit="1" customWidth="1"/>
    <col min="13" max="13" width="27.42578125" style="1" customWidth="1"/>
    <col min="14" max="14" width="9.140625" style="1"/>
    <col min="15" max="18" width="9.28515625" style="1" bestFit="1" customWidth="1"/>
    <col min="19" max="19" width="19.28515625" style="1" customWidth="1"/>
    <col min="20" max="20" width="35.140625" style="1" customWidth="1"/>
    <col min="21" max="21" width="9.28515625" style="1" bestFit="1" customWidth="1"/>
    <col min="22" max="22" width="9.140625" style="1"/>
    <col min="23" max="23" width="9" style="1" customWidth="1"/>
    <col min="24" max="24" width="12.5703125" style="1" customWidth="1"/>
    <col min="25" max="25" width="14.42578125" style="1" customWidth="1"/>
    <col min="26" max="317" width="9.140625" style="1"/>
    <col min="318" max="318" width="9.28515625" style="1" bestFit="1" customWidth="1"/>
    <col min="319" max="319" width="9.140625" style="1"/>
    <col min="320" max="321" width="9.28515625" style="1" bestFit="1" customWidth="1"/>
    <col min="322" max="322" width="9.140625" style="1"/>
    <col min="323" max="323" width="9.28515625" style="1" bestFit="1" customWidth="1"/>
    <col min="324" max="326" width="9.140625" style="1"/>
    <col min="327" max="329" width="9.28515625" style="1" bestFit="1" customWidth="1"/>
    <col min="330" max="332" width="9.140625" style="1"/>
    <col min="333" max="334" width="9.28515625" style="1" bestFit="1" customWidth="1"/>
    <col min="335" max="335" width="9.140625" style="1"/>
    <col min="336" max="337" width="9.28515625" style="1" bestFit="1" customWidth="1"/>
    <col min="338" max="338" width="9.140625" style="1"/>
    <col min="339" max="339" width="9.28515625" style="1" bestFit="1" customWidth="1"/>
    <col min="340" max="342" width="9.140625" style="1"/>
    <col min="343" max="345" width="9.28515625" style="1" bestFit="1" customWidth="1"/>
    <col min="346" max="348" width="9.140625" style="1"/>
    <col min="349" max="350" width="9.28515625" style="1" bestFit="1" customWidth="1"/>
    <col min="351" max="351" width="9.140625" style="1"/>
    <col min="352" max="353" width="9.28515625" style="1" bestFit="1" customWidth="1"/>
    <col min="354" max="354" width="9.140625" style="1"/>
    <col min="355" max="355" width="9.28515625" style="1" bestFit="1" customWidth="1"/>
    <col min="356" max="358" width="9.140625" style="1"/>
    <col min="359" max="361" width="9.28515625" style="1" bestFit="1" customWidth="1"/>
    <col min="362" max="364" width="9.140625" style="1"/>
    <col min="365" max="366" width="9.28515625" style="1" bestFit="1" customWidth="1"/>
    <col min="367" max="367" width="9.140625" style="1"/>
    <col min="368" max="369" width="9.28515625" style="1" bestFit="1" customWidth="1"/>
    <col min="370" max="370" width="9.140625" style="1"/>
    <col min="371" max="371" width="9.28515625" style="1" bestFit="1" customWidth="1"/>
    <col min="372" max="374" width="9.140625" style="1"/>
    <col min="375" max="377" width="9.28515625" style="1" bestFit="1" customWidth="1"/>
    <col min="378" max="380" width="9.140625" style="1"/>
    <col min="381" max="382" width="9.28515625" style="1" bestFit="1" customWidth="1"/>
    <col min="383" max="383" width="9.140625" style="1"/>
    <col min="384" max="385" width="9.28515625" style="1" bestFit="1" customWidth="1"/>
    <col min="386" max="386" width="9.140625" style="1"/>
    <col min="387" max="387" width="9.28515625" style="1" bestFit="1" customWidth="1"/>
    <col min="388" max="390" width="9.140625" style="1"/>
    <col min="391" max="393" width="9.28515625" style="1" bestFit="1" customWidth="1"/>
    <col min="394" max="396" width="9.140625" style="1"/>
    <col min="397" max="398" width="9.28515625" style="1" bestFit="1" customWidth="1"/>
    <col min="399" max="399" width="9.140625" style="1"/>
    <col min="400" max="401" width="9.28515625" style="1" bestFit="1" customWidth="1"/>
    <col min="402" max="402" width="9.140625" style="1"/>
    <col min="403" max="403" width="9.28515625" style="1" bestFit="1" customWidth="1"/>
    <col min="404" max="406" width="9.140625" style="1"/>
    <col min="407" max="409" width="9.28515625" style="1" bestFit="1" customWidth="1"/>
    <col min="410" max="412" width="9.140625" style="1"/>
    <col min="413" max="414" width="9.28515625" style="1" bestFit="1" customWidth="1"/>
    <col min="415" max="415" width="9.140625" style="1"/>
    <col min="416" max="417" width="9.28515625" style="1" bestFit="1" customWidth="1"/>
    <col min="418" max="418" width="9.140625" style="1"/>
    <col min="419" max="419" width="9.28515625" style="1" bestFit="1" customWidth="1"/>
    <col min="420" max="422" width="9.140625" style="1"/>
    <col min="423" max="425" width="9.28515625" style="1" bestFit="1" customWidth="1"/>
    <col min="426" max="428" width="9.140625" style="1"/>
    <col min="429" max="430" width="9.28515625" style="1" bestFit="1" customWidth="1"/>
    <col min="431" max="431" width="9.140625" style="1"/>
    <col min="432" max="433" width="9.28515625" style="1" bestFit="1" customWidth="1"/>
    <col min="434" max="434" width="9.140625" style="1"/>
    <col min="435" max="435" width="9.28515625" style="1" bestFit="1" customWidth="1"/>
    <col min="436" max="438" width="9.140625" style="1"/>
    <col min="439" max="441" width="9.28515625" style="1" bestFit="1" customWidth="1"/>
    <col min="442" max="444" width="9.140625" style="1"/>
    <col min="445" max="446" width="9.28515625" style="1" bestFit="1" customWidth="1"/>
    <col min="447" max="447" width="9.140625" style="1"/>
    <col min="448" max="449" width="9.28515625" style="1" bestFit="1" customWidth="1"/>
    <col min="450" max="450" width="9.140625" style="1"/>
    <col min="451" max="451" width="9.28515625" style="1" bestFit="1" customWidth="1"/>
    <col min="452" max="454" width="9.140625" style="1"/>
    <col min="455" max="457" width="9.28515625" style="1" bestFit="1" customWidth="1"/>
    <col min="458" max="460" width="9.140625" style="1"/>
    <col min="461" max="462" width="9.28515625" style="1" bestFit="1" customWidth="1"/>
    <col min="463" max="463" width="9.140625" style="1"/>
    <col min="464" max="465" width="9.28515625" style="1" bestFit="1" customWidth="1"/>
    <col min="466" max="466" width="9.140625" style="1"/>
    <col min="467" max="467" width="9.28515625" style="1" bestFit="1" customWidth="1"/>
    <col min="468" max="470" width="9.140625" style="1"/>
    <col min="471" max="473" width="9.28515625" style="1" bestFit="1" customWidth="1"/>
    <col min="474" max="476" width="9.140625" style="1"/>
    <col min="477" max="478" width="9.28515625" style="1" bestFit="1" customWidth="1"/>
    <col min="479" max="479" width="9.140625" style="1"/>
    <col min="480" max="481" width="9.28515625" style="1" bestFit="1" customWidth="1"/>
    <col min="482" max="482" width="9.140625" style="1"/>
    <col min="483" max="483" width="9.28515625" style="1" bestFit="1" customWidth="1"/>
    <col min="484" max="486" width="9.140625" style="1"/>
    <col min="487" max="489" width="9.28515625" style="1" bestFit="1" customWidth="1"/>
    <col min="490" max="492" width="9.140625" style="1"/>
    <col min="493" max="494" width="9.28515625" style="1" bestFit="1" customWidth="1"/>
    <col min="495" max="495" width="9.140625" style="1"/>
    <col min="496" max="497" width="9.28515625" style="1" bestFit="1" customWidth="1"/>
    <col min="498" max="498" width="9.140625" style="1"/>
    <col min="499" max="499" width="9.28515625" style="1" bestFit="1" customWidth="1"/>
    <col min="500" max="502" width="9.140625" style="1"/>
    <col min="503" max="505" width="9.28515625" style="1" bestFit="1" customWidth="1"/>
    <col min="506" max="508" width="9.140625" style="1"/>
    <col min="509" max="510" width="9.28515625" style="1" bestFit="1" customWidth="1"/>
    <col min="511" max="511" width="9.140625" style="1"/>
    <col min="512" max="513" width="9.28515625" style="1" bestFit="1" customWidth="1"/>
    <col min="514" max="514" width="9.140625" style="1"/>
    <col min="515" max="515" width="9.28515625" style="1" bestFit="1" customWidth="1"/>
    <col min="516" max="518" width="9.140625" style="1"/>
    <col min="519" max="521" width="9.28515625" style="1" bestFit="1" customWidth="1"/>
    <col min="522" max="524" width="9.140625" style="1"/>
    <col min="525" max="526" width="9.28515625" style="1" bestFit="1" customWidth="1"/>
    <col min="527" max="527" width="9.140625" style="1"/>
    <col min="528" max="529" width="9.28515625" style="1" bestFit="1" customWidth="1"/>
    <col min="530" max="530" width="9.140625" style="1"/>
    <col min="531" max="531" width="9.28515625" style="1" bestFit="1" customWidth="1"/>
    <col min="532" max="534" width="9.140625" style="1"/>
    <col min="535" max="537" width="9.28515625" style="1" bestFit="1" customWidth="1"/>
    <col min="538" max="540" width="9.140625" style="1"/>
    <col min="541" max="542" width="9.28515625" style="1" bestFit="1" customWidth="1"/>
    <col min="543" max="543" width="9.140625" style="1"/>
    <col min="544" max="545" width="9.28515625" style="1" bestFit="1" customWidth="1"/>
    <col min="546" max="546" width="9.140625" style="1"/>
    <col min="547" max="547" width="9.28515625" style="1" bestFit="1" customWidth="1"/>
    <col min="548" max="550" width="9.140625" style="1"/>
    <col min="551" max="553" width="9.28515625" style="1" bestFit="1" customWidth="1"/>
    <col min="554" max="556" width="9.140625" style="1"/>
    <col min="557" max="558" width="9.28515625" style="1" bestFit="1" customWidth="1"/>
    <col min="559" max="559" width="9.140625" style="1"/>
    <col min="560" max="561" width="9.28515625" style="1" bestFit="1" customWidth="1"/>
    <col min="562" max="562" width="9.140625" style="1"/>
    <col min="563" max="563" width="9.28515625" style="1" bestFit="1" customWidth="1"/>
    <col min="564" max="566" width="9.140625" style="1"/>
    <col min="567" max="569" width="9.28515625" style="1" bestFit="1" customWidth="1"/>
    <col min="570" max="572" width="9.140625" style="1"/>
    <col min="573" max="574" width="9.28515625" style="1" bestFit="1" customWidth="1"/>
    <col min="575" max="575" width="9.140625" style="1"/>
    <col min="576" max="577" width="9.28515625" style="1" bestFit="1" customWidth="1"/>
    <col min="578" max="578" width="9.140625" style="1"/>
    <col min="579" max="579" width="9.28515625" style="1" bestFit="1" customWidth="1"/>
    <col min="580" max="582" width="9.140625" style="1"/>
    <col min="583" max="585" width="9.28515625" style="1" bestFit="1" customWidth="1"/>
    <col min="586" max="588" width="9.140625" style="1"/>
    <col min="589" max="590" width="9.28515625" style="1" bestFit="1" customWidth="1"/>
    <col min="591" max="591" width="9.140625" style="1"/>
    <col min="592" max="593" width="9.28515625" style="1" bestFit="1" customWidth="1"/>
    <col min="594" max="594" width="9.140625" style="1"/>
    <col min="595" max="595" width="9.28515625" style="1" bestFit="1" customWidth="1"/>
    <col min="596" max="598" width="9.140625" style="1"/>
    <col min="599" max="601" width="9.28515625" style="1" bestFit="1" customWidth="1"/>
    <col min="602" max="604" width="9.140625" style="1"/>
    <col min="605" max="606" width="9.28515625" style="1" bestFit="1" customWidth="1"/>
    <col min="607" max="607" width="9.140625" style="1"/>
    <col min="608" max="609" width="9.28515625" style="1" bestFit="1" customWidth="1"/>
    <col min="610" max="610" width="9.140625" style="1"/>
    <col min="611" max="611" width="9.28515625" style="1" bestFit="1" customWidth="1"/>
    <col min="612" max="614" width="9.140625" style="1"/>
    <col min="615" max="617" width="9.28515625" style="1" bestFit="1" customWidth="1"/>
    <col min="618" max="620" width="9.140625" style="1"/>
    <col min="621" max="622" width="9.28515625" style="1" bestFit="1" customWidth="1"/>
    <col min="623" max="623" width="9.140625" style="1"/>
    <col min="624" max="625" width="9.28515625" style="1" bestFit="1" customWidth="1"/>
    <col min="626" max="626" width="9.140625" style="1"/>
    <col min="627" max="627" width="9.28515625" style="1" bestFit="1" customWidth="1"/>
    <col min="628" max="630" width="9.140625" style="1"/>
    <col min="631" max="633" width="9.28515625" style="1" bestFit="1" customWidth="1"/>
    <col min="634" max="636" width="9.140625" style="1"/>
    <col min="637" max="638" width="9.28515625" style="1" bestFit="1" customWidth="1"/>
    <col min="639" max="639" width="9.140625" style="1"/>
    <col min="640" max="641" width="9.28515625" style="1" bestFit="1" customWidth="1"/>
    <col min="642" max="642" width="9.140625" style="1"/>
    <col min="643" max="643" width="9.28515625" style="1" bestFit="1" customWidth="1"/>
    <col min="644" max="646" width="9.140625" style="1"/>
    <col min="647" max="649" width="9.28515625" style="1" bestFit="1" customWidth="1"/>
    <col min="650" max="652" width="9.140625" style="1"/>
    <col min="653" max="654" width="9.28515625" style="1" bestFit="1" customWidth="1"/>
    <col min="655" max="655" width="9.140625" style="1"/>
    <col min="656" max="657" width="9.28515625" style="1" bestFit="1" customWidth="1"/>
    <col min="658" max="658" width="9.140625" style="1"/>
    <col min="659" max="659" width="9.28515625" style="1" bestFit="1" customWidth="1"/>
    <col min="660" max="662" width="9.140625" style="1"/>
    <col min="663" max="665" width="9.28515625" style="1" bestFit="1" customWidth="1"/>
    <col min="666" max="668" width="9.140625" style="1"/>
    <col min="669" max="670" width="9.28515625" style="1" bestFit="1" customWidth="1"/>
    <col min="671" max="671" width="9.140625" style="1"/>
    <col min="672" max="673" width="9.28515625" style="1" bestFit="1" customWidth="1"/>
    <col min="674" max="674" width="9.140625" style="1"/>
    <col min="675" max="675" width="9.28515625" style="1" bestFit="1" customWidth="1"/>
    <col min="676" max="678" width="9.140625" style="1"/>
    <col min="679" max="681" width="9.28515625" style="1" bestFit="1" customWidth="1"/>
    <col min="682" max="684" width="9.140625" style="1"/>
    <col min="685" max="686" width="9.28515625" style="1" bestFit="1" customWidth="1"/>
    <col min="687" max="687" width="9.140625" style="1"/>
    <col min="688" max="689" width="9.28515625" style="1" bestFit="1" customWidth="1"/>
    <col min="690" max="690" width="9.140625" style="1"/>
    <col min="691" max="691" width="9.28515625" style="1" bestFit="1" customWidth="1"/>
    <col min="692" max="694" width="9.140625" style="1"/>
    <col min="695" max="697" width="9.28515625" style="1" bestFit="1" customWidth="1"/>
    <col min="698" max="700" width="9.140625" style="1"/>
    <col min="701" max="702" width="9.28515625" style="1" bestFit="1" customWidth="1"/>
    <col min="703" max="703" width="9.140625" style="1"/>
    <col min="704" max="705" width="9.28515625" style="1" bestFit="1" customWidth="1"/>
    <col min="706" max="706" width="9.140625" style="1"/>
    <col min="707" max="707" width="9.28515625" style="1" bestFit="1" customWidth="1"/>
    <col min="708" max="710" width="9.140625" style="1"/>
    <col min="711" max="713" width="9.28515625" style="1" bestFit="1" customWidth="1"/>
    <col min="714" max="716" width="9.140625" style="1"/>
    <col min="717" max="718" width="9.28515625" style="1" bestFit="1" customWidth="1"/>
    <col min="719" max="719" width="9.140625" style="1"/>
    <col min="720" max="721" width="9.28515625" style="1" bestFit="1" customWidth="1"/>
    <col min="722" max="722" width="9.140625" style="1"/>
    <col min="723" max="723" width="9.28515625" style="1" bestFit="1" customWidth="1"/>
    <col min="724" max="726" width="9.140625" style="1"/>
    <col min="727" max="729" width="9.28515625" style="1" bestFit="1" customWidth="1"/>
    <col min="730" max="732" width="9.140625" style="1"/>
    <col min="733" max="734" width="9.28515625" style="1" bestFit="1" customWidth="1"/>
    <col min="735" max="735" width="9.140625" style="1"/>
    <col min="736" max="737" width="9.28515625" style="1" bestFit="1" customWidth="1"/>
    <col min="738" max="738" width="9.140625" style="1"/>
    <col min="739" max="739" width="9.28515625" style="1" bestFit="1" customWidth="1"/>
    <col min="740" max="742" width="9.140625" style="1"/>
    <col min="743" max="745" width="9.28515625" style="1" bestFit="1" customWidth="1"/>
    <col min="746" max="748" width="9.140625" style="1"/>
    <col min="749" max="750" width="9.28515625" style="1" bestFit="1" customWidth="1"/>
    <col min="751" max="751" width="9.140625" style="1"/>
    <col min="752" max="753" width="9.28515625" style="1" bestFit="1" customWidth="1"/>
    <col min="754" max="754" width="9.140625" style="1"/>
    <col min="755" max="755" width="9.28515625" style="1" bestFit="1" customWidth="1"/>
    <col min="756" max="758" width="9.140625" style="1"/>
    <col min="759" max="761" width="9.28515625" style="1" bestFit="1" customWidth="1"/>
    <col min="762" max="764" width="9.140625" style="1"/>
    <col min="765" max="766" width="9.28515625" style="1" bestFit="1" customWidth="1"/>
    <col min="767" max="767" width="9.140625" style="1"/>
    <col min="768" max="769" width="9.28515625" style="1" bestFit="1" customWidth="1"/>
    <col min="770" max="770" width="9.140625" style="1"/>
    <col min="771" max="771" width="9.28515625" style="1" bestFit="1" customWidth="1"/>
    <col min="772" max="774" width="9.140625" style="1"/>
    <col min="775" max="777" width="9.28515625" style="1" bestFit="1" customWidth="1"/>
    <col min="778" max="780" width="9.140625" style="1"/>
    <col min="781" max="782" width="9.28515625" style="1" bestFit="1" customWidth="1"/>
    <col min="783" max="783" width="9.140625" style="1"/>
    <col min="784" max="785" width="9.28515625" style="1" bestFit="1" customWidth="1"/>
    <col min="786" max="786" width="9.140625" style="1"/>
    <col min="787" max="787" width="9.28515625" style="1" bestFit="1" customWidth="1"/>
    <col min="788" max="790" width="9.140625" style="1"/>
    <col min="791" max="793" width="9.28515625" style="1" bestFit="1" customWidth="1"/>
    <col min="794" max="796" width="9.140625" style="1"/>
    <col min="797" max="798" width="9.28515625" style="1" bestFit="1" customWidth="1"/>
    <col min="799" max="799" width="9.140625" style="1"/>
    <col min="800" max="801" width="9.28515625" style="1" bestFit="1" customWidth="1"/>
    <col min="802" max="802" width="9.140625" style="1"/>
    <col min="803" max="803" width="9.28515625" style="1" bestFit="1" customWidth="1"/>
    <col min="804" max="806" width="9.140625" style="1"/>
    <col min="807" max="809" width="9.28515625" style="1" bestFit="1" customWidth="1"/>
    <col min="810" max="812" width="9.140625" style="1"/>
    <col min="813" max="814" width="9.28515625" style="1" bestFit="1" customWidth="1"/>
    <col min="815" max="815" width="9.140625" style="1"/>
    <col min="816" max="817" width="9.28515625" style="1" bestFit="1" customWidth="1"/>
    <col min="818" max="818" width="9.140625" style="1"/>
    <col min="819" max="819" width="9.28515625" style="1" bestFit="1" customWidth="1"/>
    <col min="820" max="822" width="9.140625" style="1"/>
    <col min="823" max="825" width="9.28515625" style="1" bestFit="1" customWidth="1"/>
    <col min="826" max="828" width="9.140625" style="1"/>
    <col min="829" max="830" width="9.28515625" style="1" bestFit="1" customWidth="1"/>
    <col min="831" max="831" width="9.140625" style="1"/>
    <col min="832" max="833" width="9.28515625" style="1" bestFit="1" customWidth="1"/>
    <col min="834" max="834" width="9.140625" style="1"/>
    <col min="835" max="835" width="9.28515625" style="1" bestFit="1" customWidth="1"/>
    <col min="836" max="838" width="9.140625" style="1"/>
    <col min="839" max="841" width="9.28515625" style="1" bestFit="1" customWidth="1"/>
    <col min="842" max="844" width="9.140625" style="1"/>
    <col min="845" max="846" width="9.28515625" style="1" bestFit="1" customWidth="1"/>
    <col min="847" max="847" width="9.140625" style="1"/>
    <col min="848" max="849" width="9.28515625" style="1" bestFit="1" customWidth="1"/>
    <col min="850" max="850" width="9.140625" style="1"/>
    <col min="851" max="851" width="9.28515625" style="1" bestFit="1" customWidth="1"/>
    <col min="852" max="854" width="9.140625" style="1"/>
    <col min="855" max="857" width="9.28515625" style="1" bestFit="1" customWidth="1"/>
    <col min="858" max="860" width="9.140625" style="1"/>
    <col min="861" max="862" width="9.28515625" style="1" bestFit="1" customWidth="1"/>
    <col min="863" max="863" width="9.140625" style="1"/>
    <col min="864" max="865" width="9.28515625" style="1" bestFit="1" customWidth="1"/>
    <col min="866" max="866" width="9.140625" style="1"/>
    <col min="867" max="867" width="9.28515625" style="1" bestFit="1" customWidth="1"/>
    <col min="868" max="870" width="9.140625" style="1"/>
    <col min="871" max="873" width="9.28515625" style="1" bestFit="1" customWidth="1"/>
    <col min="874" max="876" width="9.140625" style="1"/>
    <col min="877" max="878" width="9.28515625" style="1" bestFit="1" customWidth="1"/>
    <col min="879" max="879" width="9.140625" style="1"/>
    <col min="880" max="881" width="9.28515625" style="1" bestFit="1" customWidth="1"/>
    <col min="882" max="882" width="9.140625" style="1"/>
    <col min="883" max="883" width="9.28515625" style="1" bestFit="1" customWidth="1"/>
    <col min="884" max="886" width="9.140625" style="1"/>
    <col min="887" max="889" width="9.28515625" style="1" bestFit="1" customWidth="1"/>
    <col min="890" max="892" width="9.140625" style="1"/>
    <col min="893" max="894" width="9.28515625" style="1" bestFit="1" customWidth="1"/>
    <col min="895" max="895" width="9.140625" style="1"/>
    <col min="896" max="897" width="9.28515625" style="1" bestFit="1" customWidth="1"/>
    <col min="898" max="898" width="9.140625" style="1"/>
    <col min="899" max="899" width="9.28515625" style="1" bestFit="1" customWidth="1"/>
    <col min="900" max="902" width="9.140625" style="1"/>
    <col min="903" max="905" width="9.28515625" style="1" bestFit="1" customWidth="1"/>
    <col min="906" max="908" width="9.140625" style="1"/>
    <col min="909" max="910" width="9.28515625" style="1" bestFit="1" customWidth="1"/>
    <col min="911" max="911" width="9.140625" style="1"/>
    <col min="912" max="913" width="9.28515625" style="1" bestFit="1" customWidth="1"/>
    <col min="914" max="914" width="9.140625" style="1"/>
    <col min="915" max="915" width="9.28515625" style="1" bestFit="1" customWidth="1"/>
    <col min="916" max="918" width="9.140625" style="1"/>
    <col min="919" max="921" width="9.28515625" style="1" bestFit="1" customWidth="1"/>
    <col min="922" max="924" width="9.140625" style="1"/>
    <col min="925" max="926" width="9.28515625" style="1" bestFit="1" customWidth="1"/>
    <col min="927" max="927" width="9.140625" style="1"/>
    <col min="928" max="929" width="9.28515625" style="1" bestFit="1" customWidth="1"/>
    <col min="930" max="930" width="9.140625" style="1"/>
    <col min="931" max="931" width="9.28515625" style="1" bestFit="1" customWidth="1"/>
    <col min="932" max="934" width="9.140625" style="1"/>
    <col min="935" max="937" width="9.28515625" style="1" bestFit="1" customWidth="1"/>
    <col min="938" max="940" width="9.140625" style="1"/>
    <col min="941" max="942" width="9.28515625" style="1" bestFit="1" customWidth="1"/>
    <col min="943" max="943" width="9.140625" style="1"/>
    <col min="944" max="945" width="9.28515625" style="1" bestFit="1" customWidth="1"/>
    <col min="946" max="946" width="9.140625" style="1"/>
    <col min="947" max="947" width="9.28515625" style="1" bestFit="1" customWidth="1"/>
    <col min="948" max="950" width="9.140625" style="1"/>
    <col min="951" max="953" width="9.28515625" style="1" bestFit="1" customWidth="1"/>
    <col min="954" max="956" width="9.140625" style="1"/>
    <col min="957" max="958" width="9.28515625" style="1" bestFit="1" customWidth="1"/>
    <col min="959" max="959" width="9.140625" style="1"/>
    <col min="960" max="961" width="9.28515625" style="1" bestFit="1" customWidth="1"/>
    <col min="962" max="962" width="9.140625" style="1"/>
    <col min="963" max="963" width="9.28515625" style="1" bestFit="1" customWidth="1"/>
    <col min="964" max="966" width="9.140625" style="1"/>
    <col min="967" max="969" width="9.28515625" style="1" bestFit="1" customWidth="1"/>
    <col min="970" max="972" width="9.140625" style="1"/>
    <col min="973" max="974" width="9.28515625" style="1" bestFit="1" customWidth="1"/>
    <col min="975" max="975" width="9.140625" style="1"/>
    <col min="976" max="977" width="9.28515625" style="1" bestFit="1" customWidth="1"/>
    <col min="978" max="978" width="9.140625" style="1"/>
    <col min="979" max="979" width="9.28515625" style="1" bestFit="1" customWidth="1"/>
    <col min="980" max="982" width="9.140625" style="1"/>
    <col min="983" max="985" width="9.28515625" style="1" bestFit="1" customWidth="1"/>
    <col min="986" max="988" width="9.140625" style="1"/>
    <col min="989" max="990" width="9.28515625" style="1" bestFit="1" customWidth="1"/>
    <col min="991" max="991" width="9.140625" style="1"/>
    <col min="992" max="993" width="9.28515625" style="1" bestFit="1" customWidth="1"/>
    <col min="994" max="994" width="9.140625" style="1"/>
    <col min="995" max="995" width="9.28515625" style="1" bestFit="1" customWidth="1"/>
    <col min="996" max="998" width="9.140625" style="1"/>
    <col min="999" max="1001" width="9.28515625" style="1" bestFit="1" customWidth="1"/>
    <col min="1002" max="1004" width="9.140625" style="1"/>
    <col min="1005" max="1006" width="9.28515625" style="1" bestFit="1" customWidth="1"/>
    <col min="1007" max="1007" width="9.140625" style="1"/>
    <col min="1008" max="1009" width="9.28515625" style="1" bestFit="1" customWidth="1"/>
    <col min="1010" max="1010" width="9.140625" style="1"/>
    <col min="1011" max="1011" width="9.28515625" style="1" bestFit="1" customWidth="1"/>
    <col min="1012" max="1014" width="9.140625" style="1"/>
    <col min="1015" max="1017" width="9.28515625" style="1" bestFit="1" customWidth="1"/>
    <col min="1018" max="1020" width="9.140625" style="1"/>
    <col min="1021" max="1022" width="9.28515625" style="1" bestFit="1" customWidth="1"/>
    <col min="1023" max="1023" width="9.140625" style="1"/>
    <col min="1024" max="1025" width="9.28515625" style="1" bestFit="1" customWidth="1"/>
    <col min="1026" max="1026" width="9.140625" style="1"/>
    <col min="1027" max="1027" width="9.28515625" style="1" bestFit="1" customWidth="1"/>
    <col min="1028" max="1030" width="9.140625" style="1"/>
    <col min="1031" max="1033" width="9.28515625" style="1" bestFit="1" customWidth="1"/>
    <col min="1034" max="1036" width="9.140625" style="1"/>
    <col min="1037" max="1038" width="9.28515625" style="1" bestFit="1" customWidth="1"/>
    <col min="1039" max="1039" width="9.140625" style="1"/>
    <col min="1040" max="1041" width="9.28515625" style="1" bestFit="1" customWidth="1"/>
    <col min="1042" max="1042" width="9.140625" style="1"/>
    <col min="1043" max="1043" width="9.28515625" style="1" bestFit="1" customWidth="1"/>
    <col min="1044" max="1046" width="9.140625" style="1"/>
    <col min="1047" max="1049" width="9.28515625" style="1" bestFit="1" customWidth="1"/>
    <col min="1050" max="1052" width="9.140625" style="1"/>
    <col min="1053" max="1054" width="9.28515625" style="1" bestFit="1" customWidth="1"/>
    <col min="1055" max="1055" width="9.140625" style="1"/>
    <col min="1056" max="1057" width="9.28515625" style="1" bestFit="1" customWidth="1"/>
    <col min="1058" max="1058" width="9.140625" style="1"/>
    <col min="1059" max="1059" width="9.28515625" style="1" bestFit="1" customWidth="1"/>
    <col min="1060" max="1062" width="9.140625" style="1"/>
    <col min="1063" max="1065" width="9.28515625" style="1" bestFit="1" customWidth="1"/>
    <col min="1066" max="1068" width="9.140625" style="1"/>
    <col min="1069" max="1070" width="9.28515625" style="1" bestFit="1" customWidth="1"/>
    <col min="1071" max="1071" width="9.140625" style="1"/>
    <col min="1072" max="1073" width="9.28515625" style="1" bestFit="1" customWidth="1"/>
    <col min="1074" max="1074" width="9.140625" style="1"/>
    <col min="1075" max="1075" width="9.28515625" style="1" bestFit="1" customWidth="1"/>
    <col min="1076" max="1078" width="9.140625" style="1"/>
    <col min="1079" max="1081" width="9.28515625" style="1" bestFit="1" customWidth="1"/>
    <col min="1082" max="1084" width="9.140625" style="1"/>
    <col min="1085" max="1086" width="9.28515625" style="1" bestFit="1" customWidth="1"/>
    <col min="1087" max="1087" width="9.140625" style="1"/>
    <col min="1088" max="1089" width="9.28515625" style="1" bestFit="1" customWidth="1"/>
    <col min="1090" max="1090" width="9.140625" style="1"/>
    <col min="1091" max="1091" width="9.28515625" style="1" bestFit="1" customWidth="1"/>
    <col min="1092" max="1094" width="9.140625" style="1"/>
    <col min="1095" max="1097" width="9.28515625" style="1" bestFit="1" customWidth="1"/>
    <col min="1098" max="1100" width="9.140625" style="1"/>
    <col min="1101" max="1102" width="9.28515625" style="1" bestFit="1" customWidth="1"/>
    <col min="1103" max="1103" width="9.140625" style="1"/>
    <col min="1104" max="1105" width="9.28515625" style="1" bestFit="1" customWidth="1"/>
    <col min="1106" max="1106" width="9.140625" style="1"/>
    <col min="1107" max="1107" width="9.28515625" style="1" bestFit="1" customWidth="1"/>
    <col min="1108" max="1110" width="9.140625" style="1"/>
    <col min="1111" max="1113" width="9.28515625" style="1" bestFit="1" customWidth="1"/>
    <col min="1114" max="1116" width="9.140625" style="1"/>
    <col min="1117" max="1118" width="9.28515625" style="1" bestFit="1" customWidth="1"/>
    <col min="1119" max="1119" width="9.140625" style="1"/>
    <col min="1120" max="1121" width="9.28515625" style="1" bestFit="1" customWidth="1"/>
    <col min="1122" max="1122" width="9.140625" style="1"/>
    <col min="1123" max="1123" width="9.28515625" style="1" bestFit="1" customWidth="1"/>
    <col min="1124" max="1126" width="9.140625" style="1"/>
    <col min="1127" max="1129" width="9.28515625" style="1" bestFit="1" customWidth="1"/>
    <col min="1130" max="1132" width="9.140625" style="1"/>
    <col min="1133" max="1134" width="9.28515625" style="1" bestFit="1" customWidth="1"/>
    <col min="1135" max="1135" width="9.140625" style="1"/>
    <col min="1136" max="1137" width="9.28515625" style="1" bestFit="1" customWidth="1"/>
    <col min="1138" max="1138" width="9.140625" style="1"/>
    <col min="1139" max="1139" width="9.28515625" style="1" bestFit="1" customWidth="1"/>
    <col min="1140" max="1142" width="9.140625" style="1"/>
    <col min="1143" max="1145" width="9.28515625" style="1" bestFit="1" customWidth="1"/>
    <col min="1146" max="1148" width="9.140625" style="1"/>
    <col min="1149" max="1150" width="9.28515625" style="1" bestFit="1" customWidth="1"/>
    <col min="1151" max="1151" width="9.140625" style="1"/>
    <col min="1152" max="1153" width="9.28515625" style="1" bestFit="1" customWidth="1"/>
    <col min="1154" max="1154" width="9.140625" style="1"/>
    <col min="1155" max="1155" width="9.28515625" style="1" bestFit="1" customWidth="1"/>
    <col min="1156" max="1158" width="9.140625" style="1"/>
    <col min="1159" max="1161" width="9.28515625" style="1" bestFit="1" customWidth="1"/>
    <col min="1162" max="1164" width="9.140625" style="1"/>
    <col min="1165" max="1166" width="9.28515625" style="1" bestFit="1" customWidth="1"/>
    <col min="1167" max="1167" width="9.140625" style="1"/>
    <col min="1168" max="1169" width="9.28515625" style="1" bestFit="1" customWidth="1"/>
    <col min="1170" max="1170" width="9.140625" style="1"/>
    <col min="1171" max="1171" width="9.28515625" style="1" bestFit="1" customWidth="1"/>
    <col min="1172" max="1174" width="9.140625" style="1"/>
    <col min="1175" max="1177" width="9.28515625" style="1" bestFit="1" customWidth="1"/>
    <col min="1178" max="1180" width="9.140625" style="1"/>
    <col min="1181" max="1182" width="9.28515625" style="1" bestFit="1" customWidth="1"/>
    <col min="1183" max="1183" width="9.140625" style="1"/>
    <col min="1184" max="1185" width="9.28515625" style="1" bestFit="1" customWidth="1"/>
    <col min="1186" max="1186" width="9.140625" style="1"/>
    <col min="1187" max="1187" width="9.28515625" style="1" bestFit="1" customWidth="1"/>
    <col min="1188" max="1190" width="9.140625" style="1"/>
    <col min="1191" max="1193" width="9.28515625" style="1" bestFit="1" customWidth="1"/>
    <col min="1194" max="1196" width="9.140625" style="1"/>
    <col min="1197" max="1198" width="9.28515625" style="1" bestFit="1" customWidth="1"/>
    <col min="1199" max="1199" width="9.140625" style="1"/>
    <col min="1200" max="1201" width="9.28515625" style="1" bestFit="1" customWidth="1"/>
    <col min="1202" max="1202" width="9.140625" style="1"/>
    <col min="1203" max="1203" width="9.28515625" style="1" bestFit="1" customWidth="1"/>
    <col min="1204" max="1206" width="9.140625" style="1"/>
    <col min="1207" max="1209" width="9.28515625" style="1" bestFit="1" customWidth="1"/>
    <col min="1210" max="1212" width="9.140625" style="1"/>
    <col min="1213" max="1214" width="9.28515625" style="1" bestFit="1" customWidth="1"/>
    <col min="1215" max="1215" width="9.140625" style="1"/>
    <col min="1216" max="1217" width="9.28515625" style="1" bestFit="1" customWidth="1"/>
    <col min="1218" max="1218" width="9.140625" style="1"/>
    <col min="1219" max="1219" width="9.28515625" style="1" bestFit="1" customWidth="1"/>
    <col min="1220" max="1222" width="9.140625" style="1"/>
    <col min="1223" max="1225" width="9.28515625" style="1" bestFit="1" customWidth="1"/>
    <col min="1226" max="1228" width="9.140625" style="1"/>
    <col min="1229" max="1230" width="9.28515625" style="1" bestFit="1" customWidth="1"/>
    <col min="1231" max="1231" width="9.140625" style="1"/>
    <col min="1232" max="1233" width="9.28515625" style="1" bestFit="1" customWidth="1"/>
    <col min="1234" max="1234" width="9.140625" style="1"/>
    <col min="1235" max="1235" width="9.28515625" style="1" bestFit="1" customWidth="1"/>
    <col min="1236" max="1238" width="9.140625" style="1"/>
    <col min="1239" max="1241" width="9.28515625" style="1" bestFit="1" customWidth="1"/>
    <col min="1242" max="1244" width="9.140625" style="1"/>
    <col min="1245" max="1246" width="9.28515625" style="1" bestFit="1" customWidth="1"/>
    <col min="1247" max="1247" width="9.140625" style="1"/>
    <col min="1248" max="1249" width="9.28515625" style="1" bestFit="1" customWidth="1"/>
    <col min="1250" max="1250" width="9.140625" style="1"/>
    <col min="1251" max="1251" width="9.28515625" style="1" bestFit="1" customWidth="1"/>
    <col min="1252" max="1254" width="9.140625" style="1"/>
    <col min="1255" max="1257" width="9.28515625" style="1" bestFit="1" customWidth="1"/>
    <col min="1258" max="1260" width="9.140625" style="1"/>
    <col min="1261" max="1262" width="9.28515625" style="1" bestFit="1" customWidth="1"/>
    <col min="1263" max="1263" width="9.140625" style="1"/>
    <col min="1264" max="1265" width="9.28515625" style="1" bestFit="1" customWidth="1"/>
    <col min="1266" max="1266" width="9.140625" style="1"/>
    <col min="1267" max="1267" width="9.28515625" style="1" bestFit="1" customWidth="1"/>
    <col min="1268" max="1270" width="9.140625" style="1"/>
    <col min="1271" max="1273" width="9.28515625" style="1" bestFit="1" customWidth="1"/>
    <col min="1274" max="1276" width="9.140625" style="1"/>
    <col min="1277" max="1278" width="9.28515625" style="1" bestFit="1" customWidth="1"/>
    <col min="1279" max="1279" width="9.140625" style="1"/>
    <col min="1280" max="1281" width="9.28515625" style="1" bestFit="1" customWidth="1"/>
    <col min="1282" max="1282" width="9.140625" style="1"/>
    <col min="1283" max="1283" width="9.28515625" style="1" bestFit="1" customWidth="1"/>
    <col min="1284" max="1286" width="9.140625" style="1"/>
    <col min="1287" max="1289" width="9.28515625" style="1" bestFit="1" customWidth="1"/>
    <col min="1290" max="1292" width="9.140625" style="1"/>
    <col min="1293" max="1294" width="9.28515625" style="1" bestFit="1" customWidth="1"/>
    <col min="1295" max="1295" width="9.140625" style="1"/>
    <col min="1296" max="1297" width="9.28515625" style="1" bestFit="1" customWidth="1"/>
    <col min="1298" max="1298" width="9.140625" style="1"/>
    <col min="1299" max="1299" width="9.28515625" style="1" bestFit="1" customWidth="1"/>
    <col min="1300" max="1302" width="9.140625" style="1"/>
    <col min="1303" max="1305" width="9.28515625" style="1" bestFit="1" customWidth="1"/>
    <col min="1306" max="1308" width="9.140625" style="1"/>
    <col min="1309" max="1310" width="9.28515625" style="1" bestFit="1" customWidth="1"/>
    <col min="1311" max="1311" width="9.140625" style="1"/>
    <col min="1312" max="1313" width="9.28515625" style="1" bestFit="1" customWidth="1"/>
    <col min="1314" max="1314" width="9.140625" style="1"/>
    <col min="1315" max="1315" width="9.28515625" style="1" bestFit="1" customWidth="1"/>
    <col min="1316" max="1318" width="9.140625" style="1"/>
    <col min="1319" max="1321" width="9.28515625" style="1" bestFit="1" customWidth="1"/>
    <col min="1322" max="1324" width="9.140625" style="1"/>
    <col min="1325" max="1326" width="9.28515625" style="1" bestFit="1" customWidth="1"/>
    <col min="1327" max="1327" width="9.140625" style="1"/>
    <col min="1328" max="1329" width="9.28515625" style="1" bestFit="1" customWidth="1"/>
    <col min="1330" max="1330" width="9.140625" style="1"/>
    <col min="1331" max="1331" width="9.28515625" style="1" bestFit="1" customWidth="1"/>
    <col min="1332" max="1334" width="9.140625" style="1"/>
    <col min="1335" max="1337" width="9.28515625" style="1" bestFit="1" customWidth="1"/>
    <col min="1338" max="1340" width="9.140625" style="1"/>
    <col min="1341" max="1342" width="9.28515625" style="1" bestFit="1" customWidth="1"/>
    <col min="1343" max="1343" width="9.140625" style="1"/>
    <col min="1344" max="1345" width="9.28515625" style="1" bestFit="1" customWidth="1"/>
    <col min="1346" max="1346" width="9.140625" style="1"/>
    <col min="1347" max="1347" width="9.28515625" style="1" bestFit="1" customWidth="1"/>
    <col min="1348" max="1350" width="9.140625" style="1"/>
    <col min="1351" max="1353" width="9.28515625" style="1" bestFit="1" customWidth="1"/>
    <col min="1354" max="1356" width="9.140625" style="1"/>
    <col min="1357" max="1358" width="9.28515625" style="1" bestFit="1" customWidth="1"/>
    <col min="1359" max="1359" width="9.140625" style="1"/>
    <col min="1360" max="1361" width="9.28515625" style="1" bestFit="1" customWidth="1"/>
    <col min="1362" max="1362" width="9.140625" style="1"/>
    <col min="1363" max="1363" width="9.28515625" style="1" bestFit="1" customWidth="1"/>
    <col min="1364" max="1366" width="9.140625" style="1"/>
    <col min="1367" max="1369" width="9.28515625" style="1" bestFit="1" customWidth="1"/>
    <col min="1370" max="1372" width="9.140625" style="1"/>
    <col min="1373" max="1374" width="9.28515625" style="1" bestFit="1" customWidth="1"/>
    <col min="1375" max="1375" width="9.140625" style="1"/>
    <col min="1376" max="1377" width="9.28515625" style="1" bestFit="1" customWidth="1"/>
    <col min="1378" max="1378" width="9.140625" style="1"/>
    <col min="1379" max="1379" width="9.28515625" style="1" bestFit="1" customWidth="1"/>
    <col min="1380" max="1382" width="9.140625" style="1"/>
    <col min="1383" max="1385" width="9.28515625" style="1" bestFit="1" customWidth="1"/>
    <col min="1386" max="1388" width="9.140625" style="1"/>
    <col min="1389" max="1390" width="9.28515625" style="1" bestFit="1" customWidth="1"/>
    <col min="1391" max="1391" width="9.140625" style="1"/>
    <col min="1392" max="1393" width="9.28515625" style="1" bestFit="1" customWidth="1"/>
    <col min="1394" max="1394" width="9.140625" style="1"/>
    <col min="1395" max="1395" width="9.28515625" style="1" bestFit="1" customWidth="1"/>
    <col min="1396" max="1398" width="9.140625" style="1"/>
    <col min="1399" max="1401" width="9.28515625" style="1" bestFit="1" customWidth="1"/>
    <col min="1402" max="1404" width="9.140625" style="1"/>
    <col min="1405" max="1406" width="9.28515625" style="1" bestFit="1" customWidth="1"/>
    <col min="1407" max="1407" width="9.140625" style="1"/>
    <col min="1408" max="1409" width="9.28515625" style="1" bestFit="1" customWidth="1"/>
    <col min="1410" max="1410" width="9.140625" style="1"/>
    <col min="1411" max="1411" width="9.28515625" style="1" bestFit="1" customWidth="1"/>
    <col min="1412" max="1414" width="9.140625" style="1"/>
    <col min="1415" max="1417" width="9.28515625" style="1" bestFit="1" customWidth="1"/>
    <col min="1418" max="1420" width="9.140625" style="1"/>
    <col min="1421" max="1422" width="9.28515625" style="1" bestFit="1" customWidth="1"/>
    <col min="1423" max="1423" width="9.140625" style="1"/>
    <col min="1424" max="1425" width="9.28515625" style="1" bestFit="1" customWidth="1"/>
    <col min="1426" max="1426" width="9.140625" style="1"/>
    <col min="1427" max="1427" width="9.28515625" style="1" bestFit="1" customWidth="1"/>
    <col min="1428" max="1430" width="9.140625" style="1"/>
    <col min="1431" max="1433" width="9.28515625" style="1" bestFit="1" customWidth="1"/>
    <col min="1434" max="1436" width="9.140625" style="1"/>
    <col min="1437" max="1438" width="9.28515625" style="1" bestFit="1" customWidth="1"/>
    <col min="1439" max="1439" width="9.140625" style="1"/>
    <col min="1440" max="1441" width="9.28515625" style="1" bestFit="1" customWidth="1"/>
    <col min="1442" max="1442" width="9.140625" style="1"/>
    <col min="1443" max="1443" width="9.28515625" style="1" bestFit="1" customWidth="1"/>
    <col min="1444" max="1446" width="9.140625" style="1"/>
    <col min="1447" max="1449" width="9.28515625" style="1" bestFit="1" customWidth="1"/>
    <col min="1450" max="1452" width="9.140625" style="1"/>
    <col min="1453" max="1454" width="9.28515625" style="1" bestFit="1" customWidth="1"/>
    <col min="1455" max="1455" width="9.140625" style="1"/>
    <col min="1456" max="1457" width="9.28515625" style="1" bestFit="1" customWidth="1"/>
    <col min="1458" max="1458" width="9.140625" style="1"/>
    <col min="1459" max="1459" width="9.28515625" style="1" bestFit="1" customWidth="1"/>
    <col min="1460" max="1462" width="9.140625" style="1"/>
    <col min="1463" max="1465" width="9.28515625" style="1" bestFit="1" customWidth="1"/>
    <col min="1466" max="1468" width="9.140625" style="1"/>
    <col min="1469" max="1470" width="9.28515625" style="1" bestFit="1" customWidth="1"/>
    <col min="1471" max="1471" width="9.140625" style="1"/>
    <col min="1472" max="1473" width="9.28515625" style="1" bestFit="1" customWidth="1"/>
    <col min="1474" max="1474" width="9.140625" style="1"/>
    <col min="1475" max="1475" width="9.28515625" style="1" bestFit="1" customWidth="1"/>
    <col min="1476" max="1478" width="9.140625" style="1"/>
    <col min="1479" max="1481" width="9.28515625" style="1" bestFit="1" customWidth="1"/>
    <col min="1482" max="1484" width="9.140625" style="1"/>
    <col min="1485" max="1486" width="9.28515625" style="1" bestFit="1" customWidth="1"/>
    <col min="1487" max="1487" width="9.140625" style="1"/>
    <col min="1488" max="1489" width="9.28515625" style="1" bestFit="1" customWidth="1"/>
    <col min="1490" max="1490" width="9.140625" style="1"/>
    <col min="1491" max="1491" width="9.28515625" style="1" bestFit="1" customWidth="1"/>
    <col min="1492" max="1494" width="9.140625" style="1"/>
    <col min="1495" max="1497" width="9.28515625" style="1" bestFit="1" customWidth="1"/>
    <col min="1498" max="1500" width="9.140625" style="1"/>
    <col min="1501" max="1502" width="9.28515625" style="1" bestFit="1" customWidth="1"/>
    <col min="1503" max="1503" width="9.140625" style="1"/>
    <col min="1504" max="1505" width="9.28515625" style="1" bestFit="1" customWidth="1"/>
    <col min="1506" max="1506" width="9.140625" style="1"/>
    <col min="1507" max="1507" width="9.28515625" style="1" bestFit="1" customWidth="1"/>
    <col min="1508" max="1510" width="9.140625" style="1"/>
    <col min="1511" max="1513" width="9.28515625" style="1" bestFit="1" customWidth="1"/>
    <col min="1514" max="1516" width="9.140625" style="1"/>
    <col min="1517" max="1518" width="9.28515625" style="1" bestFit="1" customWidth="1"/>
    <col min="1519" max="1519" width="9.140625" style="1"/>
    <col min="1520" max="1521" width="9.28515625" style="1" bestFit="1" customWidth="1"/>
    <col min="1522" max="1522" width="9.140625" style="1"/>
    <col min="1523" max="1523" width="9.28515625" style="1" bestFit="1" customWidth="1"/>
    <col min="1524" max="1526" width="9.140625" style="1"/>
    <col min="1527" max="1529" width="9.28515625" style="1" bestFit="1" customWidth="1"/>
    <col min="1530" max="1532" width="9.140625" style="1"/>
    <col min="1533" max="1534" width="9.28515625" style="1" bestFit="1" customWidth="1"/>
    <col min="1535" max="1535" width="9.140625" style="1"/>
    <col min="1536" max="1537" width="9.28515625" style="1" bestFit="1" customWidth="1"/>
    <col min="1538" max="1538" width="9.140625" style="1"/>
    <col min="1539" max="1539" width="9.28515625" style="1" bestFit="1" customWidth="1"/>
    <col min="1540" max="1542" width="9.140625" style="1"/>
    <col min="1543" max="1545" width="9.28515625" style="1" bestFit="1" customWidth="1"/>
    <col min="1546" max="1548" width="9.140625" style="1"/>
    <col min="1549" max="1550" width="9.28515625" style="1" bestFit="1" customWidth="1"/>
    <col min="1551" max="1551" width="9.140625" style="1"/>
    <col min="1552" max="1553" width="9.28515625" style="1" bestFit="1" customWidth="1"/>
    <col min="1554" max="1554" width="9.140625" style="1"/>
    <col min="1555" max="1555" width="9.28515625" style="1" bestFit="1" customWidth="1"/>
    <col min="1556" max="1558" width="9.140625" style="1"/>
    <col min="1559" max="1561" width="9.28515625" style="1" bestFit="1" customWidth="1"/>
    <col min="1562" max="1564" width="9.140625" style="1"/>
    <col min="1565" max="1566" width="9.28515625" style="1" bestFit="1" customWidth="1"/>
    <col min="1567" max="1567" width="9.140625" style="1"/>
    <col min="1568" max="1569" width="9.28515625" style="1" bestFit="1" customWidth="1"/>
    <col min="1570" max="1570" width="9.140625" style="1"/>
    <col min="1571" max="1571" width="9.28515625" style="1" bestFit="1" customWidth="1"/>
    <col min="1572" max="1574" width="9.140625" style="1"/>
    <col min="1575" max="1577" width="9.28515625" style="1" bestFit="1" customWidth="1"/>
    <col min="1578" max="1580" width="9.140625" style="1"/>
    <col min="1581" max="1582" width="9.28515625" style="1" bestFit="1" customWidth="1"/>
    <col min="1583" max="1583" width="9.140625" style="1"/>
    <col min="1584" max="1585" width="9.28515625" style="1" bestFit="1" customWidth="1"/>
    <col min="1586" max="1586" width="9.140625" style="1"/>
    <col min="1587" max="1587" width="9.28515625" style="1" bestFit="1" customWidth="1"/>
    <col min="1588" max="1590" width="9.140625" style="1"/>
    <col min="1591" max="1593" width="9.28515625" style="1" bestFit="1" customWidth="1"/>
    <col min="1594" max="1596" width="9.140625" style="1"/>
    <col min="1597" max="1598" width="9.28515625" style="1" bestFit="1" customWidth="1"/>
    <col min="1599" max="1599" width="9.140625" style="1"/>
    <col min="1600" max="1601" width="9.28515625" style="1" bestFit="1" customWidth="1"/>
    <col min="1602" max="1602" width="9.140625" style="1"/>
    <col min="1603" max="1603" width="9.28515625" style="1" bestFit="1" customWidth="1"/>
    <col min="1604" max="1606" width="9.140625" style="1"/>
    <col min="1607" max="1609" width="9.28515625" style="1" bestFit="1" customWidth="1"/>
    <col min="1610" max="1612" width="9.140625" style="1"/>
    <col min="1613" max="1614" width="9.28515625" style="1" bestFit="1" customWidth="1"/>
    <col min="1615" max="1615" width="9.140625" style="1"/>
    <col min="1616" max="1617" width="9.28515625" style="1" bestFit="1" customWidth="1"/>
    <col min="1618" max="1618" width="9.140625" style="1"/>
    <col min="1619" max="1619" width="9.28515625" style="1" bestFit="1" customWidth="1"/>
    <col min="1620" max="1622" width="9.140625" style="1"/>
    <col min="1623" max="1625" width="9.28515625" style="1" bestFit="1" customWidth="1"/>
    <col min="1626" max="1628" width="9.140625" style="1"/>
    <col min="1629" max="1630" width="9.28515625" style="1" bestFit="1" customWidth="1"/>
    <col min="1631" max="1631" width="9.140625" style="1"/>
    <col min="1632" max="1633" width="9.28515625" style="1" bestFit="1" customWidth="1"/>
    <col min="1634" max="1634" width="9.140625" style="1"/>
    <col min="1635" max="1635" width="9.28515625" style="1" bestFit="1" customWidth="1"/>
    <col min="1636" max="1638" width="9.140625" style="1"/>
    <col min="1639" max="1641" width="9.28515625" style="1" bestFit="1" customWidth="1"/>
    <col min="1642" max="1644" width="9.140625" style="1"/>
    <col min="1645" max="1646" width="9.28515625" style="1" bestFit="1" customWidth="1"/>
    <col min="1647" max="1647" width="9.140625" style="1"/>
    <col min="1648" max="1649" width="9.28515625" style="1" bestFit="1" customWidth="1"/>
    <col min="1650" max="1650" width="9.140625" style="1"/>
    <col min="1651" max="1651" width="9.28515625" style="1" bestFit="1" customWidth="1"/>
    <col min="1652" max="1654" width="9.140625" style="1"/>
    <col min="1655" max="1657" width="9.28515625" style="1" bestFit="1" customWidth="1"/>
    <col min="1658" max="1660" width="9.140625" style="1"/>
    <col min="1661" max="1662" width="9.28515625" style="1" bestFit="1" customWidth="1"/>
    <col min="1663" max="1663" width="9.140625" style="1"/>
    <col min="1664" max="1665" width="9.28515625" style="1" bestFit="1" customWidth="1"/>
    <col min="1666" max="1666" width="9.140625" style="1"/>
    <col min="1667" max="1667" width="9.28515625" style="1" bestFit="1" customWidth="1"/>
    <col min="1668" max="1670" width="9.140625" style="1"/>
    <col min="1671" max="1673" width="9.28515625" style="1" bestFit="1" customWidth="1"/>
    <col min="1674" max="1676" width="9.140625" style="1"/>
    <col min="1677" max="1678" width="9.28515625" style="1" bestFit="1" customWidth="1"/>
    <col min="1679" max="1679" width="9.140625" style="1"/>
    <col min="1680" max="1681" width="9.28515625" style="1" bestFit="1" customWidth="1"/>
    <col min="1682" max="1682" width="9.140625" style="1"/>
    <col min="1683" max="1683" width="9.28515625" style="1" bestFit="1" customWidth="1"/>
    <col min="1684" max="1686" width="9.140625" style="1"/>
    <col min="1687" max="1689" width="9.28515625" style="1" bestFit="1" customWidth="1"/>
    <col min="1690" max="1692" width="9.140625" style="1"/>
    <col min="1693" max="1694" width="9.28515625" style="1" bestFit="1" customWidth="1"/>
    <col min="1695" max="1695" width="9.140625" style="1"/>
    <col min="1696" max="1697" width="9.28515625" style="1" bestFit="1" customWidth="1"/>
    <col min="1698" max="1698" width="9.140625" style="1"/>
    <col min="1699" max="1699" width="9.28515625" style="1" bestFit="1" customWidth="1"/>
    <col min="1700" max="1702" width="9.140625" style="1"/>
    <col min="1703" max="1705" width="9.28515625" style="1" bestFit="1" customWidth="1"/>
    <col min="1706" max="1708" width="9.140625" style="1"/>
    <col min="1709" max="1710" width="9.28515625" style="1" bestFit="1" customWidth="1"/>
    <col min="1711" max="1711" width="9.140625" style="1"/>
    <col min="1712" max="1713" width="9.28515625" style="1" bestFit="1" customWidth="1"/>
    <col min="1714" max="1714" width="9.140625" style="1"/>
    <col min="1715" max="1715" width="9.28515625" style="1" bestFit="1" customWidth="1"/>
    <col min="1716" max="1718" width="9.140625" style="1"/>
    <col min="1719" max="1721" width="9.28515625" style="1" bestFit="1" customWidth="1"/>
    <col min="1722" max="1724" width="9.140625" style="1"/>
    <col min="1725" max="1726" width="9.28515625" style="1" bestFit="1" customWidth="1"/>
    <col min="1727" max="1727" width="9.140625" style="1"/>
    <col min="1728" max="1729" width="9.28515625" style="1" bestFit="1" customWidth="1"/>
    <col min="1730" max="1730" width="9.140625" style="1"/>
    <col min="1731" max="1731" width="9.28515625" style="1" bestFit="1" customWidth="1"/>
    <col min="1732" max="1734" width="9.140625" style="1"/>
    <col min="1735" max="1737" width="9.28515625" style="1" bestFit="1" customWidth="1"/>
    <col min="1738" max="1740" width="9.140625" style="1"/>
    <col min="1741" max="1742" width="9.28515625" style="1" bestFit="1" customWidth="1"/>
    <col min="1743" max="1743" width="9.140625" style="1"/>
    <col min="1744" max="1745" width="9.28515625" style="1" bestFit="1" customWidth="1"/>
    <col min="1746" max="1746" width="9.140625" style="1"/>
    <col min="1747" max="1747" width="9.28515625" style="1" bestFit="1" customWidth="1"/>
    <col min="1748" max="1750" width="9.140625" style="1"/>
    <col min="1751" max="1753" width="9.28515625" style="1" bestFit="1" customWidth="1"/>
    <col min="1754" max="1756" width="9.140625" style="1"/>
    <col min="1757" max="1758" width="9.28515625" style="1" bestFit="1" customWidth="1"/>
    <col min="1759" max="1759" width="9.140625" style="1"/>
    <col min="1760" max="1761" width="9.28515625" style="1" bestFit="1" customWidth="1"/>
    <col min="1762" max="1762" width="9.140625" style="1"/>
    <col min="1763" max="1763" width="9.28515625" style="1" bestFit="1" customWidth="1"/>
    <col min="1764" max="1766" width="9.140625" style="1"/>
    <col min="1767" max="1769" width="9.28515625" style="1" bestFit="1" customWidth="1"/>
    <col min="1770" max="1772" width="9.140625" style="1"/>
    <col min="1773" max="1774" width="9.28515625" style="1" bestFit="1" customWidth="1"/>
    <col min="1775" max="1775" width="9.140625" style="1"/>
    <col min="1776" max="1777" width="9.28515625" style="1" bestFit="1" customWidth="1"/>
    <col min="1778" max="1778" width="9.140625" style="1"/>
    <col min="1779" max="1779" width="9.28515625" style="1" bestFit="1" customWidth="1"/>
    <col min="1780" max="1782" width="9.140625" style="1"/>
    <col min="1783" max="1785" width="9.28515625" style="1" bestFit="1" customWidth="1"/>
    <col min="1786" max="1788" width="9.140625" style="1"/>
    <col min="1789" max="1790" width="9.28515625" style="1" bestFit="1" customWidth="1"/>
    <col min="1791" max="1791" width="9.140625" style="1"/>
    <col min="1792" max="1793" width="9.28515625" style="1" bestFit="1" customWidth="1"/>
    <col min="1794" max="1794" width="9.140625" style="1"/>
    <col min="1795" max="1795" width="9.28515625" style="1" bestFit="1" customWidth="1"/>
    <col min="1796" max="1798" width="9.140625" style="1"/>
    <col min="1799" max="1801" width="9.28515625" style="1" bestFit="1" customWidth="1"/>
    <col min="1802" max="1804" width="9.140625" style="1"/>
    <col min="1805" max="1806" width="9.28515625" style="1" bestFit="1" customWidth="1"/>
    <col min="1807" max="1807" width="9.140625" style="1"/>
    <col min="1808" max="1809" width="9.28515625" style="1" bestFit="1" customWidth="1"/>
    <col min="1810" max="1810" width="9.140625" style="1"/>
    <col min="1811" max="1811" width="9.28515625" style="1" bestFit="1" customWidth="1"/>
    <col min="1812" max="1814" width="9.140625" style="1"/>
    <col min="1815" max="1817" width="9.28515625" style="1" bestFit="1" customWidth="1"/>
    <col min="1818" max="1820" width="9.140625" style="1"/>
    <col min="1821" max="1822" width="9.28515625" style="1" bestFit="1" customWidth="1"/>
    <col min="1823" max="1823" width="9.140625" style="1"/>
    <col min="1824" max="1825" width="9.28515625" style="1" bestFit="1" customWidth="1"/>
    <col min="1826" max="1826" width="9.140625" style="1"/>
    <col min="1827" max="1827" width="9.28515625" style="1" bestFit="1" customWidth="1"/>
    <col min="1828" max="1830" width="9.140625" style="1"/>
    <col min="1831" max="1833" width="9.28515625" style="1" bestFit="1" customWidth="1"/>
    <col min="1834" max="1836" width="9.140625" style="1"/>
    <col min="1837" max="1838" width="9.28515625" style="1" bestFit="1" customWidth="1"/>
    <col min="1839" max="1839" width="9.140625" style="1"/>
    <col min="1840" max="1841" width="9.28515625" style="1" bestFit="1" customWidth="1"/>
    <col min="1842" max="1842" width="9.140625" style="1"/>
    <col min="1843" max="1843" width="9.28515625" style="1" bestFit="1" customWidth="1"/>
    <col min="1844" max="1846" width="9.140625" style="1"/>
    <col min="1847" max="1849" width="9.28515625" style="1" bestFit="1" customWidth="1"/>
    <col min="1850" max="1852" width="9.140625" style="1"/>
    <col min="1853" max="1854" width="9.28515625" style="1" bestFit="1" customWidth="1"/>
    <col min="1855" max="1855" width="9.140625" style="1"/>
    <col min="1856" max="1857" width="9.28515625" style="1" bestFit="1" customWidth="1"/>
    <col min="1858" max="1858" width="9.140625" style="1"/>
    <col min="1859" max="1859" width="9.28515625" style="1" bestFit="1" customWidth="1"/>
    <col min="1860" max="1862" width="9.140625" style="1"/>
    <col min="1863" max="1865" width="9.28515625" style="1" bestFit="1" customWidth="1"/>
    <col min="1866" max="1868" width="9.140625" style="1"/>
    <col min="1869" max="1870" width="9.28515625" style="1" bestFit="1" customWidth="1"/>
    <col min="1871" max="1871" width="9.140625" style="1"/>
    <col min="1872" max="1873" width="9.28515625" style="1" bestFit="1" customWidth="1"/>
    <col min="1874" max="1874" width="9.140625" style="1"/>
    <col min="1875" max="1875" width="9.28515625" style="1" bestFit="1" customWidth="1"/>
    <col min="1876" max="1878" width="9.140625" style="1"/>
    <col min="1879" max="1881" width="9.28515625" style="1" bestFit="1" customWidth="1"/>
    <col min="1882" max="1884" width="9.140625" style="1"/>
    <col min="1885" max="1886" width="9.28515625" style="1" bestFit="1" customWidth="1"/>
    <col min="1887" max="1887" width="9.140625" style="1"/>
    <col min="1888" max="1889" width="9.28515625" style="1" bestFit="1" customWidth="1"/>
    <col min="1890" max="1890" width="9.140625" style="1"/>
    <col min="1891" max="1891" width="9.28515625" style="1" bestFit="1" customWidth="1"/>
    <col min="1892" max="1894" width="9.140625" style="1"/>
    <col min="1895" max="1897" width="9.28515625" style="1" bestFit="1" customWidth="1"/>
    <col min="1898" max="1900" width="9.140625" style="1"/>
    <col min="1901" max="1902" width="9.28515625" style="1" bestFit="1" customWidth="1"/>
    <col min="1903" max="1903" width="9.140625" style="1"/>
    <col min="1904" max="1905" width="9.28515625" style="1" bestFit="1" customWidth="1"/>
    <col min="1906" max="1906" width="9.140625" style="1"/>
    <col min="1907" max="1907" width="9.28515625" style="1" bestFit="1" customWidth="1"/>
    <col min="1908" max="1910" width="9.140625" style="1"/>
    <col min="1911" max="1913" width="9.28515625" style="1" bestFit="1" customWidth="1"/>
    <col min="1914" max="1916" width="9.140625" style="1"/>
    <col min="1917" max="1918" width="9.28515625" style="1" bestFit="1" customWidth="1"/>
    <col min="1919" max="1919" width="9.140625" style="1"/>
    <col min="1920" max="1921" width="9.28515625" style="1" bestFit="1" customWidth="1"/>
    <col min="1922" max="1922" width="9.140625" style="1"/>
    <col min="1923" max="1923" width="9.28515625" style="1" bestFit="1" customWidth="1"/>
    <col min="1924" max="1926" width="9.140625" style="1"/>
    <col min="1927" max="1929" width="9.28515625" style="1" bestFit="1" customWidth="1"/>
    <col min="1930" max="1932" width="9.140625" style="1"/>
    <col min="1933" max="1934" width="9.28515625" style="1" bestFit="1" customWidth="1"/>
    <col min="1935" max="1935" width="9.140625" style="1"/>
    <col min="1936" max="1937" width="9.28515625" style="1" bestFit="1" customWidth="1"/>
    <col min="1938" max="1938" width="9.140625" style="1"/>
    <col min="1939" max="1939" width="9.28515625" style="1" bestFit="1" customWidth="1"/>
    <col min="1940" max="1942" width="9.140625" style="1"/>
    <col min="1943" max="1945" width="9.28515625" style="1" bestFit="1" customWidth="1"/>
    <col min="1946" max="1948" width="9.140625" style="1"/>
    <col min="1949" max="1950" width="9.28515625" style="1" bestFit="1" customWidth="1"/>
    <col min="1951" max="1951" width="9.140625" style="1"/>
    <col min="1952" max="1953" width="9.28515625" style="1" bestFit="1" customWidth="1"/>
    <col min="1954" max="1954" width="9.140625" style="1"/>
    <col min="1955" max="1955" width="9.28515625" style="1" bestFit="1" customWidth="1"/>
    <col min="1956" max="1958" width="9.140625" style="1"/>
    <col min="1959" max="1961" width="9.28515625" style="1" bestFit="1" customWidth="1"/>
    <col min="1962" max="1964" width="9.140625" style="1"/>
    <col min="1965" max="1966" width="9.28515625" style="1" bestFit="1" customWidth="1"/>
    <col min="1967" max="1967" width="9.140625" style="1"/>
    <col min="1968" max="1969" width="9.28515625" style="1" bestFit="1" customWidth="1"/>
    <col min="1970" max="1970" width="9.140625" style="1"/>
    <col min="1971" max="1971" width="9.28515625" style="1" bestFit="1" customWidth="1"/>
    <col min="1972" max="1974" width="9.140625" style="1"/>
    <col min="1975" max="1977" width="9.28515625" style="1" bestFit="1" customWidth="1"/>
    <col min="1978" max="1980" width="9.140625" style="1"/>
    <col min="1981" max="1982" width="9.28515625" style="1" bestFit="1" customWidth="1"/>
    <col min="1983" max="1983" width="9.140625" style="1"/>
    <col min="1984" max="1985" width="9.28515625" style="1" bestFit="1" customWidth="1"/>
    <col min="1986" max="1986" width="9.140625" style="1"/>
    <col min="1987" max="1987" width="9.28515625" style="1" bestFit="1" customWidth="1"/>
    <col min="1988" max="1990" width="9.140625" style="1"/>
    <col min="1991" max="1993" width="9.28515625" style="1" bestFit="1" customWidth="1"/>
    <col min="1994" max="1996" width="9.140625" style="1"/>
    <col min="1997" max="1998" width="9.28515625" style="1" bestFit="1" customWidth="1"/>
    <col min="1999" max="1999" width="9.140625" style="1"/>
    <col min="2000" max="2001" width="9.28515625" style="1" bestFit="1" customWidth="1"/>
    <col min="2002" max="2002" width="9.140625" style="1"/>
    <col min="2003" max="2003" width="9.28515625" style="1" bestFit="1" customWidth="1"/>
    <col min="2004" max="2006" width="9.140625" style="1"/>
    <col min="2007" max="2009" width="9.28515625" style="1" bestFit="1" customWidth="1"/>
    <col min="2010" max="2012" width="9.140625" style="1"/>
    <col min="2013" max="2014" width="9.28515625" style="1" bestFit="1" customWidth="1"/>
    <col min="2015" max="2015" width="9.140625" style="1"/>
    <col min="2016" max="2017" width="9.28515625" style="1" bestFit="1" customWidth="1"/>
    <col min="2018" max="2018" width="9.140625" style="1"/>
    <col min="2019" max="2019" width="9.28515625" style="1" bestFit="1" customWidth="1"/>
    <col min="2020" max="2022" width="9.140625" style="1"/>
    <col min="2023" max="2025" width="9.28515625" style="1" bestFit="1" customWidth="1"/>
    <col min="2026" max="2028" width="9.140625" style="1"/>
    <col min="2029" max="2030" width="9.28515625" style="1" bestFit="1" customWidth="1"/>
    <col min="2031" max="2031" width="9.140625" style="1"/>
    <col min="2032" max="2033" width="9.28515625" style="1" bestFit="1" customWidth="1"/>
    <col min="2034" max="2034" width="9.140625" style="1"/>
    <col min="2035" max="2035" width="9.28515625" style="1" bestFit="1" customWidth="1"/>
    <col min="2036" max="2038" width="9.140625" style="1"/>
    <col min="2039" max="2041" width="9.28515625" style="1" bestFit="1" customWidth="1"/>
    <col min="2042" max="2044" width="9.140625" style="1"/>
    <col min="2045" max="2046" width="9.28515625" style="1" bestFit="1" customWidth="1"/>
    <col min="2047" max="2047" width="9.140625" style="1"/>
    <col min="2048" max="2049" width="9.28515625" style="1" bestFit="1" customWidth="1"/>
    <col min="2050" max="2050" width="9.140625" style="1"/>
    <col min="2051" max="2051" width="9.28515625" style="1" bestFit="1" customWidth="1"/>
    <col min="2052" max="2054" width="9.140625" style="1"/>
    <col min="2055" max="2057" width="9.28515625" style="1" bestFit="1" customWidth="1"/>
    <col min="2058" max="2060" width="9.140625" style="1"/>
    <col min="2061" max="2062" width="9.28515625" style="1" bestFit="1" customWidth="1"/>
    <col min="2063" max="2063" width="9.140625" style="1"/>
    <col min="2064" max="2065" width="9.28515625" style="1" bestFit="1" customWidth="1"/>
    <col min="2066" max="2066" width="9.140625" style="1"/>
    <col min="2067" max="2067" width="9.28515625" style="1" bestFit="1" customWidth="1"/>
    <col min="2068" max="2070" width="9.140625" style="1"/>
    <col min="2071" max="2073" width="9.28515625" style="1" bestFit="1" customWidth="1"/>
    <col min="2074" max="2076" width="9.140625" style="1"/>
    <col min="2077" max="2078" width="9.28515625" style="1" bestFit="1" customWidth="1"/>
    <col min="2079" max="2079" width="9.140625" style="1"/>
    <col min="2080" max="2081" width="9.28515625" style="1" bestFit="1" customWidth="1"/>
    <col min="2082" max="2082" width="9.140625" style="1"/>
    <col min="2083" max="2083" width="9.28515625" style="1" bestFit="1" customWidth="1"/>
    <col min="2084" max="2086" width="9.140625" style="1"/>
    <col min="2087" max="2089" width="9.28515625" style="1" bestFit="1" customWidth="1"/>
    <col min="2090" max="2092" width="9.140625" style="1"/>
    <col min="2093" max="2094" width="9.28515625" style="1" bestFit="1" customWidth="1"/>
    <col min="2095" max="2095" width="9.140625" style="1"/>
    <col min="2096" max="2097" width="9.28515625" style="1" bestFit="1" customWidth="1"/>
    <col min="2098" max="2098" width="9.140625" style="1"/>
    <col min="2099" max="2099" width="9.28515625" style="1" bestFit="1" customWidth="1"/>
    <col min="2100" max="2102" width="9.140625" style="1"/>
    <col min="2103" max="2105" width="9.28515625" style="1" bestFit="1" customWidth="1"/>
    <col min="2106" max="2108" width="9.140625" style="1"/>
    <col min="2109" max="2110" width="9.28515625" style="1" bestFit="1" customWidth="1"/>
    <col min="2111" max="2111" width="9.140625" style="1"/>
    <col min="2112" max="2113" width="9.28515625" style="1" bestFit="1" customWidth="1"/>
    <col min="2114" max="2114" width="9.140625" style="1"/>
    <col min="2115" max="2115" width="9.28515625" style="1" bestFit="1" customWidth="1"/>
    <col min="2116" max="2118" width="9.140625" style="1"/>
    <col min="2119" max="2121" width="9.28515625" style="1" bestFit="1" customWidth="1"/>
    <col min="2122" max="2124" width="9.140625" style="1"/>
    <col min="2125" max="2126" width="9.28515625" style="1" bestFit="1" customWidth="1"/>
    <col min="2127" max="2127" width="9.140625" style="1"/>
    <col min="2128" max="2129" width="9.28515625" style="1" bestFit="1" customWidth="1"/>
    <col min="2130" max="2130" width="9.140625" style="1"/>
    <col min="2131" max="2131" width="9.28515625" style="1" bestFit="1" customWidth="1"/>
    <col min="2132" max="2134" width="9.140625" style="1"/>
    <col min="2135" max="2137" width="9.28515625" style="1" bestFit="1" customWidth="1"/>
    <col min="2138" max="2140" width="9.140625" style="1"/>
    <col min="2141" max="2142" width="9.28515625" style="1" bestFit="1" customWidth="1"/>
    <col min="2143" max="2143" width="9.140625" style="1"/>
    <col min="2144" max="2145" width="9.28515625" style="1" bestFit="1" customWidth="1"/>
    <col min="2146" max="2146" width="9.140625" style="1"/>
    <col min="2147" max="2147" width="9.28515625" style="1" bestFit="1" customWidth="1"/>
    <col min="2148" max="2150" width="9.140625" style="1"/>
    <col min="2151" max="2153" width="9.28515625" style="1" bestFit="1" customWidth="1"/>
    <col min="2154" max="2156" width="9.140625" style="1"/>
    <col min="2157" max="2158" width="9.28515625" style="1" bestFit="1" customWidth="1"/>
    <col min="2159" max="2159" width="9.140625" style="1"/>
    <col min="2160" max="2161" width="9.28515625" style="1" bestFit="1" customWidth="1"/>
    <col min="2162" max="2162" width="9.140625" style="1"/>
    <col min="2163" max="2163" width="9.28515625" style="1" bestFit="1" customWidth="1"/>
    <col min="2164" max="2166" width="9.140625" style="1"/>
    <col min="2167" max="2169" width="9.28515625" style="1" bestFit="1" customWidth="1"/>
    <col min="2170" max="2172" width="9.140625" style="1"/>
    <col min="2173" max="2174" width="9.28515625" style="1" bestFit="1" customWidth="1"/>
    <col min="2175" max="2175" width="9.140625" style="1"/>
    <col min="2176" max="2177" width="9.28515625" style="1" bestFit="1" customWidth="1"/>
    <col min="2178" max="2178" width="9.140625" style="1"/>
    <col min="2179" max="2179" width="9.28515625" style="1" bestFit="1" customWidth="1"/>
    <col min="2180" max="2182" width="9.140625" style="1"/>
    <col min="2183" max="2185" width="9.28515625" style="1" bestFit="1" customWidth="1"/>
    <col min="2186" max="2188" width="9.140625" style="1"/>
    <col min="2189" max="2190" width="9.28515625" style="1" bestFit="1" customWidth="1"/>
    <col min="2191" max="2191" width="9.140625" style="1"/>
    <col min="2192" max="2193" width="9.28515625" style="1" bestFit="1" customWidth="1"/>
    <col min="2194" max="2194" width="9.140625" style="1"/>
    <col min="2195" max="2195" width="9.28515625" style="1" bestFit="1" customWidth="1"/>
    <col min="2196" max="2198" width="9.140625" style="1"/>
    <col min="2199" max="2201" width="9.28515625" style="1" bestFit="1" customWidth="1"/>
    <col min="2202" max="2204" width="9.140625" style="1"/>
    <col min="2205" max="2206" width="9.28515625" style="1" bestFit="1" customWidth="1"/>
    <col min="2207" max="2207" width="9.140625" style="1"/>
    <col min="2208" max="2209" width="9.28515625" style="1" bestFit="1" customWidth="1"/>
    <col min="2210" max="2210" width="9.140625" style="1"/>
    <col min="2211" max="2211" width="9.28515625" style="1" bestFit="1" customWidth="1"/>
    <col min="2212" max="2214" width="9.140625" style="1"/>
    <col min="2215" max="2217" width="9.28515625" style="1" bestFit="1" customWidth="1"/>
    <col min="2218" max="2220" width="9.140625" style="1"/>
    <col min="2221" max="2222" width="9.28515625" style="1" bestFit="1" customWidth="1"/>
    <col min="2223" max="2223" width="9.140625" style="1"/>
    <col min="2224" max="2225" width="9.28515625" style="1" bestFit="1" customWidth="1"/>
    <col min="2226" max="2226" width="9.140625" style="1"/>
    <col min="2227" max="2227" width="9.28515625" style="1" bestFit="1" customWidth="1"/>
    <col min="2228" max="2230" width="9.140625" style="1"/>
    <col min="2231" max="2233" width="9.28515625" style="1" bestFit="1" customWidth="1"/>
    <col min="2234" max="2236" width="9.140625" style="1"/>
    <col min="2237" max="2238" width="9.28515625" style="1" bestFit="1" customWidth="1"/>
    <col min="2239" max="2239" width="9.140625" style="1"/>
    <col min="2240" max="2241" width="9.28515625" style="1" bestFit="1" customWidth="1"/>
    <col min="2242" max="2242" width="9.140625" style="1"/>
    <col min="2243" max="2243" width="9.28515625" style="1" bestFit="1" customWidth="1"/>
    <col min="2244" max="2246" width="9.140625" style="1"/>
    <col min="2247" max="2249" width="9.28515625" style="1" bestFit="1" customWidth="1"/>
    <col min="2250" max="2252" width="9.140625" style="1"/>
    <col min="2253" max="2254" width="9.28515625" style="1" bestFit="1" customWidth="1"/>
    <col min="2255" max="2255" width="9.140625" style="1"/>
    <col min="2256" max="2257" width="9.28515625" style="1" bestFit="1" customWidth="1"/>
    <col min="2258" max="2258" width="9.140625" style="1"/>
    <col min="2259" max="2259" width="9.28515625" style="1" bestFit="1" customWidth="1"/>
    <col min="2260" max="2262" width="9.140625" style="1"/>
    <col min="2263" max="2265" width="9.28515625" style="1" bestFit="1" customWidth="1"/>
    <col min="2266" max="2268" width="9.140625" style="1"/>
    <col min="2269" max="2270" width="9.28515625" style="1" bestFit="1" customWidth="1"/>
    <col min="2271" max="2271" width="9.140625" style="1"/>
    <col min="2272" max="2273" width="9.28515625" style="1" bestFit="1" customWidth="1"/>
    <col min="2274" max="2274" width="9.140625" style="1"/>
    <col min="2275" max="2275" width="9.28515625" style="1" bestFit="1" customWidth="1"/>
    <col min="2276" max="2278" width="9.140625" style="1"/>
    <col min="2279" max="2281" width="9.28515625" style="1" bestFit="1" customWidth="1"/>
    <col min="2282" max="2284" width="9.140625" style="1"/>
    <col min="2285" max="2286" width="9.28515625" style="1" bestFit="1" customWidth="1"/>
    <col min="2287" max="2287" width="9.140625" style="1"/>
    <col min="2288" max="2289" width="9.28515625" style="1" bestFit="1" customWidth="1"/>
    <col min="2290" max="2290" width="9.140625" style="1"/>
    <col min="2291" max="2291" width="9.28515625" style="1" bestFit="1" customWidth="1"/>
    <col min="2292" max="2294" width="9.140625" style="1"/>
    <col min="2295" max="2297" width="9.28515625" style="1" bestFit="1" customWidth="1"/>
    <col min="2298" max="2300" width="9.140625" style="1"/>
    <col min="2301" max="2302" width="9.28515625" style="1" bestFit="1" customWidth="1"/>
    <col min="2303" max="2303" width="9.140625" style="1"/>
    <col min="2304" max="2305" width="9.28515625" style="1" bestFit="1" customWidth="1"/>
    <col min="2306" max="2306" width="9.140625" style="1"/>
    <col min="2307" max="2307" width="9.28515625" style="1" bestFit="1" customWidth="1"/>
    <col min="2308" max="2310" width="9.140625" style="1"/>
    <col min="2311" max="2313" width="9.28515625" style="1" bestFit="1" customWidth="1"/>
    <col min="2314" max="2316" width="9.140625" style="1"/>
    <col min="2317" max="2318" width="9.28515625" style="1" bestFit="1" customWidth="1"/>
    <col min="2319" max="2319" width="9.140625" style="1"/>
    <col min="2320" max="2321" width="9.28515625" style="1" bestFit="1" customWidth="1"/>
    <col min="2322" max="2322" width="9.140625" style="1"/>
    <col min="2323" max="2323" width="9.28515625" style="1" bestFit="1" customWidth="1"/>
    <col min="2324" max="2326" width="9.140625" style="1"/>
    <col min="2327" max="2329" width="9.28515625" style="1" bestFit="1" customWidth="1"/>
    <col min="2330" max="2332" width="9.140625" style="1"/>
    <col min="2333" max="2334" width="9.28515625" style="1" bestFit="1" customWidth="1"/>
    <col min="2335" max="2335" width="9.140625" style="1"/>
    <col min="2336" max="2337" width="9.28515625" style="1" bestFit="1" customWidth="1"/>
    <col min="2338" max="2338" width="9.140625" style="1"/>
    <col min="2339" max="2339" width="9.28515625" style="1" bestFit="1" customWidth="1"/>
    <col min="2340" max="2342" width="9.140625" style="1"/>
    <col min="2343" max="2345" width="9.28515625" style="1" bestFit="1" customWidth="1"/>
    <col min="2346" max="2348" width="9.140625" style="1"/>
    <col min="2349" max="2350" width="9.28515625" style="1" bestFit="1" customWidth="1"/>
    <col min="2351" max="2351" width="9.140625" style="1"/>
    <col min="2352" max="2353" width="9.28515625" style="1" bestFit="1" customWidth="1"/>
    <col min="2354" max="2354" width="9.140625" style="1"/>
    <col min="2355" max="2355" width="9.28515625" style="1" bestFit="1" customWidth="1"/>
    <col min="2356" max="2358" width="9.140625" style="1"/>
    <col min="2359" max="2361" width="9.28515625" style="1" bestFit="1" customWidth="1"/>
    <col min="2362" max="2364" width="9.140625" style="1"/>
    <col min="2365" max="2366" width="9.28515625" style="1" bestFit="1" customWidth="1"/>
    <col min="2367" max="2367" width="9.140625" style="1"/>
    <col min="2368" max="2369" width="9.28515625" style="1" bestFit="1" customWidth="1"/>
    <col min="2370" max="2370" width="9.140625" style="1"/>
    <col min="2371" max="2371" width="9.28515625" style="1" bestFit="1" customWidth="1"/>
    <col min="2372" max="2374" width="9.140625" style="1"/>
    <col min="2375" max="2377" width="9.28515625" style="1" bestFit="1" customWidth="1"/>
    <col min="2378" max="2380" width="9.140625" style="1"/>
    <col min="2381" max="2382" width="9.28515625" style="1" bestFit="1" customWidth="1"/>
    <col min="2383" max="2383" width="9.140625" style="1"/>
    <col min="2384" max="2385" width="9.28515625" style="1" bestFit="1" customWidth="1"/>
    <col min="2386" max="2386" width="9.140625" style="1"/>
    <col min="2387" max="2387" width="9.28515625" style="1" bestFit="1" customWidth="1"/>
    <col min="2388" max="2390" width="9.140625" style="1"/>
    <col min="2391" max="2393" width="9.28515625" style="1" bestFit="1" customWidth="1"/>
    <col min="2394" max="2396" width="9.140625" style="1"/>
    <col min="2397" max="2398" width="9.28515625" style="1" bestFit="1" customWidth="1"/>
    <col min="2399" max="2399" width="9.140625" style="1"/>
    <col min="2400" max="2401" width="9.28515625" style="1" bestFit="1" customWidth="1"/>
    <col min="2402" max="2402" width="9.140625" style="1"/>
    <col min="2403" max="2403" width="9.28515625" style="1" bestFit="1" customWidth="1"/>
    <col min="2404" max="2406" width="9.140625" style="1"/>
    <col min="2407" max="2409" width="9.28515625" style="1" bestFit="1" customWidth="1"/>
    <col min="2410" max="2412" width="9.140625" style="1"/>
    <col min="2413" max="2414" width="9.28515625" style="1" bestFit="1" customWidth="1"/>
    <col min="2415" max="2415" width="9.140625" style="1"/>
    <col min="2416" max="2417" width="9.28515625" style="1" bestFit="1" customWidth="1"/>
    <col min="2418" max="2418" width="9.140625" style="1"/>
    <col min="2419" max="2419" width="9.28515625" style="1" bestFit="1" customWidth="1"/>
    <col min="2420" max="2422" width="9.140625" style="1"/>
    <col min="2423" max="2425" width="9.28515625" style="1" bestFit="1" customWidth="1"/>
    <col min="2426" max="2428" width="9.140625" style="1"/>
    <col min="2429" max="2430" width="9.28515625" style="1" bestFit="1" customWidth="1"/>
    <col min="2431" max="2431" width="9.140625" style="1"/>
    <col min="2432" max="2433" width="9.28515625" style="1" bestFit="1" customWidth="1"/>
    <col min="2434" max="2434" width="9.140625" style="1"/>
    <col min="2435" max="2435" width="9.28515625" style="1" bestFit="1" customWidth="1"/>
    <col min="2436" max="2438" width="9.140625" style="1"/>
    <col min="2439" max="2441" width="9.28515625" style="1" bestFit="1" customWidth="1"/>
    <col min="2442" max="2444" width="9.140625" style="1"/>
    <col min="2445" max="2446" width="9.28515625" style="1" bestFit="1" customWidth="1"/>
    <col min="2447" max="2447" width="9.140625" style="1"/>
    <col min="2448" max="2449" width="9.28515625" style="1" bestFit="1" customWidth="1"/>
    <col min="2450" max="2450" width="9.140625" style="1"/>
    <col min="2451" max="2451" width="9.28515625" style="1" bestFit="1" customWidth="1"/>
    <col min="2452" max="2454" width="9.140625" style="1"/>
    <col min="2455" max="2457" width="9.28515625" style="1" bestFit="1" customWidth="1"/>
    <col min="2458" max="2460" width="9.140625" style="1"/>
    <col min="2461" max="2462" width="9.28515625" style="1" bestFit="1" customWidth="1"/>
    <col min="2463" max="2463" width="9.140625" style="1"/>
    <col min="2464" max="2465" width="9.28515625" style="1" bestFit="1" customWidth="1"/>
    <col min="2466" max="2466" width="9.140625" style="1"/>
    <col min="2467" max="2467" width="9.28515625" style="1" bestFit="1" customWidth="1"/>
    <col min="2468" max="2470" width="9.140625" style="1"/>
    <col min="2471" max="2473" width="9.28515625" style="1" bestFit="1" customWidth="1"/>
    <col min="2474" max="2476" width="9.140625" style="1"/>
    <col min="2477" max="2478" width="9.28515625" style="1" bestFit="1" customWidth="1"/>
    <col min="2479" max="2479" width="9.140625" style="1"/>
    <col min="2480" max="2481" width="9.28515625" style="1" bestFit="1" customWidth="1"/>
    <col min="2482" max="2482" width="9.140625" style="1"/>
    <col min="2483" max="2483" width="9.28515625" style="1" bestFit="1" customWidth="1"/>
    <col min="2484" max="2486" width="9.140625" style="1"/>
    <col min="2487" max="2489" width="9.28515625" style="1" bestFit="1" customWidth="1"/>
    <col min="2490" max="2492" width="9.140625" style="1"/>
    <col min="2493" max="2494" width="9.28515625" style="1" bestFit="1" customWidth="1"/>
    <col min="2495" max="2495" width="9.140625" style="1"/>
    <col min="2496" max="2497" width="9.28515625" style="1" bestFit="1" customWidth="1"/>
    <col min="2498" max="2498" width="9.140625" style="1"/>
    <col min="2499" max="2499" width="9.28515625" style="1" bestFit="1" customWidth="1"/>
    <col min="2500" max="2502" width="9.140625" style="1"/>
    <col min="2503" max="2505" width="9.28515625" style="1" bestFit="1" customWidth="1"/>
    <col min="2506" max="2508" width="9.140625" style="1"/>
    <col min="2509" max="2510" width="9.28515625" style="1" bestFit="1" customWidth="1"/>
    <col min="2511" max="2511" width="9.140625" style="1"/>
    <col min="2512" max="2513" width="9.28515625" style="1" bestFit="1" customWidth="1"/>
    <col min="2514" max="2514" width="9.140625" style="1"/>
    <col min="2515" max="2515" width="9.28515625" style="1" bestFit="1" customWidth="1"/>
    <col min="2516" max="2518" width="9.140625" style="1"/>
    <col min="2519" max="2521" width="9.28515625" style="1" bestFit="1" customWidth="1"/>
    <col min="2522" max="2524" width="9.140625" style="1"/>
    <col min="2525" max="2526" width="9.28515625" style="1" bestFit="1" customWidth="1"/>
    <col min="2527" max="2527" width="9.140625" style="1"/>
    <col min="2528" max="2529" width="9.28515625" style="1" bestFit="1" customWidth="1"/>
    <col min="2530" max="2530" width="9.140625" style="1"/>
    <col min="2531" max="2531" width="9.28515625" style="1" bestFit="1" customWidth="1"/>
    <col min="2532" max="2534" width="9.140625" style="1"/>
    <col min="2535" max="2537" width="9.28515625" style="1" bestFit="1" customWidth="1"/>
    <col min="2538" max="2540" width="9.140625" style="1"/>
    <col min="2541" max="2542" width="9.28515625" style="1" bestFit="1" customWidth="1"/>
    <col min="2543" max="2543" width="9.140625" style="1"/>
    <col min="2544" max="2545" width="9.28515625" style="1" bestFit="1" customWidth="1"/>
    <col min="2546" max="2546" width="9.140625" style="1"/>
    <col min="2547" max="2547" width="9.28515625" style="1" bestFit="1" customWidth="1"/>
    <col min="2548" max="2550" width="9.140625" style="1"/>
    <col min="2551" max="2553" width="9.28515625" style="1" bestFit="1" customWidth="1"/>
    <col min="2554" max="2556" width="9.140625" style="1"/>
    <col min="2557" max="2558" width="9.28515625" style="1" bestFit="1" customWidth="1"/>
    <col min="2559" max="2559" width="9.140625" style="1"/>
    <col min="2560" max="2561" width="9.28515625" style="1" bestFit="1" customWidth="1"/>
    <col min="2562" max="2562" width="9.140625" style="1"/>
    <col min="2563" max="2563" width="9.28515625" style="1" bestFit="1" customWidth="1"/>
    <col min="2564" max="2566" width="9.140625" style="1"/>
    <col min="2567" max="2569" width="9.28515625" style="1" bestFit="1" customWidth="1"/>
    <col min="2570" max="2572" width="9.140625" style="1"/>
    <col min="2573" max="2574" width="9.28515625" style="1" bestFit="1" customWidth="1"/>
    <col min="2575" max="2575" width="9.140625" style="1"/>
    <col min="2576" max="2577" width="9.28515625" style="1" bestFit="1" customWidth="1"/>
    <col min="2578" max="2578" width="9.140625" style="1"/>
    <col min="2579" max="2579" width="9.28515625" style="1" bestFit="1" customWidth="1"/>
    <col min="2580" max="2582" width="9.140625" style="1"/>
    <col min="2583" max="2585" width="9.28515625" style="1" bestFit="1" customWidth="1"/>
    <col min="2586" max="2588" width="9.140625" style="1"/>
    <col min="2589" max="2590" width="9.28515625" style="1" bestFit="1" customWidth="1"/>
    <col min="2591" max="2591" width="9.140625" style="1"/>
    <col min="2592" max="2593" width="9.28515625" style="1" bestFit="1" customWidth="1"/>
    <col min="2594" max="2594" width="9.140625" style="1"/>
    <col min="2595" max="2595" width="9.28515625" style="1" bestFit="1" customWidth="1"/>
    <col min="2596" max="2598" width="9.140625" style="1"/>
    <col min="2599" max="2601" width="9.28515625" style="1" bestFit="1" customWidth="1"/>
    <col min="2602" max="2604" width="9.140625" style="1"/>
    <col min="2605" max="2606" width="9.28515625" style="1" bestFit="1" customWidth="1"/>
    <col min="2607" max="2607" width="9.140625" style="1"/>
    <col min="2608" max="2609" width="9.28515625" style="1" bestFit="1" customWidth="1"/>
    <col min="2610" max="2610" width="9.140625" style="1"/>
    <col min="2611" max="2611" width="9.28515625" style="1" bestFit="1" customWidth="1"/>
    <col min="2612" max="2614" width="9.140625" style="1"/>
    <col min="2615" max="2617" width="9.28515625" style="1" bestFit="1" customWidth="1"/>
    <col min="2618" max="2620" width="9.140625" style="1"/>
    <col min="2621" max="2622" width="9.28515625" style="1" bestFit="1" customWidth="1"/>
    <col min="2623" max="2623" width="9.140625" style="1"/>
    <col min="2624" max="2625" width="9.28515625" style="1" bestFit="1" customWidth="1"/>
    <col min="2626" max="2626" width="9.140625" style="1"/>
    <col min="2627" max="2627" width="9.28515625" style="1" bestFit="1" customWidth="1"/>
    <col min="2628" max="2630" width="9.140625" style="1"/>
    <col min="2631" max="2633" width="9.28515625" style="1" bestFit="1" customWidth="1"/>
    <col min="2634" max="2636" width="9.140625" style="1"/>
    <col min="2637" max="2638" width="9.28515625" style="1" bestFit="1" customWidth="1"/>
    <col min="2639" max="2639" width="9.140625" style="1"/>
    <col min="2640" max="2641" width="9.28515625" style="1" bestFit="1" customWidth="1"/>
    <col min="2642" max="2642" width="9.140625" style="1"/>
    <col min="2643" max="2643" width="9.28515625" style="1" bestFit="1" customWidth="1"/>
    <col min="2644" max="2646" width="9.140625" style="1"/>
    <col min="2647" max="2649" width="9.28515625" style="1" bestFit="1" customWidth="1"/>
    <col min="2650" max="2652" width="9.140625" style="1"/>
    <col min="2653" max="2654" width="9.28515625" style="1" bestFit="1" customWidth="1"/>
    <col min="2655" max="2655" width="9.140625" style="1"/>
    <col min="2656" max="2657" width="9.28515625" style="1" bestFit="1" customWidth="1"/>
    <col min="2658" max="2658" width="9.140625" style="1"/>
    <col min="2659" max="2659" width="9.28515625" style="1" bestFit="1" customWidth="1"/>
    <col min="2660" max="2662" width="9.140625" style="1"/>
    <col min="2663" max="2665" width="9.28515625" style="1" bestFit="1" customWidth="1"/>
    <col min="2666" max="2668" width="9.140625" style="1"/>
    <col min="2669" max="2670" width="9.28515625" style="1" bestFit="1" customWidth="1"/>
    <col min="2671" max="2671" width="9.140625" style="1"/>
    <col min="2672" max="2673" width="9.28515625" style="1" bestFit="1" customWidth="1"/>
    <col min="2674" max="2674" width="9.140625" style="1"/>
    <col min="2675" max="2675" width="9.28515625" style="1" bestFit="1" customWidth="1"/>
    <col min="2676" max="2678" width="9.140625" style="1"/>
    <col min="2679" max="2681" width="9.28515625" style="1" bestFit="1" customWidth="1"/>
    <col min="2682" max="2684" width="9.140625" style="1"/>
    <col min="2685" max="2686" width="9.28515625" style="1" bestFit="1" customWidth="1"/>
    <col min="2687" max="2687" width="9.140625" style="1"/>
    <col min="2688" max="2689" width="9.28515625" style="1" bestFit="1" customWidth="1"/>
    <col min="2690" max="2690" width="9.140625" style="1"/>
    <col min="2691" max="2691" width="9.28515625" style="1" bestFit="1" customWidth="1"/>
    <col min="2692" max="2694" width="9.140625" style="1"/>
    <col min="2695" max="2697" width="9.28515625" style="1" bestFit="1" customWidth="1"/>
    <col min="2698" max="2700" width="9.140625" style="1"/>
    <col min="2701" max="2702" width="9.28515625" style="1" bestFit="1" customWidth="1"/>
    <col min="2703" max="2703" width="9.140625" style="1"/>
    <col min="2704" max="2705" width="9.28515625" style="1" bestFit="1" customWidth="1"/>
    <col min="2706" max="2706" width="9.140625" style="1"/>
    <col min="2707" max="2707" width="9.28515625" style="1" bestFit="1" customWidth="1"/>
    <col min="2708" max="2710" width="9.140625" style="1"/>
    <col min="2711" max="2713" width="9.28515625" style="1" bestFit="1" customWidth="1"/>
    <col min="2714" max="2716" width="9.140625" style="1"/>
    <col min="2717" max="2718" width="9.28515625" style="1" bestFit="1" customWidth="1"/>
    <col min="2719" max="2719" width="9.140625" style="1"/>
    <col min="2720" max="2721" width="9.28515625" style="1" bestFit="1" customWidth="1"/>
    <col min="2722" max="2722" width="9.140625" style="1"/>
    <col min="2723" max="2723" width="9.28515625" style="1" bestFit="1" customWidth="1"/>
    <col min="2724" max="2726" width="9.140625" style="1"/>
    <col min="2727" max="2729" width="9.28515625" style="1" bestFit="1" customWidth="1"/>
    <col min="2730" max="2732" width="9.140625" style="1"/>
    <col min="2733" max="2734" width="9.28515625" style="1" bestFit="1" customWidth="1"/>
    <col min="2735" max="2735" width="9.140625" style="1"/>
    <col min="2736" max="2737" width="9.28515625" style="1" bestFit="1" customWidth="1"/>
    <col min="2738" max="2738" width="9.140625" style="1"/>
    <col min="2739" max="2739" width="9.28515625" style="1" bestFit="1" customWidth="1"/>
    <col min="2740" max="2742" width="9.140625" style="1"/>
    <col min="2743" max="2745" width="9.28515625" style="1" bestFit="1" customWidth="1"/>
    <col min="2746" max="2748" width="9.140625" style="1"/>
    <col min="2749" max="2750" width="9.28515625" style="1" bestFit="1" customWidth="1"/>
    <col min="2751" max="2751" width="9.140625" style="1"/>
    <col min="2752" max="2753" width="9.28515625" style="1" bestFit="1" customWidth="1"/>
    <col min="2754" max="2754" width="9.140625" style="1"/>
    <col min="2755" max="2755" width="9.28515625" style="1" bestFit="1" customWidth="1"/>
    <col min="2756" max="2758" width="9.140625" style="1"/>
    <col min="2759" max="2761" width="9.28515625" style="1" bestFit="1" customWidth="1"/>
    <col min="2762" max="2764" width="9.140625" style="1"/>
    <col min="2765" max="2766" width="9.28515625" style="1" bestFit="1" customWidth="1"/>
    <col min="2767" max="2767" width="9.140625" style="1"/>
    <col min="2768" max="2769" width="9.28515625" style="1" bestFit="1" customWidth="1"/>
    <col min="2770" max="2770" width="9.140625" style="1"/>
    <col min="2771" max="2771" width="9.28515625" style="1" bestFit="1" customWidth="1"/>
    <col min="2772" max="2774" width="9.140625" style="1"/>
    <col min="2775" max="2777" width="9.28515625" style="1" bestFit="1" customWidth="1"/>
    <col min="2778" max="2780" width="9.140625" style="1"/>
    <col min="2781" max="2782" width="9.28515625" style="1" bestFit="1" customWidth="1"/>
    <col min="2783" max="2783" width="9.140625" style="1"/>
    <col min="2784" max="2785" width="9.28515625" style="1" bestFit="1" customWidth="1"/>
    <col min="2786" max="2786" width="9.140625" style="1"/>
    <col min="2787" max="2787" width="9.28515625" style="1" bestFit="1" customWidth="1"/>
    <col min="2788" max="2790" width="9.140625" style="1"/>
    <col min="2791" max="2793" width="9.28515625" style="1" bestFit="1" customWidth="1"/>
    <col min="2794" max="2796" width="9.140625" style="1"/>
    <col min="2797" max="2798" width="9.28515625" style="1" bestFit="1" customWidth="1"/>
    <col min="2799" max="2799" width="9.140625" style="1"/>
    <col min="2800" max="2801" width="9.28515625" style="1" bestFit="1" customWidth="1"/>
    <col min="2802" max="2802" width="9.140625" style="1"/>
    <col min="2803" max="2803" width="9.28515625" style="1" bestFit="1" customWidth="1"/>
    <col min="2804" max="2806" width="9.140625" style="1"/>
    <col min="2807" max="2809" width="9.28515625" style="1" bestFit="1" customWidth="1"/>
    <col min="2810" max="2812" width="9.140625" style="1"/>
    <col min="2813" max="2814" width="9.28515625" style="1" bestFit="1" customWidth="1"/>
    <col min="2815" max="2815" width="9.140625" style="1"/>
    <col min="2816" max="2817" width="9.28515625" style="1" bestFit="1" customWidth="1"/>
    <col min="2818" max="2818" width="9.140625" style="1"/>
    <col min="2819" max="2819" width="9.28515625" style="1" bestFit="1" customWidth="1"/>
    <col min="2820" max="2822" width="9.140625" style="1"/>
    <col min="2823" max="2825" width="9.28515625" style="1" bestFit="1" customWidth="1"/>
    <col min="2826" max="2828" width="9.140625" style="1"/>
    <col min="2829" max="2830" width="9.28515625" style="1" bestFit="1" customWidth="1"/>
    <col min="2831" max="2831" width="9.140625" style="1"/>
    <col min="2832" max="2833" width="9.28515625" style="1" bestFit="1" customWidth="1"/>
    <col min="2834" max="2834" width="9.140625" style="1"/>
    <col min="2835" max="2835" width="9.28515625" style="1" bestFit="1" customWidth="1"/>
    <col min="2836" max="2838" width="9.140625" style="1"/>
    <col min="2839" max="2841" width="9.28515625" style="1" bestFit="1" customWidth="1"/>
    <col min="2842" max="2844" width="9.140625" style="1"/>
    <col min="2845" max="2846" width="9.28515625" style="1" bestFit="1" customWidth="1"/>
    <col min="2847" max="2847" width="9.140625" style="1"/>
    <col min="2848" max="2849" width="9.28515625" style="1" bestFit="1" customWidth="1"/>
    <col min="2850" max="2850" width="9.140625" style="1"/>
    <col min="2851" max="2851" width="9.28515625" style="1" bestFit="1" customWidth="1"/>
    <col min="2852" max="2854" width="9.140625" style="1"/>
    <col min="2855" max="2857" width="9.28515625" style="1" bestFit="1" customWidth="1"/>
    <col min="2858" max="2860" width="9.140625" style="1"/>
    <col min="2861" max="2862" width="9.28515625" style="1" bestFit="1" customWidth="1"/>
    <col min="2863" max="2863" width="9.140625" style="1"/>
    <col min="2864" max="2865" width="9.28515625" style="1" bestFit="1" customWidth="1"/>
    <col min="2866" max="2866" width="9.140625" style="1"/>
    <col min="2867" max="2867" width="9.28515625" style="1" bestFit="1" customWidth="1"/>
    <col min="2868" max="2870" width="9.140625" style="1"/>
    <col min="2871" max="2873" width="9.28515625" style="1" bestFit="1" customWidth="1"/>
    <col min="2874" max="2876" width="9.140625" style="1"/>
    <col min="2877" max="2878" width="9.28515625" style="1" bestFit="1" customWidth="1"/>
    <col min="2879" max="2879" width="9.140625" style="1"/>
    <col min="2880" max="2881" width="9.28515625" style="1" bestFit="1" customWidth="1"/>
    <col min="2882" max="2882" width="9.140625" style="1"/>
    <col min="2883" max="2883" width="9.28515625" style="1" bestFit="1" customWidth="1"/>
    <col min="2884" max="2886" width="9.140625" style="1"/>
    <col min="2887" max="2889" width="9.28515625" style="1" bestFit="1" customWidth="1"/>
    <col min="2890" max="2892" width="9.140625" style="1"/>
    <col min="2893" max="2894" width="9.28515625" style="1" bestFit="1" customWidth="1"/>
    <col min="2895" max="2895" width="9.140625" style="1"/>
    <col min="2896" max="2897" width="9.28515625" style="1" bestFit="1" customWidth="1"/>
    <col min="2898" max="2898" width="9.140625" style="1"/>
    <col min="2899" max="2899" width="9.28515625" style="1" bestFit="1" customWidth="1"/>
    <col min="2900" max="2902" width="9.140625" style="1"/>
    <col min="2903" max="2905" width="9.28515625" style="1" bestFit="1" customWidth="1"/>
    <col min="2906" max="2908" width="9.140625" style="1"/>
    <col min="2909" max="2910" width="9.28515625" style="1" bestFit="1" customWidth="1"/>
    <col min="2911" max="2911" width="9.140625" style="1"/>
    <col min="2912" max="2913" width="9.28515625" style="1" bestFit="1" customWidth="1"/>
    <col min="2914" max="2914" width="9.140625" style="1"/>
    <col min="2915" max="2915" width="9.28515625" style="1" bestFit="1" customWidth="1"/>
    <col min="2916" max="2918" width="9.140625" style="1"/>
    <col min="2919" max="2921" width="9.28515625" style="1" bestFit="1" customWidth="1"/>
    <col min="2922" max="2924" width="9.140625" style="1"/>
    <col min="2925" max="2926" width="9.28515625" style="1" bestFit="1" customWidth="1"/>
    <col min="2927" max="2927" width="9.140625" style="1"/>
    <col min="2928" max="2929" width="9.28515625" style="1" bestFit="1" customWidth="1"/>
    <col min="2930" max="2930" width="9.140625" style="1"/>
    <col min="2931" max="2931" width="9.28515625" style="1" bestFit="1" customWidth="1"/>
    <col min="2932" max="2934" width="9.140625" style="1"/>
    <col min="2935" max="2937" width="9.28515625" style="1" bestFit="1" customWidth="1"/>
    <col min="2938" max="2940" width="9.140625" style="1"/>
    <col min="2941" max="2942" width="9.28515625" style="1" bestFit="1" customWidth="1"/>
    <col min="2943" max="2943" width="9.140625" style="1"/>
    <col min="2944" max="2945" width="9.28515625" style="1" bestFit="1" customWidth="1"/>
    <col min="2946" max="2946" width="9.140625" style="1"/>
    <col min="2947" max="2947" width="9.28515625" style="1" bestFit="1" customWidth="1"/>
    <col min="2948" max="2950" width="9.140625" style="1"/>
    <col min="2951" max="2953" width="9.28515625" style="1" bestFit="1" customWidth="1"/>
    <col min="2954" max="2956" width="9.140625" style="1"/>
    <col min="2957" max="2958" width="9.28515625" style="1" bestFit="1" customWidth="1"/>
    <col min="2959" max="2959" width="9.140625" style="1"/>
    <col min="2960" max="2961" width="9.28515625" style="1" bestFit="1" customWidth="1"/>
    <col min="2962" max="2962" width="9.140625" style="1"/>
    <col min="2963" max="2963" width="9.28515625" style="1" bestFit="1" customWidth="1"/>
    <col min="2964" max="2966" width="9.140625" style="1"/>
    <col min="2967" max="2969" width="9.28515625" style="1" bestFit="1" customWidth="1"/>
    <col min="2970" max="2972" width="9.140625" style="1"/>
    <col min="2973" max="2974" width="9.28515625" style="1" bestFit="1" customWidth="1"/>
    <col min="2975" max="2975" width="9.140625" style="1"/>
    <col min="2976" max="2977" width="9.28515625" style="1" bestFit="1" customWidth="1"/>
    <col min="2978" max="2978" width="9.140625" style="1"/>
    <col min="2979" max="2979" width="9.28515625" style="1" bestFit="1" customWidth="1"/>
    <col min="2980" max="2982" width="9.140625" style="1"/>
    <col min="2983" max="2985" width="9.28515625" style="1" bestFit="1" customWidth="1"/>
    <col min="2986" max="2988" width="9.140625" style="1"/>
    <col min="2989" max="2990" width="9.28515625" style="1" bestFit="1" customWidth="1"/>
    <col min="2991" max="2991" width="9.140625" style="1"/>
    <col min="2992" max="2993" width="9.28515625" style="1" bestFit="1" customWidth="1"/>
    <col min="2994" max="2994" width="9.140625" style="1"/>
    <col min="2995" max="2995" width="9.28515625" style="1" bestFit="1" customWidth="1"/>
    <col min="2996" max="2998" width="9.140625" style="1"/>
    <col min="2999" max="3001" width="9.28515625" style="1" bestFit="1" customWidth="1"/>
    <col min="3002" max="3004" width="9.140625" style="1"/>
    <col min="3005" max="3006" width="9.28515625" style="1" bestFit="1" customWidth="1"/>
    <col min="3007" max="3007" width="9.140625" style="1"/>
    <col min="3008" max="3009" width="9.28515625" style="1" bestFit="1" customWidth="1"/>
    <col min="3010" max="3010" width="9.140625" style="1"/>
    <col min="3011" max="3011" width="9.28515625" style="1" bestFit="1" customWidth="1"/>
    <col min="3012" max="3014" width="9.140625" style="1"/>
    <col min="3015" max="3017" width="9.28515625" style="1" bestFit="1" customWidth="1"/>
    <col min="3018" max="3020" width="9.140625" style="1"/>
    <col min="3021" max="3022" width="9.28515625" style="1" bestFit="1" customWidth="1"/>
    <col min="3023" max="3023" width="9.140625" style="1"/>
    <col min="3024" max="3025" width="9.28515625" style="1" bestFit="1" customWidth="1"/>
    <col min="3026" max="3026" width="9.140625" style="1"/>
    <col min="3027" max="3027" width="9.28515625" style="1" bestFit="1" customWidth="1"/>
    <col min="3028" max="3030" width="9.140625" style="1"/>
    <col min="3031" max="3033" width="9.28515625" style="1" bestFit="1" customWidth="1"/>
    <col min="3034" max="3036" width="9.140625" style="1"/>
    <col min="3037" max="3038" width="9.28515625" style="1" bestFit="1" customWidth="1"/>
    <col min="3039" max="3039" width="9.140625" style="1"/>
    <col min="3040" max="3041" width="9.28515625" style="1" bestFit="1" customWidth="1"/>
    <col min="3042" max="3042" width="9.140625" style="1"/>
    <col min="3043" max="3043" width="9.28515625" style="1" bestFit="1" customWidth="1"/>
    <col min="3044" max="3046" width="9.140625" style="1"/>
    <col min="3047" max="3049" width="9.28515625" style="1" bestFit="1" customWidth="1"/>
    <col min="3050" max="3052" width="9.140625" style="1"/>
    <col min="3053" max="3054" width="9.28515625" style="1" bestFit="1" customWidth="1"/>
    <col min="3055" max="3055" width="9.140625" style="1"/>
    <col min="3056" max="3057" width="9.28515625" style="1" bestFit="1" customWidth="1"/>
    <col min="3058" max="3058" width="9.140625" style="1"/>
    <col min="3059" max="3059" width="9.28515625" style="1" bestFit="1" customWidth="1"/>
    <col min="3060" max="3062" width="9.140625" style="1"/>
    <col min="3063" max="3065" width="9.28515625" style="1" bestFit="1" customWidth="1"/>
    <col min="3066" max="3068" width="9.140625" style="1"/>
    <col min="3069" max="3070" width="9.28515625" style="1" bestFit="1" customWidth="1"/>
    <col min="3071" max="3071" width="9.140625" style="1"/>
    <col min="3072" max="3073" width="9.28515625" style="1" bestFit="1" customWidth="1"/>
    <col min="3074" max="3074" width="9.140625" style="1"/>
    <col min="3075" max="3075" width="9.28515625" style="1" bestFit="1" customWidth="1"/>
    <col min="3076" max="3078" width="9.140625" style="1"/>
    <col min="3079" max="3081" width="9.28515625" style="1" bestFit="1" customWidth="1"/>
    <col min="3082" max="3084" width="9.140625" style="1"/>
    <col min="3085" max="3086" width="9.28515625" style="1" bestFit="1" customWidth="1"/>
    <col min="3087" max="3087" width="9.140625" style="1"/>
    <col min="3088" max="3089" width="9.28515625" style="1" bestFit="1" customWidth="1"/>
    <col min="3090" max="3090" width="9.140625" style="1"/>
    <col min="3091" max="3091" width="9.28515625" style="1" bestFit="1" customWidth="1"/>
    <col min="3092" max="3094" width="9.140625" style="1"/>
    <col min="3095" max="3097" width="9.28515625" style="1" bestFit="1" customWidth="1"/>
    <col min="3098" max="3100" width="9.140625" style="1"/>
    <col min="3101" max="3102" width="9.28515625" style="1" bestFit="1" customWidth="1"/>
    <col min="3103" max="3103" width="9.140625" style="1"/>
    <col min="3104" max="3105" width="9.28515625" style="1" bestFit="1" customWidth="1"/>
    <col min="3106" max="3106" width="9.140625" style="1"/>
    <col min="3107" max="3107" width="9.28515625" style="1" bestFit="1" customWidth="1"/>
    <col min="3108" max="3110" width="9.140625" style="1"/>
    <col min="3111" max="3113" width="9.28515625" style="1" bestFit="1" customWidth="1"/>
    <col min="3114" max="3116" width="9.140625" style="1"/>
    <col min="3117" max="3118" width="9.28515625" style="1" bestFit="1" customWidth="1"/>
    <col min="3119" max="3119" width="9.140625" style="1"/>
    <col min="3120" max="3121" width="9.28515625" style="1" bestFit="1" customWidth="1"/>
    <col min="3122" max="3122" width="9.140625" style="1"/>
    <col min="3123" max="3123" width="9.28515625" style="1" bestFit="1" customWidth="1"/>
    <col min="3124" max="3126" width="9.140625" style="1"/>
    <col min="3127" max="3129" width="9.28515625" style="1" bestFit="1" customWidth="1"/>
    <col min="3130" max="3132" width="9.140625" style="1"/>
    <col min="3133" max="3134" width="9.28515625" style="1" bestFit="1" customWidth="1"/>
    <col min="3135" max="3135" width="9.140625" style="1"/>
    <col min="3136" max="3137" width="9.28515625" style="1" bestFit="1" customWidth="1"/>
    <col min="3138" max="3138" width="9.140625" style="1"/>
    <col min="3139" max="3139" width="9.28515625" style="1" bestFit="1" customWidth="1"/>
    <col min="3140" max="3142" width="9.140625" style="1"/>
    <col min="3143" max="3145" width="9.28515625" style="1" bestFit="1" customWidth="1"/>
    <col min="3146" max="3148" width="9.140625" style="1"/>
    <col min="3149" max="3150" width="9.28515625" style="1" bestFit="1" customWidth="1"/>
    <col min="3151" max="3151" width="9.140625" style="1"/>
    <col min="3152" max="3153" width="9.28515625" style="1" bestFit="1" customWidth="1"/>
    <col min="3154" max="3154" width="9.140625" style="1"/>
    <col min="3155" max="3155" width="9.28515625" style="1" bestFit="1" customWidth="1"/>
    <col min="3156" max="3158" width="9.140625" style="1"/>
    <col min="3159" max="3161" width="9.28515625" style="1" bestFit="1" customWidth="1"/>
    <col min="3162" max="3164" width="9.140625" style="1"/>
    <col min="3165" max="3166" width="9.28515625" style="1" bestFit="1" customWidth="1"/>
    <col min="3167" max="3167" width="9.140625" style="1"/>
    <col min="3168" max="3169" width="9.28515625" style="1" bestFit="1" customWidth="1"/>
    <col min="3170" max="3170" width="9.140625" style="1"/>
    <col min="3171" max="3171" width="9.28515625" style="1" bestFit="1" customWidth="1"/>
    <col min="3172" max="3174" width="9.140625" style="1"/>
    <col min="3175" max="3177" width="9.28515625" style="1" bestFit="1" customWidth="1"/>
    <col min="3178" max="3180" width="9.140625" style="1"/>
    <col min="3181" max="3182" width="9.28515625" style="1" bestFit="1" customWidth="1"/>
    <col min="3183" max="3183" width="9.140625" style="1"/>
    <col min="3184" max="3185" width="9.28515625" style="1" bestFit="1" customWidth="1"/>
    <col min="3186" max="3186" width="9.140625" style="1"/>
    <col min="3187" max="3187" width="9.28515625" style="1" bestFit="1" customWidth="1"/>
    <col min="3188" max="3190" width="9.140625" style="1"/>
    <col min="3191" max="3193" width="9.28515625" style="1" bestFit="1" customWidth="1"/>
    <col min="3194" max="3196" width="9.140625" style="1"/>
    <col min="3197" max="3198" width="9.28515625" style="1" bestFit="1" customWidth="1"/>
    <col min="3199" max="3199" width="9.140625" style="1"/>
    <col min="3200" max="3201" width="9.28515625" style="1" bestFit="1" customWidth="1"/>
    <col min="3202" max="3202" width="9.140625" style="1"/>
    <col min="3203" max="3203" width="9.28515625" style="1" bestFit="1" customWidth="1"/>
    <col min="3204" max="3206" width="9.140625" style="1"/>
    <col min="3207" max="3209" width="9.28515625" style="1" bestFit="1" customWidth="1"/>
    <col min="3210" max="3212" width="9.140625" style="1"/>
    <col min="3213" max="3214" width="9.28515625" style="1" bestFit="1" customWidth="1"/>
    <col min="3215" max="3215" width="9.140625" style="1"/>
    <col min="3216" max="3217" width="9.28515625" style="1" bestFit="1" customWidth="1"/>
    <col min="3218" max="3218" width="9.140625" style="1"/>
    <col min="3219" max="3219" width="9.28515625" style="1" bestFit="1" customWidth="1"/>
    <col min="3220" max="3222" width="9.140625" style="1"/>
    <col min="3223" max="3225" width="9.28515625" style="1" bestFit="1" customWidth="1"/>
    <col min="3226" max="3228" width="9.140625" style="1"/>
    <col min="3229" max="3230" width="9.28515625" style="1" bestFit="1" customWidth="1"/>
    <col min="3231" max="3231" width="9.140625" style="1"/>
    <col min="3232" max="3233" width="9.28515625" style="1" bestFit="1" customWidth="1"/>
    <col min="3234" max="3234" width="9.140625" style="1"/>
    <col min="3235" max="3235" width="9.28515625" style="1" bestFit="1" customWidth="1"/>
    <col min="3236" max="3238" width="9.140625" style="1"/>
    <col min="3239" max="3241" width="9.28515625" style="1" bestFit="1" customWidth="1"/>
    <col min="3242" max="3244" width="9.140625" style="1"/>
    <col min="3245" max="3246" width="9.28515625" style="1" bestFit="1" customWidth="1"/>
    <col min="3247" max="3247" width="9.140625" style="1"/>
    <col min="3248" max="3249" width="9.28515625" style="1" bestFit="1" customWidth="1"/>
    <col min="3250" max="3250" width="9.140625" style="1"/>
    <col min="3251" max="3251" width="9.28515625" style="1" bestFit="1" customWidth="1"/>
    <col min="3252" max="3254" width="9.140625" style="1"/>
    <col min="3255" max="3257" width="9.28515625" style="1" bestFit="1" customWidth="1"/>
    <col min="3258" max="3260" width="9.140625" style="1"/>
    <col min="3261" max="3262" width="9.28515625" style="1" bestFit="1" customWidth="1"/>
    <col min="3263" max="3263" width="9.140625" style="1"/>
    <col min="3264" max="3265" width="9.28515625" style="1" bestFit="1" customWidth="1"/>
    <col min="3266" max="3266" width="9.140625" style="1"/>
    <col min="3267" max="3267" width="9.28515625" style="1" bestFit="1" customWidth="1"/>
    <col min="3268" max="3270" width="9.140625" style="1"/>
    <col min="3271" max="3273" width="9.28515625" style="1" bestFit="1" customWidth="1"/>
    <col min="3274" max="3276" width="9.140625" style="1"/>
    <col min="3277" max="3278" width="9.28515625" style="1" bestFit="1" customWidth="1"/>
    <col min="3279" max="3279" width="9.140625" style="1"/>
    <col min="3280" max="3281" width="9.28515625" style="1" bestFit="1" customWidth="1"/>
    <col min="3282" max="3282" width="9.140625" style="1"/>
    <col min="3283" max="3283" width="9.28515625" style="1" bestFit="1" customWidth="1"/>
    <col min="3284" max="3286" width="9.140625" style="1"/>
    <col min="3287" max="3289" width="9.28515625" style="1" bestFit="1" customWidth="1"/>
    <col min="3290" max="3292" width="9.140625" style="1"/>
    <col min="3293" max="3294" width="9.28515625" style="1" bestFit="1" customWidth="1"/>
    <col min="3295" max="3295" width="9.140625" style="1"/>
    <col min="3296" max="3297" width="9.28515625" style="1" bestFit="1" customWidth="1"/>
    <col min="3298" max="3298" width="9.140625" style="1"/>
    <col min="3299" max="3299" width="9.28515625" style="1" bestFit="1" customWidth="1"/>
    <col min="3300" max="3302" width="9.140625" style="1"/>
    <col min="3303" max="3305" width="9.28515625" style="1" bestFit="1" customWidth="1"/>
    <col min="3306" max="3308" width="9.140625" style="1"/>
    <col min="3309" max="3310" width="9.28515625" style="1" bestFit="1" customWidth="1"/>
    <col min="3311" max="3311" width="9.140625" style="1"/>
    <col min="3312" max="3313" width="9.28515625" style="1" bestFit="1" customWidth="1"/>
    <col min="3314" max="3314" width="9.140625" style="1"/>
    <col min="3315" max="3315" width="9.28515625" style="1" bestFit="1" customWidth="1"/>
    <col min="3316" max="3318" width="9.140625" style="1"/>
    <col min="3319" max="3321" width="9.28515625" style="1" bestFit="1" customWidth="1"/>
    <col min="3322" max="3324" width="9.140625" style="1"/>
    <col min="3325" max="3326" width="9.28515625" style="1" bestFit="1" customWidth="1"/>
    <col min="3327" max="3327" width="9.140625" style="1"/>
    <col min="3328" max="3329" width="9.28515625" style="1" bestFit="1" customWidth="1"/>
    <col min="3330" max="3330" width="9.140625" style="1"/>
    <col min="3331" max="3331" width="9.28515625" style="1" bestFit="1" customWidth="1"/>
    <col min="3332" max="3334" width="9.140625" style="1"/>
    <col min="3335" max="3337" width="9.28515625" style="1" bestFit="1" customWidth="1"/>
    <col min="3338" max="3340" width="9.140625" style="1"/>
    <col min="3341" max="3342" width="9.28515625" style="1" bestFit="1" customWidth="1"/>
    <col min="3343" max="3343" width="9.140625" style="1"/>
    <col min="3344" max="3345" width="9.28515625" style="1" bestFit="1" customWidth="1"/>
    <col min="3346" max="3346" width="9.140625" style="1"/>
    <col min="3347" max="3347" width="9.28515625" style="1" bestFit="1" customWidth="1"/>
    <col min="3348" max="3350" width="9.140625" style="1"/>
    <col min="3351" max="3353" width="9.28515625" style="1" bestFit="1" customWidth="1"/>
    <col min="3354" max="3356" width="9.140625" style="1"/>
    <col min="3357" max="3358" width="9.28515625" style="1" bestFit="1" customWidth="1"/>
    <col min="3359" max="3359" width="9.140625" style="1"/>
    <col min="3360" max="3361" width="9.28515625" style="1" bestFit="1" customWidth="1"/>
    <col min="3362" max="3362" width="9.140625" style="1"/>
    <col min="3363" max="3363" width="9.28515625" style="1" bestFit="1" customWidth="1"/>
    <col min="3364" max="3366" width="9.140625" style="1"/>
    <col min="3367" max="3369" width="9.28515625" style="1" bestFit="1" customWidth="1"/>
    <col min="3370" max="3372" width="9.140625" style="1"/>
    <col min="3373" max="3374" width="9.28515625" style="1" bestFit="1" customWidth="1"/>
    <col min="3375" max="3375" width="9.140625" style="1"/>
    <col min="3376" max="3377" width="9.28515625" style="1" bestFit="1" customWidth="1"/>
    <col min="3378" max="3378" width="9.140625" style="1"/>
    <col min="3379" max="3379" width="9.28515625" style="1" bestFit="1" customWidth="1"/>
    <col min="3380" max="3382" width="9.140625" style="1"/>
    <col min="3383" max="3385" width="9.28515625" style="1" bestFit="1" customWidth="1"/>
    <col min="3386" max="3388" width="9.140625" style="1"/>
    <col min="3389" max="3390" width="9.28515625" style="1" bestFit="1" customWidth="1"/>
    <col min="3391" max="3391" width="9.140625" style="1"/>
    <col min="3392" max="3393" width="9.28515625" style="1" bestFit="1" customWidth="1"/>
    <col min="3394" max="3394" width="9.140625" style="1"/>
    <col min="3395" max="3395" width="9.28515625" style="1" bestFit="1" customWidth="1"/>
    <col min="3396" max="3398" width="9.140625" style="1"/>
    <col min="3399" max="3401" width="9.28515625" style="1" bestFit="1" customWidth="1"/>
    <col min="3402" max="3404" width="9.140625" style="1"/>
    <col min="3405" max="3406" width="9.28515625" style="1" bestFit="1" customWidth="1"/>
    <col min="3407" max="3407" width="9.140625" style="1"/>
    <col min="3408" max="3409" width="9.28515625" style="1" bestFit="1" customWidth="1"/>
    <col min="3410" max="3410" width="9.140625" style="1"/>
    <col min="3411" max="3411" width="9.28515625" style="1" bestFit="1" customWidth="1"/>
    <col min="3412" max="3414" width="9.140625" style="1"/>
    <col min="3415" max="3417" width="9.28515625" style="1" bestFit="1" customWidth="1"/>
    <col min="3418" max="3420" width="9.140625" style="1"/>
    <col min="3421" max="3422" width="9.28515625" style="1" bestFit="1" customWidth="1"/>
    <col min="3423" max="3423" width="9.140625" style="1"/>
    <col min="3424" max="3425" width="9.28515625" style="1" bestFit="1" customWidth="1"/>
    <col min="3426" max="3426" width="9.140625" style="1"/>
    <col min="3427" max="3427" width="9.28515625" style="1" bestFit="1" customWidth="1"/>
    <col min="3428" max="3430" width="9.140625" style="1"/>
    <col min="3431" max="3433" width="9.28515625" style="1" bestFit="1" customWidth="1"/>
    <col min="3434" max="3436" width="9.140625" style="1"/>
    <col min="3437" max="3438" width="9.28515625" style="1" bestFit="1" customWidth="1"/>
    <col min="3439" max="3439" width="9.140625" style="1"/>
    <col min="3440" max="3441" width="9.28515625" style="1" bestFit="1" customWidth="1"/>
    <col min="3442" max="3442" width="9.140625" style="1"/>
    <col min="3443" max="3443" width="9.28515625" style="1" bestFit="1" customWidth="1"/>
    <col min="3444" max="3446" width="9.140625" style="1"/>
    <col min="3447" max="3449" width="9.28515625" style="1" bestFit="1" customWidth="1"/>
    <col min="3450" max="3452" width="9.140625" style="1"/>
    <col min="3453" max="3454" width="9.28515625" style="1" bestFit="1" customWidth="1"/>
    <col min="3455" max="3455" width="9.140625" style="1"/>
    <col min="3456" max="3457" width="9.28515625" style="1" bestFit="1" customWidth="1"/>
    <col min="3458" max="3458" width="9.140625" style="1"/>
    <col min="3459" max="3459" width="9.28515625" style="1" bestFit="1" customWidth="1"/>
    <col min="3460" max="3462" width="9.140625" style="1"/>
    <col min="3463" max="3465" width="9.28515625" style="1" bestFit="1" customWidth="1"/>
    <col min="3466" max="3468" width="9.140625" style="1"/>
    <col min="3469" max="3470" width="9.28515625" style="1" bestFit="1" customWidth="1"/>
    <col min="3471" max="3471" width="9.140625" style="1"/>
    <col min="3472" max="3473" width="9.28515625" style="1" bestFit="1" customWidth="1"/>
    <col min="3474" max="3474" width="9.140625" style="1"/>
    <col min="3475" max="3475" width="9.28515625" style="1" bestFit="1" customWidth="1"/>
    <col min="3476" max="3478" width="9.140625" style="1"/>
    <col min="3479" max="3481" width="9.28515625" style="1" bestFit="1" customWidth="1"/>
    <col min="3482" max="3484" width="9.140625" style="1"/>
    <col min="3485" max="3486" width="9.28515625" style="1" bestFit="1" customWidth="1"/>
    <col min="3487" max="3487" width="9.140625" style="1"/>
    <col min="3488" max="3489" width="9.28515625" style="1" bestFit="1" customWidth="1"/>
    <col min="3490" max="3490" width="9.140625" style="1"/>
    <col min="3491" max="3491" width="9.28515625" style="1" bestFit="1" customWidth="1"/>
    <col min="3492" max="3494" width="9.140625" style="1"/>
    <col min="3495" max="3497" width="9.28515625" style="1" bestFit="1" customWidth="1"/>
    <col min="3498" max="3500" width="9.140625" style="1"/>
    <col min="3501" max="3502" width="9.28515625" style="1" bestFit="1" customWidth="1"/>
    <col min="3503" max="3503" width="9.140625" style="1"/>
    <col min="3504" max="3505" width="9.28515625" style="1" bestFit="1" customWidth="1"/>
    <col min="3506" max="3506" width="9.140625" style="1"/>
    <col min="3507" max="3507" width="9.28515625" style="1" bestFit="1" customWidth="1"/>
    <col min="3508" max="3510" width="9.140625" style="1"/>
    <col min="3511" max="3513" width="9.28515625" style="1" bestFit="1" customWidth="1"/>
    <col min="3514" max="3516" width="9.140625" style="1"/>
    <col min="3517" max="3518" width="9.28515625" style="1" bestFit="1" customWidth="1"/>
    <col min="3519" max="3519" width="9.140625" style="1"/>
    <col min="3520" max="3521" width="9.28515625" style="1" bestFit="1" customWidth="1"/>
    <col min="3522" max="3522" width="9.140625" style="1"/>
    <col min="3523" max="3523" width="9.28515625" style="1" bestFit="1" customWidth="1"/>
    <col min="3524" max="3526" width="9.140625" style="1"/>
    <col min="3527" max="3529" width="9.28515625" style="1" bestFit="1" customWidth="1"/>
    <col min="3530" max="3532" width="9.140625" style="1"/>
    <col min="3533" max="3534" width="9.28515625" style="1" bestFit="1" customWidth="1"/>
    <col min="3535" max="3535" width="9.140625" style="1"/>
    <col min="3536" max="3537" width="9.28515625" style="1" bestFit="1" customWidth="1"/>
    <col min="3538" max="3538" width="9.140625" style="1"/>
    <col min="3539" max="3539" width="9.28515625" style="1" bestFit="1" customWidth="1"/>
    <col min="3540" max="3542" width="9.140625" style="1"/>
    <col min="3543" max="3545" width="9.28515625" style="1" bestFit="1" customWidth="1"/>
    <col min="3546" max="3548" width="9.140625" style="1"/>
    <col min="3549" max="3550" width="9.28515625" style="1" bestFit="1" customWidth="1"/>
    <col min="3551" max="3551" width="9.140625" style="1"/>
    <col min="3552" max="3553" width="9.28515625" style="1" bestFit="1" customWidth="1"/>
    <col min="3554" max="3554" width="9.140625" style="1"/>
    <col min="3555" max="3555" width="9.28515625" style="1" bestFit="1" customWidth="1"/>
    <col min="3556" max="3558" width="9.140625" style="1"/>
    <col min="3559" max="3561" width="9.28515625" style="1" bestFit="1" customWidth="1"/>
    <col min="3562" max="3564" width="9.140625" style="1"/>
    <col min="3565" max="3566" width="9.28515625" style="1" bestFit="1" customWidth="1"/>
    <col min="3567" max="3567" width="9.140625" style="1"/>
    <col min="3568" max="3569" width="9.28515625" style="1" bestFit="1" customWidth="1"/>
    <col min="3570" max="3570" width="9.140625" style="1"/>
    <col min="3571" max="3571" width="9.28515625" style="1" bestFit="1" customWidth="1"/>
    <col min="3572" max="3574" width="9.140625" style="1"/>
    <col min="3575" max="3577" width="9.28515625" style="1" bestFit="1" customWidth="1"/>
    <col min="3578" max="3580" width="9.140625" style="1"/>
    <col min="3581" max="3582" width="9.28515625" style="1" bestFit="1" customWidth="1"/>
    <col min="3583" max="3583" width="9.140625" style="1"/>
    <col min="3584" max="3585" width="9.28515625" style="1" bestFit="1" customWidth="1"/>
    <col min="3586" max="3586" width="9.140625" style="1"/>
    <col min="3587" max="3587" width="9.28515625" style="1" bestFit="1" customWidth="1"/>
    <col min="3588" max="3590" width="9.140625" style="1"/>
    <col min="3591" max="3593" width="9.28515625" style="1" bestFit="1" customWidth="1"/>
    <col min="3594" max="3596" width="9.140625" style="1"/>
    <col min="3597" max="3598" width="9.28515625" style="1" bestFit="1" customWidth="1"/>
    <col min="3599" max="3599" width="9.140625" style="1"/>
    <col min="3600" max="3601" width="9.28515625" style="1" bestFit="1" customWidth="1"/>
    <col min="3602" max="3602" width="9.140625" style="1"/>
    <col min="3603" max="3603" width="9.28515625" style="1" bestFit="1" customWidth="1"/>
    <col min="3604" max="3606" width="9.140625" style="1"/>
    <col min="3607" max="3609" width="9.28515625" style="1" bestFit="1" customWidth="1"/>
    <col min="3610" max="3612" width="9.140625" style="1"/>
    <col min="3613" max="3614" width="9.28515625" style="1" bestFit="1" customWidth="1"/>
    <col min="3615" max="3615" width="9.140625" style="1"/>
    <col min="3616" max="3617" width="9.28515625" style="1" bestFit="1" customWidth="1"/>
    <col min="3618" max="3618" width="9.140625" style="1"/>
    <col min="3619" max="3619" width="9.28515625" style="1" bestFit="1" customWidth="1"/>
    <col min="3620" max="3622" width="9.140625" style="1"/>
    <col min="3623" max="3625" width="9.28515625" style="1" bestFit="1" customWidth="1"/>
    <col min="3626" max="3628" width="9.140625" style="1"/>
    <col min="3629" max="3630" width="9.28515625" style="1" bestFit="1" customWidth="1"/>
    <col min="3631" max="3631" width="9.140625" style="1"/>
    <col min="3632" max="3633" width="9.28515625" style="1" bestFit="1" customWidth="1"/>
    <col min="3634" max="3634" width="9.140625" style="1"/>
    <col min="3635" max="3635" width="9.28515625" style="1" bestFit="1" customWidth="1"/>
    <col min="3636" max="3638" width="9.140625" style="1"/>
    <col min="3639" max="3641" width="9.28515625" style="1" bestFit="1" customWidth="1"/>
    <col min="3642" max="3644" width="9.140625" style="1"/>
    <col min="3645" max="3646" width="9.28515625" style="1" bestFit="1" customWidth="1"/>
    <col min="3647" max="3647" width="9.140625" style="1"/>
    <col min="3648" max="3649" width="9.28515625" style="1" bestFit="1" customWidth="1"/>
    <col min="3650" max="3650" width="9.140625" style="1"/>
    <col min="3651" max="3651" width="9.28515625" style="1" bestFit="1" customWidth="1"/>
    <col min="3652" max="3654" width="9.140625" style="1"/>
    <col min="3655" max="3657" width="9.28515625" style="1" bestFit="1" customWidth="1"/>
    <col min="3658" max="3660" width="9.140625" style="1"/>
    <col min="3661" max="3662" width="9.28515625" style="1" bestFit="1" customWidth="1"/>
    <col min="3663" max="3663" width="9.140625" style="1"/>
    <col min="3664" max="3665" width="9.28515625" style="1" bestFit="1" customWidth="1"/>
    <col min="3666" max="3666" width="9.140625" style="1"/>
    <col min="3667" max="3667" width="9.28515625" style="1" bestFit="1" customWidth="1"/>
    <col min="3668" max="3670" width="9.140625" style="1"/>
    <col min="3671" max="3673" width="9.28515625" style="1" bestFit="1" customWidth="1"/>
    <col min="3674" max="3676" width="9.140625" style="1"/>
    <col min="3677" max="3678" width="9.28515625" style="1" bestFit="1" customWidth="1"/>
    <col min="3679" max="3679" width="9.140625" style="1"/>
    <col min="3680" max="3681" width="9.28515625" style="1" bestFit="1" customWidth="1"/>
    <col min="3682" max="3682" width="9.140625" style="1"/>
    <col min="3683" max="3683" width="9.28515625" style="1" bestFit="1" customWidth="1"/>
    <col min="3684" max="3686" width="9.140625" style="1"/>
    <col min="3687" max="3689" width="9.28515625" style="1" bestFit="1" customWidth="1"/>
    <col min="3690" max="3692" width="9.140625" style="1"/>
    <col min="3693" max="3694" width="9.28515625" style="1" bestFit="1" customWidth="1"/>
    <col min="3695" max="3695" width="9.140625" style="1"/>
    <col min="3696" max="3697" width="9.28515625" style="1" bestFit="1" customWidth="1"/>
    <col min="3698" max="3698" width="9.140625" style="1"/>
    <col min="3699" max="3699" width="9.28515625" style="1" bestFit="1" customWidth="1"/>
    <col min="3700" max="3702" width="9.140625" style="1"/>
    <col min="3703" max="3705" width="9.28515625" style="1" bestFit="1" customWidth="1"/>
    <col min="3706" max="3708" width="9.140625" style="1"/>
    <col min="3709" max="3710" width="9.28515625" style="1" bestFit="1" customWidth="1"/>
    <col min="3711" max="3711" width="9.140625" style="1"/>
    <col min="3712" max="3713" width="9.28515625" style="1" bestFit="1" customWidth="1"/>
    <col min="3714" max="3714" width="9.140625" style="1"/>
    <col min="3715" max="3715" width="9.28515625" style="1" bestFit="1" customWidth="1"/>
    <col min="3716" max="3718" width="9.140625" style="1"/>
    <col min="3719" max="3721" width="9.28515625" style="1" bestFit="1" customWidth="1"/>
    <col min="3722" max="3724" width="9.140625" style="1"/>
    <col min="3725" max="3726" width="9.28515625" style="1" bestFit="1" customWidth="1"/>
    <col min="3727" max="3727" width="9.140625" style="1"/>
    <col min="3728" max="3729" width="9.28515625" style="1" bestFit="1" customWidth="1"/>
    <col min="3730" max="3730" width="9.140625" style="1"/>
    <col min="3731" max="3731" width="9.28515625" style="1" bestFit="1" customWidth="1"/>
    <col min="3732" max="3734" width="9.140625" style="1"/>
    <col min="3735" max="3737" width="9.28515625" style="1" bestFit="1" customWidth="1"/>
    <col min="3738" max="3740" width="9.140625" style="1"/>
    <col min="3741" max="3742" width="9.28515625" style="1" bestFit="1" customWidth="1"/>
    <col min="3743" max="3743" width="9.140625" style="1"/>
    <col min="3744" max="3745" width="9.28515625" style="1" bestFit="1" customWidth="1"/>
    <col min="3746" max="3746" width="9.140625" style="1"/>
    <col min="3747" max="3747" width="9.28515625" style="1" bestFit="1" customWidth="1"/>
    <col min="3748" max="3750" width="9.140625" style="1"/>
    <col min="3751" max="3753" width="9.28515625" style="1" bestFit="1" customWidth="1"/>
    <col min="3754" max="3756" width="9.140625" style="1"/>
    <col min="3757" max="3758" width="9.28515625" style="1" bestFit="1" customWidth="1"/>
    <col min="3759" max="3759" width="9.140625" style="1"/>
    <col min="3760" max="3761" width="9.28515625" style="1" bestFit="1" customWidth="1"/>
    <col min="3762" max="3762" width="9.140625" style="1"/>
    <col min="3763" max="3763" width="9.28515625" style="1" bestFit="1" customWidth="1"/>
    <col min="3764" max="3766" width="9.140625" style="1"/>
    <col min="3767" max="3769" width="9.28515625" style="1" bestFit="1" customWidth="1"/>
    <col min="3770" max="3772" width="9.140625" style="1"/>
    <col min="3773" max="3774" width="9.28515625" style="1" bestFit="1" customWidth="1"/>
    <col min="3775" max="3775" width="9.140625" style="1"/>
    <col min="3776" max="3777" width="9.28515625" style="1" bestFit="1" customWidth="1"/>
    <col min="3778" max="3778" width="9.140625" style="1"/>
    <col min="3779" max="3779" width="9.28515625" style="1" bestFit="1" customWidth="1"/>
    <col min="3780" max="3782" width="9.140625" style="1"/>
    <col min="3783" max="3785" width="9.28515625" style="1" bestFit="1" customWidth="1"/>
    <col min="3786" max="3788" width="9.140625" style="1"/>
    <col min="3789" max="3790" width="9.28515625" style="1" bestFit="1" customWidth="1"/>
    <col min="3791" max="3791" width="9.140625" style="1"/>
    <col min="3792" max="3793" width="9.28515625" style="1" bestFit="1" customWidth="1"/>
    <col min="3794" max="3794" width="9.140625" style="1"/>
    <col min="3795" max="3795" width="9.28515625" style="1" bestFit="1" customWidth="1"/>
    <col min="3796" max="3798" width="9.140625" style="1"/>
    <col min="3799" max="3801" width="9.28515625" style="1" bestFit="1" customWidth="1"/>
    <col min="3802" max="3804" width="9.140625" style="1"/>
    <col min="3805" max="3806" width="9.28515625" style="1" bestFit="1" customWidth="1"/>
    <col min="3807" max="3807" width="9.140625" style="1"/>
    <col min="3808" max="3809" width="9.28515625" style="1" bestFit="1" customWidth="1"/>
    <col min="3810" max="3810" width="9.140625" style="1"/>
    <col min="3811" max="3811" width="9.28515625" style="1" bestFit="1" customWidth="1"/>
    <col min="3812" max="3814" width="9.140625" style="1"/>
    <col min="3815" max="3817" width="9.28515625" style="1" bestFit="1" customWidth="1"/>
    <col min="3818" max="3820" width="9.140625" style="1"/>
    <col min="3821" max="3822" width="9.28515625" style="1" bestFit="1" customWidth="1"/>
    <col min="3823" max="3823" width="9.140625" style="1"/>
    <col min="3824" max="3825" width="9.28515625" style="1" bestFit="1" customWidth="1"/>
    <col min="3826" max="3826" width="9.140625" style="1"/>
    <col min="3827" max="3827" width="9.28515625" style="1" bestFit="1" customWidth="1"/>
    <col min="3828" max="3830" width="9.140625" style="1"/>
    <col min="3831" max="3833" width="9.28515625" style="1" bestFit="1" customWidth="1"/>
    <col min="3834" max="3836" width="9.140625" style="1"/>
    <col min="3837" max="3838" width="9.28515625" style="1" bestFit="1" customWidth="1"/>
    <col min="3839" max="3839" width="9.140625" style="1"/>
    <col min="3840" max="3841" width="9.28515625" style="1" bestFit="1" customWidth="1"/>
    <col min="3842" max="3842" width="9.140625" style="1"/>
    <col min="3843" max="3843" width="9.28515625" style="1" bestFit="1" customWidth="1"/>
    <col min="3844" max="3846" width="9.140625" style="1"/>
    <col min="3847" max="3849" width="9.28515625" style="1" bestFit="1" customWidth="1"/>
    <col min="3850" max="3852" width="9.140625" style="1"/>
    <col min="3853" max="3854" width="9.28515625" style="1" bestFit="1" customWidth="1"/>
    <col min="3855" max="3855" width="9.140625" style="1"/>
    <col min="3856" max="3857" width="9.28515625" style="1" bestFit="1" customWidth="1"/>
    <col min="3858" max="3858" width="9.140625" style="1"/>
    <col min="3859" max="3859" width="9.28515625" style="1" bestFit="1" customWidth="1"/>
    <col min="3860" max="3862" width="9.140625" style="1"/>
    <col min="3863" max="3865" width="9.28515625" style="1" bestFit="1" customWidth="1"/>
    <col min="3866" max="3868" width="9.140625" style="1"/>
    <col min="3869" max="3870" width="9.28515625" style="1" bestFit="1" customWidth="1"/>
    <col min="3871" max="3871" width="9.140625" style="1"/>
    <col min="3872" max="3873" width="9.28515625" style="1" bestFit="1" customWidth="1"/>
    <col min="3874" max="3874" width="9.140625" style="1"/>
    <col min="3875" max="3875" width="9.28515625" style="1" bestFit="1" customWidth="1"/>
    <col min="3876" max="3878" width="9.140625" style="1"/>
    <col min="3879" max="3881" width="9.28515625" style="1" bestFit="1" customWidth="1"/>
    <col min="3882" max="3884" width="9.140625" style="1"/>
    <col min="3885" max="3886" width="9.28515625" style="1" bestFit="1" customWidth="1"/>
    <col min="3887" max="3887" width="9.140625" style="1"/>
    <col min="3888" max="3889" width="9.28515625" style="1" bestFit="1" customWidth="1"/>
    <col min="3890" max="3890" width="9.140625" style="1"/>
    <col min="3891" max="3891" width="9.28515625" style="1" bestFit="1" customWidth="1"/>
    <col min="3892" max="3894" width="9.140625" style="1"/>
    <col min="3895" max="3897" width="9.28515625" style="1" bestFit="1" customWidth="1"/>
    <col min="3898" max="3900" width="9.140625" style="1"/>
    <col min="3901" max="3902" width="9.28515625" style="1" bestFit="1" customWidth="1"/>
    <col min="3903" max="3903" width="9.140625" style="1"/>
    <col min="3904" max="3905" width="9.28515625" style="1" bestFit="1" customWidth="1"/>
    <col min="3906" max="3906" width="9.140625" style="1"/>
    <col min="3907" max="3907" width="9.28515625" style="1" bestFit="1" customWidth="1"/>
    <col min="3908" max="3910" width="9.140625" style="1"/>
    <col min="3911" max="3913" width="9.28515625" style="1" bestFit="1" customWidth="1"/>
    <col min="3914" max="3916" width="9.140625" style="1"/>
    <col min="3917" max="3918" width="9.28515625" style="1" bestFit="1" customWidth="1"/>
    <col min="3919" max="3919" width="9.140625" style="1"/>
    <col min="3920" max="3921" width="9.28515625" style="1" bestFit="1" customWidth="1"/>
    <col min="3922" max="3922" width="9.140625" style="1"/>
    <col min="3923" max="3923" width="9.28515625" style="1" bestFit="1" customWidth="1"/>
    <col min="3924" max="3926" width="9.140625" style="1"/>
    <col min="3927" max="3929" width="9.28515625" style="1" bestFit="1" customWidth="1"/>
    <col min="3930" max="3932" width="9.140625" style="1"/>
    <col min="3933" max="3934" width="9.28515625" style="1" bestFit="1" customWidth="1"/>
    <col min="3935" max="3935" width="9.140625" style="1"/>
    <col min="3936" max="3937" width="9.28515625" style="1" bestFit="1" customWidth="1"/>
    <col min="3938" max="3938" width="9.140625" style="1"/>
    <col min="3939" max="3939" width="9.28515625" style="1" bestFit="1" customWidth="1"/>
    <col min="3940" max="3942" width="9.140625" style="1"/>
    <col min="3943" max="3945" width="9.28515625" style="1" bestFit="1" customWidth="1"/>
    <col min="3946" max="3948" width="9.140625" style="1"/>
    <col min="3949" max="3950" width="9.28515625" style="1" bestFit="1" customWidth="1"/>
    <col min="3951" max="3951" width="9.140625" style="1"/>
    <col min="3952" max="3953" width="9.28515625" style="1" bestFit="1" customWidth="1"/>
    <col min="3954" max="3954" width="9.140625" style="1"/>
    <col min="3955" max="3955" width="9.28515625" style="1" bestFit="1" customWidth="1"/>
    <col min="3956" max="3958" width="9.140625" style="1"/>
    <col min="3959" max="3961" width="9.28515625" style="1" bestFit="1" customWidth="1"/>
    <col min="3962" max="3964" width="9.140625" style="1"/>
    <col min="3965" max="3966" width="9.28515625" style="1" bestFit="1" customWidth="1"/>
    <col min="3967" max="3967" width="9.140625" style="1"/>
    <col min="3968" max="3969" width="9.28515625" style="1" bestFit="1" customWidth="1"/>
    <col min="3970" max="3970" width="9.140625" style="1"/>
    <col min="3971" max="3971" width="9.28515625" style="1" bestFit="1" customWidth="1"/>
    <col min="3972" max="3974" width="9.140625" style="1"/>
    <col min="3975" max="3977" width="9.28515625" style="1" bestFit="1" customWidth="1"/>
    <col min="3978" max="3980" width="9.140625" style="1"/>
    <col min="3981" max="3982" width="9.28515625" style="1" bestFit="1" customWidth="1"/>
    <col min="3983" max="3983" width="9.140625" style="1"/>
    <col min="3984" max="3985" width="9.28515625" style="1" bestFit="1" customWidth="1"/>
    <col min="3986" max="3986" width="9.140625" style="1"/>
    <col min="3987" max="3987" width="9.28515625" style="1" bestFit="1" customWidth="1"/>
    <col min="3988" max="3990" width="9.140625" style="1"/>
    <col min="3991" max="3993" width="9.28515625" style="1" bestFit="1" customWidth="1"/>
    <col min="3994" max="3996" width="9.140625" style="1"/>
    <col min="3997" max="3998" width="9.28515625" style="1" bestFit="1" customWidth="1"/>
    <col min="3999" max="3999" width="9.140625" style="1"/>
    <col min="4000" max="4001" width="9.28515625" style="1" bestFit="1" customWidth="1"/>
    <col min="4002" max="4002" width="9.140625" style="1"/>
    <col min="4003" max="4003" width="9.28515625" style="1" bestFit="1" customWidth="1"/>
    <col min="4004" max="4006" width="9.140625" style="1"/>
    <col min="4007" max="4009" width="9.28515625" style="1" bestFit="1" customWidth="1"/>
    <col min="4010" max="4012" width="9.140625" style="1"/>
    <col min="4013" max="4014" width="9.28515625" style="1" bestFit="1" customWidth="1"/>
    <col min="4015" max="4015" width="9.140625" style="1"/>
    <col min="4016" max="4017" width="9.28515625" style="1" bestFit="1" customWidth="1"/>
    <col min="4018" max="4018" width="9.140625" style="1"/>
    <col min="4019" max="4019" width="9.28515625" style="1" bestFit="1" customWidth="1"/>
    <col min="4020" max="4022" width="9.140625" style="1"/>
    <col min="4023" max="4025" width="9.28515625" style="1" bestFit="1" customWidth="1"/>
    <col min="4026" max="4028" width="9.140625" style="1"/>
    <col min="4029" max="4030" width="9.28515625" style="1" bestFit="1" customWidth="1"/>
    <col min="4031" max="4031" width="9.140625" style="1"/>
    <col min="4032" max="4033" width="9.28515625" style="1" bestFit="1" customWidth="1"/>
    <col min="4034" max="4034" width="9.140625" style="1"/>
    <col min="4035" max="4035" width="9.28515625" style="1" bestFit="1" customWidth="1"/>
    <col min="4036" max="4038" width="9.140625" style="1"/>
    <col min="4039" max="4041" width="9.28515625" style="1" bestFit="1" customWidth="1"/>
    <col min="4042" max="4044" width="9.140625" style="1"/>
    <col min="4045" max="4046" width="9.28515625" style="1" bestFit="1" customWidth="1"/>
    <col min="4047" max="4047" width="9.140625" style="1"/>
    <col min="4048" max="4049" width="9.28515625" style="1" bestFit="1" customWidth="1"/>
    <col min="4050" max="4050" width="9.140625" style="1"/>
    <col min="4051" max="4051" width="9.28515625" style="1" bestFit="1" customWidth="1"/>
    <col min="4052" max="4054" width="9.140625" style="1"/>
    <col min="4055" max="4057" width="9.28515625" style="1" bestFit="1" customWidth="1"/>
    <col min="4058" max="4060" width="9.140625" style="1"/>
    <col min="4061" max="4062" width="9.28515625" style="1" bestFit="1" customWidth="1"/>
    <col min="4063" max="4063" width="9.140625" style="1"/>
    <col min="4064" max="4065" width="9.28515625" style="1" bestFit="1" customWidth="1"/>
    <col min="4066" max="4066" width="9.140625" style="1"/>
    <col min="4067" max="4067" width="9.28515625" style="1" bestFit="1" customWidth="1"/>
    <col min="4068" max="4070" width="9.140625" style="1"/>
    <col min="4071" max="4073" width="9.28515625" style="1" bestFit="1" customWidth="1"/>
    <col min="4074" max="4076" width="9.140625" style="1"/>
    <col min="4077" max="4078" width="9.28515625" style="1" bestFit="1" customWidth="1"/>
    <col min="4079" max="4079" width="9.140625" style="1"/>
    <col min="4080" max="4081" width="9.28515625" style="1" bestFit="1" customWidth="1"/>
    <col min="4082" max="4082" width="9.140625" style="1"/>
    <col min="4083" max="4083" width="9.28515625" style="1" bestFit="1" customWidth="1"/>
    <col min="4084" max="4086" width="9.140625" style="1"/>
    <col min="4087" max="4089" width="9.28515625" style="1" bestFit="1" customWidth="1"/>
    <col min="4090" max="4092" width="9.140625" style="1"/>
    <col min="4093" max="4094" width="9.28515625" style="1" bestFit="1" customWidth="1"/>
    <col min="4095" max="4095" width="9.140625" style="1"/>
    <col min="4096" max="4097" width="9.28515625" style="1" bestFit="1" customWidth="1"/>
    <col min="4098" max="4098" width="9.140625" style="1"/>
    <col min="4099" max="4099" width="9.28515625" style="1" bestFit="1" customWidth="1"/>
    <col min="4100" max="4102" width="9.140625" style="1"/>
    <col min="4103" max="4105" width="9.28515625" style="1" bestFit="1" customWidth="1"/>
    <col min="4106" max="4108" width="9.140625" style="1"/>
    <col min="4109" max="4110" width="9.28515625" style="1" bestFit="1" customWidth="1"/>
    <col min="4111" max="4111" width="9.140625" style="1"/>
    <col min="4112" max="4113" width="9.28515625" style="1" bestFit="1" customWidth="1"/>
    <col min="4114" max="4114" width="9.140625" style="1"/>
    <col min="4115" max="4115" width="9.28515625" style="1" bestFit="1" customWidth="1"/>
    <col min="4116" max="4118" width="9.140625" style="1"/>
    <col min="4119" max="4121" width="9.28515625" style="1" bestFit="1" customWidth="1"/>
    <col min="4122" max="4124" width="9.140625" style="1"/>
    <col min="4125" max="4126" width="9.28515625" style="1" bestFit="1" customWidth="1"/>
    <col min="4127" max="4127" width="9.140625" style="1"/>
    <col min="4128" max="4129" width="9.28515625" style="1" bestFit="1" customWidth="1"/>
    <col min="4130" max="4130" width="9.140625" style="1"/>
    <col min="4131" max="4131" width="9.28515625" style="1" bestFit="1" customWidth="1"/>
    <col min="4132" max="4134" width="9.140625" style="1"/>
    <col min="4135" max="4137" width="9.28515625" style="1" bestFit="1" customWidth="1"/>
    <col min="4138" max="4140" width="9.140625" style="1"/>
    <col min="4141" max="4142" width="9.28515625" style="1" bestFit="1" customWidth="1"/>
    <col min="4143" max="4143" width="9.140625" style="1"/>
    <col min="4144" max="4145" width="9.28515625" style="1" bestFit="1" customWidth="1"/>
    <col min="4146" max="4146" width="9.140625" style="1"/>
    <col min="4147" max="4147" width="9.28515625" style="1" bestFit="1" customWidth="1"/>
    <col min="4148" max="4150" width="9.140625" style="1"/>
    <col min="4151" max="4153" width="9.28515625" style="1" bestFit="1" customWidth="1"/>
    <col min="4154" max="4156" width="9.140625" style="1"/>
    <col min="4157" max="4158" width="9.28515625" style="1" bestFit="1" customWidth="1"/>
    <col min="4159" max="4159" width="9.140625" style="1"/>
    <col min="4160" max="4161" width="9.28515625" style="1" bestFit="1" customWidth="1"/>
    <col min="4162" max="4162" width="9.140625" style="1"/>
    <col min="4163" max="4163" width="9.28515625" style="1" bestFit="1" customWidth="1"/>
    <col min="4164" max="4166" width="9.140625" style="1"/>
    <col min="4167" max="4169" width="9.28515625" style="1" bestFit="1" customWidth="1"/>
    <col min="4170" max="4172" width="9.140625" style="1"/>
    <col min="4173" max="4174" width="9.28515625" style="1" bestFit="1" customWidth="1"/>
    <col min="4175" max="4175" width="9.140625" style="1"/>
    <col min="4176" max="4177" width="9.28515625" style="1" bestFit="1" customWidth="1"/>
    <col min="4178" max="4178" width="9.140625" style="1"/>
    <col min="4179" max="4179" width="9.28515625" style="1" bestFit="1" customWidth="1"/>
    <col min="4180" max="4182" width="9.140625" style="1"/>
    <col min="4183" max="4185" width="9.28515625" style="1" bestFit="1" customWidth="1"/>
    <col min="4186" max="4188" width="9.140625" style="1"/>
    <col min="4189" max="4190" width="9.28515625" style="1" bestFit="1" customWidth="1"/>
    <col min="4191" max="4191" width="9.140625" style="1"/>
    <col min="4192" max="4193" width="9.28515625" style="1" bestFit="1" customWidth="1"/>
    <col min="4194" max="4194" width="9.140625" style="1"/>
    <col min="4195" max="4195" width="9.28515625" style="1" bestFit="1" customWidth="1"/>
    <col min="4196" max="4198" width="9.140625" style="1"/>
    <col min="4199" max="4201" width="9.28515625" style="1" bestFit="1" customWidth="1"/>
    <col min="4202" max="4204" width="9.140625" style="1"/>
    <col min="4205" max="4206" width="9.28515625" style="1" bestFit="1" customWidth="1"/>
    <col min="4207" max="4207" width="9.140625" style="1"/>
    <col min="4208" max="4209" width="9.28515625" style="1" bestFit="1" customWidth="1"/>
    <col min="4210" max="4210" width="9.140625" style="1"/>
    <col min="4211" max="4211" width="9.28515625" style="1" bestFit="1" customWidth="1"/>
    <col min="4212" max="4214" width="9.140625" style="1"/>
    <col min="4215" max="4217" width="9.28515625" style="1" bestFit="1" customWidth="1"/>
    <col min="4218" max="4220" width="9.140625" style="1"/>
    <col min="4221" max="4222" width="9.28515625" style="1" bestFit="1" customWidth="1"/>
    <col min="4223" max="4223" width="9.140625" style="1"/>
    <col min="4224" max="4225" width="9.28515625" style="1" bestFit="1" customWidth="1"/>
    <col min="4226" max="4226" width="9.140625" style="1"/>
    <col min="4227" max="4227" width="9.28515625" style="1" bestFit="1" customWidth="1"/>
    <col min="4228" max="4230" width="9.140625" style="1"/>
    <col min="4231" max="4233" width="9.28515625" style="1" bestFit="1" customWidth="1"/>
    <col min="4234" max="4236" width="9.140625" style="1"/>
    <col min="4237" max="4238" width="9.28515625" style="1" bestFit="1" customWidth="1"/>
    <col min="4239" max="4239" width="9.140625" style="1"/>
    <col min="4240" max="4241" width="9.28515625" style="1" bestFit="1" customWidth="1"/>
    <col min="4242" max="4242" width="9.140625" style="1"/>
    <col min="4243" max="4243" width="9.28515625" style="1" bestFit="1" customWidth="1"/>
    <col min="4244" max="4246" width="9.140625" style="1"/>
    <col min="4247" max="4249" width="9.28515625" style="1" bestFit="1" customWidth="1"/>
    <col min="4250" max="4252" width="9.140625" style="1"/>
    <col min="4253" max="4254" width="9.28515625" style="1" bestFit="1" customWidth="1"/>
    <col min="4255" max="4255" width="9.140625" style="1"/>
    <col min="4256" max="4257" width="9.28515625" style="1" bestFit="1" customWidth="1"/>
    <col min="4258" max="4258" width="9.140625" style="1"/>
    <col min="4259" max="4259" width="9.28515625" style="1" bestFit="1" customWidth="1"/>
    <col min="4260" max="4262" width="9.140625" style="1"/>
    <col min="4263" max="4265" width="9.28515625" style="1" bestFit="1" customWidth="1"/>
    <col min="4266" max="4268" width="9.140625" style="1"/>
    <col min="4269" max="4270" width="9.28515625" style="1" bestFit="1" customWidth="1"/>
    <col min="4271" max="4271" width="9.140625" style="1"/>
    <col min="4272" max="4273" width="9.28515625" style="1" bestFit="1" customWidth="1"/>
    <col min="4274" max="4274" width="9.140625" style="1"/>
    <col min="4275" max="4275" width="9.28515625" style="1" bestFit="1" customWidth="1"/>
    <col min="4276" max="4278" width="9.140625" style="1"/>
    <col min="4279" max="4281" width="9.28515625" style="1" bestFit="1" customWidth="1"/>
    <col min="4282" max="4284" width="9.140625" style="1"/>
    <col min="4285" max="4286" width="9.28515625" style="1" bestFit="1" customWidth="1"/>
    <col min="4287" max="4287" width="9.140625" style="1"/>
    <col min="4288" max="4289" width="9.28515625" style="1" bestFit="1" customWidth="1"/>
    <col min="4290" max="4290" width="9.140625" style="1"/>
    <col min="4291" max="4291" width="9.28515625" style="1" bestFit="1" customWidth="1"/>
    <col min="4292" max="4294" width="9.140625" style="1"/>
    <col min="4295" max="4297" width="9.28515625" style="1" bestFit="1" customWidth="1"/>
    <col min="4298" max="4300" width="9.140625" style="1"/>
    <col min="4301" max="4302" width="9.28515625" style="1" bestFit="1" customWidth="1"/>
    <col min="4303" max="4303" width="9.140625" style="1"/>
    <col min="4304" max="4305" width="9.28515625" style="1" bestFit="1" customWidth="1"/>
    <col min="4306" max="4306" width="9.140625" style="1"/>
    <col min="4307" max="4307" width="9.28515625" style="1" bestFit="1" customWidth="1"/>
    <col min="4308" max="4310" width="9.140625" style="1"/>
    <col min="4311" max="4313" width="9.28515625" style="1" bestFit="1" customWidth="1"/>
    <col min="4314" max="4316" width="9.140625" style="1"/>
    <col min="4317" max="4318" width="9.28515625" style="1" bestFit="1" customWidth="1"/>
    <col min="4319" max="4319" width="9.140625" style="1"/>
    <col min="4320" max="4321" width="9.28515625" style="1" bestFit="1" customWidth="1"/>
    <col min="4322" max="4322" width="9.140625" style="1"/>
    <col min="4323" max="4323" width="9.28515625" style="1" bestFit="1" customWidth="1"/>
    <col min="4324" max="4326" width="9.140625" style="1"/>
    <col min="4327" max="4329" width="9.28515625" style="1" bestFit="1" customWidth="1"/>
    <col min="4330" max="4332" width="9.140625" style="1"/>
    <col min="4333" max="4334" width="9.28515625" style="1" bestFit="1" customWidth="1"/>
    <col min="4335" max="4335" width="9.140625" style="1"/>
    <col min="4336" max="4337" width="9.28515625" style="1" bestFit="1" customWidth="1"/>
    <col min="4338" max="4338" width="9.140625" style="1"/>
    <col min="4339" max="4339" width="9.28515625" style="1" bestFit="1" customWidth="1"/>
    <col min="4340" max="4342" width="9.140625" style="1"/>
    <col min="4343" max="4345" width="9.28515625" style="1" bestFit="1" customWidth="1"/>
    <col min="4346" max="4348" width="9.140625" style="1"/>
    <col min="4349" max="4350" width="9.28515625" style="1" bestFit="1" customWidth="1"/>
    <col min="4351" max="4351" width="9.140625" style="1"/>
    <col min="4352" max="4353" width="9.28515625" style="1" bestFit="1" customWidth="1"/>
    <col min="4354" max="4354" width="9.140625" style="1"/>
    <col min="4355" max="4355" width="9.28515625" style="1" bestFit="1" customWidth="1"/>
    <col min="4356" max="4358" width="9.140625" style="1"/>
    <col min="4359" max="4361" width="9.28515625" style="1" bestFit="1" customWidth="1"/>
    <col min="4362" max="4364" width="9.140625" style="1"/>
    <col min="4365" max="4366" width="9.28515625" style="1" bestFit="1" customWidth="1"/>
    <col min="4367" max="4367" width="9.140625" style="1"/>
    <col min="4368" max="4369" width="9.28515625" style="1" bestFit="1" customWidth="1"/>
    <col min="4370" max="4370" width="9.140625" style="1"/>
    <col min="4371" max="4371" width="9.28515625" style="1" bestFit="1" customWidth="1"/>
    <col min="4372" max="4374" width="9.140625" style="1"/>
    <col min="4375" max="4377" width="9.28515625" style="1" bestFit="1" customWidth="1"/>
    <col min="4378" max="4380" width="9.140625" style="1"/>
    <col min="4381" max="4382" width="9.28515625" style="1" bestFit="1" customWidth="1"/>
    <col min="4383" max="4383" width="9.140625" style="1"/>
    <col min="4384" max="4385" width="9.28515625" style="1" bestFit="1" customWidth="1"/>
    <col min="4386" max="4386" width="9.140625" style="1"/>
    <col min="4387" max="4387" width="9.28515625" style="1" bestFit="1" customWidth="1"/>
    <col min="4388" max="4390" width="9.140625" style="1"/>
    <col min="4391" max="4393" width="9.28515625" style="1" bestFit="1" customWidth="1"/>
    <col min="4394" max="4396" width="9.140625" style="1"/>
    <col min="4397" max="4398" width="9.28515625" style="1" bestFit="1" customWidth="1"/>
    <col min="4399" max="4399" width="9.140625" style="1"/>
    <col min="4400" max="4401" width="9.28515625" style="1" bestFit="1" customWidth="1"/>
    <col min="4402" max="4402" width="9.140625" style="1"/>
    <col min="4403" max="4403" width="9.28515625" style="1" bestFit="1" customWidth="1"/>
    <col min="4404" max="4406" width="9.140625" style="1"/>
    <col min="4407" max="4409" width="9.28515625" style="1" bestFit="1" customWidth="1"/>
    <col min="4410" max="4412" width="9.140625" style="1"/>
    <col min="4413" max="4414" width="9.28515625" style="1" bestFit="1" customWidth="1"/>
    <col min="4415" max="4415" width="9.140625" style="1"/>
    <col min="4416" max="4417" width="9.28515625" style="1" bestFit="1" customWidth="1"/>
    <col min="4418" max="4418" width="9.140625" style="1"/>
    <col min="4419" max="4419" width="9.28515625" style="1" bestFit="1" customWidth="1"/>
    <col min="4420" max="4422" width="9.140625" style="1"/>
    <col min="4423" max="4425" width="9.28515625" style="1" bestFit="1" customWidth="1"/>
    <col min="4426" max="4428" width="9.140625" style="1"/>
    <col min="4429" max="4430" width="9.28515625" style="1" bestFit="1" customWidth="1"/>
    <col min="4431" max="4431" width="9.140625" style="1"/>
    <col min="4432" max="4433" width="9.28515625" style="1" bestFit="1" customWidth="1"/>
    <col min="4434" max="4434" width="9.140625" style="1"/>
    <col min="4435" max="4435" width="9.28515625" style="1" bestFit="1" customWidth="1"/>
    <col min="4436" max="4438" width="9.140625" style="1"/>
    <col min="4439" max="4441" width="9.28515625" style="1" bestFit="1" customWidth="1"/>
    <col min="4442" max="4444" width="9.140625" style="1"/>
    <col min="4445" max="4446" width="9.28515625" style="1" bestFit="1" customWidth="1"/>
    <col min="4447" max="4447" width="9.140625" style="1"/>
    <col min="4448" max="4449" width="9.28515625" style="1" bestFit="1" customWidth="1"/>
    <col min="4450" max="4450" width="9.140625" style="1"/>
    <col min="4451" max="4451" width="9.28515625" style="1" bestFit="1" customWidth="1"/>
    <col min="4452" max="4454" width="9.140625" style="1"/>
    <col min="4455" max="4457" width="9.28515625" style="1" bestFit="1" customWidth="1"/>
    <col min="4458" max="4460" width="9.140625" style="1"/>
    <col min="4461" max="4462" width="9.28515625" style="1" bestFit="1" customWidth="1"/>
    <col min="4463" max="4463" width="9.140625" style="1"/>
    <col min="4464" max="4465" width="9.28515625" style="1" bestFit="1" customWidth="1"/>
    <col min="4466" max="4466" width="9.140625" style="1"/>
    <col min="4467" max="4467" width="9.28515625" style="1" bestFit="1" customWidth="1"/>
    <col min="4468" max="4470" width="9.140625" style="1"/>
    <col min="4471" max="4473" width="9.28515625" style="1" bestFit="1" customWidth="1"/>
    <col min="4474" max="4476" width="9.140625" style="1"/>
    <col min="4477" max="4478" width="9.28515625" style="1" bestFit="1" customWidth="1"/>
    <col min="4479" max="4479" width="9.140625" style="1"/>
    <col min="4480" max="4481" width="9.28515625" style="1" bestFit="1" customWidth="1"/>
    <col min="4482" max="4482" width="9.140625" style="1"/>
    <col min="4483" max="4483" width="9.28515625" style="1" bestFit="1" customWidth="1"/>
    <col min="4484" max="4486" width="9.140625" style="1"/>
    <col min="4487" max="4489" width="9.28515625" style="1" bestFit="1" customWidth="1"/>
    <col min="4490" max="4492" width="9.140625" style="1"/>
    <col min="4493" max="4494" width="9.28515625" style="1" bestFit="1" customWidth="1"/>
    <col min="4495" max="4495" width="9.140625" style="1"/>
    <col min="4496" max="4497" width="9.28515625" style="1" bestFit="1" customWidth="1"/>
    <col min="4498" max="4498" width="9.140625" style="1"/>
    <col min="4499" max="4499" width="9.28515625" style="1" bestFit="1" customWidth="1"/>
    <col min="4500" max="4502" width="9.140625" style="1"/>
    <col min="4503" max="4505" width="9.28515625" style="1" bestFit="1" customWidth="1"/>
    <col min="4506" max="4508" width="9.140625" style="1"/>
    <col min="4509" max="4510" width="9.28515625" style="1" bestFit="1" customWidth="1"/>
    <col min="4511" max="4511" width="9.140625" style="1"/>
    <col min="4512" max="4513" width="9.28515625" style="1" bestFit="1" customWidth="1"/>
    <col min="4514" max="4514" width="9.140625" style="1"/>
    <col min="4515" max="4515" width="9.28515625" style="1" bestFit="1" customWidth="1"/>
    <col min="4516" max="4518" width="9.140625" style="1"/>
    <col min="4519" max="4521" width="9.28515625" style="1" bestFit="1" customWidth="1"/>
    <col min="4522" max="4524" width="9.140625" style="1"/>
    <col min="4525" max="4526" width="9.28515625" style="1" bestFit="1" customWidth="1"/>
    <col min="4527" max="4527" width="9.140625" style="1"/>
    <col min="4528" max="4529" width="9.28515625" style="1" bestFit="1" customWidth="1"/>
    <col min="4530" max="4530" width="9.140625" style="1"/>
    <col min="4531" max="4531" width="9.28515625" style="1" bestFit="1" customWidth="1"/>
    <col min="4532" max="4534" width="9.140625" style="1"/>
    <col min="4535" max="4537" width="9.28515625" style="1" bestFit="1" customWidth="1"/>
    <col min="4538" max="4540" width="9.140625" style="1"/>
    <col min="4541" max="4542" width="9.28515625" style="1" bestFit="1" customWidth="1"/>
    <col min="4543" max="4543" width="9.140625" style="1"/>
    <col min="4544" max="4545" width="9.28515625" style="1" bestFit="1" customWidth="1"/>
    <col min="4546" max="4546" width="9.140625" style="1"/>
    <col min="4547" max="4547" width="9.28515625" style="1" bestFit="1" customWidth="1"/>
    <col min="4548" max="4550" width="9.140625" style="1"/>
    <col min="4551" max="4553" width="9.28515625" style="1" bestFit="1" customWidth="1"/>
    <col min="4554" max="4556" width="9.140625" style="1"/>
    <col min="4557" max="4558" width="9.28515625" style="1" bestFit="1" customWidth="1"/>
    <col min="4559" max="4559" width="9.140625" style="1"/>
    <col min="4560" max="4561" width="9.28515625" style="1" bestFit="1" customWidth="1"/>
    <col min="4562" max="4562" width="9.140625" style="1"/>
    <col min="4563" max="4563" width="9.28515625" style="1" bestFit="1" customWidth="1"/>
    <col min="4564" max="4566" width="9.140625" style="1"/>
    <col min="4567" max="4569" width="9.28515625" style="1" bestFit="1" customWidth="1"/>
    <col min="4570" max="4572" width="9.140625" style="1"/>
    <col min="4573" max="4574" width="9.28515625" style="1" bestFit="1" customWidth="1"/>
    <col min="4575" max="4575" width="9.140625" style="1"/>
    <col min="4576" max="4577" width="9.28515625" style="1" bestFit="1" customWidth="1"/>
    <col min="4578" max="4578" width="9.140625" style="1"/>
    <col min="4579" max="4579" width="9.28515625" style="1" bestFit="1" customWidth="1"/>
    <col min="4580" max="4582" width="9.140625" style="1"/>
    <col min="4583" max="4585" width="9.28515625" style="1" bestFit="1" customWidth="1"/>
    <col min="4586" max="4588" width="9.140625" style="1"/>
    <col min="4589" max="4590" width="9.28515625" style="1" bestFit="1" customWidth="1"/>
    <col min="4591" max="4591" width="9.140625" style="1"/>
    <col min="4592" max="4593" width="9.28515625" style="1" bestFit="1" customWidth="1"/>
    <col min="4594" max="4594" width="9.140625" style="1"/>
    <col min="4595" max="4595" width="9.28515625" style="1" bestFit="1" customWidth="1"/>
    <col min="4596" max="4598" width="9.140625" style="1"/>
    <col min="4599" max="4601" width="9.28515625" style="1" bestFit="1" customWidth="1"/>
    <col min="4602" max="4604" width="9.140625" style="1"/>
    <col min="4605" max="4606" width="9.28515625" style="1" bestFit="1" customWidth="1"/>
    <col min="4607" max="4607" width="9.140625" style="1"/>
    <col min="4608" max="4609" width="9.28515625" style="1" bestFit="1" customWidth="1"/>
    <col min="4610" max="4610" width="9.140625" style="1"/>
    <col min="4611" max="4611" width="9.28515625" style="1" bestFit="1" customWidth="1"/>
    <col min="4612" max="4614" width="9.140625" style="1"/>
    <col min="4615" max="4617" width="9.28515625" style="1" bestFit="1" customWidth="1"/>
    <col min="4618" max="4620" width="9.140625" style="1"/>
    <col min="4621" max="4622" width="9.28515625" style="1" bestFit="1" customWidth="1"/>
    <col min="4623" max="4623" width="9.140625" style="1"/>
    <col min="4624" max="4625" width="9.28515625" style="1" bestFit="1" customWidth="1"/>
    <col min="4626" max="4626" width="9.140625" style="1"/>
    <col min="4627" max="4627" width="9.28515625" style="1" bestFit="1" customWidth="1"/>
    <col min="4628" max="4630" width="9.140625" style="1"/>
    <col min="4631" max="4633" width="9.28515625" style="1" bestFit="1" customWidth="1"/>
    <col min="4634" max="4636" width="9.140625" style="1"/>
    <col min="4637" max="4638" width="9.28515625" style="1" bestFit="1" customWidth="1"/>
    <col min="4639" max="4639" width="9.140625" style="1"/>
    <col min="4640" max="4641" width="9.28515625" style="1" bestFit="1" customWidth="1"/>
    <col min="4642" max="4642" width="9.140625" style="1"/>
    <col min="4643" max="4643" width="9.28515625" style="1" bestFit="1" customWidth="1"/>
    <col min="4644" max="4646" width="9.140625" style="1"/>
    <col min="4647" max="4649" width="9.28515625" style="1" bestFit="1" customWidth="1"/>
    <col min="4650" max="4652" width="9.140625" style="1"/>
    <col min="4653" max="4654" width="9.28515625" style="1" bestFit="1" customWidth="1"/>
    <col min="4655" max="4655" width="9.140625" style="1"/>
    <col min="4656" max="4657" width="9.28515625" style="1" bestFit="1" customWidth="1"/>
    <col min="4658" max="4658" width="9.140625" style="1"/>
    <col min="4659" max="4659" width="9.28515625" style="1" bestFit="1" customWidth="1"/>
    <col min="4660" max="4662" width="9.140625" style="1"/>
    <col min="4663" max="4665" width="9.28515625" style="1" bestFit="1" customWidth="1"/>
    <col min="4666" max="4668" width="9.140625" style="1"/>
    <col min="4669" max="4670" width="9.28515625" style="1" bestFit="1" customWidth="1"/>
    <col min="4671" max="4671" width="9.140625" style="1"/>
    <col min="4672" max="4673" width="9.28515625" style="1" bestFit="1" customWidth="1"/>
    <col min="4674" max="4674" width="9.140625" style="1"/>
    <col min="4675" max="4675" width="9.28515625" style="1" bestFit="1" customWidth="1"/>
    <col min="4676" max="4678" width="9.140625" style="1"/>
    <col min="4679" max="4681" width="9.28515625" style="1" bestFit="1" customWidth="1"/>
    <col min="4682" max="4684" width="9.140625" style="1"/>
    <col min="4685" max="4686" width="9.28515625" style="1" bestFit="1" customWidth="1"/>
    <col min="4687" max="4687" width="9.140625" style="1"/>
    <col min="4688" max="4689" width="9.28515625" style="1" bestFit="1" customWidth="1"/>
    <col min="4690" max="4690" width="9.140625" style="1"/>
    <col min="4691" max="4691" width="9.28515625" style="1" bestFit="1" customWidth="1"/>
    <col min="4692" max="4694" width="9.140625" style="1"/>
    <col min="4695" max="4697" width="9.28515625" style="1" bestFit="1" customWidth="1"/>
    <col min="4698" max="4700" width="9.140625" style="1"/>
    <col min="4701" max="4702" width="9.28515625" style="1" bestFit="1" customWidth="1"/>
    <col min="4703" max="4703" width="9.140625" style="1"/>
    <col min="4704" max="4705" width="9.28515625" style="1" bestFit="1" customWidth="1"/>
    <col min="4706" max="4706" width="9.140625" style="1"/>
    <col min="4707" max="4707" width="9.28515625" style="1" bestFit="1" customWidth="1"/>
    <col min="4708" max="4710" width="9.140625" style="1"/>
    <col min="4711" max="4713" width="9.28515625" style="1" bestFit="1" customWidth="1"/>
    <col min="4714" max="4716" width="9.140625" style="1"/>
    <col min="4717" max="4718" width="9.28515625" style="1" bestFit="1" customWidth="1"/>
    <col min="4719" max="4719" width="9.140625" style="1"/>
    <col min="4720" max="4721" width="9.28515625" style="1" bestFit="1" customWidth="1"/>
    <col min="4722" max="4722" width="9.140625" style="1"/>
    <col min="4723" max="4723" width="9.28515625" style="1" bestFit="1" customWidth="1"/>
    <col min="4724" max="4726" width="9.140625" style="1"/>
    <col min="4727" max="4729" width="9.28515625" style="1" bestFit="1" customWidth="1"/>
    <col min="4730" max="4732" width="9.140625" style="1"/>
    <col min="4733" max="4734" width="9.28515625" style="1" bestFit="1" customWidth="1"/>
    <col min="4735" max="4735" width="9.140625" style="1"/>
    <col min="4736" max="4737" width="9.28515625" style="1" bestFit="1" customWidth="1"/>
    <col min="4738" max="4738" width="9.140625" style="1"/>
    <col min="4739" max="4739" width="9.28515625" style="1" bestFit="1" customWidth="1"/>
    <col min="4740" max="4742" width="9.140625" style="1"/>
    <col min="4743" max="4745" width="9.28515625" style="1" bestFit="1" customWidth="1"/>
    <col min="4746" max="4748" width="9.140625" style="1"/>
    <col min="4749" max="4750" width="9.28515625" style="1" bestFit="1" customWidth="1"/>
    <col min="4751" max="4751" width="9.140625" style="1"/>
    <col min="4752" max="4753" width="9.28515625" style="1" bestFit="1" customWidth="1"/>
    <col min="4754" max="4754" width="9.140625" style="1"/>
    <col min="4755" max="4755" width="9.28515625" style="1" bestFit="1" customWidth="1"/>
    <col min="4756" max="4758" width="9.140625" style="1"/>
    <col min="4759" max="4761" width="9.28515625" style="1" bestFit="1" customWidth="1"/>
    <col min="4762" max="4764" width="9.140625" style="1"/>
    <col min="4765" max="4766" width="9.28515625" style="1" bestFit="1" customWidth="1"/>
    <col min="4767" max="4767" width="9.140625" style="1"/>
    <col min="4768" max="4769" width="9.28515625" style="1" bestFit="1" customWidth="1"/>
    <col min="4770" max="4770" width="9.140625" style="1"/>
    <col min="4771" max="4771" width="9.28515625" style="1" bestFit="1" customWidth="1"/>
    <col min="4772" max="4774" width="9.140625" style="1"/>
    <col min="4775" max="4777" width="9.28515625" style="1" bestFit="1" customWidth="1"/>
    <col min="4778" max="4780" width="9.140625" style="1"/>
    <col min="4781" max="4782" width="9.28515625" style="1" bestFit="1" customWidth="1"/>
    <col min="4783" max="4783" width="9.140625" style="1"/>
    <col min="4784" max="4785" width="9.28515625" style="1" bestFit="1" customWidth="1"/>
    <col min="4786" max="4786" width="9.140625" style="1"/>
    <col min="4787" max="4787" width="9.28515625" style="1" bestFit="1" customWidth="1"/>
    <col min="4788" max="4790" width="9.140625" style="1"/>
    <col min="4791" max="4793" width="9.28515625" style="1" bestFit="1" customWidth="1"/>
    <col min="4794" max="4796" width="9.140625" style="1"/>
    <col min="4797" max="4798" width="9.28515625" style="1" bestFit="1" customWidth="1"/>
    <col min="4799" max="4799" width="9.140625" style="1"/>
    <col min="4800" max="4801" width="9.28515625" style="1" bestFit="1" customWidth="1"/>
    <col min="4802" max="4802" width="9.140625" style="1"/>
    <col min="4803" max="4803" width="9.28515625" style="1" bestFit="1" customWidth="1"/>
    <col min="4804" max="4806" width="9.140625" style="1"/>
    <col min="4807" max="4809" width="9.28515625" style="1" bestFit="1" customWidth="1"/>
    <col min="4810" max="4812" width="9.140625" style="1"/>
    <col min="4813" max="4814" width="9.28515625" style="1" bestFit="1" customWidth="1"/>
    <col min="4815" max="4815" width="9.140625" style="1"/>
    <col min="4816" max="4817" width="9.28515625" style="1" bestFit="1" customWidth="1"/>
    <col min="4818" max="4818" width="9.140625" style="1"/>
    <col min="4819" max="4819" width="9.28515625" style="1" bestFit="1" customWidth="1"/>
    <col min="4820" max="4822" width="9.140625" style="1"/>
    <col min="4823" max="4825" width="9.28515625" style="1" bestFit="1" customWidth="1"/>
    <col min="4826" max="4828" width="9.140625" style="1"/>
    <col min="4829" max="4830" width="9.28515625" style="1" bestFit="1" customWidth="1"/>
    <col min="4831" max="4831" width="9.140625" style="1"/>
    <col min="4832" max="4833" width="9.28515625" style="1" bestFit="1" customWidth="1"/>
    <col min="4834" max="4834" width="9.140625" style="1"/>
    <col min="4835" max="4835" width="9.28515625" style="1" bestFit="1" customWidth="1"/>
    <col min="4836" max="4838" width="9.140625" style="1"/>
    <col min="4839" max="4841" width="9.28515625" style="1" bestFit="1" customWidth="1"/>
    <col min="4842" max="4844" width="9.140625" style="1"/>
    <col min="4845" max="4846" width="9.28515625" style="1" bestFit="1" customWidth="1"/>
    <col min="4847" max="4847" width="9.140625" style="1"/>
    <col min="4848" max="4849" width="9.28515625" style="1" bestFit="1" customWidth="1"/>
    <col min="4850" max="4850" width="9.140625" style="1"/>
    <col min="4851" max="4851" width="9.28515625" style="1" bestFit="1" customWidth="1"/>
    <col min="4852" max="4854" width="9.140625" style="1"/>
    <col min="4855" max="4857" width="9.28515625" style="1" bestFit="1" customWidth="1"/>
    <col min="4858" max="4860" width="9.140625" style="1"/>
    <col min="4861" max="4862" width="9.28515625" style="1" bestFit="1" customWidth="1"/>
    <col min="4863" max="4863" width="9.140625" style="1"/>
    <col min="4864" max="4865" width="9.28515625" style="1" bestFit="1" customWidth="1"/>
    <col min="4866" max="4866" width="9.140625" style="1"/>
    <col min="4867" max="4867" width="9.28515625" style="1" bestFit="1" customWidth="1"/>
    <col min="4868" max="4870" width="9.140625" style="1"/>
    <col min="4871" max="4873" width="9.28515625" style="1" bestFit="1" customWidth="1"/>
    <col min="4874" max="4876" width="9.140625" style="1"/>
    <col min="4877" max="4878" width="9.28515625" style="1" bestFit="1" customWidth="1"/>
    <col min="4879" max="4879" width="9.140625" style="1"/>
    <col min="4880" max="4881" width="9.28515625" style="1" bestFit="1" customWidth="1"/>
    <col min="4882" max="4882" width="9.140625" style="1"/>
    <col min="4883" max="4883" width="9.28515625" style="1" bestFit="1" customWidth="1"/>
    <col min="4884" max="4886" width="9.140625" style="1"/>
    <col min="4887" max="4889" width="9.28515625" style="1" bestFit="1" customWidth="1"/>
    <col min="4890" max="4892" width="9.140625" style="1"/>
    <col min="4893" max="4894" width="9.28515625" style="1" bestFit="1" customWidth="1"/>
    <col min="4895" max="4895" width="9.140625" style="1"/>
    <col min="4896" max="4897" width="9.28515625" style="1" bestFit="1" customWidth="1"/>
    <col min="4898" max="4898" width="9.140625" style="1"/>
    <col min="4899" max="4899" width="9.28515625" style="1" bestFit="1" customWidth="1"/>
    <col min="4900" max="4902" width="9.140625" style="1"/>
    <col min="4903" max="4905" width="9.28515625" style="1" bestFit="1" customWidth="1"/>
    <col min="4906" max="4908" width="9.140625" style="1"/>
    <col min="4909" max="4910" width="9.28515625" style="1" bestFit="1" customWidth="1"/>
    <col min="4911" max="4911" width="9.140625" style="1"/>
    <col min="4912" max="4913" width="9.28515625" style="1" bestFit="1" customWidth="1"/>
    <col min="4914" max="4914" width="9.140625" style="1"/>
    <col min="4915" max="4915" width="9.28515625" style="1" bestFit="1" customWidth="1"/>
    <col min="4916" max="4918" width="9.140625" style="1"/>
    <col min="4919" max="4921" width="9.28515625" style="1" bestFit="1" customWidth="1"/>
    <col min="4922" max="4924" width="9.140625" style="1"/>
    <col min="4925" max="4926" width="9.28515625" style="1" bestFit="1" customWidth="1"/>
    <col min="4927" max="4927" width="9.140625" style="1"/>
    <col min="4928" max="4929" width="9.28515625" style="1" bestFit="1" customWidth="1"/>
    <col min="4930" max="4930" width="9.140625" style="1"/>
    <col min="4931" max="4931" width="9.28515625" style="1" bestFit="1" customWidth="1"/>
    <col min="4932" max="4934" width="9.140625" style="1"/>
    <col min="4935" max="4937" width="9.28515625" style="1" bestFit="1" customWidth="1"/>
    <col min="4938" max="4940" width="9.140625" style="1"/>
    <col min="4941" max="4942" width="9.28515625" style="1" bestFit="1" customWidth="1"/>
    <col min="4943" max="4943" width="9.140625" style="1"/>
    <col min="4944" max="4945" width="9.28515625" style="1" bestFit="1" customWidth="1"/>
    <col min="4946" max="4946" width="9.140625" style="1"/>
    <col min="4947" max="4947" width="9.28515625" style="1" bestFit="1" customWidth="1"/>
    <col min="4948" max="4950" width="9.140625" style="1"/>
    <col min="4951" max="4953" width="9.28515625" style="1" bestFit="1" customWidth="1"/>
    <col min="4954" max="4956" width="9.140625" style="1"/>
    <col min="4957" max="4958" width="9.28515625" style="1" bestFit="1" customWidth="1"/>
    <col min="4959" max="4959" width="9.140625" style="1"/>
    <col min="4960" max="4961" width="9.28515625" style="1" bestFit="1" customWidth="1"/>
    <col min="4962" max="4962" width="9.140625" style="1"/>
    <col min="4963" max="4963" width="9.28515625" style="1" bestFit="1" customWidth="1"/>
    <col min="4964" max="4966" width="9.140625" style="1"/>
    <col min="4967" max="4969" width="9.28515625" style="1" bestFit="1" customWidth="1"/>
    <col min="4970" max="4972" width="9.140625" style="1"/>
    <col min="4973" max="4974" width="9.28515625" style="1" bestFit="1" customWidth="1"/>
    <col min="4975" max="4975" width="9.140625" style="1"/>
    <col min="4976" max="4977" width="9.28515625" style="1" bestFit="1" customWidth="1"/>
    <col min="4978" max="4978" width="9.140625" style="1"/>
    <col min="4979" max="4979" width="9.28515625" style="1" bestFit="1" customWidth="1"/>
    <col min="4980" max="4982" width="9.140625" style="1"/>
    <col min="4983" max="4985" width="9.28515625" style="1" bestFit="1" customWidth="1"/>
    <col min="4986" max="4988" width="9.140625" style="1"/>
    <col min="4989" max="4990" width="9.28515625" style="1" bestFit="1" customWidth="1"/>
    <col min="4991" max="4991" width="9.140625" style="1"/>
    <col min="4992" max="4993" width="9.28515625" style="1" bestFit="1" customWidth="1"/>
    <col min="4994" max="4994" width="9.140625" style="1"/>
    <col min="4995" max="4995" width="9.28515625" style="1" bestFit="1" customWidth="1"/>
    <col min="4996" max="4998" width="9.140625" style="1"/>
    <col min="4999" max="5001" width="9.28515625" style="1" bestFit="1" customWidth="1"/>
    <col min="5002" max="5004" width="9.140625" style="1"/>
    <col min="5005" max="5006" width="9.28515625" style="1" bestFit="1" customWidth="1"/>
    <col min="5007" max="5007" width="9.140625" style="1"/>
    <col min="5008" max="5009" width="9.28515625" style="1" bestFit="1" customWidth="1"/>
    <col min="5010" max="5010" width="9.140625" style="1"/>
    <col min="5011" max="5011" width="9.28515625" style="1" bestFit="1" customWidth="1"/>
    <col min="5012" max="5014" width="9.140625" style="1"/>
    <col min="5015" max="5017" width="9.28515625" style="1" bestFit="1" customWidth="1"/>
    <col min="5018" max="5020" width="9.140625" style="1"/>
    <col min="5021" max="5022" width="9.28515625" style="1" bestFit="1" customWidth="1"/>
    <col min="5023" max="5023" width="9.140625" style="1"/>
    <col min="5024" max="5025" width="9.28515625" style="1" bestFit="1" customWidth="1"/>
    <col min="5026" max="5026" width="9.140625" style="1"/>
    <col min="5027" max="5027" width="9.28515625" style="1" bestFit="1" customWidth="1"/>
    <col min="5028" max="5030" width="9.140625" style="1"/>
    <col min="5031" max="5033" width="9.28515625" style="1" bestFit="1" customWidth="1"/>
    <col min="5034" max="5036" width="9.140625" style="1"/>
    <col min="5037" max="5038" width="9.28515625" style="1" bestFit="1" customWidth="1"/>
    <col min="5039" max="5039" width="9.140625" style="1"/>
    <col min="5040" max="5041" width="9.28515625" style="1" bestFit="1" customWidth="1"/>
    <col min="5042" max="5042" width="9.140625" style="1"/>
    <col min="5043" max="5043" width="9.28515625" style="1" bestFit="1" customWidth="1"/>
    <col min="5044" max="5046" width="9.140625" style="1"/>
    <col min="5047" max="5049" width="9.28515625" style="1" bestFit="1" customWidth="1"/>
    <col min="5050" max="5052" width="9.140625" style="1"/>
    <col min="5053" max="5054" width="9.28515625" style="1" bestFit="1" customWidth="1"/>
    <col min="5055" max="5055" width="9.140625" style="1"/>
    <col min="5056" max="5057" width="9.28515625" style="1" bestFit="1" customWidth="1"/>
    <col min="5058" max="5058" width="9.140625" style="1"/>
    <col min="5059" max="5059" width="9.28515625" style="1" bestFit="1" customWidth="1"/>
    <col min="5060" max="5062" width="9.140625" style="1"/>
    <col min="5063" max="5065" width="9.28515625" style="1" bestFit="1" customWidth="1"/>
    <col min="5066" max="5068" width="9.140625" style="1"/>
    <col min="5069" max="5070" width="9.28515625" style="1" bestFit="1" customWidth="1"/>
    <col min="5071" max="5071" width="9.140625" style="1"/>
    <col min="5072" max="5073" width="9.28515625" style="1" bestFit="1" customWidth="1"/>
    <col min="5074" max="5074" width="9.140625" style="1"/>
    <col min="5075" max="5075" width="9.28515625" style="1" bestFit="1" customWidth="1"/>
    <col min="5076" max="5078" width="9.140625" style="1"/>
    <col min="5079" max="5081" width="9.28515625" style="1" bestFit="1" customWidth="1"/>
    <col min="5082" max="5084" width="9.140625" style="1"/>
    <col min="5085" max="5086" width="9.28515625" style="1" bestFit="1" customWidth="1"/>
    <col min="5087" max="5087" width="9.140625" style="1"/>
    <col min="5088" max="5089" width="9.28515625" style="1" bestFit="1" customWidth="1"/>
    <col min="5090" max="5090" width="9.140625" style="1"/>
    <col min="5091" max="5091" width="9.28515625" style="1" bestFit="1" customWidth="1"/>
    <col min="5092" max="5094" width="9.140625" style="1"/>
    <col min="5095" max="5097" width="9.28515625" style="1" bestFit="1" customWidth="1"/>
    <col min="5098" max="5100" width="9.140625" style="1"/>
    <col min="5101" max="5102" width="9.28515625" style="1" bestFit="1" customWidth="1"/>
    <col min="5103" max="5103" width="9.140625" style="1"/>
    <col min="5104" max="5105" width="9.28515625" style="1" bestFit="1" customWidth="1"/>
    <col min="5106" max="5106" width="9.140625" style="1"/>
    <col min="5107" max="5107" width="9.28515625" style="1" bestFit="1" customWidth="1"/>
    <col min="5108" max="5110" width="9.140625" style="1"/>
    <col min="5111" max="5113" width="9.28515625" style="1" bestFit="1" customWidth="1"/>
    <col min="5114" max="5116" width="9.140625" style="1"/>
    <col min="5117" max="5118" width="9.28515625" style="1" bestFit="1" customWidth="1"/>
    <col min="5119" max="5119" width="9.140625" style="1"/>
    <col min="5120" max="5121" width="9.28515625" style="1" bestFit="1" customWidth="1"/>
    <col min="5122" max="5122" width="9.140625" style="1"/>
    <col min="5123" max="5123" width="9.28515625" style="1" bestFit="1" customWidth="1"/>
    <col min="5124" max="5126" width="9.140625" style="1"/>
    <col min="5127" max="5129" width="9.28515625" style="1" bestFit="1" customWidth="1"/>
    <col min="5130" max="5132" width="9.140625" style="1"/>
    <col min="5133" max="5134" width="9.28515625" style="1" bestFit="1" customWidth="1"/>
    <col min="5135" max="5135" width="9.140625" style="1"/>
    <col min="5136" max="5137" width="9.28515625" style="1" bestFit="1" customWidth="1"/>
    <col min="5138" max="5138" width="9.140625" style="1"/>
    <col min="5139" max="5139" width="9.28515625" style="1" bestFit="1" customWidth="1"/>
    <col min="5140" max="5142" width="9.140625" style="1"/>
    <col min="5143" max="5145" width="9.28515625" style="1" bestFit="1" customWidth="1"/>
    <col min="5146" max="5148" width="9.140625" style="1"/>
    <col min="5149" max="5150" width="9.28515625" style="1" bestFit="1" customWidth="1"/>
    <col min="5151" max="5151" width="9.140625" style="1"/>
    <col min="5152" max="5153" width="9.28515625" style="1" bestFit="1" customWidth="1"/>
    <col min="5154" max="5154" width="9.140625" style="1"/>
    <col min="5155" max="5155" width="9.28515625" style="1" bestFit="1" customWidth="1"/>
    <col min="5156" max="5158" width="9.140625" style="1"/>
    <col min="5159" max="5161" width="9.28515625" style="1" bestFit="1" customWidth="1"/>
    <col min="5162" max="5164" width="9.140625" style="1"/>
    <col min="5165" max="5166" width="9.28515625" style="1" bestFit="1" customWidth="1"/>
    <col min="5167" max="5167" width="9.140625" style="1"/>
    <col min="5168" max="5169" width="9.28515625" style="1" bestFit="1" customWidth="1"/>
    <col min="5170" max="5170" width="9.140625" style="1"/>
    <col min="5171" max="5171" width="9.28515625" style="1" bestFit="1" customWidth="1"/>
    <col min="5172" max="5174" width="9.140625" style="1"/>
    <col min="5175" max="5177" width="9.28515625" style="1" bestFit="1" customWidth="1"/>
    <col min="5178" max="5180" width="9.140625" style="1"/>
    <col min="5181" max="5182" width="9.28515625" style="1" bestFit="1" customWidth="1"/>
    <col min="5183" max="5183" width="9.140625" style="1"/>
    <col min="5184" max="5185" width="9.28515625" style="1" bestFit="1" customWidth="1"/>
    <col min="5186" max="5186" width="9.140625" style="1"/>
    <col min="5187" max="5187" width="9.28515625" style="1" bestFit="1" customWidth="1"/>
    <col min="5188" max="5190" width="9.140625" style="1"/>
    <col min="5191" max="5193" width="9.28515625" style="1" bestFit="1" customWidth="1"/>
    <col min="5194" max="5196" width="9.140625" style="1"/>
    <col min="5197" max="5198" width="9.28515625" style="1" bestFit="1" customWidth="1"/>
    <col min="5199" max="5199" width="9.140625" style="1"/>
    <col min="5200" max="5201" width="9.28515625" style="1" bestFit="1" customWidth="1"/>
    <col min="5202" max="5202" width="9.140625" style="1"/>
    <col min="5203" max="5203" width="9.28515625" style="1" bestFit="1" customWidth="1"/>
    <col min="5204" max="5206" width="9.140625" style="1"/>
    <col min="5207" max="5209" width="9.28515625" style="1" bestFit="1" customWidth="1"/>
    <col min="5210" max="5212" width="9.140625" style="1"/>
    <col min="5213" max="5214" width="9.28515625" style="1" bestFit="1" customWidth="1"/>
    <col min="5215" max="5215" width="9.140625" style="1"/>
    <col min="5216" max="5217" width="9.28515625" style="1" bestFit="1" customWidth="1"/>
    <col min="5218" max="5218" width="9.140625" style="1"/>
    <col min="5219" max="5219" width="9.28515625" style="1" bestFit="1" customWidth="1"/>
    <col min="5220" max="5222" width="9.140625" style="1"/>
    <col min="5223" max="5225" width="9.28515625" style="1" bestFit="1" customWidth="1"/>
    <col min="5226" max="5228" width="9.140625" style="1"/>
    <col min="5229" max="5230" width="9.28515625" style="1" bestFit="1" customWidth="1"/>
    <col min="5231" max="5231" width="9.140625" style="1"/>
    <col min="5232" max="5233" width="9.28515625" style="1" bestFit="1" customWidth="1"/>
    <col min="5234" max="5234" width="9.140625" style="1"/>
    <col min="5235" max="5235" width="9.28515625" style="1" bestFit="1" customWidth="1"/>
    <col min="5236" max="5238" width="9.140625" style="1"/>
    <col min="5239" max="5241" width="9.28515625" style="1" bestFit="1" customWidth="1"/>
    <col min="5242" max="5244" width="9.140625" style="1"/>
    <col min="5245" max="5246" width="9.28515625" style="1" bestFit="1" customWidth="1"/>
    <col min="5247" max="5247" width="9.140625" style="1"/>
    <col min="5248" max="5249" width="9.28515625" style="1" bestFit="1" customWidth="1"/>
    <col min="5250" max="5250" width="9.140625" style="1"/>
    <col min="5251" max="5251" width="9.28515625" style="1" bestFit="1" customWidth="1"/>
    <col min="5252" max="5254" width="9.140625" style="1"/>
    <col min="5255" max="5257" width="9.28515625" style="1" bestFit="1" customWidth="1"/>
    <col min="5258" max="5260" width="9.140625" style="1"/>
    <col min="5261" max="5262" width="9.28515625" style="1" bestFit="1" customWidth="1"/>
    <col min="5263" max="5263" width="9.140625" style="1"/>
    <col min="5264" max="5265" width="9.28515625" style="1" bestFit="1" customWidth="1"/>
    <col min="5266" max="5266" width="9.140625" style="1"/>
    <col min="5267" max="5267" width="9.28515625" style="1" bestFit="1" customWidth="1"/>
    <col min="5268" max="5270" width="9.140625" style="1"/>
    <col min="5271" max="5273" width="9.28515625" style="1" bestFit="1" customWidth="1"/>
    <col min="5274" max="5276" width="9.140625" style="1"/>
    <col min="5277" max="5278" width="9.28515625" style="1" bestFit="1" customWidth="1"/>
    <col min="5279" max="5279" width="9.140625" style="1"/>
    <col min="5280" max="5281" width="9.28515625" style="1" bestFit="1" customWidth="1"/>
    <col min="5282" max="5282" width="9.140625" style="1"/>
    <col min="5283" max="5283" width="9.28515625" style="1" bestFit="1" customWidth="1"/>
    <col min="5284" max="5286" width="9.140625" style="1"/>
    <col min="5287" max="5289" width="9.28515625" style="1" bestFit="1" customWidth="1"/>
    <col min="5290" max="5292" width="9.140625" style="1"/>
    <col min="5293" max="5294" width="9.28515625" style="1" bestFit="1" customWidth="1"/>
    <col min="5295" max="5295" width="9.140625" style="1"/>
    <col min="5296" max="5297" width="9.28515625" style="1" bestFit="1" customWidth="1"/>
    <col min="5298" max="5298" width="9.140625" style="1"/>
    <col min="5299" max="5299" width="9.28515625" style="1" bestFit="1" customWidth="1"/>
    <col min="5300" max="5302" width="9.140625" style="1"/>
    <col min="5303" max="5305" width="9.28515625" style="1" bestFit="1" customWidth="1"/>
    <col min="5306" max="5308" width="9.140625" style="1"/>
    <col min="5309" max="5310" width="9.28515625" style="1" bestFit="1" customWidth="1"/>
    <col min="5311" max="5311" width="9.140625" style="1"/>
    <col min="5312" max="5313" width="9.28515625" style="1" bestFit="1" customWidth="1"/>
    <col min="5314" max="5314" width="9.140625" style="1"/>
    <col min="5315" max="5315" width="9.28515625" style="1" bestFit="1" customWidth="1"/>
    <col min="5316" max="5318" width="9.140625" style="1"/>
    <col min="5319" max="5321" width="9.28515625" style="1" bestFit="1" customWidth="1"/>
    <col min="5322" max="5324" width="9.140625" style="1"/>
    <col min="5325" max="5326" width="9.28515625" style="1" bestFit="1" customWidth="1"/>
    <col min="5327" max="5327" width="9.140625" style="1"/>
    <col min="5328" max="5329" width="9.28515625" style="1" bestFit="1" customWidth="1"/>
    <col min="5330" max="5330" width="9.140625" style="1"/>
    <col min="5331" max="5331" width="9.28515625" style="1" bestFit="1" customWidth="1"/>
    <col min="5332" max="5334" width="9.140625" style="1"/>
    <col min="5335" max="5337" width="9.28515625" style="1" bestFit="1" customWidth="1"/>
    <col min="5338" max="5340" width="9.140625" style="1"/>
    <col min="5341" max="5342" width="9.28515625" style="1" bestFit="1" customWidth="1"/>
    <col min="5343" max="5343" width="9.140625" style="1"/>
    <col min="5344" max="5345" width="9.28515625" style="1" bestFit="1" customWidth="1"/>
    <col min="5346" max="5346" width="9.140625" style="1"/>
    <col min="5347" max="5347" width="9.28515625" style="1" bestFit="1" customWidth="1"/>
    <col min="5348" max="5350" width="9.140625" style="1"/>
    <col min="5351" max="5353" width="9.28515625" style="1" bestFit="1" customWidth="1"/>
    <col min="5354" max="5356" width="9.140625" style="1"/>
    <col min="5357" max="5358" width="9.28515625" style="1" bestFit="1" customWidth="1"/>
    <col min="5359" max="5359" width="9.140625" style="1"/>
    <col min="5360" max="5361" width="9.28515625" style="1" bestFit="1" customWidth="1"/>
    <col min="5362" max="5362" width="9.140625" style="1"/>
    <col min="5363" max="5363" width="9.28515625" style="1" bestFit="1" customWidth="1"/>
    <col min="5364" max="5366" width="9.140625" style="1"/>
    <col min="5367" max="5369" width="9.28515625" style="1" bestFit="1" customWidth="1"/>
    <col min="5370" max="5372" width="9.140625" style="1"/>
    <col min="5373" max="5374" width="9.28515625" style="1" bestFit="1" customWidth="1"/>
    <col min="5375" max="5375" width="9.140625" style="1"/>
    <col min="5376" max="5377" width="9.28515625" style="1" bestFit="1" customWidth="1"/>
    <col min="5378" max="5378" width="9.140625" style="1"/>
    <col min="5379" max="5379" width="9.28515625" style="1" bestFit="1" customWidth="1"/>
    <col min="5380" max="5382" width="9.140625" style="1"/>
    <col min="5383" max="5385" width="9.28515625" style="1" bestFit="1" customWidth="1"/>
    <col min="5386" max="5388" width="9.140625" style="1"/>
    <col min="5389" max="5390" width="9.28515625" style="1" bestFit="1" customWidth="1"/>
    <col min="5391" max="5391" width="9.140625" style="1"/>
    <col min="5392" max="5393" width="9.28515625" style="1" bestFit="1" customWidth="1"/>
    <col min="5394" max="5394" width="9.140625" style="1"/>
    <col min="5395" max="5395" width="9.28515625" style="1" bestFit="1" customWidth="1"/>
    <col min="5396" max="5398" width="9.140625" style="1"/>
    <col min="5399" max="5401" width="9.28515625" style="1" bestFit="1" customWidth="1"/>
    <col min="5402" max="5404" width="9.140625" style="1"/>
    <col min="5405" max="5406" width="9.28515625" style="1" bestFit="1" customWidth="1"/>
    <col min="5407" max="5407" width="9.140625" style="1"/>
    <col min="5408" max="5409" width="9.28515625" style="1" bestFit="1" customWidth="1"/>
    <col min="5410" max="5410" width="9.140625" style="1"/>
    <col min="5411" max="5411" width="9.28515625" style="1" bestFit="1" customWidth="1"/>
    <col min="5412" max="5414" width="9.140625" style="1"/>
    <col min="5415" max="5417" width="9.28515625" style="1" bestFit="1" customWidth="1"/>
    <col min="5418" max="5420" width="9.140625" style="1"/>
    <col min="5421" max="5422" width="9.28515625" style="1" bestFit="1" customWidth="1"/>
    <col min="5423" max="5423" width="9.140625" style="1"/>
    <col min="5424" max="5425" width="9.28515625" style="1" bestFit="1" customWidth="1"/>
    <col min="5426" max="5426" width="9.140625" style="1"/>
    <col min="5427" max="5427" width="9.28515625" style="1" bestFit="1" customWidth="1"/>
    <col min="5428" max="5430" width="9.140625" style="1"/>
    <col min="5431" max="5433" width="9.28515625" style="1" bestFit="1" customWidth="1"/>
    <col min="5434" max="5436" width="9.140625" style="1"/>
    <col min="5437" max="5438" width="9.28515625" style="1" bestFit="1" customWidth="1"/>
    <col min="5439" max="5439" width="9.140625" style="1"/>
    <col min="5440" max="5441" width="9.28515625" style="1" bestFit="1" customWidth="1"/>
    <col min="5442" max="5442" width="9.140625" style="1"/>
    <col min="5443" max="5443" width="9.28515625" style="1" bestFit="1" customWidth="1"/>
    <col min="5444" max="5446" width="9.140625" style="1"/>
    <col min="5447" max="5449" width="9.28515625" style="1" bestFit="1" customWidth="1"/>
    <col min="5450" max="5452" width="9.140625" style="1"/>
    <col min="5453" max="5454" width="9.28515625" style="1" bestFit="1" customWidth="1"/>
    <col min="5455" max="5455" width="9.140625" style="1"/>
    <col min="5456" max="5457" width="9.28515625" style="1" bestFit="1" customWidth="1"/>
    <col min="5458" max="5458" width="9.140625" style="1"/>
    <col min="5459" max="5459" width="9.28515625" style="1" bestFit="1" customWidth="1"/>
    <col min="5460" max="5462" width="9.140625" style="1"/>
    <col min="5463" max="5465" width="9.28515625" style="1" bestFit="1" customWidth="1"/>
    <col min="5466" max="5468" width="9.140625" style="1"/>
    <col min="5469" max="5470" width="9.28515625" style="1" bestFit="1" customWidth="1"/>
    <col min="5471" max="5471" width="9.140625" style="1"/>
    <col min="5472" max="5473" width="9.28515625" style="1" bestFit="1" customWidth="1"/>
    <col min="5474" max="5474" width="9.140625" style="1"/>
    <col min="5475" max="5475" width="9.28515625" style="1" bestFit="1" customWidth="1"/>
    <col min="5476" max="5478" width="9.140625" style="1"/>
    <col min="5479" max="5481" width="9.28515625" style="1" bestFit="1" customWidth="1"/>
    <col min="5482" max="5484" width="9.140625" style="1"/>
    <col min="5485" max="5486" width="9.28515625" style="1" bestFit="1" customWidth="1"/>
    <col min="5487" max="5487" width="9.140625" style="1"/>
    <col min="5488" max="5489" width="9.28515625" style="1" bestFit="1" customWidth="1"/>
    <col min="5490" max="5490" width="9.140625" style="1"/>
    <col min="5491" max="5491" width="9.28515625" style="1" bestFit="1" customWidth="1"/>
    <col min="5492" max="5494" width="9.140625" style="1"/>
    <col min="5495" max="5497" width="9.28515625" style="1" bestFit="1" customWidth="1"/>
    <col min="5498" max="5500" width="9.140625" style="1"/>
    <col min="5501" max="5502" width="9.28515625" style="1" bestFit="1" customWidth="1"/>
    <col min="5503" max="5503" width="9.140625" style="1"/>
    <col min="5504" max="5505" width="9.28515625" style="1" bestFit="1" customWidth="1"/>
    <col min="5506" max="5506" width="9.140625" style="1"/>
    <col min="5507" max="5507" width="9.28515625" style="1" bestFit="1" customWidth="1"/>
    <col min="5508" max="5510" width="9.140625" style="1"/>
    <col min="5511" max="5513" width="9.28515625" style="1" bestFit="1" customWidth="1"/>
    <col min="5514" max="5516" width="9.140625" style="1"/>
    <col min="5517" max="5518" width="9.28515625" style="1" bestFit="1" customWidth="1"/>
    <col min="5519" max="5519" width="9.140625" style="1"/>
    <col min="5520" max="5521" width="9.28515625" style="1" bestFit="1" customWidth="1"/>
    <col min="5522" max="5522" width="9.140625" style="1"/>
    <col min="5523" max="5523" width="9.28515625" style="1" bestFit="1" customWidth="1"/>
    <col min="5524" max="5526" width="9.140625" style="1"/>
    <col min="5527" max="5529" width="9.28515625" style="1" bestFit="1" customWidth="1"/>
    <col min="5530" max="5532" width="9.140625" style="1"/>
    <col min="5533" max="5534" width="9.28515625" style="1" bestFit="1" customWidth="1"/>
    <col min="5535" max="5535" width="9.140625" style="1"/>
    <col min="5536" max="5537" width="9.28515625" style="1" bestFit="1" customWidth="1"/>
    <col min="5538" max="5538" width="9.140625" style="1"/>
    <col min="5539" max="5539" width="9.28515625" style="1" bestFit="1" customWidth="1"/>
    <col min="5540" max="5542" width="9.140625" style="1"/>
    <col min="5543" max="5545" width="9.28515625" style="1" bestFit="1" customWidth="1"/>
    <col min="5546" max="5548" width="9.140625" style="1"/>
    <col min="5549" max="5550" width="9.28515625" style="1" bestFit="1" customWidth="1"/>
    <col min="5551" max="5551" width="9.140625" style="1"/>
    <col min="5552" max="5553" width="9.28515625" style="1" bestFit="1" customWidth="1"/>
    <col min="5554" max="5554" width="9.140625" style="1"/>
    <col min="5555" max="5555" width="9.28515625" style="1" bestFit="1" customWidth="1"/>
    <col min="5556" max="5558" width="9.140625" style="1"/>
    <col min="5559" max="5561" width="9.28515625" style="1" bestFit="1" customWidth="1"/>
    <col min="5562" max="5564" width="9.140625" style="1"/>
    <col min="5565" max="5566" width="9.28515625" style="1" bestFit="1" customWidth="1"/>
    <col min="5567" max="5567" width="9.140625" style="1"/>
    <col min="5568" max="5569" width="9.28515625" style="1" bestFit="1" customWidth="1"/>
    <col min="5570" max="5570" width="9.140625" style="1"/>
    <col min="5571" max="5571" width="9.28515625" style="1" bestFit="1" customWidth="1"/>
    <col min="5572" max="5574" width="9.140625" style="1"/>
    <col min="5575" max="5577" width="9.28515625" style="1" bestFit="1" customWidth="1"/>
    <col min="5578" max="5580" width="9.140625" style="1"/>
    <col min="5581" max="5582" width="9.28515625" style="1" bestFit="1" customWidth="1"/>
    <col min="5583" max="5583" width="9.140625" style="1"/>
    <col min="5584" max="5585" width="9.28515625" style="1" bestFit="1" customWidth="1"/>
    <col min="5586" max="5586" width="9.140625" style="1"/>
    <col min="5587" max="5587" width="9.28515625" style="1" bestFit="1" customWidth="1"/>
    <col min="5588" max="5590" width="9.140625" style="1"/>
    <col min="5591" max="5593" width="9.28515625" style="1" bestFit="1" customWidth="1"/>
    <col min="5594" max="5596" width="9.140625" style="1"/>
    <col min="5597" max="5598" width="9.28515625" style="1" bestFit="1" customWidth="1"/>
    <col min="5599" max="5599" width="9.140625" style="1"/>
    <col min="5600" max="5601" width="9.28515625" style="1" bestFit="1" customWidth="1"/>
    <col min="5602" max="5602" width="9.140625" style="1"/>
    <col min="5603" max="5603" width="9.28515625" style="1" bestFit="1" customWidth="1"/>
    <col min="5604" max="5606" width="9.140625" style="1"/>
    <col min="5607" max="5609" width="9.28515625" style="1" bestFit="1" customWidth="1"/>
    <col min="5610" max="5612" width="9.140625" style="1"/>
    <col min="5613" max="5614" width="9.28515625" style="1" bestFit="1" customWidth="1"/>
    <col min="5615" max="5615" width="9.140625" style="1"/>
    <col min="5616" max="5617" width="9.28515625" style="1" bestFit="1" customWidth="1"/>
    <col min="5618" max="5618" width="9.140625" style="1"/>
    <col min="5619" max="5619" width="9.28515625" style="1" bestFit="1" customWidth="1"/>
    <col min="5620" max="5622" width="9.140625" style="1"/>
    <col min="5623" max="5625" width="9.28515625" style="1" bestFit="1" customWidth="1"/>
    <col min="5626" max="5628" width="9.140625" style="1"/>
    <col min="5629" max="5630" width="9.28515625" style="1" bestFit="1" customWidth="1"/>
    <col min="5631" max="5631" width="9.140625" style="1"/>
    <col min="5632" max="5633" width="9.28515625" style="1" bestFit="1" customWidth="1"/>
    <col min="5634" max="5634" width="9.140625" style="1"/>
    <col min="5635" max="5635" width="9.28515625" style="1" bestFit="1" customWidth="1"/>
    <col min="5636" max="5638" width="9.140625" style="1"/>
    <col min="5639" max="5641" width="9.28515625" style="1" bestFit="1" customWidth="1"/>
    <col min="5642" max="5644" width="9.140625" style="1"/>
    <col min="5645" max="5646" width="9.28515625" style="1" bestFit="1" customWidth="1"/>
    <col min="5647" max="5647" width="9.140625" style="1"/>
    <col min="5648" max="5649" width="9.28515625" style="1" bestFit="1" customWidth="1"/>
    <col min="5650" max="5650" width="9.140625" style="1"/>
    <col min="5651" max="5651" width="9.28515625" style="1" bestFit="1" customWidth="1"/>
    <col min="5652" max="5654" width="9.140625" style="1"/>
    <col min="5655" max="5657" width="9.28515625" style="1" bestFit="1" customWidth="1"/>
    <col min="5658" max="5660" width="9.140625" style="1"/>
    <col min="5661" max="5662" width="9.28515625" style="1" bestFit="1" customWidth="1"/>
    <col min="5663" max="5663" width="9.140625" style="1"/>
    <col min="5664" max="5665" width="9.28515625" style="1" bestFit="1" customWidth="1"/>
    <col min="5666" max="5666" width="9.140625" style="1"/>
    <col min="5667" max="5667" width="9.28515625" style="1" bestFit="1" customWidth="1"/>
    <col min="5668" max="5670" width="9.140625" style="1"/>
    <col min="5671" max="5673" width="9.28515625" style="1" bestFit="1" customWidth="1"/>
    <col min="5674" max="5676" width="9.140625" style="1"/>
    <col min="5677" max="5678" width="9.28515625" style="1" bestFit="1" customWidth="1"/>
    <col min="5679" max="5679" width="9.140625" style="1"/>
    <col min="5680" max="5681" width="9.28515625" style="1" bestFit="1" customWidth="1"/>
    <col min="5682" max="5682" width="9.140625" style="1"/>
    <col min="5683" max="5683" width="9.28515625" style="1" bestFit="1" customWidth="1"/>
    <col min="5684" max="5686" width="9.140625" style="1"/>
    <col min="5687" max="5689" width="9.28515625" style="1" bestFit="1" customWidth="1"/>
    <col min="5690" max="5692" width="9.140625" style="1"/>
    <col min="5693" max="5694" width="9.28515625" style="1" bestFit="1" customWidth="1"/>
    <col min="5695" max="5695" width="9.140625" style="1"/>
    <col min="5696" max="5697" width="9.28515625" style="1" bestFit="1" customWidth="1"/>
    <col min="5698" max="5698" width="9.140625" style="1"/>
    <col min="5699" max="5699" width="9.28515625" style="1" bestFit="1" customWidth="1"/>
    <col min="5700" max="5702" width="9.140625" style="1"/>
    <col min="5703" max="5705" width="9.28515625" style="1" bestFit="1" customWidth="1"/>
    <col min="5706" max="5708" width="9.140625" style="1"/>
    <col min="5709" max="5710" width="9.28515625" style="1" bestFit="1" customWidth="1"/>
    <col min="5711" max="5711" width="9.140625" style="1"/>
    <col min="5712" max="5713" width="9.28515625" style="1" bestFit="1" customWidth="1"/>
    <col min="5714" max="5714" width="9.140625" style="1"/>
    <col min="5715" max="5715" width="9.28515625" style="1" bestFit="1" customWidth="1"/>
    <col min="5716" max="5718" width="9.140625" style="1"/>
    <col min="5719" max="5721" width="9.28515625" style="1" bestFit="1" customWidth="1"/>
    <col min="5722" max="5724" width="9.140625" style="1"/>
    <col min="5725" max="5726" width="9.28515625" style="1" bestFit="1" customWidth="1"/>
    <col min="5727" max="5727" width="9.140625" style="1"/>
    <col min="5728" max="5729" width="9.28515625" style="1" bestFit="1" customWidth="1"/>
    <col min="5730" max="5730" width="9.140625" style="1"/>
    <col min="5731" max="5731" width="9.28515625" style="1" bestFit="1" customWidth="1"/>
    <col min="5732" max="5734" width="9.140625" style="1"/>
    <col min="5735" max="5737" width="9.28515625" style="1" bestFit="1" customWidth="1"/>
    <col min="5738" max="5740" width="9.140625" style="1"/>
    <col min="5741" max="5742" width="9.28515625" style="1" bestFit="1" customWidth="1"/>
    <col min="5743" max="5743" width="9.140625" style="1"/>
    <col min="5744" max="5745" width="9.28515625" style="1" bestFit="1" customWidth="1"/>
    <col min="5746" max="5746" width="9.140625" style="1"/>
    <col min="5747" max="5747" width="9.28515625" style="1" bestFit="1" customWidth="1"/>
    <col min="5748" max="5750" width="9.140625" style="1"/>
    <col min="5751" max="5753" width="9.28515625" style="1" bestFit="1" customWidth="1"/>
    <col min="5754" max="5756" width="9.140625" style="1"/>
    <col min="5757" max="5758" width="9.28515625" style="1" bestFit="1" customWidth="1"/>
    <col min="5759" max="5759" width="9.140625" style="1"/>
    <col min="5760" max="5761" width="9.28515625" style="1" bestFit="1" customWidth="1"/>
    <col min="5762" max="5762" width="9.140625" style="1"/>
    <col min="5763" max="5763" width="9.28515625" style="1" bestFit="1" customWidth="1"/>
    <col min="5764" max="5766" width="9.140625" style="1"/>
    <col min="5767" max="5769" width="9.28515625" style="1" bestFit="1" customWidth="1"/>
    <col min="5770" max="5772" width="9.140625" style="1"/>
    <col min="5773" max="5774" width="9.28515625" style="1" bestFit="1" customWidth="1"/>
    <col min="5775" max="5775" width="9.140625" style="1"/>
    <col min="5776" max="5777" width="9.28515625" style="1" bestFit="1" customWidth="1"/>
    <col min="5778" max="5778" width="9.140625" style="1"/>
    <col min="5779" max="5779" width="9.28515625" style="1" bestFit="1" customWidth="1"/>
    <col min="5780" max="5782" width="9.140625" style="1"/>
    <col min="5783" max="5785" width="9.28515625" style="1" bestFit="1" customWidth="1"/>
    <col min="5786" max="5788" width="9.140625" style="1"/>
    <col min="5789" max="5790" width="9.28515625" style="1" bestFit="1" customWidth="1"/>
    <col min="5791" max="5791" width="9.140625" style="1"/>
    <col min="5792" max="5793" width="9.28515625" style="1" bestFit="1" customWidth="1"/>
    <col min="5794" max="5794" width="9.140625" style="1"/>
    <col min="5795" max="5795" width="9.28515625" style="1" bestFit="1" customWidth="1"/>
    <col min="5796" max="5798" width="9.140625" style="1"/>
    <col min="5799" max="5801" width="9.28515625" style="1" bestFit="1" customWidth="1"/>
    <col min="5802" max="5804" width="9.140625" style="1"/>
    <col min="5805" max="5806" width="9.28515625" style="1" bestFit="1" customWidth="1"/>
    <col min="5807" max="5807" width="9.140625" style="1"/>
    <col min="5808" max="5809" width="9.28515625" style="1" bestFit="1" customWidth="1"/>
    <col min="5810" max="5810" width="9.140625" style="1"/>
    <col min="5811" max="5811" width="9.28515625" style="1" bestFit="1" customWidth="1"/>
    <col min="5812" max="5814" width="9.140625" style="1"/>
    <col min="5815" max="5817" width="9.28515625" style="1" bestFit="1" customWidth="1"/>
    <col min="5818" max="5820" width="9.140625" style="1"/>
    <col min="5821" max="5822" width="9.28515625" style="1" bestFit="1" customWidth="1"/>
    <col min="5823" max="5823" width="9.140625" style="1"/>
    <col min="5824" max="5825" width="9.28515625" style="1" bestFit="1" customWidth="1"/>
    <col min="5826" max="5826" width="9.140625" style="1"/>
    <col min="5827" max="5827" width="9.28515625" style="1" bestFit="1" customWidth="1"/>
    <col min="5828" max="5830" width="9.140625" style="1"/>
    <col min="5831" max="5833" width="9.28515625" style="1" bestFit="1" customWidth="1"/>
    <col min="5834" max="5836" width="9.140625" style="1"/>
    <col min="5837" max="5838" width="9.28515625" style="1" bestFit="1" customWidth="1"/>
    <col min="5839" max="5839" width="9.140625" style="1"/>
    <col min="5840" max="5841" width="9.28515625" style="1" bestFit="1" customWidth="1"/>
    <col min="5842" max="5842" width="9.140625" style="1"/>
    <col min="5843" max="5843" width="9.28515625" style="1" bestFit="1" customWidth="1"/>
    <col min="5844" max="5846" width="9.140625" style="1"/>
    <col min="5847" max="5849" width="9.28515625" style="1" bestFit="1" customWidth="1"/>
    <col min="5850" max="5852" width="9.140625" style="1"/>
    <col min="5853" max="5854" width="9.28515625" style="1" bestFit="1" customWidth="1"/>
    <col min="5855" max="5855" width="9.140625" style="1"/>
    <col min="5856" max="5857" width="9.28515625" style="1" bestFit="1" customWidth="1"/>
    <col min="5858" max="5858" width="9.140625" style="1"/>
    <col min="5859" max="5859" width="9.28515625" style="1" bestFit="1" customWidth="1"/>
    <col min="5860" max="5862" width="9.140625" style="1"/>
    <col min="5863" max="5865" width="9.28515625" style="1" bestFit="1" customWidth="1"/>
    <col min="5866" max="5868" width="9.140625" style="1"/>
    <col min="5869" max="5870" width="9.28515625" style="1" bestFit="1" customWidth="1"/>
    <col min="5871" max="5871" width="9.140625" style="1"/>
    <col min="5872" max="5873" width="9.28515625" style="1" bestFit="1" customWidth="1"/>
    <col min="5874" max="5874" width="9.140625" style="1"/>
    <col min="5875" max="5875" width="9.28515625" style="1" bestFit="1" customWidth="1"/>
    <col min="5876" max="5878" width="9.140625" style="1"/>
    <col min="5879" max="5881" width="9.28515625" style="1" bestFit="1" customWidth="1"/>
    <col min="5882" max="5884" width="9.140625" style="1"/>
    <col min="5885" max="5886" width="9.28515625" style="1" bestFit="1" customWidth="1"/>
    <col min="5887" max="5887" width="9.140625" style="1"/>
    <col min="5888" max="5889" width="9.28515625" style="1" bestFit="1" customWidth="1"/>
    <col min="5890" max="5890" width="9.140625" style="1"/>
    <col min="5891" max="5891" width="9.28515625" style="1" bestFit="1" customWidth="1"/>
    <col min="5892" max="5894" width="9.140625" style="1"/>
    <col min="5895" max="5897" width="9.28515625" style="1" bestFit="1" customWidth="1"/>
    <col min="5898" max="5900" width="9.140625" style="1"/>
    <col min="5901" max="5902" width="9.28515625" style="1" bestFit="1" customWidth="1"/>
    <col min="5903" max="5903" width="9.140625" style="1"/>
    <col min="5904" max="5905" width="9.28515625" style="1" bestFit="1" customWidth="1"/>
    <col min="5906" max="5906" width="9.140625" style="1"/>
    <col min="5907" max="5907" width="9.28515625" style="1" bestFit="1" customWidth="1"/>
    <col min="5908" max="5910" width="9.140625" style="1"/>
    <col min="5911" max="5913" width="9.28515625" style="1" bestFit="1" customWidth="1"/>
    <col min="5914" max="5916" width="9.140625" style="1"/>
    <col min="5917" max="5918" width="9.28515625" style="1" bestFit="1" customWidth="1"/>
    <col min="5919" max="5919" width="9.140625" style="1"/>
    <col min="5920" max="5921" width="9.28515625" style="1" bestFit="1" customWidth="1"/>
    <col min="5922" max="5922" width="9.140625" style="1"/>
    <col min="5923" max="5923" width="9.28515625" style="1" bestFit="1" customWidth="1"/>
    <col min="5924" max="5926" width="9.140625" style="1"/>
    <col min="5927" max="5929" width="9.28515625" style="1" bestFit="1" customWidth="1"/>
    <col min="5930" max="5932" width="9.140625" style="1"/>
    <col min="5933" max="5934" width="9.28515625" style="1" bestFit="1" customWidth="1"/>
    <col min="5935" max="5935" width="9.140625" style="1"/>
    <col min="5936" max="5937" width="9.28515625" style="1" bestFit="1" customWidth="1"/>
    <col min="5938" max="5938" width="9.140625" style="1"/>
    <col min="5939" max="5939" width="9.28515625" style="1" bestFit="1" customWidth="1"/>
    <col min="5940" max="5942" width="9.140625" style="1"/>
    <col min="5943" max="5945" width="9.28515625" style="1" bestFit="1" customWidth="1"/>
    <col min="5946" max="5948" width="9.140625" style="1"/>
    <col min="5949" max="5950" width="9.28515625" style="1" bestFit="1" customWidth="1"/>
    <col min="5951" max="5951" width="9.140625" style="1"/>
    <col min="5952" max="5953" width="9.28515625" style="1" bestFit="1" customWidth="1"/>
    <col min="5954" max="5954" width="9.140625" style="1"/>
    <col min="5955" max="5955" width="9.28515625" style="1" bestFit="1" customWidth="1"/>
    <col min="5956" max="5958" width="9.140625" style="1"/>
    <col min="5959" max="5961" width="9.28515625" style="1" bestFit="1" customWidth="1"/>
    <col min="5962" max="5964" width="9.140625" style="1"/>
    <col min="5965" max="5966" width="9.28515625" style="1" bestFit="1" customWidth="1"/>
    <col min="5967" max="5967" width="9.140625" style="1"/>
    <col min="5968" max="5969" width="9.28515625" style="1" bestFit="1" customWidth="1"/>
    <col min="5970" max="5970" width="9.140625" style="1"/>
    <col min="5971" max="5971" width="9.28515625" style="1" bestFit="1" customWidth="1"/>
    <col min="5972" max="5974" width="9.140625" style="1"/>
    <col min="5975" max="5977" width="9.28515625" style="1" bestFit="1" customWidth="1"/>
    <col min="5978" max="5980" width="9.140625" style="1"/>
    <col min="5981" max="5982" width="9.28515625" style="1" bestFit="1" customWidth="1"/>
    <col min="5983" max="5983" width="9.140625" style="1"/>
    <col min="5984" max="5985" width="9.28515625" style="1" bestFit="1" customWidth="1"/>
    <col min="5986" max="5986" width="9.140625" style="1"/>
    <col min="5987" max="5987" width="9.28515625" style="1" bestFit="1" customWidth="1"/>
    <col min="5988" max="5990" width="9.140625" style="1"/>
    <col min="5991" max="5993" width="9.28515625" style="1" bestFit="1" customWidth="1"/>
    <col min="5994" max="5996" width="9.140625" style="1"/>
    <col min="5997" max="5998" width="9.28515625" style="1" bestFit="1" customWidth="1"/>
    <col min="5999" max="5999" width="9.140625" style="1"/>
    <col min="6000" max="6001" width="9.28515625" style="1" bestFit="1" customWidth="1"/>
    <col min="6002" max="6002" width="9.140625" style="1"/>
    <col min="6003" max="6003" width="9.28515625" style="1" bestFit="1" customWidth="1"/>
    <col min="6004" max="6006" width="9.140625" style="1"/>
    <col min="6007" max="6009" width="9.28515625" style="1" bestFit="1" customWidth="1"/>
    <col min="6010" max="6012" width="9.140625" style="1"/>
    <col min="6013" max="6014" width="9.28515625" style="1" bestFit="1" customWidth="1"/>
    <col min="6015" max="6015" width="9.140625" style="1"/>
    <col min="6016" max="6017" width="9.28515625" style="1" bestFit="1" customWidth="1"/>
    <col min="6018" max="6018" width="9.140625" style="1"/>
    <col min="6019" max="6019" width="9.28515625" style="1" bestFit="1" customWidth="1"/>
    <col min="6020" max="6022" width="9.140625" style="1"/>
    <col min="6023" max="6025" width="9.28515625" style="1" bestFit="1" customWidth="1"/>
    <col min="6026" max="6028" width="9.140625" style="1"/>
    <col min="6029" max="6030" width="9.28515625" style="1" bestFit="1" customWidth="1"/>
    <col min="6031" max="6031" width="9.140625" style="1"/>
    <col min="6032" max="6033" width="9.28515625" style="1" bestFit="1" customWidth="1"/>
    <col min="6034" max="6034" width="9.140625" style="1"/>
    <col min="6035" max="6035" width="9.28515625" style="1" bestFit="1" customWidth="1"/>
    <col min="6036" max="6038" width="9.140625" style="1"/>
    <col min="6039" max="6041" width="9.28515625" style="1" bestFit="1" customWidth="1"/>
    <col min="6042" max="6044" width="9.140625" style="1"/>
    <col min="6045" max="6046" width="9.28515625" style="1" bestFit="1" customWidth="1"/>
    <col min="6047" max="6047" width="9.140625" style="1"/>
    <col min="6048" max="6049" width="9.28515625" style="1" bestFit="1" customWidth="1"/>
    <col min="6050" max="6050" width="9.140625" style="1"/>
    <col min="6051" max="6051" width="9.28515625" style="1" bestFit="1" customWidth="1"/>
    <col min="6052" max="6054" width="9.140625" style="1"/>
    <col min="6055" max="6057" width="9.28515625" style="1" bestFit="1" customWidth="1"/>
    <col min="6058" max="6060" width="9.140625" style="1"/>
    <col min="6061" max="6062" width="9.28515625" style="1" bestFit="1" customWidth="1"/>
    <col min="6063" max="6063" width="9.140625" style="1"/>
    <col min="6064" max="6065" width="9.28515625" style="1" bestFit="1" customWidth="1"/>
    <col min="6066" max="6066" width="9.140625" style="1"/>
    <col min="6067" max="6067" width="9.28515625" style="1" bestFit="1" customWidth="1"/>
    <col min="6068" max="6070" width="9.140625" style="1"/>
    <col min="6071" max="6073" width="9.28515625" style="1" bestFit="1" customWidth="1"/>
    <col min="6074" max="6076" width="9.140625" style="1"/>
    <col min="6077" max="6078" width="9.28515625" style="1" bestFit="1" customWidth="1"/>
    <col min="6079" max="6079" width="9.140625" style="1"/>
    <col min="6080" max="6081" width="9.28515625" style="1" bestFit="1" customWidth="1"/>
    <col min="6082" max="6082" width="9.140625" style="1"/>
    <col min="6083" max="6083" width="9.28515625" style="1" bestFit="1" customWidth="1"/>
    <col min="6084" max="6086" width="9.140625" style="1"/>
    <col min="6087" max="6089" width="9.28515625" style="1" bestFit="1" customWidth="1"/>
    <col min="6090" max="6092" width="9.140625" style="1"/>
    <col min="6093" max="6094" width="9.28515625" style="1" bestFit="1" customWidth="1"/>
    <col min="6095" max="6095" width="9.140625" style="1"/>
    <col min="6096" max="6097" width="9.28515625" style="1" bestFit="1" customWidth="1"/>
    <col min="6098" max="6098" width="9.140625" style="1"/>
    <col min="6099" max="6099" width="9.28515625" style="1" bestFit="1" customWidth="1"/>
    <col min="6100" max="6102" width="9.140625" style="1"/>
    <col min="6103" max="6105" width="9.28515625" style="1" bestFit="1" customWidth="1"/>
    <col min="6106" max="6108" width="9.140625" style="1"/>
    <col min="6109" max="6110" width="9.28515625" style="1" bestFit="1" customWidth="1"/>
    <col min="6111" max="6111" width="9.140625" style="1"/>
    <col min="6112" max="6113" width="9.28515625" style="1" bestFit="1" customWidth="1"/>
    <col min="6114" max="6114" width="9.140625" style="1"/>
    <col min="6115" max="6115" width="9.28515625" style="1" bestFit="1" customWidth="1"/>
    <col min="6116" max="6118" width="9.140625" style="1"/>
    <col min="6119" max="6121" width="9.28515625" style="1" bestFit="1" customWidth="1"/>
    <col min="6122" max="6124" width="9.140625" style="1"/>
    <col min="6125" max="6126" width="9.28515625" style="1" bestFit="1" customWidth="1"/>
    <col min="6127" max="6127" width="9.140625" style="1"/>
    <col min="6128" max="6129" width="9.28515625" style="1" bestFit="1" customWidth="1"/>
    <col min="6130" max="6130" width="9.140625" style="1"/>
    <col min="6131" max="6131" width="9.28515625" style="1" bestFit="1" customWidth="1"/>
    <col min="6132" max="6134" width="9.140625" style="1"/>
    <col min="6135" max="6137" width="9.28515625" style="1" bestFit="1" customWidth="1"/>
    <col min="6138" max="6140" width="9.140625" style="1"/>
    <col min="6141" max="6142" width="9.28515625" style="1" bestFit="1" customWidth="1"/>
    <col min="6143" max="6143" width="9.140625" style="1"/>
    <col min="6144" max="6145" width="9.28515625" style="1" bestFit="1" customWidth="1"/>
    <col min="6146" max="6146" width="9.140625" style="1"/>
    <col min="6147" max="6147" width="9.28515625" style="1" bestFit="1" customWidth="1"/>
    <col min="6148" max="6150" width="9.140625" style="1"/>
    <col min="6151" max="6153" width="9.28515625" style="1" bestFit="1" customWidth="1"/>
    <col min="6154" max="6156" width="9.140625" style="1"/>
    <col min="6157" max="6158" width="9.28515625" style="1" bestFit="1" customWidth="1"/>
    <col min="6159" max="6159" width="9.140625" style="1"/>
    <col min="6160" max="6161" width="9.28515625" style="1" bestFit="1" customWidth="1"/>
    <col min="6162" max="6162" width="9.140625" style="1"/>
    <col min="6163" max="6163" width="9.28515625" style="1" bestFit="1" customWidth="1"/>
    <col min="6164" max="6166" width="9.140625" style="1"/>
    <col min="6167" max="6169" width="9.28515625" style="1" bestFit="1" customWidth="1"/>
    <col min="6170" max="6172" width="9.140625" style="1"/>
    <col min="6173" max="6174" width="9.28515625" style="1" bestFit="1" customWidth="1"/>
    <col min="6175" max="6175" width="9.140625" style="1"/>
    <col min="6176" max="6177" width="9.28515625" style="1" bestFit="1" customWidth="1"/>
    <col min="6178" max="6178" width="9.140625" style="1"/>
    <col min="6179" max="6179" width="9.28515625" style="1" bestFit="1" customWidth="1"/>
    <col min="6180" max="6182" width="9.140625" style="1"/>
    <col min="6183" max="6185" width="9.28515625" style="1" bestFit="1" customWidth="1"/>
    <col min="6186" max="6188" width="9.140625" style="1"/>
    <col min="6189" max="6190" width="9.28515625" style="1" bestFit="1" customWidth="1"/>
    <col min="6191" max="6191" width="9.140625" style="1"/>
    <col min="6192" max="6193" width="9.28515625" style="1" bestFit="1" customWidth="1"/>
    <col min="6194" max="6194" width="9.140625" style="1"/>
    <col min="6195" max="6195" width="9.28515625" style="1" bestFit="1" customWidth="1"/>
    <col min="6196" max="6198" width="9.140625" style="1"/>
    <col min="6199" max="6201" width="9.28515625" style="1" bestFit="1" customWidth="1"/>
    <col min="6202" max="6204" width="9.140625" style="1"/>
    <col min="6205" max="6206" width="9.28515625" style="1" bestFit="1" customWidth="1"/>
    <col min="6207" max="6207" width="9.140625" style="1"/>
    <col min="6208" max="6209" width="9.28515625" style="1" bestFit="1" customWidth="1"/>
    <col min="6210" max="6210" width="9.140625" style="1"/>
    <col min="6211" max="6211" width="9.28515625" style="1" bestFit="1" customWidth="1"/>
    <col min="6212" max="6214" width="9.140625" style="1"/>
    <col min="6215" max="6217" width="9.28515625" style="1" bestFit="1" customWidth="1"/>
    <col min="6218" max="6220" width="9.140625" style="1"/>
    <col min="6221" max="6222" width="9.28515625" style="1" bestFit="1" customWidth="1"/>
    <col min="6223" max="6223" width="9.140625" style="1"/>
    <col min="6224" max="6225" width="9.28515625" style="1" bestFit="1" customWidth="1"/>
    <col min="6226" max="6226" width="9.140625" style="1"/>
    <col min="6227" max="6227" width="9.28515625" style="1" bestFit="1" customWidth="1"/>
    <col min="6228" max="6230" width="9.140625" style="1"/>
    <col min="6231" max="6233" width="9.28515625" style="1" bestFit="1" customWidth="1"/>
    <col min="6234" max="6236" width="9.140625" style="1"/>
    <col min="6237" max="6238" width="9.28515625" style="1" bestFit="1" customWidth="1"/>
    <col min="6239" max="6239" width="9.140625" style="1"/>
    <col min="6240" max="6241" width="9.28515625" style="1" bestFit="1" customWidth="1"/>
    <col min="6242" max="6242" width="9.140625" style="1"/>
    <col min="6243" max="6243" width="9.28515625" style="1" bestFit="1" customWidth="1"/>
    <col min="6244" max="6246" width="9.140625" style="1"/>
    <col min="6247" max="6249" width="9.28515625" style="1" bestFit="1" customWidth="1"/>
    <col min="6250" max="6252" width="9.140625" style="1"/>
    <col min="6253" max="6254" width="9.28515625" style="1" bestFit="1" customWidth="1"/>
    <col min="6255" max="6255" width="9.140625" style="1"/>
    <col min="6256" max="6257" width="9.28515625" style="1" bestFit="1" customWidth="1"/>
    <col min="6258" max="6258" width="9.140625" style="1"/>
    <col min="6259" max="6259" width="9.28515625" style="1" bestFit="1" customWidth="1"/>
    <col min="6260" max="6262" width="9.140625" style="1"/>
    <col min="6263" max="6265" width="9.28515625" style="1" bestFit="1" customWidth="1"/>
    <col min="6266" max="6268" width="9.140625" style="1"/>
    <col min="6269" max="6270" width="9.28515625" style="1" bestFit="1" customWidth="1"/>
    <col min="6271" max="6271" width="9.140625" style="1"/>
    <col min="6272" max="6273" width="9.28515625" style="1" bestFit="1" customWidth="1"/>
    <col min="6274" max="6274" width="9.140625" style="1"/>
    <col min="6275" max="6275" width="9.28515625" style="1" bestFit="1" customWidth="1"/>
    <col min="6276" max="6278" width="9.140625" style="1"/>
    <col min="6279" max="6281" width="9.28515625" style="1" bestFit="1" customWidth="1"/>
    <col min="6282" max="6284" width="9.140625" style="1"/>
    <col min="6285" max="6286" width="9.28515625" style="1" bestFit="1" customWidth="1"/>
    <col min="6287" max="6287" width="9.140625" style="1"/>
    <col min="6288" max="6289" width="9.28515625" style="1" bestFit="1" customWidth="1"/>
    <col min="6290" max="6290" width="9.140625" style="1"/>
    <col min="6291" max="6291" width="9.28515625" style="1" bestFit="1" customWidth="1"/>
    <col min="6292" max="6294" width="9.140625" style="1"/>
    <col min="6295" max="6297" width="9.28515625" style="1" bestFit="1" customWidth="1"/>
    <col min="6298" max="6300" width="9.140625" style="1"/>
    <col min="6301" max="6302" width="9.28515625" style="1" bestFit="1" customWidth="1"/>
    <col min="6303" max="6303" width="9.140625" style="1"/>
    <col min="6304" max="6305" width="9.28515625" style="1" bestFit="1" customWidth="1"/>
    <col min="6306" max="6306" width="9.140625" style="1"/>
    <col min="6307" max="6307" width="9.28515625" style="1" bestFit="1" customWidth="1"/>
    <col min="6308" max="6310" width="9.140625" style="1"/>
    <col min="6311" max="6313" width="9.28515625" style="1" bestFit="1" customWidth="1"/>
    <col min="6314" max="6316" width="9.140625" style="1"/>
    <col min="6317" max="6318" width="9.28515625" style="1" bestFit="1" customWidth="1"/>
    <col min="6319" max="6319" width="9.140625" style="1"/>
    <col min="6320" max="6321" width="9.28515625" style="1" bestFit="1" customWidth="1"/>
    <col min="6322" max="6322" width="9.140625" style="1"/>
    <col min="6323" max="6323" width="9.28515625" style="1" bestFit="1" customWidth="1"/>
    <col min="6324" max="6326" width="9.140625" style="1"/>
    <col min="6327" max="6329" width="9.28515625" style="1" bestFit="1" customWidth="1"/>
    <col min="6330" max="6332" width="9.140625" style="1"/>
    <col min="6333" max="6334" width="9.28515625" style="1" bestFit="1" customWidth="1"/>
    <col min="6335" max="6335" width="9.140625" style="1"/>
    <col min="6336" max="6337" width="9.28515625" style="1" bestFit="1" customWidth="1"/>
    <col min="6338" max="6338" width="9.140625" style="1"/>
    <col min="6339" max="6339" width="9.28515625" style="1" bestFit="1" customWidth="1"/>
    <col min="6340" max="6342" width="9.140625" style="1"/>
    <col min="6343" max="6345" width="9.28515625" style="1" bestFit="1" customWidth="1"/>
    <col min="6346" max="6348" width="9.140625" style="1"/>
    <col min="6349" max="6350" width="9.28515625" style="1" bestFit="1" customWidth="1"/>
    <col min="6351" max="6351" width="9.140625" style="1"/>
    <col min="6352" max="6353" width="9.28515625" style="1" bestFit="1" customWidth="1"/>
    <col min="6354" max="6354" width="9.140625" style="1"/>
    <col min="6355" max="6355" width="9.28515625" style="1" bestFit="1" customWidth="1"/>
    <col min="6356" max="6358" width="9.140625" style="1"/>
    <col min="6359" max="6361" width="9.28515625" style="1" bestFit="1" customWidth="1"/>
    <col min="6362" max="6364" width="9.140625" style="1"/>
    <col min="6365" max="6366" width="9.28515625" style="1" bestFit="1" customWidth="1"/>
    <col min="6367" max="6367" width="9.140625" style="1"/>
    <col min="6368" max="6369" width="9.28515625" style="1" bestFit="1" customWidth="1"/>
    <col min="6370" max="6370" width="9.140625" style="1"/>
    <col min="6371" max="6371" width="9.28515625" style="1" bestFit="1" customWidth="1"/>
    <col min="6372" max="6374" width="9.140625" style="1"/>
    <col min="6375" max="6377" width="9.28515625" style="1" bestFit="1" customWidth="1"/>
    <col min="6378" max="6380" width="9.140625" style="1"/>
    <col min="6381" max="6382" width="9.28515625" style="1" bestFit="1" customWidth="1"/>
    <col min="6383" max="6383" width="9.140625" style="1"/>
    <col min="6384" max="6385" width="9.28515625" style="1" bestFit="1" customWidth="1"/>
    <col min="6386" max="6386" width="9.140625" style="1"/>
    <col min="6387" max="6387" width="9.28515625" style="1" bestFit="1" customWidth="1"/>
    <col min="6388" max="6390" width="9.140625" style="1"/>
    <col min="6391" max="6393" width="9.28515625" style="1" bestFit="1" customWidth="1"/>
    <col min="6394" max="6396" width="9.140625" style="1"/>
    <col min="6397" max="6398" width="9.28515625" style="1" bestFit="1" customWidth="1"/>
    <col min="6399" max="6399" width="9.140625" style="1"/>
    <col min="6400" max="6401" width="9.28515625" style="1" bestFit="1" customWidth="1"/>
    <col min="6402" max="6402" width="9.140625" style="1"/>
    <col min="6403" max="6403" width="9.28515625" style="1" bestFit="1" customWidth="1"/>
    <col min="6404" max="6406" width="9.140625" style="1"/>
    <col min="6407" max="6409" width="9.28515625" style="1" bestFit="1" customWidth="1"/>
    <col min="6410" max="6412" width="9.140625" style="1"/>
    <col min="6413" max="6414" width="9.28515625" style="1" bestFit="1" customWidth="1"/>
    <col min="6415" max="6415" width="9.140625" style="1"/>
    <col min="6416" max="6417" width="9.28515625" style="1" bestFit="1" customWidth="1"/>
    <col min="6418" max="6418" width="9.140625" style="1"/>
    <col min="6419" max="6419" width="9.28515625" style="1" bestFit="1" customWidth="1"/>
    <col min="6420" max="6422" width="9.140625" style="1"/>
    <col min="6423" max="6425" width="9.28515625" style="1" bestFit="1" customWidth="1"/>
    <col min="6426" max="6428" width="9.140625" style="1"/>
    <col min="6429" max="6430" width="9.28515625" style="1" bestFit="1" customWidth="1"/>
    <col min="6431" max="6431" width="9.140625" style="1"/>
    <col min="6432" max="6433" width="9.28515625" style="1" bestFit="1" customWidth="1"/>
    <col min="6434" max="6434" width="9.140625" style="1"/>
    <col min="6435" max="6435" width="9.28515625" style="1" bestFit="1" customWidth="1"/>
    <col min="6436" max="6438" width="9.140625" style="1"/>
    <col min="6439" max="6441" width="9.28515625" style="1" bestFit="1" customWidth="1"/>
    <col min="6442" max="6444" width="9.140625" style="1"/>
    <col min="6445" max="6446" width="9.28515625" style="1" bestFit="1" customWidth="1"/>
    <col min="6447" max="6447" width="9.140625" style="1"/>
    <col min="6448" max="6449" width="9.28515625" style="1" bestFit="1" customWidth="1"/>
    <col min="6450" max="6450" width="9.140625" style="1"/>
    <col min="6451" max="6451" width="9.28515625" style="1" bestFit="1" customWidth="1"/>
    <col min="6452" max="6454" width="9.140625" style="1"/>
    <col min="6455" max="6457" width="9.28515625" style="1" bestFit="1" customWidth="1"/>
    <col min="6458" max="6460" width="9.140625" style="1"/>
    <col min="6461" max="6462" width="9.28515625" style="1" bestFit="1" customWidth="1"/>
    <col min="6463" max="6463" width="9.140625" style="1"/>
    <col min="6464" max="6465" width="9.28515625" style="1" bestFit="1" customWidth="1"/>
    <col min="6466" max="6466" width="9.140625" style="1"/>
    <col min="6467" max="6467" width="9.28515625" style="1" bestFit="1" customWidth="1"/>
    <col min="6468" max="6470" width="9.140625" style="1"/>
    <col min="6471" max="6473" width="9.28515625" style="1" bestFit="1" customWidth="1"/>
    <col min="6474" max="6476" width="9.140625" style="1"/>
    <col min="6477" max="6478" width="9.28515625" style="1" bestFit="1" customWidth="1"/>
    <col min="6479" max="6479" width="9.140625" style="1"/>
    <col min="6480" max="6481" width="9.28515625" style="1" bestFit="1" customWidth="1"/>
    <col min="6482" max="6482" width="9.140625" style="1"/>
    <col min="6483" max="6483" width="9.28515625" style="1" bestFit="1" customWidth="1"/>
    <col min="6484" max="6486" width="9.140625" style="1"/>
    <col min="6487" max="6489" width="9.28515625" style="1" bestFit="1" customWidth="1"/>
    <col min="6490" max="6492" width="9.140625" style="1"/>
    <col min="6493" max="6494" width="9.28515625" style="1" bestFit="1" customWidth="1"/>
    <col min="6495" max="6495" width="9.140625" style="1"/>
    <col min="6496" max="6497" width="9.28515625" style="1" bestFit="1" customWidth="1"/>
    <col min="6498" max="6498" width="9.140625" style="1"/>
    <col min="6499" max="6499" width="9.28515625" style="1" bestFit="1" customWidth="1"/>
    <col min="6500" max="6502" width="9.140625" style="1"/>
    <col min="6503" max="6505" width="9.28515625" style="1" bestFit="1" customWidth="1"/>
    <col min="6506" max="6508" width="9.140625" style="1"/>
    <col min="6509" max="6510" width="9.28515625" style="1" bestFit="1" customWidth="1"/>
    <col min="6511" max="6511" width="9.140625" style="1"/>
    <col min="6512" max="6513" width="9.28515625" style="1" bestFit="1" customWidth="1"/>
    <col min="6514" max="6514" width="9.140625" style="1"/>
    <col min="6515" max="6515" width="9.28515625" style="1" bestFit="1" customWidth="1"/>
    <col min="6516" max="6518" width="9.140625" style="1"/>
    <col min="6519" max="6521" width="9.28515625" style="1" bestFit="1" customWidth="1"/>
    <col min="6522" max="6524" width="9.140625" style="1"/>
    <col min="6525" max="6526" width="9.28515625" style="1" bestFit="1" customWidth="1"/>
    <col min="6527" max="6527" width="9.140625" style="1"/>
    <col min="6528" max="6529" width="9.28515625" style="1" bestFit="1" customWidth="1"/>
    <col min="6530" max="6530" width="9.140625" style="1"/>
    <col min="6531" max="6531" width="9.28515625" style="1" bestFit="1" customWidth="1"/>
    <col min="6532" max="6534" width="9.140625" style="1"/>
    <col min="6535" max="6537" width="9.28515625" style="1" bestFit="1" customWidth="1"/>
    <col min="6538" max="6540" width="9.140625" style="1"/>
    <col min="6541" max="6542" width="9.28515625" style="1" bestFit="1" customWidth="1"/>
    <col min="6543" max="6543" width="9.140625" style="1"/>
    <col min="6544" max="6545" width="9.28515625" style="1" bestFit="1" customWidth="1"/>
    <col min="6546" max="6546" width="9.140625" style="1"/>
    <col min="6547" max="6547" width="9.28515625" style="1" bestFit="1" customWidth="1"/>
    <col min="6548" max="6550" width="9.140625" style="1"/>
    <col min="6551" max="6553" width="9.28515625" style="1" bestFit="1" customWidth="1"/>
    <col min="6554" max="6556" width="9.140625" style="1"/>
    <col min="6557" max="6558" width="9.28515625" style="1" bestFit="1" customWidth="1"/>
    <col min="6559" max="6559" width="9.140625" style="1"/>
    <col min="6560" max="6561" width="9.28515625" style="1" bestFit="1" customWidth="1"/>
    <col min="6562" max="6562" width="9.140625" style="1"/>
    <col min="6563" max="6563" width="9.28515625" style="1" bestFit="1" customWidth="1"/>
    <col min="6564" max="6566" width="9.140625" style="1"/>
    <col min="6567" max="6569" width="9.28515625" style="1" bestFit="1" customWidth="1"/>
    <col min="6570" max="6572" width="9.140625" style="1"/>
    <col min="6573" max="6574" width="9.28515625" style="1" bestFit="1" customWidth="1"/>
    <col min="6575" max="6575" width="9.140625" style="1"/>
    <col min="6576" max="6577" width="9.28515625" style="1" bestFit="1" customWidth="1"/>
    <col min="6578" max="6578" width="9.140625" style="1"/>
    <col min="6579" max="6579" width="9.28515625" style="1" bestFit="1" customWidth="1"/>
    <col min="6580" max="6582" width="9.140625" style="1"/>
    <col min="6583" max="6585" width="9.28515625" style="1" bestFit="1" customWidth="1"/>
    <col min="6586" max="6588" width="9.140625" style="1"/>
    <col min="6589" max="6590" width="9.28515625" style="1" bestFit="1" customWidth="1"/>
    <col min="6591" max="6591" width="9.140625" style="1"/>
    <col min="6592" max="6593" width="9.28515625" style="1" bestFit="1" customWidth="1"/>
    <col min="6594" max="6594" width="9.140625" style="1"/>
    <col min="6595" max="6595" width="9.28515625" style="1" bestFit="1" customWidth="1"/>
    <col min="6596" max="6598" width="9.140625" style="1"/>
    <col min="6599" max="6601" width="9.28515625" style="1" bestFit="1" customWidth="1"/>
    <col min="6602" max="6604" width="9.140625" style="1"/>
    <col min="6605" max="6606" width="9.28515625" style="1" bestFit="1" customWidth="1"/>
    <col min="6607" max="6607" width="9.140625" style="1"/>
    <col min="6608" max="6609" width="9.28515625" style="1" bestFit="1" customWidth="1"/>
    <col min="6610" max="6610" width="9.140625" style="1"/>
    <col min="6611" max="6611" width="9.28515625" style="1" bestFit="1" customWidth="1"/>
    <col min="6612" max="6614" width="9.140625" style="1"/>
    <col min="6615" max="6617" width="9.28515625" style="1" bestFit="1" customWidth="1"/>
    <col min="6618" max="6620" width="9.140625" style="1"/>
    <col min="6621" max="6622" width="9.28515625" style="1" bestFit="1" customWidth="1"/>
    <col min="6623" max="6623" width="9.140625" style="1"/>
    <col min="6624" max="6625" width="9.28515625" style="1" bestFit="1" customWidth="1"/>
    <col min="6626" max="6626" width="9.140625" style="1"/>
    <col min="6627" max="6627" width="9.28515625" style="1" bestFit="1" customWidth="1"/>
    <col min="6628" max="6630" width="9.140625" style="1"/>
    <col min="6631" max="6633" width="9.28515625" style="1" bestFit="1" customWidth="1"/>
    <col min="6634" max="6636" width="9.140625" style="1"/>
    <col min="6637" max="6638" width="9.28515625" style="1" bestFit="1" customWidth="1"/>
    <col min="6639" max="6639" width="9.140625" style="1"/>
    <col min="6640" max="6641" width="9.28515625" style="1" bestFit="1" customWidth="1"/>
    <col min="6642" max="6642" width="9.140625" style="1"/>
    <col min="6643" max="6643" width="9.28515625" style="1" bestFit="1" customWidth="1"/>
    <col min="6644" max="6646" width="9.140625" style="1"/>
    <col min="6647" max="6649" width="9.28515625" style="1" bestFit="1" customWidth="1"/>
    <col min="6650" max="6652" width="9.140625" style="1"/>
    <col min="6653" max="6654" width="9.28515625" style="1" bestFit="1" customWidth="1"/>
    <col min="6655" max="6655" width="9.140625" style="1"/>
    <col min="6656" max="6657" width="9.28515625" style="1" bestFit="1" customWidth="1"/>
    <col min="6658" max="6658" width="9.140625" style="1"/>
    <col min="6659" max="6659" width="9.28515625" style="1" bestFit="1" customWidth="1"/>
    <col min="6660" max="6662" width="9.140625" style="1"/>
    <col min="6663" max="6665" width="9.28515625" style="1" bestFit="1" customWidth="1"/>
    <col min="6666" max="6668" width="9.140625" style="1"/>
    <col min="6669" max="6670" width="9.28515625" style="1" bestFit="1" customWidth="1"/>
    <col min="6671" max="6671" width="9.140625" style="1"/>
    <col min="6672" max="6673" width="9.28515625" style="1" bestFit="1" customWidth="1"/>
    <col min="6674" max="6674" width="9.140625" style="1"/>
    <col min="6675" max="6675" width="9.28515625" style="1" bestFit="1" customWidth="1"/>
    <col min="6676" max="6678" width="9.140625" style="1"/>
    <col min="6679" max="6681" width="9.28515625" style="1" bestFit="1" customWidth="1"/>
    <col min="6682" max="6684" width="9.140625" style="1"/>
    <col min="6685" max="6686" width="9.28515625" style="1" bestFit="1" customWidth="1"/>
    <col min="6687" max="6687" width="9.140625" style="1"/>
    <col min="6688" max="6689" width="9.28515625" style="1" bestFit="1" customWidth="1"/>
    <col min="6690" max="6690" width="9.140625" style="1"/>
    <col min="6691" max="6691" width="9.28515625" style="1" bestFit="1" customWidth="1"/>
    <col min="6692" max="6694" width="9.140625" style="1"/>
    <col min="6695" max="6697" width="9.28515625" style="1" bestFit="1" customWidth="1"/>
    <col min="6698" max="6700" width="9.140625" style="1"/>
    <col min="6701" max="6702" width="9.28515625" style="1" bestFit="1" customWidth="1"/>
    <col min="6703" max="6703" width="9.140625" style="1"/>
    <col min="6704" max="6705" width="9.28515625" style="1" bestFit="1" customWidth="1"/>
    <col min="6706" max="6706" width="9.140625" style="1"/>
    <col min="6707" max="6707" width="9.28515625" style="1" bestFit="1" customWidth="1"/>
    <col min="6708" max="6710" width="9.140625" style="1"/>
    <col min="6711" max="6713" width="9.28515625" style="1" bestFit="1" customWidth="1"/>
    <col min="6714" max="6716" width="9.140625" style="1"/>
    <col min="6717" max="6718" width="9.28515625" style="1" bestFit="1" customWidth="1"/>
    <col min="6719" max="6719" width="9.140625" style="1"/>
    <col min="6720" max="6721" width="9.28515625" style="1" bestFit="1" customWidth="1"/>
    <col min="6722" max="6722" width="9.140625" style="1"/>
    <col min="6723" max="6723" width="9.28515625" style="1" bestFit="1" customWidth="1"/>
    <col min="6724" max="6726" width="9.140625" style="1"/>
    <col min="6727" max="6729" width="9.28515625" style="1" bestFit="1" customWidth="1"/>
    <col min="6730" max="6732" width="9.140625" style="1"/>
    <col min="6733" max="6734" width="9.28515625" style="1" bestFit="1" customWidth="1"/>
    <col min="6735" max="6735" width="9.140625" style="1"/>
    <col min="6736" max="6737" width="9.28515625" style="1" bestFit="1" customWidth="1"/>
    <col min="6738" max="6738" width="9.140625" style="1"/>
    <col min="6739" max="6739" width="9.28515625" style="1" bestFit="1" customWidth="1"/>
    <col min="6740" max="6742" width="9.140625" style="1"/>
    <col min="6743" max="6745" width="9.28515625" style="1" bestFit="1" customWidth="1"/>
    <col min="6746" max="6748" width="9.140625" style="1"/>
    <col min="6749" max="6750" width="9.28515625" style="1" bestFit="1" customWidth="1"/>
    <col min="6751" max="6751" width="9.140625" style="1"/>
    <col min="6752" max="6753" width="9.28515625" style="1" bestFit="1" customWidth="1"/>
    <col min="6754" max="6754" width="9.140625" style="1"/>
    <col min="6755" max="6755" width="9.28515625" style="1" bestFit="1" customWidth="1"/>
    <col min="6756" max="6758" width="9.140625" style="1"/>
    <col min="6759" max="6761" width="9.28515625" style="1" bestFit="1" customWidth="1"/>
    <col min="6762" max="6764" width="9.140625" style="1"/>
    <col min="6765" max="6766" width="9.28515625" style="1" bestFit="1" customWidth="1"/>
    <col min="6767" max="6767" width="9.140625" style="1"/>
    <col min="6768" max="6769" width="9.28515625" style="1" bestFit="1" customWidth="1"/>
    <col min="6770" max="6770" width="9.140625" style="1"/>
    <col min="6771" max="6771" width="9.28515625" style="1" bestFit="1" customWidth="1"/>
    <col min="6772" max="6774" width="9.140625" style="1"/>
    <col min="6775" max="6777" width="9.28515625" style="1" bestFit="1" customWidth="1"/>
    <col min="6778" max="6780" width="9.140625" style="1"/>
    <col min="6781" max="6782" width="9.28515625" style="1" bestFit="1" customWidth="1"/>
    <col min="6783" max="6783" width="9.140625" style="1"/>
    <col min="6784" max="6785" width="9.28515625" style="1" bestFit="1" customWidth="1"/>
    <col min="6786" max="6786" width="9.140625" style="1"/>
    <col min="6787" max="6787" width="9.28515625" style="1" bestFit="1" customWidth="1"/>
    <col min="6788" max="6790" width="9.140625" style="1"/>
    <col min="6791" max="6793" width="9.28515625" style="1" bestFit="1" customWidth="1"/>
    <col min="6794" max="6796" width="9.140625" style="1"/>
    <col min="6797" max="6798" width="9.28515625" style="1" bestFit="1" customWidth="1"/>
    <col min="6799" max="6799" width="9.140625" style="1"/>
    <col min="6800" max="6801" width="9.28515625" style="1" bestFit="1" customWidth="1"/>
    <col min="6802" max="6802" width="9.140625" style="1"/>
    <col min="6803" max="6803" width="9.28515625" style="1" bestFit="1" customWidth="1"/>
    <col min="6804" max="6806" width="9.140625" style="1"/>
    <col min="6807" max="6809" width="9.28515625" style="1" bestFit="1" customWidth="1"/>
    <col min="6810" max="6812" width="9.140625" style="1"/>
    <col min="6813" max="6814" width="9.28515625" style="1" bestFit="1" customWidth="1"/>
    <col min="6815" max="6815" width="9.140625" style="1"/>
    <col min="6816" max="6817" width="9.28515625" style="1" bestFit="1" customWidth="1"/>
    <col min="6818" max="6818" width="9.140625" style="1"/>
    <col min="6819" max="6819" width="9.28515625" style="1" bestFit="1" customWidth="1"/>
    <col min="6820" max="6822" width="9.140625" style="1"/>
    <col min="6823" max="6825" width="9.28515625" style="1" bestFit="1" customWidth="1"/>
    <col min="6826" max="6828" width="9.140625" style="1"/>
    <col min="6829" max="6830" width="9.28515625" style="1" bestFit="1" customWidth="1"/>
    <col min="6831" max="6831" width="9.140625" style="1"/>
    <col min="6832" max="6833" width="9.28515625" style="1" bestFit="1" customWidth="1"/>
    <col min="6834" max="6834" width="9.140625" style="1"/>
    <col min="6835" max="6835" width="9.28515625" style="1" bestFit="1" customWidth="1"/>
    <col min="6836" max="6838" width="9.140625" style="1"/>
    <col min="6839" max="6841" width="9.28515625" style="1" bestFit="1" customWidth="1"/>
    <col min="6842" max="6844" width="9.140625" style="1"/>
    <col min="6845" max="6846" width="9.28515625" style="1" bestFit="1" customWidth="1"/>
    <col min="6847" max="6847" width="9.140625" style="1"/>
    <col min="6848" max="6849" width="9.28515625" style="1" bestFit="1" customWidth="1"/>
    <col min="6850" max="6850" width="9.140625" style="1"/>
    <col min="6851" max="6851" width="9.28515625" style="1" bestFit="1" customWidth="1"/>
    <col min="6852" max="6854" width="9.140625" style="1"/>
    <col min="6855" max="6857" width="9.28515625" style="1" bestFit="1" customWidth="1"/>
    <col min="6858" max="6860" width="9.140625" style="1"/>
    <col min="6861" max="6862" width="9.28515625" style="1" bestFit="1" customWidth="1"/>
    <col min="6863" max="6863" width="9.140625" style="1"/>
    <col min="6864" max="6865" width="9.28515625" style="1" bestFit="1" customWidth="1"/>
    <col min="6866" max="6866" width="9.140625" style="1"/>
    <col min="6867" max="6867" width="9.28515625" style="1" bestFit="1" customWidth="1"/>
    <col min="6868" max="6870" width="9.140625" style="1"/>
    <col min="6871" max="6873" width="9.28515625" style="1" bestFit="1" customWidth="1"/>
    <col min="6874" max="6876" width="9.140625" style="1"/>
    <col min="6877" max="6878" width="9.28515625" style="1" bestFit="1" customWidth="1"/>
    <col min="6879" max="6879" width="9.140625" style="1"/>
    <col min="6880" max="6881" width="9.28515625" style="1" bestFit="1" customWidth="1"/>
    <col min="6882" max="6882" width="9.140625" style="1"/>
    <col min="6883" max="6883" width="9.28515625" style="1" bestFit="1" customWidth="1"/>
    <col min="6884" max="6886" width="9.140625" style="1"/>
    <col min="6887" max="6889" width="9.28515625" style="1" bestFit="1" customWidth="1"/>
    <col min="6890" max="6892" width="9.140625" style="1"/>
    <col min="6893" max="6894" width="9.28515625" style="1" bestFit="1" customWidth="1"/>
    <col min="6895" max="6895" width="9.140625" style="1"/>
    <col min="6896" max="6897" width="9.28515625" style="1" bestFit="1" customWidth="1"/>
    <col min="6898" max="6898" width="9.140625" style="1"/>
    <col min="6899" max="6899" width="9.28515625" style="1" bestFit="1" customWidth="1"/>
    <col min="6900" max="6902" width="9.140625" style="1"/>
    <col min="6903" max="6905" width="9.28515625" style="1" bestFit="1" customWidth="1"/>
    <col min="6906" max="6908" width="9.140625" style="1"/>
    <col min="6909" max="6910" width="9.28515625" style="1" bestFit="1" customWidth="1"/>
    <col min="6911" max="6911" width="9.140625" style="1"/>
    <col min="6912" max="6913" width="9.28515625" style="1" bestFit="1" customWidth="1"/>
    <col min="6914" max="6914" width="9.140625" style="1"/>
    <col min="6915" max="6915" width="9.28515625" style="1" bestFit="1" customWidth="1"/>
    <col min="6916" max="6918" width="9.140625" style="1"/>
    <col min="6919" max="6921" width="9.28515625" style="1" bestFit="1" customWidth="1"/>
    <col min="6922" max="6924" width="9.140625" style="1"/>
    <col min="6925" max="6926" width="9.28515625" style="1" bestFit="1" customWidth="1"/>
    <col min="6927" max="6927" width="9.140625" style="1"/>
    <col min="6928" max="6929" width="9.28515625" style="1" bestFit="1" customWidth="1"/>
    <col min="6930" max="6930" width="9.140625" style="1"/>
    <col min="6931" max="6931" width="9.28515625" style="1" bestFit="1" customWidth="1"/>
    <col min="6932" max="6934" width="9.140625" style="1"/>
    <col min="6935" max="6937" width="9.28515625" style="1" bestFit="1" customWidth="1"/>
    <col min="6938" max="6940" width="9.140625" style="1"/>
    <col min="6941" max="6942" width="9.28515625" style="1" bestFit="1" customWidth="1"/>
    <col min="6943" max="6943" width="9.140625" style="1"/>
    <col min="6944" max="6945" width="9.28515625" style="1" bestFit="1" customWidth="1"/>
    <col min="6946" max="6946" width="9.140625" style="1"/>
    <col min="6947" max="6947" width="9.28515625" style="1" bestFit="1" customWidth="1"/>
    <col min="6948" max="6950" width="9.140625" style="1"/>
    <col min="6951" max="6953" width="9.28515625" style="1" bestFit="1" customWidth="1"/>
    <col min="6954" max="6956" width="9.140625" style="1"/>
    <col min="6957" max="6958" width="9.28515625" style="1" bestFit="1" customWidth="1"/>
    <col min="6959" max="6959" width="9.140625" style="1"/>
    <col min="6960" max="6961" width="9.28515625" style="1" bestFit="1" customWidth="1"/>
    <col min="6962" max="6962" width="9.140625" style="1"/>
    <col min="6963" max="6963" width="9.28515625" style="1" bestFit="1" customWidth="1"/>
    <col min="6964" max="6966" width="9.140625" style="1"/>
    <col min="6967" max="6969" width="9.28515625" style="1" bestFit="1" customWidth="1"/>
    <col min="6970" max="6972" width="9.140625" style="1"/>
    <col min="6973" max="6974" width="9.28515625" style="1" bestFit="1" customWidth="1"/>
    <col min="6975" max="6975" width="9.140625" style="1"/>
    <col min="6976" max="6977" width="9.28515625" style="1" bestFit="1" customWidth="1"/>
    <col min="6978" max="6978" width="9.140625" style="1"/>
    <col min="6979" max="6979" width="9.28515625" style="1" bestFit="1" customWidth="1"/>
    <col min="6980" max="6982" width="9.140625" style="1"/>
    <col min="6983" max="6985" width="9.28515625" style="1" bestFit="1" customWidth="1"/>
    <col min="6986" max="6988" width="9.140625" style="1"/>
    <col min="6989" max="6990" width="9.28515625" style="1" bestFit="1" customWidth="1"/>
    <col min="6991" max="6991" width="9.140625" style="1"/>
    <col min="6992" max="6993" width="9.28515625" style="1" bestFit="1" customWidth="1"/>
    <col min="6994" max="6994" width="9.140625" style="1"/>
    <col min="6995" max="6995" width="9.28515625" style="1" bestFit="1" customWidth="1"/>
    <col min="6996" max="6998" width="9.140625" style="1"/>
    <col min="6999" max="7001" width="9.28515625" style="1" bestFit="1" customWidth="1"/>
    <col min="7002" max="7004" width="9.140625" style="1"/>
    <col min="7005" max="7006" width="9.28515625" style="1" bestFit="1" customWidth="1"/>
    <col min="7007" max="7007" width="9.140625" style="1"/>
    <col min="7008" max="7009" width="9.28515625" style="1" bestFit="1" customWidth="1"/>
    <col min="7010" max="7010" width="9.140625" style="1"/>
    <col min="7011" max="7011" width="9.28515625" style="1" bestFit="1" customWidth="1"/>
    <col min="7012" max="7014" width="9.140625" style="1"/>
    <col min="7015" max="7017" width="9.28515625" style="1" bestFit="1" customWidth="1"/>
    <col min="7018" max="7020" width="9.140625" style="1"/>
    <col min="7021" max="7022" width="9.28515625" style="1" bestFit="1" customWidth="1"/>
    <col min="7023" max="7023" width="9.140625" style="1"/>
    <col min="7024" max="7025" width="9.28515625" style="1" bestFit="1" customWidth="1"/>
    <col min="7026" max="7026" width="9.140625" style="1"/>
    <col min="7027" max="7027" width="9.28515625" style="1" bestFit="1" customWidth="1"/>
    <col min="7028" max="7030" width="9.140625" style="1"/>
    <col min="7031" max="7033" width="9.28515625" style="1" bestFit="1" customWidth="1"/>
    <col min="7034" max="7036" width="9.140625" style="1"/>
    <col min="7037" max="7038" width="9.28515625" style="1" bestFit="1" customWidth="1"/>
    <col min="7039" max="7039" width="9.140625" style="1"/>
    <col min="7040" max="7041" width="9.28515625" style="1" bestFit="1" customWidth="1"/>
    <col min="7042" max="7042" width="9.140625" style="1"/>
    <col min="7043" max="7043" width="9.28515625" style="1" bestFit="1" customWidth="1"/>
    <col min="7044" max="7046" width="9.140625" style="1"/>
    <col min="7047" max="7049" width="9.28515625" style="1" bestFit="1" customWidth="1"/>
    <col min="7050" max="7052" width="9.140625" style="1"/>
    <col min="7053" max="7054" width="9.28515625" style="1" bestFit="1" customWidth="1"/>
    <col min="7055" max="7055" width="9.140625" style="1"/>
    <col min="7056" max="7057" width="9.28515625" style="1" bestFit="1" customWidth="1"/>
    <col min="7058" max="7058" width="9.140625" style="1"/>
    <col min="7059" max="7059" width="9.28515625" style="1" bestFit="1" customWidth="1"/>
    <col min="7060" max="7062" width="9.140625" style="1"/>
    <col min="7063" max="7065" width="9.28515625" style="1" bestFit="1" customWidth="1"/>
    <col min="7066" max="7068" width="9.140625" style="1"/>
    <col min="7069" max="7070" width="9.28515625" style="1" bestFit="1" customWidth="1"/>
    <col min="7071" max="7071" width="9.140625" style="1"/>
    <col min="7072" max="7073" width="9.28515625" style="1" bestFit="1" customWidth="1"/>
    <col min="7074" max="7074" width="9.140625" style="1"/>
    <col min="7075" max="7075" width="9.28515625" style="1" bestFit="1" customWidth="1"/>
    <col min="7076" max="7078" width="9.140625" style="1"/>
    <col min="7079" max="7081" width="9.28515625" style="1" bestFit="1" customWidth="1"/>
    <col min="7082" max="7084" width="9.140625" style="1"/>
    <col min="7085" max="7086" width="9.28515625" style="1" bestFit="1" customWidth="1"/>
    <col min="7087" max="7087" width="9.140625" style="1"/>
    <col min="7088" max="7089" width="9.28515625" style="1" bestFit="1" customWidth="1"/>
    <col min="7090" max="7090" width="9.140625" style="1"/>
    <col min="7091" max="7091" width="9.28515625" style="1" bestFit="1" customWidth="1"/>
    <col min="7092" max="7094" width="9.140625" style="1"/>
    <col min="7095" max="7097" width="9.28515625" style="1" bestFit="1" customWidth="1"/>
    <col min="7098" max="7100" width="9.140625" style="1"/>
    <col min="7101" max="7102" width="9.28515625" style="1" bestFit="1" customWidth="1"/>
    <col min="7103" max="7103" width="9.140625" style="1"/>
    <col min="7104" max="7105" width="9.28515625" style="1" bestFit="1" customWidth="1"/>
    <col min="7106" max="7106" width="9.140625" style="1"/>
    <col min="7107" max="7107" width="9.28515625" style="1" bestFit="1" customWidth="1"/>
    <col min="7108" max="7110" width="9.140625" style="1"/>
    <col min="7111" max="7113" width="9.28515625" style="1" bestFit="1" customWidth="1"/>
    <col min="7114" max="7116" width="9.140625" style="1"/>
    <col min="7117" max="7118" width="9.28515625" style="1" bestFit="1" customWidth="1"/>
    <col min="7119" max="7119" width="9.140625" style="1"/>
    <col min="7120" max="7121" width="9.28515625" style="1" bestFit="1" customWidth="1"/>
    <col min="7122" max="7122" width="9.140625" style="1"/>
    <col min="7123" max="7123" width="9.28515625" style="1" bestFit="1" customWidth="1"/>
    <col min="7124" max="7126" width="9.140625" style="1"/>
    <col min="7127" max="7129" width="9.28515625" style="1" bestFit="1" customWidth="1"/>
    <col min="7130" max="7132" width="9.140625" style="1"/>
    <col min="7133" max="7134" width="9.28515625" style="1" bestFit="1" customWidth="1"/>
    <col min="7135" max="7135" width="9.140625" style="1"/>
    <col min="7136" max="7137" width="9.28515625" style="1" bestFit="1" customWidth="1"/>
    <col min="7138" max="7138" width="9.140625" style="1"/>
    <col min="7139" max="7139" width="9.28515625" style="1" bestFit="1" customWidth="1"/>
    <col min="7140" max="7142" width="9.140625" style="1"/>
    <col min="7143" max="7145" width="9.28515625" style="1" bestFit="1" customWidth="1"/>
    <col min="7146" max="7148" width="9.140625" style="1"/>
    <col min="7149" max="7150" width="9.28515625" style="1" bestFit="1" customWidth="1"/>
    <col min="7151" max="7151" width="9.140625" style="1"/>
    <col min="7152" max="7153" width="9.28515625" style="1" bestFit="1" customWidth="1"/>
    <col min="7154" max="7154" width="9.140625" style="1"/>
    <col min="7155" max="7155" width="9.28515625" style="1" bestFit="1" customWidth="1"/>
    <col min="7156" max="7158" width="9.140625" style="1"/>
    <col min="7159" max="7161" width="9.28515625" style="1" bestFit="1" customWidth="1"/>
    <col min="7162" max="7164" width="9.140625" style="1"/>
    <col min="7165" max="7166" width="9.28515625" style="1" bestFit="1" customWidth="1"/>
    <col min="7167" max="7167" width="9.140625" style="1"/>
    <col min="7168" max="7169" width="9.28515625" style="1" bestFit="1" customWidth="1"/>
    <col min="7170" max="7170" width="9.140625" style="1"/>
    <col min="7171" max="7171" width="9.28515625" style="1" bestFit="1" customWidth="1"/>
    <col min="7172" max="7174" width="9.140625" style="1"/>
    <col min="7175" max="7177" width="9.28515625" style="1" bestFit="1" customWidth="1"/>
    <col min="7178" max="7180" width="9.140625" style="1"/>
    <col min="7181" max="7182" width="9.28515625" style="1" bestFit="1" customWidth="1"/>
    <col min="7183" max="7183" width="9.140625" style="1"/>
    <col min="7184" max="7185" width="9.28515625" style="1" bestFit="1" customWidth="1"/>
    <col min="7186" max="7186" width="9.140625" style="1"/>
    <col min="7187" max="7187" width="9.28515625" style="1" bestFit="1" customWidth="1"/>
    <col min="7188" max="7190" width="9.140625" style="1"/>
    <col min="7191" max="7193" width="9.28515625" style="1" bestFit="1" customWidth="1"/>
    <col min="7194" max="7196" width="9.140625" style="1"/>
    <col min="7197" max="7198" width="9.28515625" style="1" bestFit="1" customWidth="1"/>
    <col min="7199" max="7199" width="9.140625" style="1"/>
    <col min="7200" max="7201" width="9.28515625" style="1" bestFit="1" customWidth="1"/>
    <col min="7202" max="7202" width="9.140625" style="1"/>
    <col min="7203" max="7203" width="9.28515625" style="1" bestFit="1" customWidth="1"/>
    <col min="7204" max="7206" width="9.140625" style="1"/>
    <col min="7207" max="7209" width="9.28515625" style="1" bestFit="1" customWidth="1"/>
    <col min="7210" max="7212" width="9.140625" style="1"/>
    <col min="7213" max="7214" width="9.28515625" style="1" bestFit="1" customWidth="1"/>
    <col min="7215" max="7215" width="9.140625" style="1"/>
    <col min="7216" max="7217" width="9.28515625" style="1" bestFit="1" customWidth="1"/>
    <col min="7218" max="7218" width="9.140625" style="1"/>
    <col min="7219" max="7219" width="9.28515625" style="1" bestFit="1" customWidth="1"/>
    <col min="7220" max="7222" width="9.140625" style="1"/>
    <col min="7223" max="7225" width="9.28515625" style="1" bestFit="1" customWidth="1"/>
    <col min="7226" max="7228" width="9.140625" style="1"/>
    <col min="7229" max="7230" width="9.28515625" style="1" bestFit="1" customWidth="1"/>
    <col min="7231" max="7231" width="9.140625" style="1"/>
    <col min="7232" max="7233" width="9.28515625" style="1" bestFit="1" customWidth="1"/>
    <col min="7234" max="7234" width="9.140625" style="1"/>
    <col min="7235" max="7235" width="9.28515625" style="1" bestFit="1" customWidth="1"/>
    <col min="7236" max="7238" width="9.140625" style="1"/>
    <col min="7239" max="7241" width="9.28515625" style="1" bestFit="1" customWidth="1"/>
    <col min="7242" max="7244" width="9.140625" style="1"/>
    <col min="7245" max="7246" width="9.28515625" style="1" bestFit="1" customWidth="1"/>
    <col min="7247" max="7247" width="9.140625" style="1"/>
    <col min="7248" max="7249" width="9.28515625" style="1" bestFit="1" customWidth="1"/>
    <col min="7250" max="7250" width="9.140625" style="1"/>
    <col min="7251" max="7251" width="9.28515625" style="1" bestFit="1" customWidth="1"/>
    <col min="7252" max="7254" width="9.140625" style="1"/>
    <col min="7255" max="7257" width="9.28515625" style="1" bestFit="1" customWidth="1"/>
    <col min="7258" max="7260" width="9.140625" style="1"/>
    <col min="7261" max="7262" width="9.28515625" style="1" bestFit="1" customWidth="1"/>
    <col min="7263" max="7263" width="9.140625" style="1"/>
    <col min="7264" max="7265" width="9.28515625" style="1" bestFit="1" customWidth="1"/>
    <col min="7266" max="7266" width="9.140625" style="1"/>
    <col min="7267" max="7267" width="9.28515625" style="1" bestFit="1" customWidth="1"/>
    <col min="7268" max="7270" width="9.140625" style="1"/>
    <col min="7271" max="7273" width="9.28515625" style="1" bestFit="1" customWidth="1"/>
    <col min="7274" max="7276" width="9.140625" style="1"/>
    <col min="7277" max="7278" width="9.28515625" style="1" bestFit="1" customWidth="1"/>
    <col min="7279" max="7279" width="9.140625" style="1"/>
    <col min="7280" max="7281" width="9.28515625" style="1" bestFit="1" customWidth="1"/>
    <col min="7282" max="7282" width="9.140625" style="1"/>
    <col min="7283" max="7283" width="9.28515625" style="1" bestFit="1" customWidth="1"/>
    <col min="7284" max="7286" width="9.140625" style="1"/>
    <col min="7287" max="7289" width="9.28515625" style="1" bestFit="1" customWidth="1"/>
    <col min="7290" max="7292" width="9.140625" style="1"/>
    <col min="7293" max="7294" width="9.28515625" style="1" bestFit="1" customWidth="1"/>
    <col min="7295" max="7295" width="9.140625" style="1"/>
    <col min="7296" max="7297" width="9.28515625" style="1" bestFit="1" customWidth="1"/>
    <col min="7298" max="7298" width="9.140625" style="1"/>
    <col min="7299" max="7299" width="9.28515625" style="1" bestFit="1" customWidth="1"/>
    <col min="7300" max="7302" width="9.140625" style="1"/>
    <col min="7303" max="7305" width="9.28515625" style="1" bestFit="1" customWidth="1"/>
    <col min="7306" max="7308" width="9.140625" style="1"/>
    <col min="7309" max="7310" width="9.28515625" style="1" bestFit="1" customWidth="1"/>
    <col min="7311" max="7311" width="9.140625" style="1"/>
    <col min="7312" max="7313" width="9.28515625" style="1" bestFit="1" customWidth="1"/>
    <col min="7314" max="7314" width="9.140625" style="1"/>
    <col min="7315" max="7315" width="9.28515625" style="1" bestFit="1" customWidth="1"/>
    <col min="7316" max="7318" width="9.140625" style="1"/>
    <col min="7319" max="7321" width="9.28515625" style="1" bestFit="1" customWidth="1"/>
    <col min="7322" max="7324" width="9.140625" style="1"/>
    <col min="7325" max="7326" width="9.28515625" style="1" bestFit="1" customWidth="1"/>
    <col min="7327" max="7327" width="9.140625" style="1"/>
    <col min="7328" max="7329" width="9.28515625" style="1" bestFit="1" customWidth="1"/>
    <col min="7330" max="7330" width="9.140625" style="1"/>
    <col min="7331" max="7331" width="9.28515625" style="1" bestFit="1" customWidth="1"/>
    <col min="7332" max="7334" width="9.140625" style="1"/>
    <col min="7335" max="7337" width="9.28515625" style="1" bestFit="1" customWidth="1"/>
    <col min="7338" max="7340" width="9.140625" style="1"/>
    <col min="7341" max="7342" width="9.28515625" style="1" bestFit="1" customWidth="1"/>
    <col min="7343" max="7343" width="9.140625" style="1"/>
    <col min="7344" max="7345" width="9.28515625" style="1" bestFit="1" customWidth="1"/>
    <col min="7346" max="7346" width="9.140625" style="1"/>
    <col min="7347" max="7347" width="9.28515625" style="1" bestFit="1" customWidth="1"/>
    <col min="7348" max="7350" width="9.140625" style="1"/>
    <col min="7351" max="7353" width="9.28515625" style="1" bestFit="1" customWidth="1"/>
    <col min="7354" max="7356" width="9.140625" style="1"/>
    <col min="7357" max="7358" width="9.28515625" style="1" bestFit="1" customWidth="1"/>
    <col min="7359" max="7359" width="9.140625" style="1"/>
    <col min="7360" max="7361" width="9.28515625" style="1" bestFit="1" customWidth="1"/>
    <col min="7362" max="7362" width="9.140625" style="1"/>
    <col min="7363" max="7363" width="9.28515625" style="1" bestFit="1" customWidth="1"/>
    <col min="7364" max="7366" width="9.140625" style="1"/>
    <col min="7367" max="7369" width="9.28515625" style="1" bestFit="1" customWidth="1"/>
    <col min="7370" max="7372" width="9.140625" style="1"/>
    <col min="7373" max="7374" width="9.28515625" style="1" bestFit="1" customWidth="1"/>
    <col min="7375" max="7375" width="9.140625" style="1"/>
    <col min="7376" max="7377" width="9.28515625" style="1" bestFit="1" customWidth="1"/>
    <col min="7378" max="7378" width="9.140625" style="1"/>
    <col min="7379" max="7379" width="9.28515625" style="1" bestFit="1" customWidth="1"/>
    <col min="7380" max="7382" width="9.140625" style="1"/>
    <col min="7383" max="7385" width="9.28515625" style="1" bestFit="1" customWidth="1"/>
    <col min="7386" max="7388" width="9.140625" style="1"/>
    <col min="7389" max="7390" width="9.28515625" style="1" bestFit="1" customWidth="1"/>
    <col min="7391" max="7391" width="9.140625" style="1"/>
    <col min="7392" max="7393" width="9.28515625" style="1" bestFit="1" customWidth="1"/>
    <col min="7394" max="7394" width="9.140625" style="1"/>
    <col min="7395" max="7395" width="9.28515625" style="1" bestFit="1" customWidth="1"/>
    <col min="7396" max="7398" width="9.140625" style="1"/>
    <col min="7399" max="7401" width="9.28515625" style="1" bestFit="1" customWidth="1"/>
    <col min="7402" max="7404" width="9.140625" style="1"/>
    <col min="7405" max="7406" width="9.28515625" style="1" bestFit="1" customWidth="1"/>
    <col min="7407" max="7407" width="9.140625" style="1"/>
    <col min="7408" max="7409" width="9.28515625" style="1" bestFit="1" customWidth="1"/>
    <col min="7410" max="7410" width="9.140625" style="1"/>
    <col min="7411" max="7411" width="9.28515625" style="1" bestFit="1" customWidth="1"/>
    <col min="7412" max="7414" width="9.140625" style="1"/>
    <col min="7415" max="7417" width="9.28515625" style="1" bestFit="1" customWidth="1"/>
    <col min="7418" max="7420" width="9.140625" style="1"/>
    <col min="7421" max="7422" width="9.28515625" style="1" bestFit="1" customWidth="1"/>
    <col min="7423" max="7423" width="9.140625" style="1"/>
    <col min="7424" max="7425" width="9.28515625" style="1" bestFit="1" customWidth="1"/>
    <col min="7426" max="7426" width="9.140625" style="1"/>
    <col min="7427" max="7427" width="9.28515625" style="1" bestFit="1" customWidth="1"/>
    <col min="7428" max="7430" width="9.140625" style="1"/>
    <col min="7431" max="7433" width="9.28515625" style="1" bestFit="1" customWidth="1"/>
    <col min="7434" max="7436" width="9.140625" style="1"/>
    <col min="7437" max="7438" width="9.28515625" style="1" bestFit="1" customWidth="1"/>
    <col min="7439" max="7439" width="9.140625" style="1"/>
    <col min="7440" max="7441" width="9.28515625" style="1" bestFit="1" customWidth="1"/>
    <col min="7442" max="7442" width="9.140625" style="1"/>
    <col min="7443" max="7443" width="9.28515625" style="1" bestFit="1" customWidth="1"/>
    <col min="7444" max="7446" width="9.140625" style="1"/>
    <col min="7447" max="7449" width="9.28515625" style="1" bestFit="1" customWidth="1"/>
    <col min="7450" max="7452" width="9.140625" style="1"/>
    <col min="7453" max="7454" width="9.28515625" style="1" bestFit="1" customWidth="1"/>
    <col min="7455" max="7455" width="9.140625" style="1"/>
    <col min="7456" max="7457" width="9.28515625" style="1" bestFit="1" customWidth="1"/>
    <col min="7458" max="7458" width="9.140625" style="1"/>
    <col min="7459" max="7459" width="9.28515625" style="1" bestFit="1" customWidth="1"/>
    <col min="7460" max="7462" width="9.140625" style="1"/>
    <col min="7463" max="7465" width="9.28515625" style="1" bestFit="1" customWidth="1"/>
    <col min="7466" max="7468" width="9.140625" style="1"/>
    <col min="7469" max="7470" width="9.28515625" style="1" bestFit="1" customWidth="1"/>
    <col min="7471" max="7471" width="9.140625" style="1"/>
    <col min="7472" max="7473" width="9.28515625" style="1" bestFit="1" customWidth="1"/>
    <col min="7474" max="7474" width="9.140625" style="1"/>
    <col min="7475" max="7475" width="9.28515625" style="1" bestFit="1" customWidth="1"/>
    <col min="7476" max="7478" width="9.140625" style="1"/>
    <col min="7479" max="7481" width="9.28515625" style="1" bestFit="1" customWidth="1"/>
    <col min="7482" max="7484" width="9.140625" style="1"/>
    <col min="7485" max="7486" width="9.28515625" style="1" bestFit="1" customWidth="1"/>
    <col min="7487" max="7487" width="9.140625" style="1"/>
    <col min="7488" max="7489" width="9.28515625" style="1" bestFit="1" customWidth="1"/>
    <col min="7490" max="7490" width="9.140625" style="1"/>
    <col min="7491" max="7491" width="9.28515625" style="1" bestFit="1" customWidth="1"/>
    <col min="7492" max="7494" width="9.140625" style="1"/>
    <col min="7495" max="7497" width="9.28515625" style="1" bestFit="1" customWidth="1"/>
    <col min="7498" max="7500" width="9.140625" style="1"/>
    <col min="7501" max="7502" width="9.28515625" style="1" bestFit="1" customWidth="1"/>
    <col min="7503" max="7503" width="9.140625" style="1"/>
    <col min="7504" max="7505" width="9.28515625" style="1" bestFit="1" customWidth="1"/>
    <col min="7506" max="7506" width="9.140625" style="1"/>
    <col min="7507" max="7507" width="9.28515625" style="1" bestFit="1" customWidth="1"/>
    <col min="7508" max="7510" width="9.140625" style="1"/>
    <col min="7511" max="7513" width="9.28515625" style="1" bestFit="1" customWidth="1"/>
    <col min="7514" max="7516" width="9.140625" style="1"/>
    <col min="7517" max="7518" width="9.28515625" style="1" bestFit="1" customWidth="1"/>
    <col min="7519" max="7519" width="9.140625" style="1"/>
    <col min="7520" max="7521" width="9.28515625" style="1" bestFit="1" customWidth="1"/>
    <col min="7522" max="7522" width="9.140625" style="1"/>
    <col min="7523" max="7523" width="9.28515625" style="1" bestFit="1" customWidth="1"/>
    <col min="7524" max="7526" width="9.140625" style="1"/>
    <col min="7527" max="7529" width="9.28515625" style="1" bestFit="1" customWidth="1"/>
    <col min="7530" max="7532" width="9.140625" style="1"/>
    <col min="7533" max="7534" width="9.28515625" style="1" bestFit="1" customWidth="1"/>
    <col min="7535" max="7535" width="9.140625" style="1"/>
    <col min="7536" max="7537" width="9.28515625" style="1" bestFit="1" customWidth="1"/>
    <col min="7538" max="7538" width="9.140625" style="1"/>
    <col min="7539" max="7539" width="9.28515625" style="1" bestFit="1" customWidth="1"/>
    <col min="7540" max="7542" width="9.140625" style="1"/>
    <col min="7543" max="7545" width="9.28515625" style="1" bestFit="1" customWidth="1"/>
    <col min="7546" max="7548" width="9.140625" style="1"/>
    <col min="7549" max="7550" width="9.28515625" style="1" bestFit="1" customWidth="1"/>
    <col min="7551" max="7551" width="9.140625" style="1"/>
    <col min="7552" max="7553" width="9.28515625" style="1" bestFit="1" customWidth="1"/>
    <col min="7554" max="7554" width="9.140625" style="1"/>
    <col min="7555" max="7555" width="9.28515625" style="1" bestFit="1" customWidth="1"/>
    <col min="7556" max="7558" width="9.140625" style="1"/>
    <col min="7559" max="7561" width="9.28515625" style="1" bestFit="1" customWidth="1"/>
    <col min="7562" max="7564" width="9.140625" style="1"/>
    <col min="7565" max="7566" width="9.28515625" style="1" bestFit="1" customWidth="1"/>
    <col min="7567" max="7567" width="9.140625" style="1"/>
    <col min="7568" max="7569" width="9.28515625" style="1" bestFit="1" customWidth="1"/>
    <col min="7570" max="7570" width="9.140625" style="1"/>
    <col min="7571" max="7571" width="9.28515625" style="1" bestFit="1" customWidth="1"/>
    <col min="7572" max="7574" width="9.140625" style="1"/>
    <col min="7575" max="7577" width="9.28515625" style="1" bestFit="1" customWidth="1"/>
    <col min="7578" max="7580" width="9.140625" style="1"/>
    <col min="7581" max="7582" width="9.28515625" style="1" bestFit="1" customWidth="1"/>
    <col min="7583" max="7583" width="9.140625" style="1"/>
    <col min="7584" max="7585" width="9.28515625" style="1" bestFit="1" customWidth="1"/>
    <col min="7586" max="7586" width="9.140625" style="1"/>
    <col min="7587" max="7587" width="9.28515625" style="1" bestFit="1" customWidth="1"/>
    <col min="7588" max="7590" width="9.140625" style="1"/>
    <col min="7591" max="7593" width="9.28515625" style="1" bestFit="1" customWidth="1"/>
    <col min="7594" max="7596" width="9.140625" style="1"/>
    <col min="7597" max="7598" width="9.28515625" style="1" bestFit="1" customWidth="1"/>
    <col min="7599" max="7599" width="9.140625" style="1"/>
    <col min="7600" max="7601" width="9.28515625" style="1" bestFit="1" customWidth="1"/>
    <col min="7602" max="7602" width="9.140625" style="1"/>
    <col min="7603" max="7603" width="9.28515625" style="1" bestFit="1" customWidth="1"/>
    <col min="7604" max="7606" width="9.140625" style="1"/>
    <col min="7607" max="7609" width="9.28515625" style="1" bestFit="1" customWidth="1"/>
    <col min="7610" max="7612" width="9.140625" style="1"/>
    <col min="7613" max="7614" width="9.28515625" style="1" bestFit="1" customWidth="1"/>
    <col min="7615" max="7615" width="9.140625" style="1"/>
    <col min="7616" max="7617" width="9.28515625" style="1" bestFit="1" customWidth="1"/>
    <col min="7618" max="7618" width="9.140625" style="1"/>
    <col min="7619" max="7619" width="9.28515625" style="1" bestFit="1" customWidth="1"/>
    <col min="7620" max="7622" width="9.140625" style="1"/>
    <col min="7623" max="7625" width="9.28515625" style="1" bestFit="1" customWidth="1"/>
    <col min="7626" max="7628" width="9.140625" style="1"/>
    <col min="7629" max="7630" width="9.28515625" style="1" bestFit="1" customWidth="1"/>
    <col min="7631" max="7631" width="9.140625" style="1"/>
    <col min="7632" max="7633" width="9.28515625" style="1" bestFit="1" customWidth="1"/>
    <col min="7634" max="7634" width="9.140625" style="1"/>
    <col min="7635" max="7635" width="9.28515625" style="1" bestFit="1" customWidth="1"/>
    <col min="7636" max="7638" width="9.140625" style="1"/>
    <col min="7639" max="7641" width="9.28515625" style="1" bestFit="1" customWidth="1"/>
    <col min="7642" max="7644" width="9.140625" style="1"/>
    <col min="7645" max="7646" width="9.28515625" style="1" bestFit="1" customWidth="1"/>
    <col min="7647" max="7647" width="9.140625" style="1"/>
    <col min="7648" max="7649" width="9.28515625" style="1" bestFit="1" customWidth="1"/>
    <col min="7650" max="7650" width="9.140625" style="1"/>
    <col min="7651" max="7651" width="9.28515625" style="1" bestFit="1" customWidth="1"/>
    <col min="7652" max="7654" width="9.140625" style="1"/>
    <col min="7655" max="7657" width="9.28515625" style="1" bestFit="1" customWidth="1"/>
    <col min="7658" max="7660" width="9.140625" style="1"/>
    <col min="7661" max="7662" width="9.28515625" style="1" bestFit="1" customWidth="1"/>
    <col min="7663" max="7663" width="9.140625" style="1"/>
    <col min="7664" max="7665" width="9.28515625" style="1" bestFit="1" customWidth="1"/>
    <col min="7666" max="7666" width="9.140625" style="1"/>
    <col min="7667" max="7667" width="9.28515625" style="1" bestFit="1" customWidth="1"/>
    <col min="7668" max="7670" width="9.140625" style="1"/>
    <col min="7671" max="7673" width="9.28515625" style="1" bestFit="1" customWidth="1"/>
    <col min="7674" max="7676" width="9.140625" style="1"/>
    <col min="7677" max="7678" width="9.28515625" style="1" bestFit="1" customWidth="1"/>
    <col min="7679" max="7679" width="9.140625" style="1"/>
    <col min="7680" max="7681" width="9.28515625" style="1" bestFit="1" customWidth="1"/>
    <col min="7682" max="7682" width="9.140625" style="1"/>
    <col min="7683" max="7683" width="9.28515625" style="1" bestFit="1" customWidth="1"/>
    <col min="7684" max="7686" width="9.140625" style="1"/>
    <col min="7687" max="7689" width="9.28515625" style="1" bestFit="1" customWidth="1"/>
    <col min="7690" max="7692" width="9.140625" style="1"/>
    <col min="7693" max="7694" width="9.28515625" style="1" bestFit="1" customWidth="1"/>
    <col min="7695" max="7695" width="9.140625" style="1"/>
    <col min="7696" max="7697" width="9.28515625" style="1" bestFit="1" customWidth="1"/>
    <col min="7698" max="7698" width="9.140625" style="1"/>
    <col min="7699" max="7699" width="9.28515625" style="1" bestFit="1" customWidth="1"/>
    <col min="7700" max="7702" width="9.140625" style="1"/>
    <col min="7703" max="7705" width="9.28515625" style="1" bestFit="1" customWidth="1"/>
    <col min="7706" max="7708" width="9.140625" style="1"/>
    <col min="7709" max="7710" width="9.28515625" style="1" bestFit="1" customWidth="1"/>
    <col min="7711" max="7711" width="9.140625" style="1"/>
    <col min="7712" max="7713" width="9.28515625" style="1" bestFit="1" customWidth="1"/>
    <col min="7714" max="7714" width="9.140625" style="1"/>
    <col min="7715" max="7715" width="9.28515625" style="1" bestFit="1" customWidth="1"/>
    <col min="7716" max="7718" width="9.140625" style="1"/>
    <col min="7719" max="7721" width="9.28515625" style="1" bestFit="1" customWidth="1"/>
    <col min="7722" max="7724" width="9.140625" style="1"/>
    <col min="7725" max="7726" width="9.28515625" style="1" bestFit="1" customWidth="1"/>
    <col min="7727" max="7727" width="9.140625" style="1"/>
    <col min="7728" max="7729" width="9.28515625" style="1" bestFit="1" customWidth="1"/>
    <col min="7730" max="7730" width="9.140625" style="1"/>
    <col min="7731" max="7731" width="9.28515625" style="1" bestFit="1" customWidth="1"/>
    <col min="7732" max="7734" width="9.140625" style="1"/>
    <col min="7735" max="7737" width="9.28515625" style="1" bestFit="1" customWidth="1"/>
    <col min="7738" max="7740" width="9.140625" style="1"/>
    <col min="7741" max="7742" width="9.28515625" style="1" bestFit="1" customWidth="1"/>
    <col min="7743" max="7743" width="9.140625" style="1"/>
    <col min="7744" max="7745" width="9.28515625" style="1" bestFit="1" customWidth="1"/>
    <col min="7746" max="7746" width="9.140625" style="1"/>
    <col min="7747" max="7747" width="9.28515625" style="1" bestFit="1" customWidth="1"/>
    <col min="7748" max="7750" width="9.140625" style="1"/>
    <col min="7751" max="7753" width="9.28515625" style="1" bestFit="1" customWidth="1"/>
    <col min="7754" max="7756" width="9.140625" style="1"/>
    <col min="7757" max="7758" width="9.28515625" style="1" bestFit="1" customWidth="1"/>
    <col min="7759" max="7759" width="9.140625" style="1"/>
    <col min="7760" max="7761" width="9.28515625" style="1" bestFit="1" customWidth="1"/>
    <col min="7762" max="7762" width="9.140625" style="1"/>
    <col min="7763" max="7763" width="9.28515625" style="1" bestFit="1" customWidth="1"/>
    <col min="7764" max="7766" width="9.140625" style="1"/>
    <col min="7767" max="7769" width="9.28515625" style="1" bestFit="1" customWidth="1"/>
    <col min="7770" max="7772" width="9.140625" style="1"/>
    <col min="7773" max="7774" width="9.28515625" style="1" bestFit="1" customWidth="1"/>
    <col min="7775" max="7775" width="9.140625" style="1"/>
    <col min="7776" max="7777" width="9.28515625" style="1" bestFit="1" customWidth="1"/>
    <col min="7778" max="7778" width="9.140625" style="1"/>
    <col min="7779" max="7779" width="9.28515625" style="1" bestFit="1" customWidth="1"/>
    <col min="7780" max="7782" width="9.140625" style="1"/>
    <col min="7783" max="7785" width="9.28515625" style="1" bestFit="1" customWidth="1"/>
    <col min="7786" max="7788" width="9.140625" style="1"/>
    <col min="7789" max="7790" width="9.28515625" style="1" bestFit="1" customWidth="1"/>
    <col min="7791" max="7791" width="9.140625" style="1"/>
    <col min="7792" max="7793" width="9.28515625" style="1" bestFit="1" customWidth="1"/>
    <col min="7794" max="7794" width="9.140625" style="1"/>
    <col min="7795" max="7795" width="9.28515625" style="1" bestFit="1" customWidth="1"/>
    <col min="7796" max="7798" width="9.140625" style="1"/>
    <col min="7799" max="7801" width="9.28515625" style="1" bestFit="1" customWidth="1"/>
    <col min="7802" max="7804" width="9.140625" style="1"/>
    <col min="7805" max="7806" width="9.28515625" style="1" bestFit="1" customWidth="1"/>
    <col min="7807" max="7807" width="9.140625" style="1"/>
    <col min="7808" max="7809" width="9.28515625" style="1" bestFit="1" customWidth="1"/>
    <col min="7810" max="7810" width="9.140625" style="1"/>
    <col min="7811" max="7811" width="9.28515625" style="1" bestFit="1" customWidth="1"/>
    <col min="7812" max="7814" width="9.140625" style="1"/>
    <col min="7815" max="7817" width="9.28515625" style="1" bestFit="1" customWidth="1"/>
    <col min="7818" max="7820" width="9.140625" style="1"/>
    <col min="7821" max="7822" width="9.28515625" style="1" bestFit="1" customWidth="1"/>
    <col min="7823" max="7823" width="9.140625" style="1"/>
    <col min="7824" max="7825" width="9.28515625" style="1" bestFit="1" customWidth="1"/>
    <col min="7826" max="7826" width="9.140625" style="1"/>
    <col min="7827" max="7827" width="9.28515625" style="1" bestFit="1" customWidth="1"/>
    <col min="7828" max="7830" width="9.140625" style="1"/>
    <col min="7831" max="7833" width="9.28515625" style="1" bestFit="1" customWidth="1"/>
    <col min="7834" max="7836" width="9.140625" style="1"/>
    <col min="7837" max="7838" width="9.28515625" style="1" bestFit="1" customWidth="1"/>
    <col min="7839" max="7839" width="9.140625" style="1"/>
    <col min="7840" max="7841" width="9.28515625" style="1" bestFit="1" customWidth="1"/>
    <col min="7842" max="7842" width="9.140625" style="1"/>
    <col min="7843" max="7843" width="9.28515625" style="1" bestFit="1" customWidth="1"/>
    <col min="7844" max="7846" width="9.140625" style="1"/>
    <col min="7847" max="7849" width="9.28515625" style="1" bestFit="1" customWidth="1"/>
    <col min="7850" max="7852" width="9.140625" style="1"/>
    <col min="7853" max="7854" width="9.28515625" style="1" bestFit="1" customWidth="1"/>
    <col min="7855" max="7855" width="9.140625" style="1"/>
    <col min="7856" max="7857" width="9.28515625" style="1" bestFit="1" customWidth="1"/>
    <col min="7858" max="7858" width="9.140625" style="1"/>
    <col min="7859" max="7859" width="9.28515625" style="1" bestFit="1" customWidth="1"/>
    <col min="7860" max="7862" width="9.140625" style="1"/>
    <col min="7863" max="7865" width="9.28515625" style="1" bestFit="1" customWidth="1"/>
    <col min="7866" max="7868" width="9.140625" style="1"/>
    <col min="7869" max="7870" width="9.28515625" style="1" bestFit="1" customWidth="1"/>
    <col min="7871" max="7871" width="9.140625" style="1"/>
    <col min="7872" max="7873" width="9.28515625" style="1" bestFit="1" customWidth="1"/>
    <col min="7874" max="7874" width="9.140625" style="1"/>
    <col min="7875" max="7875" width="9.28515625" style="1" bestFit="1" customWidth="1"/>
    <col min="7876" max="7878" width="9.140625" style="1"/>
    <col min="7879" max="7881" width="9.28515625" style="1" bestFit="1" customWidth="1"/>
    <col min="7882" max="7884" width="9.140625" style="1"/>
    <col min="7885" max="7886" width="9.28515625" style="1" bestFit="1" customWidth="1"/>
    <col min="7887" max="7887" width="9.140625" style="1"/>
    <col min="7888" max="7889" width="9.28515625" style="1" bestFit="1" customWidth="1"/>
    <col min="7890" max="7890" width="9.140625" style="1"/>
    <col min="7891" max="7891" width="9.28515625" style="1" bestFit="1" customWidth="1"/>
    <col min="7892" max="7894" width="9.140625" style="1"/>
    <col min="7895" max="7897" width="9.28515625" style="1" bestFit="1" customWidth="1"/>
    <col min="7898" max="7900" width="9.140625" style="1"/>
    <col min="7901" max="7902" width="9.28515625" style="1" bestFit="1" customWidth="1"/>
    <col min="7903" max="7903" width="9.140625" style="1"/>
    <col min="7904" max="7905" width="9.28515625" style="1" bestFit="1" customWidth="1"/>
    <col min="7906" max="7906" width="9.140625" style="1"/>
    <col min="7907" max="7907" width="9.28515625" style="1" bestFit="1" customWidth="1"/>
    <col min="7908" max="7910" width="9.140625" style="1"/>
    <col min="7911" max="7913" width="9.28515625" style="1" bestFit="1" customWidth="1"/>
    <col min="7914" max="7916" width="9.140625" style="1"/>
    <col min="7917" max="7918" width="9.28515625" style="1" bestFit="1" customWidth="1"/>
    <col min="7919" max="7919" width="9.140625" style="1"/>
    <col min="7920" max="7921" width="9.28515625" style="1" bestFit="1" customWidth="1"/>
    <col min="7922" max="7922" width="9.140625" style="1"/>
    <col min="7923" max="7923" width="9.28515625" style="1" bestFit="1" customWidth="1"/>
    <col min="7924" max="7926" width="9.140625" style="1"/>
    <col min="7927" max="7929" width="9.28515625" style="1" bestFit="1" customWidth="1"/>
    <col min="7930" max="7932" width="9.140625" style="1"/>
    <col min="7933" max="7934" width="9.28515625" style="1" bestFit="1" customWidth="1"/>
    <col min="7935" max="7935" width="9.140625" style="1"/>
    <col min="7936" max="7937" width="9.28515625" style="1" bestFit="1" customWidth="1"/>
    <col min="7938" max="7938" width="9.140625" style="1"/>
    <col min="7939" max="7939" width="9.28515625" style="1" bestFit="1" customWidth="1"/>
    <col min="7940" max="7942" width="9.140625" style="1"/>
    <col min="7943" max="7945" width="9.28515625" style="1" bestFit="1" customWidth="1"/>
    <col min="7946" max="7948" width="9.140625" style="1"/>
    <col min="7949" max="7950" width="9.28515625" style="1" bestFit="1" customWidth="1"/>
    <col min="7951" max="7951" width="9.140625" style="1"/>
    <col min="7952" max="7953" width="9.28515625" style="1" bestFit="1" customWidth="1"/>
    <col min="7954" max="7954" width="9.140625" style="1"/>
    <col min="7955" max="7955" width="9.28515625" style="1" bestFit="1" customWidth="1"/>
    <col min="7956" max="7958" width="9.140625" style="1"/>
    <col min="7959" max="7961" width="9.28515625" style="1" bestFit="1" customWidth="1"/>
    <col min="7962" max="7964" width="9.140625" style="1"/>
    <col min="7965" max="7966" width="9.28515625" style="1" bestFit="1" customWidth="1"/>
    <col min="7967" max="7967" width="9.140625" style="1"/>
    <col min="7968" max="7969" width="9.28515625" style="1" bestFit="1" customWidth="1"/>
    <col min="7970" max="7970" width="9.140625" style="1"/>
    <col min="7971" max="7971" width="9.28515625" style="1" bestFit="1" customWidth="1"/>
    <col min="7972" max="7974" width="9.140625" style="1"/>
    <col min="7975" max="7977" width="9.28515625" style="1" bestFit="1" customWidth="1"/>
    <col min="7978" max="7980" width="9.140625" style="1"/>
    <col min="7981" max="7982" width="9.28515625" style="1" bestFit="1" customWidth="1"/>
    <col min="7983" max="7983" width="9.140625" style="1"/>
    <col min="7984" max="7985" width="9.28515625" style="1" bestFit="1" customWidth="1"/>
    <col min="7986" max="7986" width="9.140625" style="1"/>
    <col min="7987" max="7987" width="9.28515625" style="1" bestFit="1" customWidth="1"/>
    <col min="7988" max="7990" width="9.140625" style="1"/>
    <col min="7991" max="7993" width="9.28515625" style="1" bestFit="1" customWidth="1"/>
    <col min="7994" max="7996" width="9.140625" style="1"/>
    <col min="7997" max="7998" width="9.28515625" style="1" bestFit="1" customWidth="1"/>
    <col min="7999" max="7999" width="9.140625" style="1"/>
    <col min="8000" max="8001" width="9.28515625" style="1" bestFit="1" customWidth="1"/>
    <col min="8002" max="8002" width="9.140625" style="1"/>
    <col min="8003" max="8003" width="9.28515625" style="1" bestFit="1" customWidth="1"/>
    <col min="8004" max="8006" width="9.140625" style="1"/>
    <col min="8007" max="8009" width="9.28515625" style="1" bestFit="1" customWidth="1"/>
    <col min="8010" max="8012" width="9.140625" style="1"/>
    <col min="8013" max="8014" width="9.28515625" style="1" bestFit="1" customWidth="1"/>
    <col min="8015" max="8015" width="9.140625" style="1"/>
    <col min="8016" max="8017" width="9.28515625" style="1" bestFit="1" customWidth="1"/>
    <col min="8018" max="8018" width="9.140625" style="1"/>
    <col min="8019" max="8019" width="9.28515625" style="1" bestFit="1" customWidth="1"/>
    <col min="8020" max="8022" width="9.140625" style="1"/>
    <col min="8023" max="8025" width="9.28515625" style="1" bestFit="1" customWidth="1"/>
    <col min="8026" max="8028" width="9.140625" style="1"/>
    <col min="8029" max="8030" width="9.28515625" style="1" bestFit="1" customWidth="1"/>
    <col min="8031" max="8031" width="9.140625" style="1"/>
    <col min="8032" max="8033" width="9.28515625" style="1" bestFit="1" customWidth="1"/>
    <col min="8034" max="8034" width="9.140625" style="1"/>
    <col min="8035" max="8035" width="9.28515625" style="1" bestFit="1" customWidth="1"/>
    <col min="8036" max="8038" width="9.140625" style="1"/>
    <col min="8039" max="8041" width="9.28515625" style="1" bestFit="1" customWidth="1"/>
    <col min="8042" max="8044" width="9.140625" style="1"/>
    <col min="8045" max="8046" width="9.28515625" style="1" bestFit="1" customWidth="1"/>
    <col min="8047" max="8047" width="9.140625" style="1"/>
    <col min="8048" max="8049" width="9.28515625" style="1" bestFit="1" customWidth="1"/>
    <col min="8050" max="8050" width="9.140625" style="1"/>
    <col min="8051" max="8051" width="9.28515625" style="1" bestFit="1" customWidth="1"/>
    <col min="8052" max="8054" width="9.140625" style="1"/>
    <col min="8055" max="8057" width="9.28515625" style="1" bestFit="1" customWidth="1"/>
    <col min="8058" max="8060" width="9.140625" style="1"/>
    <col min="8061" max="8062" width="9.28515625" style="1" bestFit="1" customWidth="1"/>
    <col min="8063" max="8063" width="9.140625" style="1"/>
    <col min="8064" max="8065" width="9.28515625" style="1" bestFit="1" customWidth="1"/>
    <col min="8066" max="8066" width="9.140625" style="1"/>
    <col min="8067" max="8067" width="9.28515625" style="1" bestFit="1" customWidth="1"/>
    <col min="8068" max="8070" width="9.140625" style="1"/>
    <col min="8071" max="8073" width="9.28515625" style="1" bestFit="1" customWidth="1"/>
    <col min="8074" max="8076" width="9.140625" style="1"/>
    <col min="8077" max="8078" width="9.28515625" style="1" bestFit="1" customWidth="1"/>
    <col min="8079" max="8079" width="9.140625" style="1"/>
    <col min="8080" max="8081" width="9.28515625" style="1" bestFit="1" customWidth="1"/>
    <col min="8082" max="8082" width="9.140625" style="1"/>
    <col min="8083" max="8083" width="9.28515625" style="1" bestFit="1" customWidth="1"/>
    <col min="8084" max="8086" width="9.140625" style="1"/>
    <col min="8087" max="8089" width="9.28515625" style="1" bestFit="1" customWidth="1"/>
    <col min="8090" max="8092" width="9.140625" style="1"/>
    <col min="8093" max="8094" width="9.28515625" style="1" bestFit="1" customWidth="1"/>
    <col min="8095" max="8095" width="9.140625" style="1"/>
    <col min="8096" max="8097" width="9.28515625" style="1" bestFit="1" customWidth="1"/>
    <col min="8098" max="8098" width="9.140625" style="1"/>
    <col min="8099" max="8099" width="9.28515625" style="1" bestFit="1" customWidth="1"/>
    <col min="8100" max="8102" width="9.140625" style="1"/>
    <col min="8103" max="8105" width="9.28515625" style="1" bestFit="1" customWidth="1"/>
    <col min="8106" max="8108" width="9.140625" style="1"/>
    <col min="8109" max="8110" width="9.28515625" style="1" bestFit="1" customWidth="1"/>
    <col min="8111" max="8111" width="9.140625" style="1"/>
    <col min="8112" max="8113" width="9.28515625" style="1" bestFit="1" customWidth="1"/>
    <col min="8114" max="8114" width="9.140625" style="1"/>
    <col min="8115" max="8115" width="9.28515625" style="1" bestFit="1" customWidth="1"/>
    <col min="8116" max="8118" width="9.140625" style="1"/>
    <col min="8119" max="8121" width="9.28515625" style="1" bestFit="1" customWidth="1"/>
    <col min="8122" max="8124" width="9.140625" style="1"/>
    <col min="8125" max="8126" width="9.28515625" style="1" bestFit="1" customWidth="1"/>
    <col min="8127" max="8127" width="9.140625" style="1"/>
    <col min="8128" max="8129" width="9.28515625" style="1" bestFit="1" customWidth="1"/>
    <col min="8130" max="8130" width="9.140625" style="1"/>
    <col min="8131" max="8131" width="9.28515625" style="1" bestFit="1" customWidth="1"/>
    <col min="8132" max="8134" width="9.140625" style="1"/>
    <col min="8135" max="8137" width="9.28515625" style="1" bestFit="1" customWidth="1"/>
    <col min="8138" max="8140" width="9.140625" style="1"/>
    <col min="8141" max="8142" width="9.28515625" style="1" bestFit="1" customWidth="1"/>
    <col min="8143" max="8143" width="9.140625" style="1"/>
    <col min="8144" max="8145" width="9.28515625" style="1" bestFit="1" customWidth="1"/>
    <col min="8146" max="8146" width="9.140625" style="1"/>
    <col min="8147" max="8147" width="9.28515625" style="1" bestFit="1" customWidth="1"/>
    <col min="8148" max="8150" width="9.140625" style="1"/>
    <col min="8151" max="8153" width="9.28515625" style="1" bestFit="1" customWidth="1"/>
    <col min="8154" max="8156" width="9.140625" style="1"/>
    <col min="8157" max="8158" width="9.28515625" style="1" bestFit="1" customWidth="1"/>
    <col min="8159" max="8159" width="9.140625" style="1"/>
    <col min="8160" max="8161" width="9.28515625" style="1" bestFit="1" customWidth="1"/>
    <col min="8162" max="8162" width="9.140625" style="1"/>
    <col min="8163" max="8163" width="9.28515625" style="1" bestFit="1" customWidth="1"/>
    <col min="8164" max="8166" width="9.140625" style="1"/>
    <col min="8167" max="8169" width="9.28515625" style="1" bestFit="1" customWidth="1"/>
    <col min="8170" max="8172" width="9.140625" style="1"/>
    <col min="8173" max="8174" width="9.28515625" style="1" bestFit="1" customWidth="1"/>
    <col min="8175" max="8175" width="9.140625" style="1"/>
    <col min="8176" max="8177" width="9.28515625" style="1" bestFit="1" customWidth="1"/>
    <col min="8178" max="8178" width="9.140625" style="1"/>
    <col min="8179" max="8179" width="9.28515625" style="1" bestFit="1" customWidth="1"/>
    <col min="8180" max="8182" width="9.140625" style="1"/>
    <col min="8183" max="8185" width="9.28515625" style="1" bestFit="1" customWidth="1"/>
    <col min="8186" max="8188" width="9.140625" style="1"/>
    <col min="8189" max="8190" width="9.28515625" style="1" bestFit="1" customWidth="1"/>
    <col min="8191" max="8191" width="9.140625" style="1"/>
    <col min="8192" max="8193" width="9.28515625" style="1" bestFit="1" customWidth="1"/>
    <col min="8194" max="8194" width="9.140625" style="1"/>
    <col min="8195" max="8195" width="9.28515625" style="1" bestFit="1" customWidth="1"/>
    <col min="8196" max="8198" width="9.140625" style="1"/>
    <col min="8199" max="8201" width="9.28515625" style="1" bestFit="1" customWidth="1"/>
    <col min="8202" max="8204" width="9.140625" style="1"/>
    <col min="8205" max="8206" width="9.28515625" style="1" bestFit="1" customWidth="1"/>
    <col min="8207" max="8207" width="9.140625" style="1"/>
    <col min="8208" max="8209" width="9.28515625" style="1" bestFit="1" customWidth="1"/>
    <col min="8210" max="8210" width="9.140625" style="1"/>
    <col min="8211" max="8211" width="9.28515625" style="1" bestFit="1" customWidth="1"/>
    <col min="8212" max="8214" width="9.140625" style="1"/>
    <col min="8215" max="8217" width="9.28515625" style="1" bestFit="1" customWidth="1"/>
    <col min="8218" max="8220" width="9.140625" style="1"/>
    <col min="8221" max="8222" width="9.28515625" style="1" bestFit="1" customWidth="1"/>
    <col min="8223" max="8223" width="9.140625" style="1"/>
    <col min="8224" max="8225" width="9.28515625" style="1" bestFit="1" customWidth="1"/>
    <col min="8226" max="8226" width="9.140625" style="1"/>
    <col min="8227" max="8227" width="9.28515625" style="1" bestFit="1" customWidth="1"/>
    <col min="8228" max="8230" width="9.140625" style="1"/>
    <col min="8231" max="8233" width="9.28515625" style="1" bestFit="1" customWidth="1"/>
    <col min="8234" max="8236" width="9.140625" style="1"/>
    <col min="8237" max="8238" width="9.28515625" style="1" bestFit="1" customWidth="1"/>
    <col min="8239" max="8239" width="9.140625" style="1"/>
    <col min="8240" max="8241" width="9.28515625" style="1" bestFit="1" customWidth="1"/>
    <col min="8242" max="8242" width="9.140625" style="1"/>
    <col min="8243" max="8243" width="9.28515625" style="1" bestFit="1" customWidth="1"/>
    <col min="8244" max="8246" width="9.140625" style="1"/>
    <col min="8247" max="8249" width="9.28515625" style="1" bestFit="1" customWidth="1"/>
    <col min="8250" max="8252" width="9.140625" style="1"/>
    <col min="8253" max="8254" width="9.28515625" style="1" bestFit="1" customWidth="1"/>
    <col min="8255" max="8255" width="9.140625" style="1"/>
    <col min="8256" max="8257" width="9.28515625" style="1" bestFit="1" customWidth="1"/>
    <col min="8258" max="8258" width="9.140625" style="1"/>
    <col min="8259" max="8259" width="9.28515625" style="1" bestFit="1" customWidth="1"/>
    <col min="8260" max="8262" width="9.140625" style="1"/>
    <col min="8263" max="8265" width="9.28515625" style="1" bestFit="1" customWidth="1"/>
    <col min="8266" max="8268" width="9.140625" style="1"/>
    <col min="8269" max="8270" width="9.28515625" style="1" bestFit="1" customWidth="1"/>
    <col min="8271" max="8271" width="9.140625" style="1"/>
    <col min="8272" max="8273" width="9.28515625" style="1" bestFit="1" customWidth="1"/>
    <col min="8274" max="8274" width="9.140625" style="1"/>
    <col min="8275" max="8275" width="9.28515625" style="1" bestFit="1" customWidth="1"/>
    <col min="8276" max="8278" width="9.140625" style="1"/>
    <col min="8279" max="8281" width="9.28515625" style="1" bestFit="1" customWidth="1"/>
    <col min="8282" max="8284" width="9.140625" style="1"/>
    <col min="8285" max="8286" width="9.28515625" style="1" bestFit="1" customWidth="1"/>
    <col min="8287" max="8287" width="9.140625" style="1"/>
    <col min="8288" max="8289" width="9.28515625" style="1" bestFit="1" customWidth="1"/>
    <col min="8290" max="8290" width="9.140625" style="1"/>
    <col min="8291" max="8291" width="9.28515625" style="1" bestFit="1" customWidth="1"/>
    <col min="8292" max="8294" width="9.140625" style="1"/>
    <col min="8295" max="8297" width="9.28515625" style="1" bestFit="1" customWidth="1"/>
    <col min="8298" max="8300" width="9.140625" style="1"/>
    <col min="8301" max="8302" width="9.28515625" style="1" bestFit="1" customWidth="1"/>
    <col min="8303" max="8303" width="9.140625" style="1"/>
    <col min="8304" max="8305" width="9.28515625" style="1" bestFit="1" customWidth="1"/>
    <col min="8306" max="8306" width="9.140625" style="1"/>
    <col min="8307" max="8307" width="9.28515625" style="1" bestFit="1" customWidth="1"/>
    <col min="8308" max="8310" width="9.140625" style="1"/>
    <col min="8311" max="8313" width="9.28515625" style="1" bestFit="1" customWidth="1"/>
    <col min="8314" max="8316" width="9.140625" style="1"/>
    <col min="8317" max="8318" width="9.28515625" style="1" bestFit="1" customWidth="1"/>
    <col min="8319" max="8319" width="9.140625" style="1"/>
    <col min="8320" max="8321" width="9.28515625" style="1" bestFit="1" customWidth="1"/>
    <col min="8322" max="8322" width="9.140625" style="1"/>
    <col min="8323" max="8323" width="9.28515625" style="1" bestFit="1" customWidth="1"/>
    <col min="8324" max="8326" width="9.140625" style="1"/>
    <col min="8327" max="8329" width="9.28515625" style="1" bestFit="1" customWidth="1"/>
    <col min="8330" max="8332" width="9.140625" style="1"/>
    <col min="8333" max="8334" width="9.28515625" style="1" bestFit="1" customWidth="1"/>
    <col min="8335" max="8335" width="9.140625" style="1"/>
    <col min="8336" max="8337" width="9.28515625" style="1" bestFit="1" customWidth="1"/>
    <col min="8338" max="8338" width="9.140625" style="1"/>
    <col min="8339" max="8339" width="9.28515625" style="1" bestFit="1" customWidth="1"/>
    <col min="8340" max="8342" width="9.140625" style="1"/>
    <col min="8343" max="8345" width="9.28515625" style="1" bestFit="1" customWidth="1"/>
    <col min="8346" max="8348" width="9.140625" style="1"/>
    <col min="8349" max="8350" width="9.28515625" style="1" bestFit="1" customWidth="1"/>
    <col min="8351" max="8351" width="9.140625" style="1"/>
    <col min="8352" max="8353" width="9.28515625" style="1" bestFit="1" customWidth="1"/>
    <col min="8354" max="8354" width="9.140625" style="1"/>
    <col min="8355" max="8355" width="9.28515625" style="1" bestFit="1" customWidth="1"/>
    <col min="8356" max="8358" width="9.140625" style="1"/>
    <col min="8359" max="8361" width="9.28515625" style="1" bestFit="1" customWidth="1"/>
    <col min="8362" max="8364" width="9.140625" style="1"/>
    <col min="8365" max="8366" width="9.28515625" style="1" bestFit="1" customWidth="1"/>
    <col min="8367" max="8367" width="9.140625" style="1"/>
    <col min="8368" max="8369" width="9.28515625" style="1" bestFit="1" customWidth="1"/>
    <col min="8370" max="8370" width="9.140625" style="1"/>
    <col min="8371" max="8371" width="9.28515625" style="1" bestFit="1" customWidth="1"/>
    <col min="8372" max="8374" width="9.140625" style="1"/>
    <col min="8375" max="8377" width="9.28515625" style="1" bestFit="1" customWidth="1"/>
    <col min="8378" max="8380" width="9.140625" style="1"/>
    <col min="8381" max="8382" width="9.28515625" style="1" bestFit="1" customWidth="1"/>
    <col min="8383" max="8383" width="9.140625" style="1"/>
    <col min="8384" max="8385" width="9.28515625" style="1" bestFit="1" customWidth="1"/>
    <col min="8386" max="8386" width="9.140625" style="1"/>
    <col min="8387" max="8387" width="9.28515625" style="1" bestFit="1" customWidth="1"/>
    <col min="8388" max="8390" width="9.140625" style="1"/>
    <col min="8391" max="8393" width="9.28515625" style="1" bestFit="1" customWidth="1"/>
    <col min="8394" max="8396" width="9.140625" style="1"/>
    <col min="8397" max="8398" width="9.28515625" style="1" bestFit="1" customWidth="1"/>
    <col min="8399" max="8399" width="9.140625" style="1"/>
    <col min="8400" max="8401" width="9.28515625" style="1" bestFit="1" customWidth="1"/>
    <col min="8402" max="8402" width="9.140625" style="1"/>
    <col min="8403" max="8403" width="9.28515625" style="1" bestFit="1" customWidth="1"/>
    <col min="8404" max="8406" width="9.140625" style="1"/>
    <col min="8407" max="8409" width="9.28515625" style="1" bestFit="1" customWidth="1"/>
    <col min="8410" max="8412" width="9.140625" style="1"/>
    <col min="8413" max="8414" width="9.28515625" style="1" bestFit="1" customWidth="1"/>
    <col min="8415" max="8415" width="9.140625" style="1"/>
    <col min="8416" max="8417" width="9.28515625" style="1" bestFit="1" customWidth="1"/>
    <col min="8418" max="8418" width="9.140625" style="1"/>
    <col min="8419" max="8419" width="9.28515625" style="1" bestFit="1" customWidth="1"/>
    <col min="8420" max="8422" width="9.140625" style="1"/>
    <col min="8423" max="8425" width="9.28515625" style="1" bestFit="1" customWidth="1"/>
    <col min="8426" max="8428" width="9.140625" style="1"/>
    <col min="8429" max="8430" width="9.28515625" style="1" bestFit="1" customWidth="1"/>
    <col min="8431" max="8431" width="9.140625" style="1"/>
    <col min="8432" max="8433" width="9.28515625" style="1" bestFit="1" customWidth="1"/>
    <col min="8434" max="8434" width="9.140625" style="1"/>
    <col min="8435" max="8435" width="9.28515625" style="1" bestFit="1" customWidth="1"/>
    <col min="8436" max="8438" width="9.140625" style="1"/>
    <col min="8439" max="8441" width="9.28515625" style="1" bestFit="1" customWidth="1"/>
    <col min="8442" max="8444" width="9.140625" style="1"/>
    <col min="8445" max="8446" width="9.28515625" style="1" bestFit="1" customWidth="1"/>
    <col min="8447" max="8447" width="9.140625" style="1"/>
    <col min="8448" max="8449" width="9.28515625" style="1" bestFit="1" customWidth="1"/>
    <col min="8450" max="8450" width="9.140625" style="1"/>
    <col min="8451" max="8451" width="9.28515625" style="1" bestFit="1" customWidth="1"/>
    <col min="8452" max="8454" width="9.140625" style="1"/>
    <col min="8455" max="8457" width="9.28515625" style="1" bestFit="1" customWidth="1"/>
    <col min="8458" max="8460" width="9.140625" style="1"/>
    <col min="8461" max="8462" width="9.28515625" style="1" bestFit="1" customWidth="1"/>
    <col min="8463" max="8463" width="9.140625" style="1"/>
    <col min="8464" max="8465" width="9.28515625" style="1" bestFit="1" customWidth="1"/>
    <col min="8466" max="8466" width="9.140625" style="1"/>
    <col min="8467" max="8467" width="9.28515625" style="1" bestFit="1" customWidth="1"/>
    <col min="8468" max="8470" width="9.140625" style="1"/>
    <col min="8471" max="8473" width="9.28515625" style="1" bestFit="1" customWidth="1"/>
    <col min="8474" max="8476" width="9.140625" style="1"/>
    <col min="8477" max="8478" width="9.28515625" style="1" bestFit="1" customWidth="1"/>
    <col min="8479" max="8479" width="9.140625" style="1"/>
    <col min="8480" max="8481" width="9.28515625" style="1" bestFit="1" customWidth="1"/>
    <col min="8482" max="8482" width="9.140625" style="1"/>
    <col min="8483" max="8483" width="9.28515625" style="1" bestFit="1" customWidth="1"/>
    <col min="8484" max="8486" width="9.140625" style="1"/>
    <col min="8487" max="8489" width="9.28515625" style="1" bestFit="1" customWidth="1"/>
    <col min="8490" max="8492" width="9.140625" style="1"/>
    <col min="8493" max="8494" width="9.28515625" style="1" bestFit="1" customWidth="1"/>
    <col min="8495" max="8495" width="9.140625" style="1"/>
    <col min="8496" max="8497" width="9.28515625" style="1" bestFit="1" customWidth="1"/>
    <col min="8498" max="8498" width="9.140625" style="1"/>
    <col min="8499" max="8499" width="9.28515625" style="1" bestFit="1" customWidth="1"/>
    <col min="8500" max="8502" width="9.140625" style="1"/>
    <col min="8503" max="8505" width="9.28515625" style="1" bestFit="1" customWidth="1"/>
    <col min="8506" max="8508" width="9.140625" style="1"/>
    <col min="8509" max="8510" width="9.28515625" style="1" bestFit="1" customWidth="1"/>
    <col min="8511" max="8511" width="9.140625" style="1"/>
    <col min="8512" max="8513" width="9.28515625" style="1" bestFit="1" customWidth="1"/>
    <col min="8514" max="8514" width="9.140625" style="1"/>
    <col min="8515" max="8515" width="9.28515625" style="1" bestFit="1" customWidth="1"/>
    <col min="8516" max="8518" width="9.140625" style="1"/>
    <col min="8519" max="8521" width="9.28515625" style="1" bestFit="1" customWidth="1"/>
    <col min="8522" max="8524" width="9.140625" style="1"/>
    <col min="8525" max="8526" width="9.28515625" style="1" bestFit="1" customWidth="1"/>
    <col min="8527" max="8527" width="9.140625" style="1"/>
    <col min="8528" max="8529" width="9.28515625" style="1" bestFit="1" customWidth="1"/>
    <col min="8530" max="8530" width="9.140625" style="1"/>
    <col min="8531" max="8531" width="9.28515625" style="1" bestFit="1" customWidth="1"/>
    <col min="8532" max="8534" width="9.140625" style="1"/>
    <col min="8535" max="8537" width="9.28515625" style="1" bestFit="1" customWidth="1"/>
    <col min="8538" max="8540" width="9.140625" style="1"/>
    <col min="8541" max="8542" width="9.28515625" style="1" bestFit="1" customWidth="1"/>
    <col min="8543" max="8543" width="9.140625" style="1"/>
    <col min="8544" max="8545" width="9.28515625" style="1" bestFit="1" customWidth="1"/>
    <col min="8546" max="8546" width="9.140625" style="1"/>
    <col min="8547" max="8547" width="9.28515625" style="1" bestFit="1" customWidth="1"/>
    <col min="8548" max="8550" width="9.140625" style="1"/>
    <col min="8551" max="8553" width="9.28515625" style="1" bestFit="1" customWidth="1"/>
    <col min="8554" max="8556" width="9.140625" style="1"/>
    <col min="8557" max="8558" width="9.28515625" style="1" bestFit="1" customWidth="1"/>
    <col min="8559" max="8559" width="9.140625" style="1"/>
    <col min="8560" max="8561" width="9.28515625" style="1" bestFit="1" customWidth="1"/>
    <col min="8562" max="8562" width="9.140625" style="1"/>
    <col min="8563" max="8563" width="9.28515625" style="1" bestFit="1" customWidth="1"/>
    <col min="8564" max="8566" width="9.140625" style="1"/>
    <col min="8567" max="8569" width="9.28515625" style="1" bestFit="1" customWidth="1"/>
    <col min="8570" max="8572" width="9.140625" style="1"/>
    <col min="8573" max="8574" width="9.28515625" style="1" bestFit="1" customWidth="1"/>
    <col min="8575" max="8575" width="9.140625" style="1"/>
    <col min="8576" max="8577" width="9.28515625" style="1" bestFit="1" customWidth="1"/>
    <col min="8578" max="8578" width="9.140625" style="1"/>
    <col min="8579" max="8579" width="9.28515625" style="1" bestFit="1" customWidth="1"/>
    <col min="8580" max="8582" width="9.140625" style="1"/>
    <col min="8583" max="8585" width="9.28515625" style="1" bestFit="1" customWidth="1"/>
    <col min="8586" max="8588" width="9.140625" style="1"/>
    <col min="8589" max="8590" width="9.28515625" style="1" bestFit="1" customWidth="1"/>
    <col min="8591" max="8591" width="9.140625" style="1"/>
    <col min="8592" max="8593" width="9.28515625" style="1" bestFit="1" customWidth="1"/>
    <col min="8594" max="8594" width="9.140625" style="1"/>
    <col min="8595" max="8595" width="9.28515625" style="1" bestFit="1" customWidth="1"/>
    <col min="8596" max="8598" width="9.140625" style="1"/>
    <col min="8599" max="8601" width="9.28515625" style="1" bestFit="1" customWidth="1"/>
    <col min="8602" max="8604" width="9.140625" style="1"/>
    <col min="8605" max="8606" width="9.28515625" style="1" bestFit="1" customWidth="1"/>
    <col min="8607" max="8607" width="9.140625" style="1"/>
    <col min="8608" max="8609" width="9.28515625" style="1" bestFit="1" customWidth="1"/>
    <col min="8610" max="8610" width="9.140625" style="1"/>
    <col min="8611" max="8611" width="9.28515625" style="1" bestFit="1" customWidth="1"/>
    <col min="8612" max="8614" width="9.140625" style="1"/>
    <col min="8615" max="8617" width="9.28515625" style="1" bestFit="1" customWidth="1"/>
    <col min="8618" max="8620" width="9.140625" style="1"/>
    <col min="8621" max="8622" width="9.28515625" style="1" bestFit="1" customWidth="1"/>
    <col min="8623" max="8623" width="9.140625" style="1"/>
    <col min="8624" max="8625" width="9.28515625" style="1" bestFit="1" customWidth="1"/>
    <col min="8626" max="8626" width="9.140625" style="1"/>
    <col min="8627" max="8627" width="9.28515625" style="1" bestFit="1" customWidth="1"/>
    <col min="8628" max="8630" width="9.140625" style="1"/>
    <col min="8631" max="8633" width="9.28515625" style="1" bestFit="1" customWidth="1"/>
    <col min="8634" max="8636" width="9.140625" style="1"/>
    <col min="8637" max="8638" width="9.28515625" style="1" bestFit="1" customWidth="1"/>
    <col min="8639" max="8639" width="9.140625" style="1"/>
    <col min="8640" max="8641" width="9.28515625" style="1" bestFit="1" customWidth="1"/>
    <col min="8642" max="8642" width="9.140625" style="1"/>
    <col min="8643" max="8643" width="9.28515625" style="1" bestFit="1" customWidth="1"/>
    <col min="8644" max="8646" width="9.140625" style="1"/>
    <col min="8647" max="8649" width="9.28515625" style="1" bestFit="1" customWidth="1"/>
    <col min="8650" max="8652" width="9.140625" style="1"/>
    <col min="8653" max="8654" width="9.28515625" style="1" bestFit="1" customWidth="1"/>
    <col min="8655" max="8655" width="9.140625" style="1"/>
    <col min="8656" max="8657" width="9.28515625" style="1" bestFit="1" customWidth="1"/>
    <col min="8658" max="8658" width="9.140625" style="1"/>
    <col min="8659" max="8659" width="9.28515625" style="1" bestFit="1" customWidth="1"/>
    <col min="8660" max="8662" width="9.140625" style="1"/>
    <col min="8663" max="8665" width="9.28515625" style="1" bestFit="1" customWidth="1"/>
    <col min="8666" max="8668" width="9.140625" style="1"/>
    <col min="8669" max="8670" width="9.28515625" style="1" bestFit="1" customWidth="1"/>
    <col min="8671" max="8671" width="9.140625" style="1"/>
    <col min="8672" max="8673" width="9.28515625" style="1" bestFit="1" customWidth="1"/>
    <col min="8674" max="8674" width="9.140625" style="1"/>
    <col min="8675" max="8675" width="9.28515625" style="1" bestFit="1" customWidth="1"/>
    <col min="8676" max="8678" width="9.140625" style="1"/>
    <col min="8679" max="8681" width="9.28515625" style="1" bestFit="1" customWidth="1"/>
    <col min="8682" max="8684" width="9.140625" style="1"/>
    <col min="8685" max="8686" width="9.28515625" style="1" bestFit="1" customWidth="1"/>
    <col min="8687" max="8687" width="9.140625" style="1"/>
    <col min="8688" max="8689" width="9.28515625" style="1" bestFit="1" customWidth="1"/>
    <col min="8690" max="8690" width="9.140625" style="1"/>
    <col min="8691" max="8691" width="9.28515625" style="1" bestFit="1" customWidth="1"/>
    <col min="8692" max="8694" width="9.140625" style="1"/>
    <col min="8695" max="8697" width="9.28515625" style="1" bestFit="1" customWidth="1"/>
    <col min="8698" max="8700" width="9.140625" style="1"/>
    <col min="8701" max="8702" width="9.28515625" style="1" bestFit="1" customWidth="1"/>
    <col min="8703" max="8703" width="9.140625" style="1"/>
    <col min="8704" max="8705" width="9.28515625" style="1" bestFit="1" customWidth="1"/>
    <col min="8706" max="8706" width="9.140625" style="1"/>
    <col min="8707" max="8707" width="9.28515625" style="1" bestFit="1" customWidth="1"/>
    <col min="8708" max="8710" width="9.140625" style="1"/>
    <col min="8711" max="8713" width="9.28515625" style="1" bestFit="1" customWidth="1"/>
    <col min="8714" max="8716" width="9.140625" style="1"/>
    <col min="8717" max="8718" width="9.28515625" style="1" bestFit="1" customWidth="1"/>
    <col min="8719" max="8719" width="9.140625" style="1"/>
    <col min="8720" max="8721" width="9.28515625" style="1" bestFit="1" customWidth="1"/>
    <col min="8722" max="8722" width="9.140625" style="1"/>
    <col min="8723" max="8723" width="9.28515625" style="1" bestFit="1" customWidth="1"/>
    <col min="8724" max="8726" width="9.140625" style="1"/>
    <col min="8727" max="8729" width="9.28515625" style="1" bestFit="1" customWidth="1"/>
    <col min="8730" max="8732" width="9.140625" style="1"/>
    <col min="8733" max="8734" width="9.28515625" style="1" bestFit="1" customWidth="1"/>
    <col min="8735" max="8735" width="9.140625" style="1"/>
    <col min="8736" max="8737" width="9.28515625" style="1" bestFit="1" customWidth="1"/>
    <col min="8738" max="8738" width="9.140625" style="1"/>
    <col min="8739" max="8739" width="9.28515625" style="1" bestFit="1" customWidth="1"/>
    <col min="8740" max="8742" width="9.140625" style="1"/>
    <col min="8743" max="8745" width="9.28515625" style="1" bestFit="1" customWidth="1"/>
    <col min="8746" max="8748" width="9.140625" style="1"/>
    <col min="8749" max="8750" width="9.28515625" style="1" bestFit="1" customWidth="1"/>
    <col min="8751" max="8751" width="9.140625" style="1"/>
    <col min="8752" max="8753" width="9.28515625" style="1" bestFit="1" customWidth="1"/>
    <col min="8754" max="8754" width="9.140625" style="1"/>
    <col min="8755" max="8755" width="9.28515625" style="1" bestFit="1" customWidth="1"/>
    <col min="8756" max="8758" width="9.140625" style="1"/>
    <col min="8759" max="8761" width="9.28515625" style="1" bestFit="1" customWidth="1"/>
    <col min="8762" max="8764" width="9.140625" style="1"/>
    <col min="8765" max="8766" width="9.28515625" style="1" bestFit="1" customWidth="1"/>
    <col min="8767" max="8767" width="9.140625" style="1"/>
    <col min="8768" max="8769" width="9.28515625" style="1" bestFit="1" customWidth="1"/>
    <col min="8770" max="8770" width="9.140625" style="1"/>
    <col min="8771" max="8771" width="9.28515625" style="1" bestFit="1" customWidth="1"/>
    <col min="8772" max="8774" width="9.140625" style="1"/>
    <col min="8775" max="8777" width="9.28515625" style="1" bestFit="1" customWidth="1"/>
    <col min="8778" max="8780" width="9.140625" style="1"/>
    <col min="8781" max="8782" width="9.28515625" style="1" bestFit="1" customWidth="1"/>
    <col min="8783" max="8783" width="9.140625" style="1"/>
    <col min="8784" max="8785" width="9.28515625" style="1" bestFit="1" customWidth="1"/>
    <col min="8786" max="8786" width="9.140625" style="1"/>
    <col min="8787" max="8787" width="9.28515625" style="1" bestFit="1" customWidth="1"/>
    <col min="8788" max="8790" width="9.140625" style="1"/>
    <col min="8791" max="8793" width="9.28515625" style="1" bestFit="1" customWidth="1"/>
    <col min="8794" max="8796" width="9.140625" style="1"/>
    <col min="8797" max="8798" width="9.28515625" style="1" bestFit="1" customWidth="1"/>
    <col min="8799" max="8799" width="9.140625" style="1"/>
    <col min="8800" max="8801" width="9.28515625" style="1" bestFit="1" customWidth="1"/>
    <col min="8802" max="8802" width="9.140625" style="1"/>
    <col min="8803" max="8803" width="9.28515625" style="1" bestFit="1" customWidth="1"/>
    <col min="8804" max="8806" width="9.140625" style="1"/>
    <col min="8807" max="8809" width="9.28515625" style="1" bestFit="1" customWidth="1"/>
    <col min="8810" max="8812" width="9.140625" style="1"/>
    <col min="8813" max="8814" width="9.28515625" style="1" bestFit="1" customWidth="1"/>
    <col min="8815" max="8815" width="9.140625" style="1"/>
    <col min="8816" max="8817" width="9.28515625" style="1" bestFit="1" customWidth="1"/>
    <col min="8818" max="8818" width="9.140625" style="1"/>
    <col min="8819" max="8819" width="9.28515625" style="1" bestFit="1" customWidth="1"/>
    <col min="8820" max="8822" width="9.140625" style="1"/>
    <col min="8823" max="8825" width="9.28515625" style="1" bestFit="1" customWidth="1"/>
    <col min="8826" max="8828" width="9.140625" style="1"/>
    <col min="8829" max="8830" width="9.28515625" style="1" bestFit="1" customWidth="1"/>
    <col min="8831" max="8831" width="9.140625" style="1"/>
    <col min="8832" max="8833" width="9.28515625" style="1" bestFit="1" customWidth="1"/>
    <col min="8834" max="8834" width="9.140625" style="1"/>
    <col min="8835" max="8835" width="9.28515625" style="1" bestFit="1" customWidth="1"/>
    <col min="8836" max="8838" width="9.140625" style="1"/>
    <col min="8839" max="8841" width="9.28515625" style="1" bestFit="1" customWidth="1"/>
    <col min="8842" max="8844" width="9.140625" style="1"/>
    <col min="8845" max="8846" width="9.28515625" style="1" bestFit="1" customWidth="1"/>
    <col min="8847" max="8847" width="9.140625" style="1"/>
    <col min="8848" max="8849" width="9.28515625" style="1" bestFit="1" customWidth="1"/>
    <col min="8850" max="8850" width="9.140625" style="1"/>
    <col min="8851" max="8851" width="9.28515625" style="1" bestFit="1" customWidth="1"/>
    <col min="8852" max="8854" width="9.140625" style="1"/>
    <col min="8855" max="8857" width="9.28515625" style="1" bestFit="1" customWidth="1"/>
    <col min="8858" max="8860" width="9.140625" style="1"/>
    <col min="8861" max="8862" width="9.28515625" style="1" bestFit="1" customWidth="1"/>
    <col min="8863" max="8863" width="9.140625" style="1"/>
    <col min="8864" max="8865" width="9.28515625" style="1" bestFit="1" customWidth="1"/>
    <col min="8866" max="8866" width="9.140625" style="1"/>
    <col min="8867" max="8867" width="9.28515625" style="1" bestFit="1" customWidth="1"/>
    <col min="8868" max="8870" width="9.140625" style="1"/>
    <col min="8871" max="8873" width="9.28515625" style="1" bestFit="1" customWidth="1"/>
    <col min="8874" max="8876" width="9.140625" style="1"/>
    <col min="8877" max="8878" width="9.28515625" style="1" bestFit="1" customWidth="1"/>
    <col min="8879" max="8879" width="9.140625" style="1"/>
    <col min="8880" max="8881" width="9.28515625" style="1" bestFit="1" customWidth="1"/>
    <col min="8882" max="8882" width="9.140625" style="1"/>
    <col min="8883" max="8883" width="9.28515625" style="1" bestFit="1" customWidth="1"/>
    <col min="8884" max="8886" width="9.140625" style="1"/>
    <col min="8887" max="8889" width="9.28515625" style="1" bestFit="1" customWidth="1"/>
    <col min="8890" max="8892" width="9.140625" style="1"/>
    <col min="8893" max="8894" width="9.28515625" style="1" bestFit="1" customWidth="1"/>
    <col min="8895" max="8895" width="9.140625" style="1"/>
    <col min="8896" max="8897" width="9.28515625" style="1" bestFit="1" customWidth="1"/>
    <col min="8898" max="8898" width="9.140625" style="1"/>
    <col min="8899" max="8899" width="9.28515625" style="1" bestFit="1" customWidth="1"/>
    <col min="8900" max="8902" width="9.140625" style="1"/>
    <col min="8903" max="8905" width="9.28515625" style="1" bestFit="1" customWidth="1"/>
    <col min="8906" max="8908" width="9.140625" style="1"/>
    <col min="8909" max="8910" width="9.28515625" style="1" bestFit="1" customWidth="1"/>
    <col min="8911" max="8911" width="9.140625" style="1"/>
    <col min="8912" max="8913" width="9.28515625" style="1" bestFit="1" customWidth="1"/>
    <col min="8914" max="8914" width="9.140625" style="1"/>
    <col min="8915" max="8915" width="9.28515625" style="1" bestFit="1" customWidth="1"/>
    <col min="8916" max="8918" width="9.140625" style="1"/>
    <col min="8919" max="8921" width="9.28515625" style="1" bestFit="1" customWidth="1"/>
    <col min="8922" max="8924" width="9.140625" style="1"/>
    <col min="8925" max="8926" width="9.28515625" style="1" bestFit="1" customWidth="1"/>
    <col min="8927" max="8927" width="9.140625" style="1"/>
    <col min="8928" max="8929" width="9.28515625" style="1" bestFit="1" customWidth="1"/>
    <col min="8930" max="8930" width="9.140625" style="1"/>
    <col min="8931" max="8931" width="9.28515625" style="1" bestFit="1" customWidth="1"/>
    <col min="8932" max="8934" width="9.140625" style="1"/>
    <col min="8935" max="8937" width="9.28515625" style="1" bestFit="1" customWidth="1"/>
    <col min="8938" max="8940" width="9.140625" style="1"/>
    <col min="8941" max="8942" width="9.28515625" style="1" bestFit="1" customWidth="1"/>
    <col min="8943" max="8943" width="9.140625" style="1"/>
    <col min="8944" max="8945" width="9.28515625" style="1" bestFit="1" customWidth="1"/>
    <col min="8946" max="8946" width="9.140625" style="1"/>
    <col min="8947" max="8947" width="9.28515625" style="1" bestFit="1" customWidth="1"/>
    <col min="8948" max="8950" width="9.140625" style="1"/>
    <col min="8951" max="8953" width="9.28515625" style="1" bestFit="1" customWidth="1"/>
    <col min="8954" max="8956" width="9.140625" style="1"/>
    <col min="8957" max="8958" width="9.28515625" style="1" bestFit="1" customWidth="1"/>
    <col min="8959" max="8959" width="9.140625" style="1"/>
    <col min="8960" max="8961" width="9.28515625" style="1" bestFit="1" customWidth="1"/>
    <col min="8962" max="8962" width="9.140625" style="1"/>
    <col min="8963" max="8963" width="9.28515625" style="1" bestFit="1" customWidth="1"/>
    <col min="8964" max="8966" width="9.140625" style="1"/>
    <col min="8967" max="8969" width="9.28515625" style="1" bestFit="1" customWidth="1"/>
    <col min="8970" max="8972" width="9.140625" style="1"/>
    <col min="8973" max="8974" width="9.28515625" style="1" bestFit="1" customWidth="1"/>
    <col min="8975" max="8975" width="9.140625" style="1"/>
    <col min="8976" max="8977" width="9.28515625" style="1" bestFit="1" customWidth="1"/>
    <col min="8978" max="8978" width="9.140625" style="1"/>
    <col min="8979" max="8979" width="9.28515625" style="1" bestFit="1" customWidth="1"/>
    <col min="8980" max="8982" width="9.140625" style="1"/>
    <col min="8983" max="8985" width="9.28515625" style="1" bestFit="1" customWidth="1"/>
    <col min="8986" max="8988" width="9.140625" style="1"/>
    <col min="8989" max="8990" width="9.28515625" style="1" bestFit="1" customWidth="1"/>
    <col min="8991" max="8991" width="9.140625" style="1"/>
    <col min="8992" max="8993" width="9.28515625" style="1" bestFit="1" customWidth="1"/>
    <col min="8994" max="8994" width="9.140625" style="1"/>
    <col min="8995" max="8995" width="9.28515625" style="1" bestFit="1" customWidth="1"/>
    <col min="8996" max="8998" width="9.140625" style="1"/>
    <col min="8999" max="9001" width="9.28515625" style="1" bestFit="1" customWidth="1"/>
    <col min="9002" max="9004" width="9.140625" style="1"/>
    <col min="9005" max="9006" width="9.28515625" style="1" bestFit="1" customWidth="1"/>
    <col min="9007" max="9007" width="9.140625" style="1"/>
    <col min="9008" max="9009" width="9.28515625" style="1" bestFit="1" customWidth="1"/>
    <col min="9010" max="9010" width="9.140625" style="1"/>
    <col min="9011" max="9011" width="9.28515625" style="1" bestFit="1" customWidth="1"/>
    <col min="9012" max="9014" width="9.140625" style="1"/>
    <col min="9015" max="9017" width="9.28515625" style="1" bestFit="1" customWidth="1"/>
    <col min="9018" max="9020" width="9.140625" style="1"/>
    <col min="9021" max="9022" width="9.28515625" style="1" bestFit="1" customWidth="1"/>
    <col min="9023" max="9023" width="9.140625" style="1"/>
    <col min="9024" max="9025" width="9.28515625" style="1" bestFit="1" customWidth="1"/>
    <col min="9026" max="9026" width="9.140625" style="1"/>
    <col min="9027" max="9027" width="9.28515625" style="1" bestFit="1" customWidth="1"/>
    <col min="9028" max="9030" width="9.140625" style="1"/>
    <col min="9031" max="9033" width="9.28515625" style="1" bestFit="1" customWidth="1"/>
    <col min="9034" max="9036" width="9.140625" style="1"/>
    <col min="9037" max="9038" width="9.28515625" style="1" bestFit="1" customWidth="1"/>
    <col min="9039" max="9039" width="9.140625" style="1"/>
    <col min="9040" max="9041" width="9.28515625" style="1" bestFit="1" customWidth="1"/>
    <col min="9042" max="9042" width="9.140625" style="1"/>
    <col min="9043" max="9043" width="9.28515625" style="1" bestFit="1" customWidth="1"/>
    <col min="9044" max="9046" width="9.140625" style="1"/>
    <col min="9047" max="9049" width="9.28515625" style="1" bestFit="1" customWidth="1"/>
    <col min="9050" max="9052" width="9.140625" style="1"/>
    <col min="9053" max="9054" width="9.28515625" style="1" bestFit="1" customWidth="1"/>
    <col min="9055" max="9055" width="9.140625" style="1"/>
    <col min="9056" max="9057" width="9.28515625" style="1" bestFit="1" customWidth="1"/>
    <col min="9058" max="9058" width="9.140625" style="1"/>
    <col min="9059" max="9059" width="9.28515625" style="1" bestFit="1" customWidth="1"/>
    <col min="9060" max="9062" width="9.140625" style="1"/>
    <col min="9063" max="9065" width="9.28515625" style="1" bestFit="1" customWidth="1"/>
    <col min="9066" max="9068" width="9.140625" style="1"/>
    <col min="9069" max="9070" width="9.28515625" style="1" bestFit="1" customWidth="1"/>
    <col min="9071" max="9071" width="9.140625" style="1"/>
    <col min="9072" max="9073" width="9.28515625" style="1" bestFit="1" customWidth="1"/>
    <col min="9074" max="9074" width="9.140625" style="1"/>
    <col min="9075" max="9075" width="9.28515625" style="1" bestFit="1" customWidth="1"/>
    <col min="9076" max="9078" width="9.140625" style="1"/>
    <col min="9079" max="9081" width="9.28515625" style="1" bestFit="1" customWidth="1"/>
    <col min="9082" max="9084" width="9.140625" style="1"/>
    <col min="9085" max="9086" width="9.28515625" style="1" bestFit="1" customWidth="1"/>
    <col min="9087" max="9087" width="9.140625" style="1"/>
    <col min="9088" max="9089" width="9.28515625" style="1" bestFit="1" customWidth="1"/>
    <col min="9090" max="9090" width="9.140625" style="1"/>
    <col min="9091" max="9091" width="9.28515625" style="1" bestFit="1" customWidth="1"/>
    <col min="9092" max="9094" width="9.140625" style="1"/>
    <col min="9095" max="9097" width="9.28515625" style="1" bestFit="1" customWidth="1"/>
    <col min="9098" max="9100" width="9.140625" style="1"/>
    <col min="9101" max="9102" width="9.28515625" style="1" bestFit="1" customWidth="1"/>
    <col min="9103" max="9103" width="9.140625" style="1"/>
    <col min="9104" max="9105" width="9.28515625" style="1" bestFit="1" customWidth="1"/>
    <col min="9106" max="9106" width="9.140625" style="1"/>
    <col min="9107" max="9107" width="9.28515625" style="1" bestFit="1" customWidth="1"/>
    <col min="9108" max="9110" width="9.140625" style="1"/>
    <col min="9111" max="9113" width="9.28515625" style="1" bestFit="1" customWidth="1"/>
    <col min="9114" max="9116" width="9.140625" style="1"/>
    <col min="9117" max="9118" width="9.28515625" style="1" bestFit="1" customWidth="1"/>
    <col min="9119" max="9119" width="9.140625" style="1"/>
    <col min="9120" max="9121" width="9.28515625" style="1" bestFit="1" customWidth="1"/>
    <col min="9122" max="9122" width="9.140625" style="1"/>
    <col min="9123" max="9123" width="9.28515625" style="1" bestFit="1" customWidth="1"/>
    <col min="9124" max="9126" width="9.140625" style="1"/>
    <col min="9127" max="9129" width="9.28515625" style="1" bestFit="1" customWidth="1"/>
    <col min="9130" max="9132" width="9.140625" style="1"/>
    <col min="9133" max="9134" width="9.28515625" style="1" bestFit="1" customWidth="1"/>
    <col min="9135" max="9135" width="9.140625" style="1"/>
    <col min="9136" max="9137" width="9.28515625" style="1" bestFit="1" customWidth="1"/>
    <col min="9138" max="9138" width="9.140625" style="1"/>
    <col min="9139" max="9139" width="9.28515625" style="1" bestFit="1" customWidth="1"/>
    <col min="9140" max="9142" width="9.140625" style="1"/>
    <col min="9143" max="9145" width="9.28515625" style="1" bestFit="1" customWidth="1"/>
    <col min="9146" max="9148" width="9.140625" style="1"/>
    <col min="9149" max="9150" width="9.28515625" style="1" bestFit="1" customWidth="1"/>
    <col min="9151" max="9151" width="9.140625" style="1"/>
    <col min="9152" max="9153" width="9.28515625" style="1" bestFit="1" customWidth="1"/>
    <col min="9154" max="9154" width="9.140625" style="1"/>
    <col min="9155" max="9155" width="9.28515625" style="1" bestFit="1" customWidth="1"/>
    <col min="9156" max="9158" width="9.140625" style="1"/>
    <col min="9159" max="9161" width="9.28515625" style="1" bestFit="1" customWidth="1"/>
    <col min="9162" max="9164" width="9.140625" style="1"/>
    <col min="9165" max="9166" width="9.28515625" style="1" bestFit="1" customWidth="1"/>
    <col min="9167" max="9167" width="9.140625" style="1"/>
    <col min="9168" max="9169" width="9.28515625" style="1" bestFit="1" customWidth="1"/>
    <col min="9170" max="9170" width="9.140625" style="1"/>
    <col min="9171" max="9171" width="9.28515625" style="1" bestFit="1" customWidth="1"/>
    <col min="9172" max="9174" width="9.140625" style="1"/>
    <col min="9175" max="9177" width="9.28515625" style="1" bestFit="1" customWidth="1"/>
    <col min="9178" max="9180" width="9.140625" style="1"/>
    <col min="9181" max="9182" width="9.28515625" style="1" bestFit="1" customWidth="1"/>
    <col min="9183" max="9183" width="9.140625" style="1"/>
    <col min="9184" max="9185" width="9.28515625" style="1" bestFit="1" customWidth="1"/>
    <col min="9186" max="9186" width="9.140625" style="1"/>
    <col min="9187" max="9187" width="9.28515625" style="1" bestFit="1" customWidth="1"/>
    <col min="9188" max="9190" width="9.140625" style="1"/>
    <col min="9191" max="9193" width="9.28515625" style="1" bestFit="1" customWidth="1"/>
    <col min="9194" max="9196" width="9.140625" style="1"/>
    <col min="9197" max="9198" width="9.28515625" style="1" bestFit="1" customWidth="1"/>
    <col min="9199" max="9199" width="9.140625" style="1"/>
    <col min="9200" max="9201" width="9.28515625" style="1" bestFit="1" customWidth="1"/>
    <col min="9202" max="9202" width="9.140625" style="1"/>
    <col min="9203" max="9203" width="9.28515625" style="1" bestFit="1" customWidth="1"/>
    <col min="9204" max="9206" width="9.140625" style="1"/>
    <col min="9207" max="9209" width="9.28515625" style="1" bestFit="1" customWidth="1"/>
    <col min="9210" max="9212" width="9.140625" style="1"/>
    <col min="9213" max="9214" width="9.28515625" style="1" bestFit="1" customWidth="1"/>
    <col min="9215" max="9215" width="9.140625" style="1"/>
    <col min="9216" max="9217" width="9.28515625" style="1" bestFit="1" customWidth="1"/>
    <col min="9218" max="9218" width="9.140625" style="1"/>
    <col min="9219" max="9219" width="9.28515625" style="1" bestFit="1" customWidth="1"/>
    <col min="9220" max="9222" width="9.140625" style="1"/>
    <col min="9223" max="9225" width="9.28515625" style="1" bestFit="1" customWidth="1"/>
    <col min="9226" max="9228" width="9.140625" style="1"/>
    <col min="9229" max="9230" width="9.28515625" style="1" bestFit="1" customWidth="1"/>
    <col min="9231" max="9231" width="9.140625" style="1"/>
    <col min="9232" max="9233" width="9.28515625" style="1" bestFit="1" customWidth="1"/>
    <col min="9234" max="9234" width="9.140625" style="1"/>
    <col min="9235" max="9235" width="9.28515625" style="1" bestFit="1" customWidth="1"/>
    <col min="9236" max="9238" width="9.140625" style="1"/>
    <col min="9239" max="9241" width="9.28515625" style="1" bestFit="1" customWidth="1"/>
    <col min="9242" max="9244" width="9.140625" style="1"/>
    <col min="9245" max="9246" width="9.28515625" style="1" bestFit="1" customWidth="1"/>
    <col min="9247" max="9247" width="9.140625" style="1"/>
    <col min="9248" max="9249" width="9.28515625" style="1" bestFit="1" customWidth="1"/>
    <col min="9250" max="9250" width="9.140625" style="1"/>
    <col min="9251" max="9251" width="9.28515625" style="1" bestFit="1" customWidth="1"/>
    <col min="9252" max="9254" width="9.140625" style="1"/>
    <col min="9255" max="9257" width="9.28515625" style="1" bestFit="1" customWidth="1"/>
    <col min="9258" max="9260" width="9.140625" style="1"/>
    <col min="9261" max="9262" width="9.28515625" style="1" bestFit="1" customWidth="1"/>
    <col min="9263" max="9263" width="9.140625" style="1"/>
    <col min="9264" max="9265" width="9.28515625" style="1" bestFit="1" customWidth="1"/>
    <col min="9266" max="9266" width="9.140625" style="1"/>
    <col min="9267" max="9267" width="9.28515625" style="1" bestFit="1" customWidth="1"/>
    <col min="9268" max="9270" width="9.140625" style="1"/>
    <col min="9271" max="9273" width="9.28515625" style="1" bestFit="1" customWidth="1"/>
    <col min="9274" max="9276" width="9.140625" style="1"/>
    <col min="9277" max="9278" width="9.28515625" style="1" bestFit="1" customWidth="1"/>
    <col min="9279" max="9279" width="9.140625" style="1"/>
    <col min="9280" max="9281" width="9.28515625" style="1" bestFit="1" customWidth="1"/>
    <col min="9282" max="9282" width="9.140625" style="1"/>
    <col min="9283" max="9283" width="9.28515625" style="1" bestFit="1" customWidth="1"/>
    <col min="9284" max="9286" width="9.140625" style="1"/>
    <col min="9287" max="9289" width="9.28515625" style="1" bestFit="1" customWidth="1"/>
    <col min="9290" max="9292" width="9.140625" style="1"/>
    <col min="9293" max="9294" width="9.28515625" style="1" bestFit="1" customWidth="1"/>
    <col min="9295" max="9295" width="9.140625" style="1"/>
    <col min="9296" max="9297" width="9.28515625" style="1" bestFit="1" customWidth="1"/>
    <col min="9298" max="9298" width="9.140625" style="1"/>
    <col min="9299" max="9299" width="9.28515625" style="1" bestFit="1" customWidth="1"/>
    <col min="9300" max="9302" width="9.140625" style="1"/>
    <col min="9303" max="9305" width="9.28515625" style="1" bestFit="1" customWidth="1"/>
    <col min="9306" max="9308" width="9.140625" style="1"/>
    <col min="9309" max="9310" width="9.28515625" style="1" bestFit="1" customWidth="1"/>
    <col min="9311" max="9311" width="9.140625" style="1"/>
    <col min="9312" max="9313" width="9.28515625" style="1" bestFit="1" customWidth="1"/>
    <col min="9314" max="9314" width="9.140625" style="1"/>
    <col min="9315" max="9315" width="9.28515625" style="1" bestFit="1" customWidth="1"/>
    <col min="9316" max="9318" width="9.140625" style="1"/>
    <col min="9319" max="9321" width="9.28515625" style="1" bestFit="1" customWidth="1"/>
    <col min="9322" max="9324" width="9.140625" style="1"/>
    <col min="9325" max="9326" width="9.28515625" style="1" bestFit="1" customWidth="1"/>
    <col min="9327" max="9327" width="9.140625" style="1"/>
    <col min="9328" max="9329" width="9.28515625" style="1" bestFit="1" customWidth="1"/>
    <col min="9330" max="9330" width="9.140625" style="1"/>
    <col min="9331" max="9331" width="9.28515625" style="1" bestFit="1" customWidth="1"/>
    <col min="9332" max="9334" width="9.140625" style="1"/>
    <col min="9335" max="9337" width="9.28515625" style="1" bestFit="1" customWidth="1"/>
    <col min="9338" max="9340" width="9.140625" style="1"/>
    <col min="9341" max="9342" width="9.28515625" style="1" bestFit="1" customWidth="1"/>
    <col min="9343" max="9343" width="9.140625" style="1"/>
    <col min="9344" max="9345" width="9.28515625" style="1" bestFit="1" customWidth="1"/>
    <col min="9346" max="9346" width="9.140625" style="1"/>
    <col min="9347" max="9347" width="9.28515625" style="1" bestFit="1" customWidth="1"/>
    <col min="9348" max="9350" width="9.140625" style="1"/>
    <col min="9351" max="9353" width="9.28515625" style="1" bestFit="1" customWidth="1"/>
    <col min="9354" max="9356" width="9.140625" style="1"/>
    <col min="9357" max="9358" width="9.28515625" style="1" bestFit="1" customWidth="1"/>
    <col min="9359" max="9359" width="9.140625" style="1"/>
    <col min="9360" max="9361" width="9.28515625" style="1" bestFit="1" customWidth="1"/>
    <col min="9362" max="9362" width="9.140625" style="1"/>
    <col min="9363" max="9363" width="9.28515625" style="1" bestFit="1" customWidth="1"/>
    <col min="9364" max="9366" width="9.140625" style="1"/>
    <col min="9367" max="9369" width="9.28515625" style="1" bestFit="1" customWidth="1"/>
    <col min="9370" max="9372" width="9.140625" style="1"/>
    <col min="9373" max="9374" width="9.28515625" style="1" bestFit="1" customWidth="1"/>
    <col min="9375" max="9375" width="9.140625" style="1"/>
    <col min="9376" max="9377" width="9.28515625" style="1" bestFit="1" customWidth="1"/>
    <col min="9378" max="9378" width="9.140625" style="1"/>
    <col min="9379" max="9379" width="9.28515625" style="1" bestFit="1" customWidth="1"/>
    <col min="9380" max="9382" width="9.140625" style="1"/>
    <col min="9383" max="9385" width="9.28515625" style="1" bestFit="1" customWidth="1"/>
    <col min="9386" max="9388" width="9.140625" style="1"/>
    <col min="9389" max="9390" width="9.28515625" style="1" bestFit="1" customWidth="1"/>
    <col min="9391" max="9391" width="9.140625" style="1"/>
    <col min="9392" max="9393" width="9.28515625" style="1" bestFit="1" customWidth="1"/>
    <col min="9394" max="9394" width="9.140625" style="1"/>
    <col min="9395" max="9395" width="9.28515625" style="1" bestFit="1" customWidth="1"/>
    <col min="9396" max="9398" width="9.140625" style="1"/>
    <col min="9399" max="9401" width="9.28515625" style="1" bestFit="1" customWidth="1"/>
    <col min="9402" max="9404" width="9.140625" style="1"/>
    <col min="9405" max="9406" width="9.28515625" style="1" bestFit="1" customWidth="1"/>
    <col min="9407" max="9407" width="9.140625" style="1"/>
    <col min="9408" max="9409" width="9.28515625" style="1" bestFit="1" customWidth="1"/>
    <col min="9410" max="9410" width="9.140625" style="1"/>
    <col min="9411" max="9411" width="9.28515625" style="1" bestFit="1" customWidth="1"/>
    <col min="9412" max="9414" width="9.140625" style="1"/>
    <col min="9415" max="9417" width="9.28515625" style="1" bestFit="1" customWidth="1"/>
    <col min="9418" max="9420" width="9.140625" style="1"/>
    <col min="9421" max="9422" width="9.28515625" style="1" bestFit="1" customWidth="1"/>
    <col min="9423" max="9423" width="9.140625" style="1"/>
    <col min="9424" max="9425" width="9.28515625" style="1" bestFit="1" customWidth="1"/>
    <col min="9426" max="9426" width="9.140625" style="1"/>
    <col min="9427" max="9427" width="9.28515625" style="1" bestFit="1" customWidth="1"/>
    <col min="9428" max="9430" width="9.140625" style="1"/>
    <col min="9431" max="9433" width="9.28515625" style="1" bestFit="1" customWidth="1"/>
    <col min="9434" max="9436" width="9.140625" style="1"/>
    <col min="9437" max="9438" width="9.28515625" style="1" bestFit="1" customWidth="1"/>
    <col min="9439" max="9439" width="9.140625" style="1"/>
    <col min="9440" max="9441" width="9.28515625" style="1" bestFit="1" customWidth="1"/>
    <col min="9442" max="9442" width="9.140625" style="1"/>
    <col min="9443" max="9443" width="9.28515625" style="1" bestFit="1" customWidth="1"/>
    <col min="9444" max="9446" width="9.140625" style="1"/>
    <col min="9447" max="9449" width="9.28515625" style="1" bestFit="1" customWidth="1"/>
    <col min="9450" max="9452" width="9.140625" style="1"/>
    <col min="9453" max="9454" width="9.28515625" style="1" bestFit="1" customWidth="1"/>
    <col min="9455" max="9455" width="9.140625" style="1"/>
    <col min="9456" max="9457" width="9.28515625" style="1" bestFit="1" customWidth="1"/>
    <col min="9458" max="9458" width="9.140625" style="1"/>
    <col min="9459" max="9459" width="9.28515625" style="1" bestFit="1" customWidth="1"/>
    <col min="9460" max="9462" width="9.140625" style="1"/>
    <col min="9463" max="9465" width="9.28515625" style="1" bestFit="1" customWidth="1"/>
    <col min="9466" max="9468" width="9.140625" style="1"/>
    <col min="9469" max="9470" width="9.28515625" style="1" bestFit="1" customWidth="1"/>
    <col min="9471" max="9471" width="9.140625" style="1"/>
    <col min="9472" max="9473" width="9.28515625" style="1" bestFit="1" customWidth="1"/>
    <col min="9474" max="9474" width="9.140625" style="1"/>
    <col min="9475" max="9475" width="9.28515625" style="1" bestFit="1" customWidth="1"/>
    <col min="9476" max="9478" width="9.140625" style="1"/>
    <col min="9479" max="9481" width="9.28515625" style="1" bestFit="1" customWidth="1"/>
    <col min="9482" max="9484" width="9.140625" style="1"/>
    <col min="9485" max="9486" width="9.28515625" style="1" bestFit="1" customWidth="1"/>
    <col min="9487" max="9487" width="9.140625" style="1"/>
    <col min="9488" max="9489" width="9.28515625" style="1" bestFit="1" customWidth="1"/>
    <col min="9490" max="9490" width="9.140625" style="1"/>
    <col min="9491" max="9491" width="9.28515625" style="1" bestFit="1" customWidth="1"/>
    <col min="9492" max="9494" width="9.140625" style="1"/>
    <col min="9495" max="9497" width="9.28515625" style="1" bestFit="1" customWidth="1"/>
    <col min="9498" max="9500" width="9.140625" style="1"/>
    <col min="9501" max="9502" width="9.28515625" style="1" bestFit="1" customWidth="1"/>
    <col min="9503" max="9503" width="9.140625" style="1"/>
    <col min="9504" max="9505" width="9.28515625" style="1" bestFit="1" customWidth="1"/>
    <col min="9506" max="9506" width="9.140625" style="1"/>
    <col min="9507" max="9507" width="9.28515625" style="1" bestFit="1" customWidth="1"/>
    <col min="9508" max="9510" width="9.140625" style="1"/>
    <col min="9511" max="9513" width="9.28515625" style="1" bestFit="1" customWidth="1"/>
    <col min="9514" max="9516" width="9.140625" style="1"/>
    <col min="9517" max="9518" width="9.28515625" style="1" bestFit="1" customWidth="1"/>
    <col min="9519" max="9519" width="9.140625" style="1"/>
    <col min="9520" max="9521" width="9.28515625" style="1" bestFit="1" customWidth="1"/>
    <col min="9522" max="9522" width="9.140625" style="1"/>
    <col min="9523" max="9523" width="9.28515625" style="1" bestFit="1" customWidth="1"/>
    <col min="9524" max="9526" width="9.140625" style="1"/>
    <col min="9527" max="9529" width="9.28515625" style="1" bestFit="1" customWidth="1"/>
    <col min="9530" max="9532" width="9.140625" style="1"/>
    <col min="9533" max="9534" width="9.28515625" style="1" bestFit="1" customWidth="1"/>
    <col min="9535" max="9535" width="9.140625" style="1"/>
    <col min="9536" max="9537" width="9.28515625" style="1" bestFit="1" customWidth="1"/>
    <col min="9538" max="9538" width="9.140625" style="1"/>
    <col min="9539" max="9539" width="9.28515625" style="1" bestFit="1" customWidth="1"/>
    <col min="9540" max="9542" width="9.140625" style="1"/>
    <col min="9543" max="9545" width="9.28515625" style="1" bestFit="1" customWidth="1"/>
    <col min="9546" max="9548" width="9.140625" style="1"/>
    <col min="9549" max="9550" width="9.28515625" style="1" bestFit="1" customWidth="1"/>
    <col min="9551" max="9551" width="9.140625" style="1"/>
    <col min="9552" max="9553" width="9.28515625" style="1" bestFit="1" customWidth="1"/>
    <col min="9554" max="9554" width="9.140625" style="1"/>
    <col min="9555" max="9555" width="9.28515625" style="1" bestFit="1" customWidth="1"/>
    <col min="9556" max="9558" width="9.140625" style="1"/>
    <col min="9559" max="9561" width="9.28515625" style="1" bestFit="1" customWidth="1"/>
    <col min="9562" max="9564" width="9.140625" style="1"/>
    <col min="9565" max="9566" width="9.28515625" style="1" bestFit="1" customWidth="1"/>
    <col min="9567" max="9567" width="9.140625" style="1"/>
    <col min="9568" max="9569" width="9.28515625" style="1" bestFit="1" customWidth="1"/>
    <col min="9570" max="9570" width="9.140625" style="1"/>
    <col min="9571" max="9571" width="9.28515625" style="1" bestFit="1" customWidth="1"/>
    <col min="9572" max="9574" width="9.140625" style="1"/>
    <col min="9575" max="9577" width="9.28515625" style="1" bestFit="1" customWidth="1"/>
    <col min="9578" max="9580" width="9.140625" style="1"/>
    <col min="9581" max="9582" width="9.28515625" style="1" bestFit="1" customWidth="1"/>
    <col min="9583" max="9583" width="9.140625" style="1"/>
    <col min="9584" max="9585" width="9.28515625" style="1" bestFit="1" customWidth="1"/>
    <col min="9586" max="9586" width="9.140625" style="1"/>
    <col min="9587" max="9587" width="9.28515625" style="1" bestFit="1" customWidth="1"/>
    <col min="9588" max="9590" width="9.140625" style="1"/>
    <col min="9591" max="9593" width="9.28515625" style="1" bestFit="1" customWidth="1"/>
    <col min="9594" max="9596" width="9.140625" style="1"/>
    <col min="9597" max="9598" width="9.28515625" style="1" bestFit="1" customWidth="1"/>
    <col min="9599" max="9599" width="9.140625" style="1"/>
    <col min="9600" max="9601" width="9.28515625" style="1" bestFit="1" customWidth="1"/>
    <col min="9602" max="9602" width="9.140625" style="1"/>
    <col min="9603" max="9603" width="9.28515625" style="1" bestFit="1" customWidth="1"/>
    <col min="9604" max="9606" width="9.140625" style="1"/>
    <col min="9607" max="9609" width="9.28515625" style="1" bestFit="1" customWidth="1"/>
    <col min="9610" max="9612" width="9.140625" style="1"/>
    <col min="9613" max="9614" width="9.28515625" style="1" bestFit="1" customWidth="1"/>
    <col min="9615" max="9615" width="9.140625" style="1"/>
    <col min="9616" max="9617" width="9.28515625" style="1" bestFit="1" customWidth="1"/>
    <col min="9618" max="9618" width="9.140625" style="1"/>
    <col min="9619" max="9619" width="9.28515625" style="1" bestFit="1" customWidth="1"/>
    <col min="9620" max="9622" width="9.140625" style="1"/>
    <col min="9623" max="9625" width="9.28515625" style="1" bestFit="1" customWidth="1"/>
    <col min="9626" max="9628" width="9.140625" style="1"/>
    <col min="9629" max="9630" width="9.28515625" style="1" bestFit="1" customWidth="1"/>
    <col min="9631" max="9631" width="9.140625" style="1"/>
    <col min="9632" max="9633" width="9.28515625" style="1" bestFit="1" customWidth="1"/>
    <col min="9634" max="9634" width="9.140625" style="1"/>
    <col min="9635" max="9635" width="9.28515625" style="1" bestFit="1" customWidth="1"/>
    <col min="9636" max="9638" width="9.140625" style="1"/>
    <col min="9639" max="9641" width="9.28515625" style="1" bestFit="1" customWidth="1"/>
    <col min="9642" max="9644" width="9.140625" style="1"/>
    <col min="9645" max="9646" width="9.28515625" style="1" bestFit="1" customWidth="1"/>
    <col min="9647" max="9647" width="9.140625" style="1"/>
    <col min="9648" max="9649" width="9.28515625" style="1" bestFit="1" customWidth="1"/>
    <col min="9650" max="9650" width="9.140625" style="1"/>
    <col min="9651" max="9651" width="9.28515625" style="1" bestFit="1" customWidth="1"/>
    <col min="9652" max="9654" width="9.140625" style="1"/>
    <col min="9655" max="9657" width="9.28515625" style="1" bestFit="1" customWidth="1"/>
    <col min="9658" max="9660" width="9.140625" style="1"/>
    <col min="9661" max="9662" width="9.28515625" style="1" bestFit="1" customWidth="1"/>
    <col min="9663" max="9663" width="9.140625" style="1"/>
    <col min="9664" max="9665" width="9.28515625" style="1" bestFit="1" customWidth="1"/>
    <col min="9666" max="9666" width="9.140625" style="1"/>
    <col min="9667" max="9667" width="9.28515625" style="1" bestFit="1" customWidth="1"/>
    <col min="9668" max="9670" width="9.140625" style="1"/>
    <col min="9671" max="9673" width="9.28515625" style="1" bestFit="1" customWidth="1"/>
    <col min="9674" max="9676" width="9.140625" style="1"/>
    <col min="9677" max="9678" width="9.28515625" style="1" bestFit="1" customWidth="1"/>
    <col min="9679" max="9679" width="9.140625" style="1"/>
    <col min="9680" max="9681" width="9.28515625" style="1" bestFit="1" customWidth="1"/>
    <col min="9682" max="9682" width="9.140625" style="1"/>
    <col min="9683" max="9683" width="9.28515625" style="1" bestFit="1" customWidth="1"/>
    <col min="9684" max="9686" width="9.140625" style="1"/>
    <col min="9687" max="9689" width="9.28515625" style="1" bestFit="1" customWidth="1"/>
    <col min="9690" max="9692" width="9.140625" style="1"/>
    <col min="9693" max="9694" width="9.28515625" style="1" bestFit="1" customWidth="1"/>
    <col min="9695" max="9695" width="9.140625" style="1"/>
    <col min="9696" max="9697" width="9.28515625" style="1" bestFit="1" customWidth="1"/>
    <col min="9698" max="9698" width="9.140625" style="1"/>
    <col min="9699" max="9699" width="9.28515625" style="1" bestFit="1" customWidth="1"/>
    <col min="9700" max="9702" width="9.140625" style="1"/>
    <col min="9703" max="9705" width="9.28515625" style="1" bestFit="1" customWidth="1"/>
    <col min="9706" max="9708" width="9.140625" style="1"/>
    <col min="9709" max="9710" width="9.28515625" style="1" bestFit="1" customWidth="1"/>
    <col min="9711" max="9711" width="9.140625" style="1"/>
    <col min="9712" max="9713" width="9.28515625" style="1" bestFit="1" customWidth="1"/>
    <col min="9714" max="9714" width="9.140625" style="1"/>
    <col min="9715" max="9715" width="9.28515625" style="1" bestFit="1" customWidth="1"/>
    <col min="9716" max="9718" width="9.140625" style="1"/>
    <col min="9719" max="9721" width="9.28515625" style="1" bestFit="1" customWidth="1"/>
    <col min="9722" max="9724" width="9.140625" style="1"/>
    <col min="9725" max="9726" width="9.28515625" style="1" bestFit="1" customWidth="1"/>
    <col min="9727" max="9727" width="9.140625" style="1"/>
    <col min="9728" max="9729" width="9.28515625" style="1" bestFit="1" customWidth="1"/>
    <col min="9730" max="9730" width="9.140625" style="1"/>
    <col min="9731" max="9731" width="9.28515625" style="1" bestFit="1" customWidth="1"/>
    <col min="9732" max="9734" width="9.140625" style="1"/>
    <col min="9735" max="9737" width="9.28515625" style="1" bestFit="1" customWidth="1"/>
    <col min="9738" max="9740" width="9.140625" style="1"/>
    <col min="9741" max="9742" width="9.28515625" style="1" bestFit="1" customWidth="1"/>
    <col min="9743" max="9743" width="9.140625" style="1"/>
    <col min="9744" max="9745" width="9.28515625" style="1" bestFit="1" customWidth="1"/>
    <col min="9746" max="9746" width="9.140625" style="1"/>
    <col min="9747" max="9747" width="9.28515625" style="1" bestFit="1" customWidth="1"/>
    <col min="9748" max="9750" width="9.140625" style="1"/>
    <col min="9751" max="9753" width="9.28515625" style="1" bestFit="1" customWidth="1"/>
    <col min="9754" max="9756" width="9.140625" style="1"/>
    <col min="9757" max="9758" width="9.28515625" style="1" bestFit="1" customWidth="1"/>
    <col min="9759" max="9759" width="9.140625" style="1"/>
    <col min="9760" max="9761" width="9.28515625" style="1" bestFit="1" customWidth="1"/>
    <col min="9762" max="9762" width="9.140625" style="1"/>
    <col min="9763" max="9763" width="9.28515625" style="1" bestFit="1" customWidth="1"/>
    <col min="9764" max="9766" width="9.140625" style="1"/>
    <col min="9767" max="9769" width="9.28515625" style="1" bestFit="1" customWidth="1"/>
    <col min="9770" max="9772" width="9.140625" style="1"/>
    <col min="9773" max="9774" width="9.28515625" style="1" bestFit="1" customWidth="1"/>
    <col min="9775" max="9775" width="9.140625" style="1"/>
    <col min="9776" max="9777" width="9.28515625" style="1" bestFit="1" customWidth="1"/>
    <col min="9778" max="9778" width="9.140625" style="1"/>
    <col min="9779" max="9779" width="9.28515625" style="1" bestFit="1" customWidth="1"/>
    <col min="9780" max="9782" width="9.140625" style="1"/>
    <col min="9783" max="9785" width="9.28515625" style="1" bestFit="1" customWidth="1"/>
    <col min="9786" max="9788" width="9.140625" style="1"/>
    <col min="9789" max="9790" width="9.28515625" style="1" bestFit="1" customWidth="1"/>
    <col min="9791" max="9791" width="9.140625" style="1"/>
    <col min="9792" max="9793" width="9.28515625" style="1" bestFit="1" customWidth="1"/>
    <col min="9794" max="9794" width="9.140625" style="1"/>
    <col min="9795" max="9795" width="9.28515625" style="1" bestFit="1" customWidth="1"/>
    <col min="9796" max="9798" width="9.140625" style="1"/>
    <col min="9799" max="9801" width="9.28515625" style="1" bestFit="1" customWidth="1"/>
    <col min="9802" max="9804" width="9.140625" style="1"/>
    <col min="9805" max="9806" width="9.28515625" style="1" bestFit="1" customWidth="1"/>
    <col min="9807" max="9807" width="9.140625" style="1"/>
    <col min="9808" max="9809" width="9.28515625" style="1" bestFit="1" customWidth="1"/>
    <col min="9810" max="9810" width="9.140625" style="1"/>
    <col min="9811" max="9811" width="9.28515625" style="1" bestFit="1" customWidth="1"/>
    <col min="9812" max="9814" width="9.140625" style="1"/>
    <col min="9815" max="9817" width="9.28515625" style="1" bestFit="1" customWidth="1"/>
    <col min="9818" max="9820" width="9.140625" style="1"/>
    <col min="9821" max="9822" width="9.28515625" style="1" bestFit="1" customWidth="1"/>
    <col min="9823" max="9823" width="9.140625" style="1"/>
    <col min="9824" max="9825" width="9.28515625" style="1" bestFit="1" customWidth="1"/>
    <col min="9826" max="9826" width="9.140625" style="1"/>
    <col min="9827" max="9827" width="9.28515625" style="1" bestFit="1" customWidth="1"/>
    <col min="9828" max="9830" width="9.140625" style="1"/>
    <col min="9831" max="9833" width="9.28515625" style="1" bestFit="1" customWidth="1"/>
    <col min="9834" max="9836" width="9.140625" style="1"/>
    <col min="9837" max="9838" width="9.28515625" style="1" bestFit="1" customWidth="1"/>
    <col min="9839" max="9839" width="9.140625" style="1"/>
    <col min="9840" max="9841" width="9.28515625" style="1" bestFit="1" customWidth="1"/>
    <col min="9842" max="9842" width="9.140625" style="1"/>
    <col min="9843" max="9843" width="9.28515625" style="1" bestFit="1" customWidth="1"/>
    <col min="9844" max="9846" width="9.140625" style="1"/>
    <col min="9847" max="9849" width="9.28515625" style="1" bestFit="1" customWidth="1"/>
    <col min="9850" max="9852" width="9.140625" style="1"/>
    <col min="9853" max="9854" width="9.28515625" style="1" bestFit="1" customWidth="1"/>
    <col min="9855" max="9855" width="9.140625" style="1"/>
    <col min="9856" max="9857" width="9.28515625" style="1" bestFit="1" customWidth="1"/>
    <col min="9858" max="9858" width="9.140625" style="1"/>
    <col min="9859" max="9859" width="9.28515625" style="1" bestFit="1" customWidth="1"/>
    <col min="9860" max="9862" width="9.140625" style="1"/>
    <col min="9863" max="9865" width="9.28515625" style="1" bestFit="1" customWidth="1"/>
    <col min="9866" max="9868" width="9.140625" style="1"/>
    <col min="9869" max="9870" width="9.28515625" style="1" bestFit="1" customWidth="1"/>
    <col min="9871" max="9871" width="9.140625" style="1"/>
    <col min="9872" max="9873" width="9.28515625" style="1" bestFit="1" customWidth="1"/>
    <col min="9874" max="9874" width="9.140625" style="1"/>
    <col min="9875" max="9875" width="9.28515625" style="1" bestFit="1" customWidth="1"/>
    <col min="9876" max="9878" width="9.140625" style="1"/>
    <col min="9879" max="9881" width="9.28515625" style="1" bestFit="1" customWidth="1"/>
    <col min="9882" max="9884" width="9.140625" style="1"/>
    <col min="9885" max="9886" width="9.28515625" style="1" bestFit="1" customWidth="1"/>
    <col min="9887" max="9887" width="9.140625" style="1"/>
    <col min="9888" max="9889" width="9.28515625" style="1" bestFit="1" customWidth="1"/>
    <col min="9890" max="9890" width="9.140625" style="1"/>
    <col min="9891" max="9891" width="9.28515625" style="1" bestFit="1" customWidth="1"/>
    <col min="9892" max="9894" width="9.140625" style="1"/>
    <col min="9895" max="9897" width="9.28515625" style="1" bestFit="1" customWidth="1"/>
    <col min="9898" max="9900" width="9.140625" style="1"/>
    <col min="9901" max="9902" width="9.28515625" style="1" bestFit="1" customWidth="1"/>
    <col min="9903" max="9903" width="9.140625" style="1"/>
    <col min="9904" max="9905" width="9.28515625" style="1" bestFit="1" customWidth="1"/>
    <col min="9906" max="9906" width="9.140625" style="1"/>
    <col min="9907" max="9907" width="9.28515625" style="1" bestFit="1" customWidth="1"/>
    <col min="9908" max="9910" width="9.140625" style="1"/>
    <col min="9911" max="9913" width="9.28515625" style="1" bestFit="1" customWidth="1"/>
    <col min="9914" max="9916" width="9.140625" style="1"/>
    <col min="9917" max="9918" width="9.28515625" style="1" bestFit="1" customWidth="1"/>
    <col min="9919" max="9919" width="9.140625" style="1"/>
    <col min="9920" max="9921" width="9.28515625" style="1" bestFit="1" customWidth="1"/>
    <col min="9922" max="9922" width="9.140625" style="1"/>
    <col min="9923" max="9923" width="9.28515625" style="1" bestFit="1" customWidth="1"/>
    <col min="9924" max="9926" width="9.140625" style="1"/>
    <col min="9927" max="9929" width="9.28515625" style="1" bestFit="1" customWidth="1"/>
    <col min="9930" max="9932" width="9.140625" style="1"/>
    <col min="9933" max="9934" width="9.28515625" style="1" bestFit="1" customWidth="1"/>
    <col min="9935" max="9935" width="9.140625" style="1"/>
    <col min="9936" max="9937" width="9.28515625" style="1" bestFit="1" customWidth="1"/>
    <col min="9938" max="9938" width="9.140625" style="1"/>
    <col min="9939" max="9939" width="9.28515625" style="1" bestFit="1" customWidth="1"/>
    <col min="9940" max="9942" width="9.140625" style="1"/>
    <col min="9943" max="9945" width="9.28515625" style="1" bestFit="1" customWidth="1"/>
    <col min="9946" max="9948" width="9.140625" style="1"/>
    <col min="9949" max="9950" width="9.28515625" style="1" bestFit="1" customWidth="1"/>
    <col min="9951" max="9951" width="9.140625" style="1"/>
    <col min="9952" max="9953" width="9.28515625" style="1" bestFit="1" customWidth="1"/>
    <col min="9954" max="9954" width="9.140625" style="1"/>
    <col min="9955" max="9955" width="9.28515625" style="1" bestFit="1" customWidth="1"/>
    <col min="9956" max="9958" width="9.140625" style="1"/>
    <col min="9959" max="9961" width="9.28515625" style="1" bestFit="1" customWidth="1"/>
    <col min="9962" max="9964" width="9.140625" style="1"/>
    <col min="9965" max="9966" width="9.28515625" style="1" bestFit="1" customWidth="1"/>
    <col min="9967" max="9967" width="9.140625" style="1"/>
    <col min="9968" max="9969" width="9.28515625" style="1" bestFit="1" customWidth="1"/>
    <col min="9970" max="9970" width="9.140625" style="1"/>
    <col min="9971" max="9971" width="9.28515625" style="1" bestFit="1" customWidth="1"/>
    <col min="9972" max="9974" width="9.140625" style="1"/>
    <col min="9975" max="9977" width="9.28515625" style="1" bestFit="1" customWidth="1"/>
    <col min="9978" max="9980" width="9.140625" style="1"/>
    <col min="9981" max="9982" width="9.28515625" style="1" bestFit="1" customWidth="1"/>
    <col min="9983" max="9983" width="9.140625" style="1"/>
    <col min="9984" max="9985" width="9.28515625" style="1" bestFit="1" customWidth="1"/>
    <col min="9986" max="9986" width="9.140625" style="1"/>
    <col min="9987" max="9987" width="9.28515625" style="1" bestFit="1" customWidth="1"/>
    <col min="9988" max="9990" width="9.140625" style="1"/>
    <col min="9991" max="9993" width="9.28515625" style="1" bestFit="1" customWidth="1"/>
    <col min="9994" max="9996" width="9.140625" style="1"/>
    <col min="9997" max="9998" width="9.28515625" style="1" bestFit="1" customWidth="1"/>
    <col min="9999" max="9999" width="9.140625" style="1"/>
    <col min="10000" max="10001" width="9.28515625" style="1" bestFit="1" customWidth="1"/>
    <col min="10002" max="10002" width="9.140625" style="1"/>
    <col min="10003" max="10003" width="9.28515625" style="1" bestFit="1" customWidth="1"/>
    <col min="10004" max="10006" width="9.140625" style="1"/>
    <col min="10007" max="10009" width="9.28515625" style="1" bestFit="1" customWidth="1"/>
    <col min="10010" max="10012" width="9.140625" style="1"/>
    <col min="10013" max="10014" width="9.28515625" style="1" bestFit="1" customWidth="1"/>
    <col min="10015" max="10015" width="9.140625" style="1"/>
    <col min="10016" max="10017" width="9.28515625" style="1" bestFit="1" customWidth="1"/>
    <col min="10018" max="10018" width="9.140625" style="1"/>
    <col min="10019" max="10019" width="9.28515625" style="1" bestFit="1" customWidth="1"/>
    <col min="10020" max="10022" width="9.140625" style="1"/>
    <col min="10023" max="10025" width="9.28515625" style="1" bestFit="1" customWidth="1"/>
    <col min="10026" max="10028" width="9.140625" style="1"/>
    <col min="10029" max="10030" width="9.28515625" style="1" bestFit="1" customWidth="1"/>
    <col min="10031" max="10031" width="9.140625" style="1"/>
    <col min="10032" max="10033" width="9.28515625" style="1" bestFit="1" customWidth="1"/>
    <col min="10034" max="10034" width="9.140625" style="1"/>
    <col min="10035" max="10035" width="9.28515625" style="1" bestFit="1" customWidth="1"/>
    <col min="10036" max="10038" width="9.140625" style="1"/>
    <col min="10039" max="10041" width="9.28515625" style="1" bestFit="1" customWidth="1"/>
    <col min="10042" max="10044" width="9.140625" style="1"/>
    <col min="10045" max="10046" width="9.28515625" style="1" bestFit="1" customWidth="1"/>
    <col min="10047" max="10047" width="9.140625" style="1"/>
    <col min="10048" max="10049" width="9.28515625" style="1" bestFit="1" customWidth="1"/>
    <col min="10050" max="10050" width="9.140625" style="1"/>
    <col min="10051" max="10051" width="9.28515625" style="1" bestFit="1" customWidth="1"/>
    <col min="10052" max="10054" width="9.140625" style="1"/>
    <col min="10055" max="10057" width="9.28515625" style="1" bestFit="1" customWidth="1"/>
    <col min="10058" max="10060" width="9.140625" style="1"/>
    <col min="10061" max="10062" width="9.28515625" style="1" bestFit="1" customWidth="1"/>
    <col min="10063" max="10063" width="9.140625" style="1"/>
    <col min="10064" max="10065" width="9.28515625" style="1" bestFit="1" customWidth="1"/>
    <col min="10066" max="10066" width="9.140625" style="1"/>
    <col min="10067" max="10067" width="9.28515625" style="1" bestFit="1" customWidth="1"/>
    <col min="10068" max="10070" width="9.140625" style="1"/>
    <col min="10071" max="10073" width="9.28515625" style="1" bestFit="1" customWidth="1"/>
    <col min="10074" max="10076" width="9.140625" style="1"/>
    <col min="10077" max="10078" width="9.28515625" style="1" bestFit="1" customWidth="1"/>
    <col min="10079" max="10079" width="9.140625" style="1"/>
    <col min="10080" max="10081" width="9.28515625" style="1" bestFit="1" customWidth="1"/>
    <col min="10082" max="10082" width="9.140625" style="1"/>
    <col min="10083" max="10083" width="9.28515625" style="1" bestFit="1" customWidth="1"/>
    <col min="10084" max="10086" width="9.140625" style="1"/>
    <col min="10087" max="10089" width="9.28515625" style="1" bestFit="1" customWidth="1"/>
    <col min="10090" max="10092" width="9.140625" style="1"/>
    <col min="10093" max="10094" width="9.28515625" style="1" bestFit="1" customWidth="1"/>
    <col min="10095" max="10095" width="9.140625" style="1"/>
    <col min="10096" max="10097" width="9.28515625" style="1" bestFit="1" customWidth="1"/>
    <col min="10098" max="10098" width="9.140625" style="1"/>
    <col min="10099" max="10099" width="9.28515625" style="1" bestFit="1" customWidth="1"/>
    <col min="10100" max="10102" width="9.140625" style="1"/>
    <col min="10103" max="10105" width="9.28515625" style="1" bestFit="1" customWidth="1"/>
    <col min="10106" max="10108" width="9.140625" style="1"/>
    <col min="10109" max="10110" width="9.28515625" style="1" bestFit="1" customWidth="1"/>
    <col min="10111" max="10111" width="9.140625" style="1"/>
    <col min="10112" max="10113" width="9.28515625" style="1" bestFit="1" customWidth="1"/>
    <col min="10114" max="10114" width="9.140625" style="1"/>
    <col min="10115" max="10115" width="9.28515625" style="1" bestFit="1" customWidth="1"/>
    <col min="10116" max="10118" width="9.140625" style="1"/>
    <col min="10119" max="10121" width="9.28515625" style="1" bestFit="1" customWidth="1"/>
    <col min="10122" max="10124" width="9.140625" style="1"/>
    <col min="10125" max="10126" width="9.28515625" style="1" bestFit="1" customWidth="1"/>
    <col min="10127" max="10127" width="9.140625" style="1"/>
    <col min="10128" max="10129" width="9.28515625" style="1" bestFit="1" customWidth="1"/>
    <col min="10130" max="10130" width="9.140625" style="1"/>
    <col min="10131" max="10131" width="9.28515625" style="1" bestFit="1" customWidth="1"/>
    <col min="10132" max="10134" width="9.140625" style="1"/>
    <col min="10135" max="10137" width="9.28515625" style="1" bestFit="1" customWidth="1"/>
    <col min="10138" max="10140" width="9.140625" style="1"/>
    <col min="10141" max="10142" width="9.28515625" style="1" bestFit="1" customWidth="1"/>
    <col min="10143" max="10143" width="9.140625" style="1"/>
    <col min="10144" max="10145" width="9.28515625" style="1" bestFit="1" customWidth="1"/>
    <col min="10146" max="10146" width="9.140625" style="1"/>
    <col min="10147" max="10147" width="9.28515625" style="1" bestFit="1" customWidth="1"/>
    <col min="10148" max="10150" width="9.140625" style="1"/>
    <col min="10151" max="10153" width="9.28515625" style="1" bestFit="1" customWidth="1"/>
    <col min="10154" max="10156" width="9.140625" style="1"/>
    <col min="10157" max="10158" width="9.28515625" style="1" bestFit="1" customWidth="1"/>
    <col min="10159" max="10159" width="9.140625" style="1"/>
    <col min="10160" max="10161" width="9.28515625" style="1" bestFit="1" customWidth="1"/>
    <col min="10162" max="10162" width="9.140625" style="1"/>
    <col min="10163" max="10163" width="9.28515625" style="1" bestFit="1" customWidth="1"/>
    <col min="10164" max="10166" width="9.140625" style="1"/>
    <col min="10167" max="10169" width="9.28515625" style="1" bestFit="1" customWidth="1"/>
    <col min="10170" max="10172" width="9.140625" style="1"/>
    <col min="10173" max="10174" width="9.28515625" style="1" bestFit="1" customWidth="1"/>
    <col min="10175" max="10175" width="9.140625" style="1"/>
    <col min="10176" max="10177" width="9.28515625" style="1" bestFit="1" customWidth="1"/>
    <col min="10178" max="10178" width="9.140625" style="1"/>
    <col min="10179" max="10179" width="9.28515625" style="1" bestFit="1" customWidth="1"/>
    <col min="10180" max="10182" width="9.140625" style="1"/>
    <col min="10183" max="10185" width="9.28515625" style="1" bestFit="1" customWidth="1"/>
    <col min="10186" max="10188" width="9.140625" style="1"/>
    <col min="10189" max="10190" width="9.28515625" style="1" bestFit="1" customWidth="1"/>
    <col min="10191" max="10191" width="9.140625" style="1"/>
    <col min="10192" max="10193" width="9.28515625" style="1" bestFit="1" customWidth="1"/>
    <col min="10194" max="10194" width="9.140625" style="1"/>
    <col min="10195" max="10195" width="9.28515625" style="1" bestFit="1" customWidth="1"/>
    <col min="10196" max="10198" width="9.140625" style="1"/>
    <col min="10199" max="10201" width="9.28515625" style="1" bestFit="1" customWidth="1"/>
    <col min="10202" max="10204" width="9.140625" style="1"/>
    <col min="10205" max="10206" width="9.28515625" style="1" bestFit="1" customWidth="1"/>
    <col min="10207" max="10207" width="9.140625" style="1"/>
    <col min="10208" max="10209" width="9.28515625" style="1" bestFit="1" customWidth="1"/>
    <col min="10210" max="10210" width="9.140625" style="1"/>
    <col min="10211" max="10211" width="9.28515625" style="1" bestFit="1" customWidth="1"/>
    <col min="10212" max="10214" width="9.140625" style="1"/>
    <col min="10215" max="10217" width="9.28515625" style="1" bestFit="1" customWidth="1"/>
    <col min="10218" max="10220" width="9.140625" style="1"/>
    <col min="10221" max="10222" width="9.28515625" style="1" bestFit="1" customWidth="1"/>
    <col min="10223" max="10223" width="9.140625" style="1"/>
    <col min="10224" max="10225" width="9.28515625" style="1" bestFit="1" customWidth="1"/>
    <col min="10226" max="10226" width="9.140625" style="1"/>
    <col min="10227" max="10227" width="9.28515625" style="1" bestFit="1" customWidth="1"/>
    <col min="10228" max="10230" width="9.140625" style="1"/>
    <col min="10231" max="10233" width="9.28515625" style="1" bestFit="1" customWidth="1"/>
    <col min="10234" max="10236" width="9.140625" style="1"/>
    <col min="10237" max="10238" width="9.28515625" style="1" bestFit="1" customWidth="1"/>
    <col min="10239" max="10239" width="9.140625" style="1"/>
    <col min="10240" max="10241" width="9.28515625" style="1" bestFit="1" customWidth="1"/>
    <col min="10242" max="10242" width="9.140625" style="1"/>
    <col min="10243" max="10243" width="9.28515625" style="1" bestFit="1" customWidth="1"/>
    <col min="10244" max="10246" width="9.140625" style="1"/>
    <col min="10247" max="10249" width="9.28515625" style="1" bestFit="1" customWidth="1"/>
    <col min="10250" max="10252" width="9.140625" style="1"/>
    <col min="10253" max="10254" width="9.28515625" style="1" bestFit="1" customWidth="1"/>
    <col min="10255" max="10255" width="9.140625" style="1"/>
    <col min="10256" max="10257" width="9.28515625" style="1" bestFit="1" customWidth="1"/>
    <col min="10258" max="10258" width="9.140625" style="1"/>
    <col min="10259" max="10259" width="9.28515625" style="1" bestFit="1" customWidth="1"/>
    <col min="10260" max="10262" width="9.140625" style="1"/>
    <col min="10263" max="10265" width="9.28515625" style="1" bestFit="1" customWidth="1"/>
    <col min="10266" max="10268" width="9.140625" style="1"/>
    <col min="10269" max="10270" width="9.28515625" style="1" bestFit="1" customWidth="1"/>
    <col min="10271" max="10271" width="9.140625" style="1"/>
    <col min="10272" max="10273" width="9.28515625" style="1" bestFit="1" customWidth="1"/>
    <col min="10274" max="10274" width="9.140625" style="1"/>
    <col min="10275" max="10275" width="9.28515625" style="1" bestFit="1" customWidth="1"/>
    <col min="10276" max="10278" width="9.140625" style="1"/>
    <col min="10279" max="10281" width="9.28515625" style="1" bestFit="1" customWidth="1"/>
    <col min="10282" max="10284" width="9.140625" style="1"/>
    <col min="10285" max="10286" width="9.28515625" style="1" bestFit="1" customWidth="1"/>
    <col min="10287" max="10287" width="9.140625" style="1"/>
    <col min="10288" max="10289" width="9.28515625" style="1" bestFit="1" customWidth="1"/>
    <col min="10290" max="10290" width="9.140625" style="1"/>
    <col min="10291" max="10291" width="9.28515625" style="1" bestFit="1" customWidth="1"/>
    <col min="10292" max="10294" width="9.140625" style="1"/>
    <col min="10295" max="10297" width="9.28515625" style="1" bestFit="1" customWidth="1"/>
    <col min="10298" max="10300" width="9.140625" style="1"/>
    <col min="10301" max="10302" width="9.28515625" style="1" bestFit="1" customWidth="1"/>
    <col min="10303" max="10303" width="9.140625" style="1"/>
    <col min="10304" max="10305" width="9.28515625" style="1" bestFit="1" customWidth="1"/>
    <col min="10306" max="10306" width="9.140625" style="1"/>
    <col min="10307" max="10307" width="9.28515625" style="1" bestFit="1" customWidth="1"/>
    <col min="10308" max="10310" width="9.140625" style="1"/>
    <col min="10311" max="10313" width="9.28515625" style="1" bestFit="1" customWidth="1"/>
    <col min="10314" max="10316" width="9.140625" style="1"/>
    <col min="10317" max="10318" width="9.28515625" style="1" bestFit="1" customWidth="1"/>
    <col min="10319" max="10319" width="9.140625" style="1"/>
    <col min="10320" max="10321" width="9.28515625" style="1" bestFit="1" customWidth="1"/>
    <col min="10322" max="10322" width="9.140625" style="1"/>
    <col min="10323" max="10323" width="9.28515625" style="1" bestFit="1" customWidth="1"/>
    <col min="10324" max="10326" width="9.140625" style="1"/>
    <col min="10327" max="10329" width="9.28515625" style="1" bestFit="1" customWidth="1"/>
    <col min="10330" max="10332" width="9.140625" style="1"/>
    <col min="10333" max="10334" width="9.28515625" style="1" bestFit="1" customWidth="1"/>
    <col min="10335" max="10335" width="9.140625" style="1"/>
    <col min="10336" max="10337" width="9.28515625" style="1" bestFit="1" customWidth="1"/>
    <col min="10338" max="10338" width="9.140625" style="1"/>
    <col min="10339" max="10339" width="9.28515625" style="1" bestFit="1" customWidth="1"/>
    <col min="10340" max="10342" width="9.140625" style="1"/>
    <col min="10343" max="10345" width="9.28515625" style="1" bestFit="1" customWidth="1"/>
    <col min="10346" max="10348" width="9.140625" style="1"/>
    <col min="10349" max="10350" width="9.28515625" style="1" bestFit="1" customWidth="1"/>
    <col min="10351" max="10351" width="9.140625" style="1"/>
    <col min="10352" max="10353" width="9.28515625" style="1" bestFit="1" customWidth="1"/>
    <col min="10354" max="10354" width="9.140625" style="1"/>
    <col min="10355" max="10355" width="9.28515625" style="1" bestFit="1" customWidth="1"/>
    <col min="10356" max="10358" width="9.140625" style="1"/>
    <col min="10359" max="10361" width="9.28515625" style="1" bestFit="1" customWidth="1"/>
    <col min="10362" max="10364" width="9.140625" style="1"/>
    <col min="10365" max="10366" width="9.28515625" style="1" bestFit="1" customWidth="1"/>
    <col min="10367" max="10367" width="9.140625" style="1"/>
    <col min="10368" max="10369" width="9.28515625" style="1" bestFit="1" customWidth="1"/>
    <col min="10370" max="10370" width="9.140625" style="1"/>
    <col min="10371" max="10371" width="9.28515625" style="1" bestFit="1" customWidth="1"/>
    <col min="10372" max="10374" width="9.140625" style="1"/>
    <col min="10375" max="10377" width="9.28515625" style="1" bestFit="1" customWidth="1"/>
    <col min="10378" max="10380" width="9.140625" style="1"/>
    <col min="10381" max="10382" width="9.28515625" style="1" bestFit="1" customWidth="1"/>
    <col min="10383" max="10383" width="9.140625" style="1"/>
    <col min="10384" max="10385" width="9.28515625" style="1" bestFit="1" customWidth="1"/>
    <col min="10386" max="10386" width="9.140625" style="1"/>
    <col min="10387" max="10387" width="9.28515625" style="1" bestFit="1" customWidth="1"/>
    <col min="10388" max="10390" width="9.140625" style="1"/>
    <col min="10391" max="10393" width="9.28515625" style="1" bestFit="1" customWidth="1"/>
    <col min="10394" max="10396" width="9.140625" style="1"/>
    <col min="10397" max="10398" width="9.28515625" style="1" bestFit="1" customWidth="1"/>
    <col min="10399" max="10399" width="9.140625" style="1"/>
    <col min="10400" max="10401" width="9.28515625" style="1" bestFit="1" customWidth="1"/>
    <col min="10402" max="10402" width="9.140625" style="1"/>
    <col min="10403" max="10403" width="9.28515625" style="1" bestFit="1" customWidth="1"/>
    <col min="10404" max="10406" width="9.140625" style="1"/>
    <col min="10407" max="10409" width="9.28515625" style="1" bestFit="1" customWidth="1"/>
    <col min="10410" max="10412" width="9.140625" style="1"/>
    <col min="10413" max="10414" width="9.28515625" style="1" bestFit="1" customWidth="1"/>
    <col min="10415" max="10415" width="9.140625" style="1"/>
    <col min="10416" max="10417" width="9.28515625" style="1" bestFit="1" customWidth="1"/>
    <col min="10418" max="10418" width="9.140625" style="1"/>
    <col min="10419" max="10419" width="9.28515625" style="1" bestFit="1" customWidth="1"/>
    <col min="10420" max="10422" width="9.140625" style="1"/>
    <col min="10423" max="10425" width="9.28515625" style="1" bestFit="1" customWidth="1"/>
    <col min="10426" max="10428" width="9.140625" style="1"/>
    <col min="10429" max="10430" width="9.28515625" style="1" bestFit="1" customWidth="1"/>
    <col min="10431" max="10431" width="9.140625" style="1"/>
    <col min="10432" max="10433" width="9.28515625" style="1" bestFit="1" customWidth="1"/>
    <col min="10434" max="10434" width="9.140625" style="1"/>
    <col min="10435" max="10435" width="9.28515625" style="1" bestFit="1" customWidth="1"/>
    <col min="10436" max="10438" width="9.140625" style="1"/>
    <col min="10439" max="10441" width="9.28515625" style="1" bestFit="1" customWidth="1"/>
    <col min="10442" max="10444" width="9.140625" style="1"/>
    <col min="10445" max="10446" width="9.28515625" style="1" bestFit="1" customWidth="1"/>
    <col min="10447" max="10447" width="9.140625" style="1"/>
    <col min="10448" max="10449" width="9.28515625" style="1" bestFit="1" customWidth="1"/>
    <col min="10450" max="10450" width="9.140625" style="1"/>
    <col min="10451" max="10451" width="9.28515625" style="1" bestFit="1" customWidth="1"/>
    <col min="10452" max="10454" width="9.140625" style="1"/>
    <col min="10455" max="10457" width="9.28515625" style="1" bestFit="1" customWidth="1"/>
    <col min="10458" max="10460" width="9.140625" style="1"/>
    <col min="10461" max="10462" width="9.28515625" style="1" bestFit="1" customWidth="1"/>
    <col min="10463" max="10463" width="9.140625" style="1"/>
    <col min="10464" max="10465" width="9.28515625" style="1" bestFit="1" customWidth="1"/>
    <col min="10466" max="10466" width="9.140625" style="1"/>
    <col min="10467" max="10467" width="9.28515625" style="1" bestFit="1" customWidth="1"/>
    <col min="10468" max="10470" width="9.140625" style="1"/>
    <col min="10471" max="10473" width="9.28515625" style="1" bestFit="1" customWidth="1"/>
    <col min="10474" max="10476" width="9.140625" style="1"/>
    <col min="10477" max="10478" width="9.28515625" style="1" bestFit="1" customWidth="1"/>
    <col min="10479" max="10479" width="9.140625" style="1"/>
    <col min="10480" max="10481" width="9.28515625" style="1" bestFit="1" customWidth="1"/>
    <col min="10482" max="10482" width="9.140625" style="1"/>
    <col min="10483" max="10483" width="9.28515625" style="1" bestFit="1" customWidth="1"/>
    <col min="10484" max="10486" width="9.140625" style="1"/>
    <col min="10487" max="10489" width="9.28515625" style="1" bestFit="1" customWidth="1"/>
    <col min="10490" max="10492" width="9.140625" style="1"/>
    <col min="10493" max="10494" width="9.28515625" style="1" bestFit="1" customWidth="1"/>
    <col min="10495" max="10495" width="9.140625" style="1"/>
    <col min="10496" max="10497" width="9.28515625" style="1" bestFit="1" customWidth="1"/>
    <col min="10498" max="10498" width="9.140625" style="1"/>
    <col min="10499" max="10499" width="9.28515625" style="1" bestFit="1" customWidth="1"/>
    <col min="10500" max="10502" width="9.140625" style="1"/>
    <col min="10503" max="10505" width="9.28515625" style="1" bestFit="1" customWidth="1"/>
    <col min="10506" max="10508" width="9.140625" style="1"/>
    <col min="10509" max="10510" width="9.28515625" style="1" bestFit="1" customWidth="1"/>
    <col min="10511" max="10511" width="9.140625" style="1"/>
    <col min="10512" max="10513" width="9.28515625" style="1" bestFit="1" customWidth="1"/>
    <col min="10514" max="10514" width="9.140625" style="1"/>
    <col min="10515" max="10515" width="9.28515625" style="1" bestFit="1" customWidth="1"/>
    <col min="10516" max="10518" width="9.140625" style="1"/>
    <col min="10519" max="10521" width="9.28515625" style="1" bestFit="1" customWidth="1"/>
    <col min="10522" max="10524" width="9.140625" style="1"/>
    <col min="10525" max="10526" width="9.28515625" style="1" bestFit="1" customWidth="1"/>
    <col min="10527" max="10527" width="9.140625" style="1"/>
    <col min="10528" max="10529" width="9.28515625" style="1" bestFit="1" customWidth="1"/>
    <col min="10530" max="10530" width="9.140625" style="1"/>
    <col min="10531" max="10531" width="9.28515625" style="1" bestFit="1" customWidth="1"/>
    <col min="10532" max="10534" width="9.140625" style="1"/>
    <col min="10535" max="10537" width="9.28515625" style="1" bestFit="1" customWidth="1"/>
    <col min="10538" max="10540" width="9.140625" style="1"/>
    <col min="10541" max="10542" width="9.28515625" style="1" bestFit="1" customWidth="1"/>
    <col min="10543" max="10543" width="9.140625" style="1"/>
    <col min="10544" max="10545" width="9.28515625" style="1" bestFit="1" customWidth="1"/>
    <col min="10546" max="10546" width="9.140625" style="1"/>
    <col min="10547" max="10547" width="9.28515625" style="1" bestFit="1" customWidth="1"/>
    <col min="10548" max="10550" width="9.140625" style="1"/>
    <col min="10551" max="10553" width="9.28515625" style="1" bestFit="1" customWidth="1"/>
    <col min="10554" max="10556" width="9.140625" style="1"/>
    <col min="10557" max="10558" width="9.28515625" style="1" bestFit="1" customWidth="1"/>
    <col min="10559" max="10559" width="9.140625" style="1"/>
    <col min="10560" max="10561" width="9.28515625" style="1" bestFit="1" customWidth="1"/>
    <col min="10562" max="10562" width="9.140625" style="1"/>
    <col min="10563" max="10563" width="9.28515625" style="1" bestFit="1" customWidth="1"/>
    <col min="10564" max="10566" width="9.140625" style="1"/>
    <col min="10567" max="10569" width="9.28515625" style="1" bestFit="1" customWidth="1"/>
    <col min="10570" max="10572" width="9.140625" style="1"/>
    <col min="10573" max="10574" width="9.28515625" style="1" bestFit="1" customWidth="1"/>
    <col min="10575" max="10575" width="9.140625" style="1"/>
    <col min="10576" max="10577" width="9.28515625" style="1" bestFit="1" customWidth="1"/>
    <col min="10578" max="10578" width="9.140625" style="1"/>
    <col min="10579" max="10579" width="9.28515625" style="1" bestFit="1" customWidth="1"/>
    <col min="10580" max="10582" width="9.140625" style="1"/>
    <col min="10583" max="10585" width="9.28515625" style="1" bestFit="1" customWidth="1"/>
    <col min="10586" max="10588" width="9.140625" style="1"/>
    <col min="10589" max="10590" width="9.28515625" style="1" bestFit="1" customWidth="1"/>
    <col min="10591" max="10591" width="9.140625" style="1"/>
    <col min="10592" max="10593" width="9.28515625" style="1" bestFit="1" customWidth="1"/>
    <col min="10594" max="10594" width="9.140625" style="1"/>
    <col min="10595" max="10595" width="9.28515625" style="1" bestFit="1" customWidth="1"/>
    <col min="10596" max="10598" width="9.140625" style="1"/>
    <col min="10599" max="10601" width="9.28515625" style="1" bestFit="1" customWidth="1"/>
    <col min="10602" max="10604" width="9.140625" style="1"/>
    <col min="10605" max="10606" width="9.28515625" style="1" bestFit="1" customWidth="1"/>
    <col min="10607" max="10607" width="9.140625" style="1"/>
    <col min="10608" max="10609" width="9.28515625" style="1" bestFit="1" customWidth="1"/>
    <col min="10610" max="10610" width="9.140625" style="1"/>
    <col min="10611" max="10611" width="9.28515625" style="1" bestFit="1" customWidth="1"/>
    <col min="10612" max="10614" width="9.140625" style="1"/>
    <col min="10615" max="10617" width="9.28515625" style="1" bestFit="1" customWidth="1"/>
    <col min="10618" max="10620" width="9.140625" style="1"/>
    <col min="10621" max="10622" width="9.28515625" style="1" bestFit="1" customWidth="1"/>
    <col min="10623" max="10623" width="9.140625" style="1"/>
    <col min="10624" max="10625" width="9.28515625" style="1" bestFit="1" customWidth="1"/>
    <col min="10626" max="10626" width="9.140625" style="1"/>
    <col min="10627" max="10627" width="9.28515625" style="1" bestFit="1" customWidth="1"/>
    <col min="10628" max="10630" width="9.140625" style="1"/>
    <col min="10631" max="10633" width="9.28515625" style="1" bestFit="1" customWidth="1"/>
    <col min="10634" max="10636" width="9.140625" style="1"/>
    <col min="10637" max="10638" width="9.28515625" style="1" bestFit="1" customWidth="1"/>
    <col min="10639" max="10639" width="9.140625" style="1"/>
    <col min="10640" max="10641" width="9.28515625" style="1" bestFit="1" customWidth="1"/>
    <col min="10642" max="10642" width="9.140625" style="1"/>
    <col min="10643" max="10643" width="9.28515625" style="1" bestFit="1" customWidth="1"/>
    <col min="10644" max="10646" width="9.140625" style="1"/>
    <col min="10647" max="10649" width="9.28515625" style="1" bestFit="1" customWidth="1"/>
    <col min="10650" max="10652" width="9.140625" style="1"/>
    <col min="10653" max="10654" width="9.28515625" style="1" bestFit="1" customWidth="1"/>
    <col min="10655" max="10655" width="9.140625" style="1"/>
    <col min="10656" max="10657" width="9.28515625" style="1" bestFit="1" customWidth="1"/>
    <col min="10658" max="10658" width="9.140625" style="1"/>
    <col min="10659" max="10659" width="9.28515625" style="1" bestFit="1" customWidth="1"/>
    <col min="10660" max="10662" width="9.140625" style="1"/>
    <col min="10663" max="10665" width="9.28515625" style="1" bestFit="1" customWidth="1"/>
    <col min="10666" max="10668" width="9.140625" style="1"/>
    <col min="10669" max="10670" width="9.28515625" style="1" bestFit="1" customWidth="1"/>
    <col min="10671" max="10671" width="9.140625" style="1"/>
    <col min="10672" max="10673" width="9.28515625" style="1" bestFit="1" customWidth="1"/>
    <col min="10674" max="10674" width="9.140625" style="1"/>
    <col min="10675" max="10675" width="9.28515625" style="1" bestFit="1" customWidth="1"/>
    <col min="10676" max="10678" width="9.140625" style="1"/>
    <col min="10679" max="10681" width="9.28515625" style="1" bestFit="1" customWidth="1"/>
    <col min="10682" max="10684" width="9.140625" style="1"/>
    <col min="10685" max="10686" width="9.28515625" style="1" bestFit="1" customWidth="1"/>
    <col min="10687" max="10687" width="9.140625" style="1"/>
    <col min="10688" max="10689" width="9.28515625" style="1" bestFit="1" customWidth="1"/>
    <col min="10690" max="10690" width="9.140625" style="1"/>
    <col min="10691" max="10691" width="9.28515625" style="1" bestFit="1" customWidth="1"/>
    <col min="10692" max="10694" width="9.140625" style="1"/>
    <col min="10695" max="10697" width="9.28515625" style="1" bestFit="1" customWidth="1"/>
    <col min="10698" max="10700" width="9.140625" style="1"/>
    <col min="10701" max="10702" width="9.28515625" style="1" bestFit="1" customWidth="1"/>
    <col min="10703" max="10703" width="9.140625" style="1"/>
    <col min="10704" max="10705" width="9.28515625" style="1" bestFit="1" customWidth="1"/>
    <col min="10706" max="10706" width="9.140625" style="1"/>
    <col min="10707" max="10707" width="9.28515625" style="1" bestFit="1" customWidth="1"/>
    <col min="10708" max="10710" width="9.140625" style="1"/>
    <col min="10711" max="10713" width="9.28515625" style="1" bestFit="1" customWidth="1"/>
    <col min="10714" max="10716" width="9.140625" style="1"/>
    <col min="10717" max="10718" width="9.28515625" style="1" bestFit="1" customWidth="1"/>
    <col min="10719" max="10719" width="9.140625" style="1"/>
    <col min="10720" max="10721" width="9.28515625" style="1" bestFit="1" customWidth="1"/>
    <col min="10722" max="10722" width="9.140625" style="1"/>
    <col min="10723" max="10723" width="9.28515625" style="1" bestFit="1" customWidth="1"/>
    <col min="10724" max="10726" width="9.140625" style="1"/>
    <col min="10727" max="10729" width="9.28515625" style="1" bestFit="1" customWidth="1"/>
    <col min="10730" max="10732" width="9.140625" style="1"/>
    <col min="10733" max="10734" width="9.28515625" style="1" bestFit="1" customWidth="1"/>
    <col min="10735" max="10735" width="9.140625" style="1"/>
    <col min="10736" max="10737" width="9.28515625" style="1" bestFit="1" customWidth="1"/>
    <col min="10738" max="10738" width="9.140625" style="1"/>
    <col min="10739" max="10739" width="9.28515625" style="1" bestFit="1" customWidth="1"/>
    <col min="10740" max="10742" width="9.140625" style="1"/>
    <col min="10743" max="10745" width="9.28515625" style="1" bestFit="1" customWidth="1"/>
    <col min="10746" max="10748" width="9.140625" style="1"/>
    <col min="10749" max="10750" width="9.28515625" style="1" bestFit="1" customWidth="1"/>
    <col min="10751" max="10751" width="9.140625" style="1"/>
    <col min="10752" max="10753" width="9.28515625" style="1" bestFit="1" customWidth="1"/>
    <col min="10754" max="10754" width="9.140625" style="1"/>
    <col min="10755" max="10755" width="9.28515625" style="1" bestFit="1" customWidth="1"/>
    <col min="10756" max="10758" width="9.140625" style="1"/>
    <col min="10759" max="10761" width="9.28515625" style="1" bestFit="1" customWidth="1"/>
    <col min="10762" max="10764" width="9.140625" style="1"/>
    <col min="10765" max="10766" width="9.28515625" style="1" bestFit="1" customWidth="1"/>
    <col min="10767" max="10767" width="9.140625" style="1"/>
    <col min="10768" max="10769" width="9.28515625" style="1" bestFit="1" customWidth="1"/>
    <col min="10770" max="10770" width="9.140625" style="1"/>
    <col min="10771" max="10771" width="9.28515625" style="1" bestFit="1" customWidth="1"/>
    <col min="10772" max="10774" width="9.140625" style="1"/>
    <col min="10775" max="10777" width="9.28515625" style="1" bestFit="1" customWidth="1"/>
    <col min="10778" max="10780" width="9.140625" style="1"/>
    <col min="10781" max="10782" width="9.28515625" style="1" bestFit="1" customWidth="1"/>
    <col min="10783" max="10783" width="9.140625" style="1"/>
    <col min="10784" max="10785" width="9.28515625" style="1" bestFit="1" customWidth="1"/>
    <col min="10786" max="10786" width="9.140625" style="1"/>
    <col min="10787" max="10787" width="9.28515625" style="1" bestFit="1" customWidth="1"/>
    <col min="10788" max="10790" width="9.140625" style="1"/>
    <col min="10791" max="10793" width="9.28515625" style="1" bestFit="1" customWidth="1"/>
    <col min="10794" max="10796" width="9.140625" style="1"/>
    <col min="10797" max="10798" width="9.28515625" style="1" bestFit="1" customWidth="1"/>
    <col min="10799" max="10799" width="9.140625" style="1"/>
    <col min="10800" max="10801" width="9.28515625" style="1" bestFit="1" customWidth="1"/>
    <col min="10802" max="10802" width="9.140625" style="1"/>
    <col min="10803" max="10803" width="9.28515625" style="1" bestFit="1" customWidth="1"/>
    <col min="10804" max="10806" width="9.140625" style="1"/>
    <col min="10807" max="10809" width="9.28515625" style="1" bestFit="1" customWidth="1"/>
    <col min="10810" max="10812" width="9.140625" style="1"/>
    <col min="10813" max="10814" width="9.28515625" style="1" bestFit="1" customWidth="1"/>
    <col min="10815" max="10815" width="9.140625" style="1"/>
    <col min="10816" max="10817" width="9.28515625" style="1" bestFit="1" customWidth="1"/>
    <col min="10818" max="10818" width="9.140625" style="1"/>
    <col min="10819" max="10819" width="9.28515625" style="1" bestFit="1" customWidth="1"/>
    <col min="10820" max="10822" width="9.140625" style="1"/>
    <col min="10823" max="10825" width="9.28515625" style="1" bestFit="1" customWidth="1"/>
    <col min="10826" max="10828" width="9.140625" style="1"/>
    <col min="10829" max="10830" width="9.28515625" style="1" bestFit="1" customWidth="1"/>
    <col min="10831" max="10831" width="9.140625" style="1"/>
    <col min="10832" max="10833" width="9.28515625" style="1" bestFit="1" customWidth="1"/>
    <col min="10834" max="10834" width="9.140625" style="1"/>
    <col min="10835" max="10835" width="9.28515625" style="1" bestFit="1" customWidth="1"/>
    <col min="10836" max="10838" width="9.140625" style="1"/>
    <col min="10839" max="10841" width="9.28515625" style="1" bestFit="1" customWidth="1"/>
    <col min="10842" max="10844" width="9.140625" style="1"/>
    <col min="10845" max="10846" width="9.28515625" style="1" bestFit="1" customWidth="1"/>
    <col min="10847" max="10847" width="9.140625" style="1"/>
    <col min="10848" max="10849" width="9.28515625" style="1" bestFit="1" customWidth="1"/>
    <col min="10850" max="10850" width="9.140625" style="1"/>
    <col min="10851" max="10851" width="9.28515625" style="1" bestFit="1" customWidth="1"/>
    <col min="10852" max="10854" width="9.140625" style="1"/>
    <col min="10855" max="10857" width="9.28515625" style="1" bestFit="1" customWidth="1"/>
    <col min="10858" max="10860" width="9.140625" style="1"/>
    <col min="10861" max="10862" width="9.28515625" style="1" bestFit="1" customWidth="1"/>
    <col min="10863" max="10863" width="9.140625" style="1"/>
    <col min="10864" max="10865" width="9.28515625" style="1" bestFit="1" customWidth="1"/>
    <col min="10866" max="10866" width="9.140625" style="1"/>
    <col min="10867" max="10867" width="9.28515625" style="1" bestFit="1" customWidth="1"/>
    <col min="10868" max="10870" width="9.140625" style="1"/>
    <col min="10871" max="10873" width="9.28515625" style="1" bestFit="1" customWidth="1"/>
    <col min="10874" max="10876" width="9.140625" style="1"/>
    <col min="10877" max="10878" width="9.28515625" style="1" bestFit="1" customWidth="1"/>
    <col min="10879" max="10879" width="9.140625" style="1"/>
    <col min="10880" max="10881" width="9.28515625" style="1" bestFit="1" customWidth="1"/>
    <col min="10882" max="10882" width="9.140625" style="1"/>
    <col min="10883" max="10883" width="9.28515625" style="1" bestFit="1" customWidth="1"/>
    <col min="10884" max="10886" width="9.140625" style="1"/>
    <col min="10887" max="10889" width="9.28515625" style="1" bestFit="1" customWidth="1"/>
    <col min="10890" max="10892" width="9.140625" style="1"/>
    <col min="10893" max="10894" width="9.28515625" style="1" bestFit="1" customWidth="1"/>
    <col min="10895" max="10895" width="9.140625" style="1"/>
    <col min="10896" max="10897" width="9.28515625" style="1" bestFit="1" customWidth="1"/>
    <col min="10898" max="10898" width="9.140625" style="1"/>
    <col min="10899" max="10899" width="9.28515625" style="1" bestFit="1" customWidth="1"/>
    <col min="10900" max="10902" width="9.140625" style="1"/>
    <col min="10903" max="10905" width="9.28515625" style="1" bestFit="1" customWidth="1"/>
    <col min="10906" max="10908" width="9.140625" style="1"/>
    <col min="10909" max="10910" width="9.28515625" style="1" bestFit="1" customWidth="1"/>
    <col min="10911" max="10911" width="9.140625" style="1"/>
    <col min="10912" max="10913" width="9.28515625" style="1" bestFit="1" customWidth="1"/>
    <col min="10914" max="10914" width="9.140625" style="1"/>
    <col min="10915" max="10915" width="9.28515625" style="1" bestFit="1" customWidth="1"/>
    <col min="10916" max="10918" width="9.140625" style="1"/>
    <col min="10919" max="10921" width="9.28515625" style="1" bestFit="1" customWidth="1"/>
    <col min="10922" max="10924" width="9.140625" style="1"/>
    <col min="10925" max="10926" width="9.28515625" style="1" bestFit="1" customWidth="1"/>
    <col min="10927" max="10927" width="9.140625" style="1"/>
    <col min="10928" max="10929" width="9.28515625" style="1" bestFit="1" customWidth="1"/>
    <col min="10930" max="10930" width="9.140625" style="1"/>
    <col min="10931" max="10931" width="9.28515625" style="1" bestFit="1" customWidth="1"/>
    <col min="10932" max="10934" width="9.140625" style="1"/>
    <col min="10935" max="10937" width="9.28515625" style="1" bestFit="1" customWidth="1"/>
    <col min="10938" max="10940" width="9.140625" style="1"/>
    <col min="10941" max="10942" width="9.28515625" style="1" bestFit="1" customWidth="1"/>
    <col min="10943" max="10943" width="9.140625" style="1"/>
    <col min="10944" max="10945" width="9.28515625" style="1" bestFit="1" customWidth="1"/>
    <col min="10946" max="10946" width="9.140625" style="1"/>
    <col min="10947" max="10947" width="9.28515625" style="1" bestFit="1" customWidth="1"/>
    <col min="10948" max="10950" width="9.140625" style="1"/>
    <col min="10951" max="10953" width="9.28515625" style="1" bestFit="1" customWidth="1"/>
    <col min="10954" max="10956" width="9.140625" style="1"/>
    <col min="10957" max="10958" width="9.28515625" style="1" bestFit="1" customWidth="1"/>
    <col min="10959" max="10959" width="9.140625" style="1"/>
    <col min="10960" max="10961" width="9.28515625" style="1" bestFit="1" customWidth="1"/>
    <col min="10962" max="10962" width="9.140625" style="1"/>
    <col min="10963" max="10963" width="9.28515625" style="1" bestFit="1" customWidth="1"/>
    <col min="10964" max="10966" width="9.140625" style="1"/>
    <col min="10967" max="10969" width="9.28515625" style="1" bestFit="1" customWidth="1"/>
    <col min="10970" max="10972" width="9.140625" style="1"/>
    <col min="10973" max="10974" width="9.28515625" style="1" bestFit="1" customWidth="1"/>
    <col min="10975" max="10975" width="9.140625" style="1"/>
    <col min="10976" max="10977" width="9.28515625" style="1" bestFit="1" customWidth="1"/>
    <col min="10978" max="10978" width="9.140625" style="1"/>
    <col min="10979" max="10979" width="9.28515625" style="1" bestFit="1" customWidth="1"/>
    <col min="10980" max="10982" width="9.140625" style="1"/>
    <col min="10983" max="10985" width="9.28515625" style="1" bestFit="1" customWidth="1"/>
    <col min="10986" max="10988" width="9.140625" style="1"/>
    <col min="10989" max="10990" width="9.28515625" style="1" bestFit="1" customWidth="1"/>
    <col min="10991" max="10991" width="9.140625" style="1"/>
    <col min="10992" max="10993" width="9.28515625" style="1" bestFit="1" customWidth="1"/>
    <col min="10994" max="10994" width="9.140625" style="1"/>
    <col min="10995" max="10995" width="9.28515625" style="1" bestFit="1" customWidth="1"/>
    <col min="10996" max="10998" width="9.140625" style="1"/>
    <col min="10999" max="11001" width="9.28515625" style="1" bestFit="1" customWidth="1"/>
    <col min="11002" max="11004" width="9.140625" style="1"/>
    <col min="11005" max="11006" width="9.28515625" style="1" bestFit="1" customWidth="1"/>
    <col min="11007" max="11007" width="9.140625" style="1"/>
    <col min="11008" max="11009" width="9.28515625" style="1" bestFit="1" customWidth="1"/>
    <col min="11010" max="11010" width="9.140625" style="1"/>
    <col min="11011" max="11011" width="9.28515625" style="1" bestFit="1" customWidth="1"/>
    <col min="11012" max="11014" width="9.140625" style="1"/>
    <col min="11015" max="11017" width="9.28515625" style="1" bestFit="1" customWidth="1"/>
    <col min="11018" max="11020" width="9.140625" style="1"/>
    <col min="11021" max="11022" width="9.28515625" style="1" bestFit="1" customWidth="1"/>
    <col min="11023" max="11023" width="9.140625" style="1"/>
    <col min="11024" max="11025" width="9.28515625" style="1" bestFit="1" customWidth="1"/>
    <col min="11026" max="11026" width="9.140625" style="1"/>
    <col min="11027" max="11027" width="9.28515625" style="1" bestFit="1" customWidth="1"/>
    <col min="11028" max="11030" width="9.140625" style="1"/>
    <col min="11031" max="11033" width="9.28515625" style="1" bestFit="1" customWidth="1"/>
    <col min="11034" max="11036" width="9.140625" style="1"/>
    <col min="11037" max="11038" width="9.28515625" style="1" bestFit="1" customWidth="1"/>
    <col min="11039" max="11039" width="9.140625" style="1"/>
    <col min="11040" max="11041" width="9.28515625" style="1" bestFit="1" customWidth="1"/>
    <col min="11042" max="11042" width="9.140625" style="1"/>
    <col min="11043" max="11043" width="9.28515625" style="1" bestFit="1" customWidth="1"/>
    <col min="11044" max="11046" width="9.140625" style="1"/>
    <col min="11047" max="11049" width="9.28515625" style="1" bestFit="1" customWidth="1"/>
    <col min="11050" max="11052" width="9.140625" style="1"/>
    <col min="11053" max="11054" width="9.28515625" style="1" bestFit="1" customWidth="1"/>
    <col min="11055" max="11055" width="9.140625" style="1"/>
    <col min="11056" max="11057" width="9.28515625" style="1" bestFit="1" customWidth="1"/>
    <col min="11058" max="11058" width="9.140625" style="1"/>
    <col min="11059" max="11059" width="9.28515625" style="1" bestFit="1" customWidth="1"/>
    <col min="11060" max="11062" width="9.140625" style="1"/>
    <col min="11063" max="11065" width="9.28515625" style="1" bestFit="1" customWidth="1"/>
    <col min="11066" max="11068" width="9.140625" style="1"/>
    <col min="11069" max="11070" width="9.28515625" style="1" bestFit="1" customWidth="1"/>
    <col min="11071" max="11071" width="9.140625" style="1"/>
    <col min="11072" max="11073" width="9.28515625" style="1" bestFit="1" customWidth="1"/>
    <col min="11074" max="11074" width="9.140625" style="1"/>
    <col min="11075" max="11075" width="9.28515625" style="1" bestFit="1" customWidth="1"/>
    <col min="11076" max="11078" width="9.140625" style="1"/>
    <col min="11079" max="11081" width="9.28515625" style="1" bestFit="1" customWidth="1"/>
    <col min="11082" max="11084" width="9.140625" style="1"/>
    <col min="11085" max="11086" width="9.28515625" style="1" bestFit="1" customWidth="1"/>
    <col min="11087" max="11087" width="9.140625" style="1"/>
    <col min="11088" max="11089" width="9.28515625" style="1" bestFit="1" customWidth="1"/>
    <col min="11090" max="11090" width="9.140625" style="1"/>
    <col min="11091" max="11091" width="9.28515625" style="1" bestFit="1" customWidth="1"/>
    <col min="11092" max="11094" width="9.140625" style="1"/>
    <col min="11095" max="11097" width="9.28515625" style="1" bestFit="1" customWidth="1"/>
    <col min="11098" max="11100" width="9.140625" style="1"/>
    <col min="11101" max="11102" width="9.28515625" style="1" bestFit="1" customWidth="1"/>
    <col min="11103" max="11103" width="9.140625" style="1"/>
    <col min="11104" max="11105" width="9.28515625" style="1" bestFit="1" customWidth="1"/>
    <col min="11106" max="11106" width="9.140625" style="1"/>
    <col min="11107" max="11107" width="9.28515625" style="1" bestFit="1" customWidth="1"/>
    <col min="11108" max="11110" width="9.140625" style="1"/>
    <col min="11111" max="11113" width="9.28515625" style="1" bestFit="1" customWidth="1"/>
    <col min="11114" max="11116" width="9.140625" style="1"/>
    <col min="11117" max="11118" width="9.28515625" style="1" bestFit="1" customWidth="1"/>
    <col min="11119" max="11119" width="9.140625" style="1"/>
    <col min="11120" max="11121" width="9.28515625" style="1" bestFit="1" customWidth="1"/>
    <col min="11122" max="11122" width="9.140625" style="1"/>
    <col min="11123" max="11123" width="9.28515625" style="1" bestFit="1" customWidth="1"/>
    <col min="11124" max="11126" width="9.140625" style="1"/>
    <col min="11127" max="11129" width="9.28515625" style="1" bestFit="1" customWidth="1"/>
    <col min="11130" max="11132" width="9.140625" style="1"/>
    <col min="11133" max="11134" width="9.28515625" style="1" bestFit="1" customWidth="1"/>
    <col min="11135" max="11135" width="9.140625" style="1"/>
    <col min="11136" max="11137" width="9.28515625" style="1" bestFit="1" customWidth="1"/>
    <col min="11138" max="11138" width="9.140625" style="1"/>
    <col min="11139" max="11139" width="9.28515625" style="1" bestFit="1" customWidth="1"/>
    <col min="11140" max="11142" width="9.140625" style="1"/>
    <col min="11143" max="11145" width="9.28515625" style="1" bestFit="1" customWidth="1"/>
    <col min="11146" max="11148" width="9.140625" style="1"/>
    <col min="11149" max="11150" width="9.28515625" style="1" bestFit="1" customWidth="1"/>
    <col min="11151" max="11151" width="9.140625" style="1"/>
    <col min="11152" max="11153" width="9.28515625" style="1" bestFit="1" customWidth="1"/>
    <col min="11154" max="11154" width="9.140625" style="1"/>
    <col min="11155" max="11155" width="9.28515625" style="1" bestFit="1" customWidth="1"/>
    <col min="11156" max="11158" width="9.140625" style="1"/>
    <col min="11159" max="11161" width="9.28515625" style="1" bestFit="1" customWidth="1"/>
    <col min="11162" max="11164" width="9.140625" style="1"/>
    <col min="11165" max="11166" width="9.28515625" style="1" bestFit="1" customWidth="1"/>
    <col min="11167" max="11167" width="9.140625" style="1"/>
    <col min="11168" max="11169" width="9.28515625" style="1" bestFit="1" customWidth="1"/>
    <col min="11170" max="11170" width="9.140625" style="1"/>
    <col min="11171" max="11171" width="9.28515625" style="1" bestFit="1" customWidth="1"/>
    <col min="11172" max="11174" width="9.140625" style="1"/>
    <col min="11175" max="11177" width="9.28515625" style="1" bestFit="1" customWidth="1"/>
    <col min="11178" max="11180" width="9.140625" style="1"/>
    <col min="11181" max="11182" width="9.28515625" style="1" bestFit="1" customWidth="1"/>
    <col min="11183" max="11183" width="9.140625" style="1"/>
    <col min="11184" max="11185" width="9.28515625" style="1" bestFit="1" customWidth="1"/>
    <col min="11186" max="11186" width="9.140625" style="1"/>
    <col min="11187" max="11187" width="9.28515625" style="1" bestFit="1" customWidth="1"/>
    <col min="11188" max="11190" width="9.140625" style="1"/>
    <col min="11191" max="11193" width="9.28515625" style="1" bestFit="1" customWidth="1"/>
    <col min="11194" max="11196" width="9.140625" style="1"/>
    <col min="11197" max="11198" width="9.28515625" style="1" bestFit="1" customWidth="1"/>
    <col min="11199" max="11199" width="9.140625" style="1"/>
    <col min="11200" max="11201" width="9.28515625" style="1" bestFit="1" customWidth="1"/>
    <col min="11202" max="11202" width="9.140625" style="1"/>
    <col min="11203" max="11203" width="9.28515625" style="1" bestFit="1" customWidth="1"/>
    <col min="11204" max="11206" width="9.140625" style="1"/>
    <col min="11207" max="11209" width="9.28515625" style="1" bestFit="1" customWidth="1"/>
    <col min="11210" max="11212" width="9.140625" style="1"/>
    <col min="11213" max="11214" width="9.28515625" style="1" bestFit="1" customWidth="1"/>
    <col min="11215" max="11215" width="9.140625" style="1"/>
    <col min="11216" max="11217" width="9.28515625" style="1" bestFit="1" customWidth="1"/>
    <col min="11218" max="11218" width="9.140625" style="1"/>
    <col min="11219" max="11219" width="9.28515625" style="1" bestFit="1" customWidth="1"/>
    <col min="11220" max="11222" width="9.140625" style="1"/>
    <col min="11223" max="11225" width="9.28515625" style="1" bestFit="1" customWidth="1"/>
    <col min="11226" max="11228" width="9.140625" style="1"/>
    <col min="11229" max="11230" width="9.28515625" style="1" bestFit="1" customWidth="1"/>
    <col min="11231" max="11231" width="9.140625" style="1"/>
    <col min="11232" max="11233" width="9.28515625" style="1" bestFit="1" customWidth="1"/>
    <col min="11234" max="11234" width="9.140625" style="1"/>
    <col min="11235" max="11235" width="9.28515625" style="1" bestFit="1" customWidth="1"/>
    <col min="11236" max="11238" width="9.140625" style="1"/>
    <col min="11239" max="11241" width="9.28515625" style="1" bestFit="1" customWidth="1"/>
    <col min="11242" max="11244" width="9.140625" style="1"/>
    <col min="11245" max="11246" width="9.28515625" style="1" bestFit="1" customWidth="1"/>
    <col min="11247" max="11247" width="9.140625" style="1"/>
    <col min="11248" max="11249" width="9.28515625" style="1" bestFit="1" customWidth="1"/>
    <col min="11250" max="11250" width="9.140625" style="1"/>
    <col min="11251" max="11251" width="9.28515625" style="1" bestFit="1" customWidth="1"/>
    <col min="11252" max="11254" width="9.140625" style="1"/>
    <col min="11255" max="11257" width="9.28515625" style="1" bestFit="1" customWidth="1"/>
    <col min="11258" max="11260" width="9.140625" style="1"/>
    <col min="11261" max="11262" width="9.28515625" style="1" bestFit="1" customWidth="1"/>
    <col min="11263" max="11263" width="9.140625" style="1"/>
    <col min="11264" max="11265" width="9.28515625" style="1" bestFit="1" customWidth="1"/>
    <col min="11266" max="11266" width="9.140625" style="1"/>
    <col min="11267" max="11267" width="9.28515625" style="1" bestFit="1" customWidth="1"/>
    <col min="11268" max="11270" width="9.140625" style="1"/>
    <col min="11271" max="11273" width="9.28515625" style="1" bestFit="1" customWidth="1"/>
    <col min="11274" max="11276" width="9.140625" style="1"/>
    <col min="11277" max="11278" width="9.28515625" style="1" bestFit="1" customWidth="1"/>
    <col min="11279" max="11279" width="9.140625" style="1"/>
    <col min="11280" max="11281" width="9.28515625" style="1" bestFit="1" customWidth="1"/>
    <col min="11282" max="11282" width="9.140625" style="1"/>
    <col min="11283" max="11283" width="9.28515625" style="1" bestFit="1" customWidth="1"/>
    <col min="11284" max="11286" width="9.140625" style="1"/>
    <col min="11287" max="11289" width="9.28515625" style="1" bestFit="1" customWidth="1"/>
    <col min="11290" max="11292" width="9.140625" style="1"/>
    <col min="11293" max="11294" width="9.28515625" style="1" bestFit="1" customWidth="1"/>
    <col min="11295" max="11295" width="9.140625" style="1"/>
    <col min="11296" max="11297" width="9.28515625" style="1" bestFit="1" customWidth="1"/>
    <col min="11298" max="11298" width="9.140625" style="1"/>
    <col min="11299" max="11299" width="9.28515625" style="1" bestFit="1" customWidth="1"/>
    <col min="11300" max="11302" width="9.140625" style="1"/>
    <col min="11303" max="11305" width="9.28515625" style="1" bestFit="1" customWidth="1"/>
    <col min="11306" max="11308" width="9.140625" style="1"/>
    <col min="11309" max="11310" width="9.28515625" style="1" bestFit="1" customWidth="1"/>
    <col min="11311" max="11311" width="9.140625" style="1"/>
    <col min="11312" max="11313" width="9.28515625" style="1" bestFit="1" customWidth="1"/>
    <col min="11314" max="11314" width="9.140625" style="1"/>
    <col min="11315" max="11315" width="9.28515625" style="1" bestFit="1" customWidth="1"/>
    <col min="11316" max="11318" width="9.140625" style="1"/>
    <col min="11319" max="11321" width="9.28515625" style="1" bestFit="1" customWidth="1"/>
    <col min="11322" max="11324" width="9.140625" style="1"/>
    <col min="11325" max="11326" width="9.28515625" style="1" bestFit="1" customWidth="1"/>
    <col min="11327" max="11327" width="9.140625" style="1"/>
    <col min="11328" max="11329" width="9.28515625" style="1" bestFit="1" customWidth="1"/>
    <col min="11330" max="11330" width="9.140625" style="1"/>
    <col min="11331" max="11331" width="9.28515625" style="1" bestFit="1" customWidth="1"/>
    <col min="11332" max="11334" width="9.140625" style="1"/>
    <col min="11335" max="11337" width="9.28515625" style="1" bestFit="1" customWidth="1"/>
    <col min="11338" max="11340" width="9.140625" style="1"/>
    <col min="11341" max="11342" width="9.28515625" style="1" bestFit="1" customWidth="1"/>
    <col min="11343" max="11343" width="9.140625" style="1"/>
    <col min="11344" max="11345" width="9.28515625" style="1" bestFit="1" customWidth="1"/>
    <col min="11346" max="11346" width="9.140625" style="1"/>
    <col min="11347" max="11347" width="9.28515625" style="1" bestFit="1" customWidth="1"/>
    <col min="11348" max="11350" width="9.140625" style="1"/>
    <col min="11351" max="11353" width="9.28515625" style="1" bestFit="1" customWidth="1"/>
    <col min="11354" max="11356" width="9.140625" style="1"/>
    <col min="11357" max="11358" width="9.28515625" style="1" bestFit="1" customWidth="1"/>
    <col min="11359" max="11359" width="9.140625" style="1"/>
    <col min="11360" max="11361" width="9.28515625" style="1" bestFit="1" customWidth="1"/>
    <col min="11362" max="11362" width="9.140625" style="1"/>
    <col min="11363" max="11363" width="9.28515625" style="1" bestFit="1" customWidth="1"/>
    <col min="11364" max="11366" width="9.140625" style="1"/>
    <col min="11367" max="11369" width="9.28515625" style="1" bestFit="1" customWidth="1"/>
    <col min="11370" max="11372" width="9.140625" style="1"/>
    <col min="11373" max="11374" width="9.28515625" style="1" bestFit="1" customWidth="1"/>
    <col min="11375" max="11375" width="9.140625" style="1"/>
    <col min="11376" max="11377" width="9.28515625" style="1" bestFit="1" customWidth="1"/>
    <col min="11378" max="11378" width="9.140625" style="1"/>
    <col min="11379" max="11379" width="9.28515625" style="1" bestFit="1" customWidth="1"/>
    <col min="11380" max="11382" width="9.140625" style="1"/>
    <col min="11383" max="11385" width="9.28515625" style="1" bestFit="1" customWidth="1"/>
    <col min="11386" max="11388" width="9.140625" style="1"/>
    <col min="11389" max="11390" width="9.28515625" style="1" bestFit="1" customWidth="1"/>
    <col min="11391" max="11391" width="9.140625" style="1"/>
    <col min="11392" max="11393" width="9.28515625" style="1" bestFit="1" customWidth="1"/>
    <col min="11394" max="11394" width="9.140625" style="1"/>
    <col min="11395" max="11395" width="9.28515625" style="1" bestFit="1" customWidth="1"/>
    <col min="11396" max="11398" width="9.140625" style="1"/>
    <col min="11399" max="11401" width="9.28515625" style="1" bestFit="1" customWidth="1"/>
    <col min="11402" max="11404" width="9.140625" style="1"/>
    <col min="11405" max="11406" width="9.28515625" style="1" bestFit="1" customWidth="1"/>
    <col min="11407" max="11407" width="9.140625" style="1"/>
    <col min="11408" max="11409" width="9.28515625" style="1" bestFit="1" customWidth="1"/>
    <col min="11410" max="11410" width="9.140625" style="1"/>
    <col min="11411" max="11411" width="9.28515625" style="1" bestFit="1" customWidth="1"/>
    <col min="11412" max="11414" width="9.140625" style="1"/>
    <col min="11415" max="11417" width="9.28515625" style="1" bestFit="1" customWidth="1"/>
    <col min="11418" max="11420" width="9.140625" style="1"/>
    <col min="11421" max="11422" width="9.28515625" style="1" bestFit="1" customWidth="1"/>
    <col min="11423" max="11423" width="9.140625" style="1"/>
    <col min="11424" max="11425" width="9.28515625" style="1" bestFit="1" customWidth="1"/>
    <col min="11426" max="11426" width="9.140625" style="1"/>
    <col min="11427" max="11427" width="9.28515625" style="1" bestFit="1" customWidth="1"/>
    <col min="11428" max="11430" width="9.140625" style="1"/>
    <col min="11431" max="11433" width="9.28515625" style="1" bestFit="1" customWidth="1"/>
    <col min="11434" max="11436" width="9.140625" style="1"/>
    <col min="11437" max="11438" width="9.28515625" style="1" bestFit="1" customWidth="1"/>
    <col min="11439" max="11439" width="9.140625" style="1"/>
    <col min="11440" max="11441" width="9.28515625" style="1" bestFit="1" customWidth="1"/>
    <col min="11442" max="11442" width="9.140625" style="1"/>
    <col min="11443" max="11443" width="9.28515625" style="1" bestFit="1" customWidth="1"/>
    <col min="11444" max="11446" width="9.140625" style="1"/>
    <col min="11447" max="11449" width="9.28515625" style="1" bestFit="1" customWidth="1"/>
    <col min="11450" max="11452" width="9.140625" style="1"/>
    <col min="11453" max="11454" width="9.28515625" style="1" bestFit="1" customWidth="1"/>
    <col min="11455" max="11455" width="9.140625" style="1"/>
    <col min="11456" max="11457" width="9.28515625" style="1" bestFit="1" customWidth="1"/>
    <col min="11458" max="11458" width="9.140625" style="1"/>
    <col min="11459" max="11459" width="9.28515625" style="1" bestFit="1" customWidth="1"/>
    <col min="11460" max="11462" width="9.140625" style="1"/>
    <col min="11463" max="11465" width="9.28515625" style="1" bestFit="1" customWidth="1"/>
    <col min="11466" max="11468" width="9.140625" style="1"/>
    <col min="11469" max="11470" width="9.28515625" style="1" bestFit="1" customWidth="1"/>
    <col min="11471" max="11471" width="9.140625" style="1"/>
    <col min="11472" max="11473" width="9.28515625" style="1" bestFit="1" customWidth="1"/>
    <col min="11474" max="11474" width="9.140625" style="1"/>
    <col min="11475" max="11475" width="9.28515625" style="1" bestFit="1" customWidth="1"/>
    <col min="11476" max="11478" width="9.140625" style="1"/>
    <col min="11479" max="11481" width="9.28515625" style="1" bestFit="1" customWidth="1"/>
    <col min="11482" max="11484" width="9.140625" style="1"/>
    <col min="11485" max="11486" width="9.28515625" style="1" bestFit="1" customWidth="1"/>
    <col min="11487" max="11487" width="9.140625" style="1"/>
    <col min="11488" max="11489" width="9.28515625" style="1" bestFit="1" customWidth="1"/>
    <col min="11490" max="11490" width="9.140625" style="1"/>
    <col min="11491" max="11491" width="9.28515625" style="1" bestFit="1" customWidth="1"/>
    <col min="11492" max="11494" width="9.140625" style="1"/>
    <col min="11495" max="11497" width="9.28515625" style="1" bestFit="1" customWidth="1"/>
    <col min="11498" max="11500" width="9.140625" style="1"/>
    <col min="11501" max="11502" width="9.28515625" style="1" bestFit="1" customWidth="1"/>
    <col min="11503" max="11503" width="9.140625" style="1"/>
    <col min="11504" max="11505" width="9.28515625" style="1" bestFit="1" customWidth="1"/>
    <col min="11506" max="11506" width="9.140625" style="1"/>
    <col min="11507" max="11507" width="9.28515625" style="1" bestFit="1" customWidth="1"/>
    <col min="11508" max="11510" width="9.140625" style="1"/>
    <col min="11511" max="11513" width="9.28515625" style="1" bestFit="1" customWidth="1"/>
    <col min="11514" max="11516" width="9.140625" style="1"/>
    <col min="11517" max="11518" width="9.28515625" style="1" bestFit="1" customWidth="1"/>
    <col min="11519" max="11519" width="9.140625" style="1"/>
    <col min="11520" max="11521" width="9.28515625" style="1" bestFit="1" customWidth="1"/>
    <col min="11522" max="11522" width="9.140625" style="1"/>
    <col min="11523" max="11523" width="9.28515625" style="1" bestFit="1" customWidth="1"/>
    <col min="11524" max="11526" width="9.140625" style="1"/>
    <col min="11527" max="11529" width="9.28515625" style="1" bestFit="1" customWidth="1"/>
    <col min="11530" max="11532" width="9.140625" style="1"/>
    <col min="11533" max="11534" width="9.28515625" style="1" bestFit="1" customWidth="1"/>
    <col min="11535" max="11535" width="9.140625" style="1"/>
    <col min="11536" max="11537" width="9.28515625" style="1" bestFit="1" customWidth="1"/>
    <col min="11538" max="11538" width="9.140625" style="1"/>
    <col min="11539" max="11539" width="9.28515625" style="1" bestFit="1" customWidth="1"/>
    <col min="11540" max="11542" width="9.140625" style="1"/>
    <col min="11543" max="11545" width="9.28515625" style="1" bestFit="1" customWidth="1"/>
    <col min="11546" max="11548" width="9.140625" style="1"/>
    <col min="11549" max="11550" width="9.28515625" style="1" bestFit="1" customWidth="1"/>
    <col min="11551" max="11551" width="9.140625" style="1"/>
    <col min="11552" max="11553" width="9.28515625" style="1" bestFit="1" customWidth="1"/>
    <col min="11554" max="11554" width="9.140625" style="1"/>
    <col min="11555" max="11555" width="9.28515625" style="1" bestFit="1" customWidth="1"/>
    <col min="11556" max="11558" width="9.140625" style="1"/>
    <col min="11559" max="11561" width="9.28515625" style="1" bestFit="1" customWidth="1"/>
    <col min="11562" max="11564" width="9.140625" style="1"/>
    <col min="11565" max="11566" width="9.28515625" style="1" bestFit="1" customWidth="1"/>
    <col min="11567" max="11567" width="9.140625" style="1"/>
    <col min="11568" max="11569" width="9.28515625" style="1" bestFit="1" customWidth="1"/>
    <col min="11570" max="11570" width="9.140625" style="1"/>
    <col min="11571" max="11571" width="9.28515625" style="1" bestFit="1" customWidth="1"/>
    <col min="11572" max="11574" width="9.140625" style="1"/>
    <col min="11575" max="11577" width="9.28515625" style="1" bestFit="1" customWidth="1"/>
    <col min="11578" max="11580" width="9.140625" style="1"/>
    <col min="11581" max="11582" width="9.28515625" style="1" bestFit="1" customWidth="1"/>
    <col min="11583" max="11583" width="9.140625" style="1"/>
    <col min="11584" max="11585" width="9.28515625" style="1" bestFit="1" customWidth="1"/>
    <col min="11586" max="11586" width="9.140625" style="1"/>
    <col min="11587" max="11587" width="9.28515625" style="1" bestFit="1" customWidth="1"/>
    <col min="11588" max="11590" width="9.140625" style="1"/>
    <col min="11591" max="11593" width="9.28515625" style="1" bestFit="1" customWidth="1"/>
    <col min="11594" max="11596" width="9.140625" style="1"/>
    <col min="11597" max="11598" width="9.28515625" style="1" bestFit="1" customWidth="1"/>
    <col min="11599" max="11599" width="9.140625" style="1"/>
    <col min="11600" max="11601" width="9.28515625" style="1" bestFit="1" customWidth="1"/>
    <col min="11602" max="11602" width="9.140625" style="1"/>
    <col min="11603" max="11603" width="9.28515625" style="1" bestFit="1" customWidth="1"/>
    <col min="11604" max="11606" width="9.140625" style="1"/>
    <col min="11607" max="11609" width="9.28515625" style="1" bestFit="1" customWidth="1"/>
    <col min="11610" max="11612" width="9.140625" style="1"/>
    <col min="11613" max="11614" width="9.28515625" style="1" bestFit="1" customWidth="1"/>
    <col min="11615" max="11615" width="9.140625" style="1"/>
    <col min="11616" max="11617" width="9.28515625" style="1" bestFit="1" customWidth="1"/>
    <col min="11618" max="11618" width="9.140625" style="1"/>
    <col min="11619" max="11619" width="9.28515625" style="1" bestFit="1" customWidth="1"/>
    <col min="11620" max="11622" width="9.140625" style="1"/>
    <col min="11623" max="11625" width="9.28515625" style="1" bestFit="1" customWidth="1"/>
    <col min="11626" max="11628" width="9.140625" style="1"/>
    <col min="11629" max="11630" width="9.28515625" style="1" bestFit="1" customWidth="1"/>
    <col min="11631" max="11631" width="9.140625" style="1"/>
    <col min="11632" max="11633" width="9.28515625" style="1" bestFit="1" customWidth="1"/>
    <col min="11634" max="11634" width="9.140625" style="1"/>
    <col min="11635" max="11635" width="9.28515625" style="1" bestFit="1" customWidth="1"/>
    <col min="11636" max="11638" width="9.140625" style="1"/>
    <col min="11639" max="11641" width="9.28515625" style="1" bestFit="1" customWidth="1"/>
    <col min="11642" max="11644" width="9.140625" style="1"/>
    <col min="11645" max="11646" width="9.28515625" style="1" bestFit="1" customWidth="1"/>
    <col min="11647" max="11647" width="9.140625" style="1"/>
    <col min="11648" max="11649" width="9.28515625" style="1" bestFit="1" customWidth="1"/>
    <col min="11650" max="11650" width="9.140625" style="1"/>
    <col min="11651" max="11651" width="9.28515625" style="1" bestFit="1" customWidth="1"/>
    <col min="11652" max="11654" width="9.140625" style="1"/>
    <col min="11655" max="11657" width="9.28515625" style="1" bestFit="1" customWidth="1"/>
    <col min="11658" max="11660" width="9.140625" style="1"/>
    <col min="11661" max="11662" width="9.28515625" style="1" bestFit="1" customWidth="1"/>
    <col min="11663" max="11663" width="9.140625" style="1"/>
    <col min="11664" max="11665" width="9.28515625" style="1" bestFit="1" customWidth="1"/>
    <col min="11666" max="11666" width="9.140625" style="1"/>
    <col min="11667" max="11667" width="9.28515625" style="1" bestFit="1" customWidth="1"/>
    <col min="11668" max="11670" width="9.140625" style="1"/>
    <col min="11671" max="11673" width="9.28515625" style="1" bestFit="1" customWidth="1"/>
    <col min="11674" max="11676" width="9.140625" style="1"/>
    <col min="11677" max="11678" width="9.28515625" style="1" bestFit="1" customWidth="1"/>
    <col min="11679" max="11679" width="9.140625" style="1"/>
    <col min="11680" max="11681" width="9.28515625" style="1" bestFit="1" customWidth="1"/>
    <col min="11682" max="11682" width="9.140625" style="1"/>
    <col min="11683" max="11683" width="9.28515625" style="1" bestFit="1" customWidth="1"/>
    <col min="11684" max="11686" width="9.140625" style="1"/>
    <col min="11687" max="11689" width="9.28515625" style="1" bestFit="1" customWidth="1"/>
    <col min="11690" max="11692" width="9.140625" style="1"/>
    <col min="11693" max="11694" width="9.28515625" style="1" bestFit="1" customWidth="1"/>
    <col min="11695" max="11695" width="9.140625" style="1"/>
    <col min="11696" max="11697" width="9.28515625" style="1" bestFit="1" customWidth="1"/>
    <col min="11698" max="11698" width="9.140625" style="1"/>
    <col min="11699" max="11699" width="9.28515625" style="1" bestFit="1" customWidth="1"/>
    <col min="11700" max="11702" width="9.140625" style="1"/>
    <col min="11703" max="11705" width="9.28515625" style="1" bestFit="1" customWidth="1"/>
    <col min="11706" max="11708" width="9.140625" style="1"/>
    <col min="11709" max="11710" width="9.28515625" style="1" bestFit="1" customWidth="1"/>
    <col min="11711" max="11711" width="9.140625" style="1"/>
    <col min="11712" max="11713" width="9.28515625" style="1" bestFit="1" customWidth="1"/>
    <col min="11714" max="11714" width="9.140625" style="1"/>
    <col min="11715" max="11715" width="9.28515625" style="1" bestFit="1" customWidth="1"/>
    <col min="11716" max="11718" width="9.140625" style="1"/>
    <col min="11719" max="11721" width="9.28515625" style="1" bestFit="1" customWidth="1"/>
    <col min="11722" max="11724" width="9.140625" style="1"/>
    <col min="11725" max="11726" width="9.28515625" style="1" bestFit="1" customWidth="1"/>
    <col min="11727" max="11727" width="9.140625" style="1"/>
    <col min="11728" max="11729" width="9.28515625" style="1" bestFit="1" customWidth="1"/>
    <col min="11730" max="11730" width="9.140625" style="1"/>
    <col min="11731" max="11731" width="9.28515625" style="1" bestFit="1" customWidth="1"/>
    <col min="11732" max="11734" width="9.140625" style="1"/>
    <col min="11735" max="11737" width="9.28515625" style="1" bestFit="1" customWidth="1"/>
    <col min="11738" max="11740" width="9.140625" style="1"/>
    <col min="11741" max="11742" width="9.28515625" style="1" bestFit="1" customWidth="1"/>
    <col min="11743" max="11743" width="9.140625" style="1"/>
    <col min="11744" max="11745" width="9.28515625" style="1" bestFit="1" customWidth="1"/>
    <col min="11746" max="11746" width="9.140625" style="1"/>
    <col min="11747" max="11747" width="9.28515625" style="1" bestFit="1" customWidth="1"/>
    <col min="11748" max="11750" width="9.140625" style="1"/>
    <col min="11751" max="11753" width="9.28515625" style="1" bestFit="1" customWidth="1"/>
    <col min="11754" max="11756" width="9.140625" style="1"/>
    <col min="11757" max="11758" width="9.28515625" style="1" bestFit="1" customWidth="1"/>
    <col min="11759" max="11759" width="9.140625" style="1"/>
    <col min="11760" max="11761" width="9.28515625" style="1" bestFit="1" customWidth="1"/>
    <col min="11762" max="11762" width="9.140625" style="1"/>
    <col min="11763" max="11763" width="9.28515625" style="1" bestFit="1" customWidth="1"/>
    <col min="11764" max="11766" width="9.140625" style="1"/>
    <col min="11767" max="11769" width="9.28515625" style="1" bestFit="1" customWidth="1"/>
    <col min="11770" max="11772" width="9.140625" style="1"/>
    <col min="11773" max="11774" width="9.28515625" style="1" bestFit="1" customWidth="1"/>
    <col min="11775" max="11775" width="9.140625" style="1"/>
    <col min="11776" max="11777" width="9.28515625" style="1" bestFit="1" customWidth="1"/>
    <col min="11778" max="11778" width="9.140625" style="1"/>
    <col min="11779" max="11779" width="9.28515625" style="1" bestFit="1" customWidth="1"/>
    <col min="11780" max="11782" width="9.140625" style="1"/>
    <col min="11783" max="11785" width="9.28515625" style="1" bestFit="1" customWidth="1"/>
    <col min="11786" max="11788" width="9.140625" style="1"/>
    <col min="11789" max="11790" width="9.28515625" style="1" bestFit="1" customWidth="1"/>
    <col min="11791" max="11791" width="9.140625" style="1"/>
    <col min="11792" max="11793" width="9.28515625" style="1" bestFit="1" customWidth="1"/>
    <col min="11794" max="11794" width="9.140625" style="1"/>
    <col min="11795" max="11795" width="9.28515625" style="1" bestFit="1" customWidth="1"/>
    <col min="11796" max="11798" width="9.140625" style="1"/>
    <col min="11799" max="11801" width="9.28515625" style="1" bestFit="1" customWidth="1"/>
    <col min="11802" max="11804" width="9.140625" style="1"/>
    <col min="11805" max="11806" width="9.28515625" style="1" bestFit="1" customWidth="1"/>
    <col min="11807" max="11807" width="9.140625" style="1"/>
    <col min="11808" max="11809" width="9.28515625" style="1" bestFit="1" customWidth="1"/>
    <col min="11810" max="11810" width="9.140625" style="1"/>
    <col min="11811" max="11811" width="9.28515625" style="1" bestFit="1" customWidth="1"/>
    <col min="11812" max="11814" width="9.140625" style="1"/>
    <col min="11815" max="11817" width="9.28515625" style="1" bestFit="1" customWidth="1"/>
    <col min="11818" max="11820" width="9.140625" style="1"/>
    <col min="11821" max="11822" width="9.28515625" style="1" bestFit="1" customWidth="1"/>
    <col min="11823" max="11823" width="9.140625" style="1"/>
    <col min="11824" max="11825" width="9.28515625" style="1" bestFit="1" customWidth="1"/>
    <col min="11826" max="11826" width="9.140625" style="1"/>
    <col min="11827" max="11827" width="9.28515625" style="1" bestFit="1" customWidth="1"/>
    <col min="11828" max="11830" width="9.140625" style="1"/>
    <col min="11831" max="11833" width="9.28515625" style="1" bestFit="1" customWidth="1"/>
    <col min="11834" max="11836" width="9.140625" style="1"/>
    <col min="11837" max="11838" width="9.28515625" style="1" bestFit="1" customWidth="1"/>
    <col min="11839" max="11839" width="9.140625" style="1"/>
    <col min="11840" max="11841" width="9.28515625" style="1" bestFit="1" customWidth="1"/>
    <col min="11842" max="11842" width="9.140625" style="1"/>
    <col min="11843" max="11843" width="9.28515625" style="1" bestFit="1" customWidth="1"/>
    <col min="11844" max="11846" width="9.140625" style="1"/>
    <col min="11847" max="11849" width="9.28515625" style="1" bestFit="1" customWidth="1"/>
    <col min="11850" max="11852" width="9.140625" style="1"/>
    <col min="11853" max="11854" width="9.28515625" style="1" bestFit="1" customWidth="1"/>
    <col min="11855" max="11855" width="9.140625" style="1"/>
    <col min="11856" max="11857" width="9.28515625" style="1" bestFit="1" customWidth="1"/>
    <col min="11858" max="11858" width="9.140625" style="1"/>
    <col min="11859" max="11859" width="9.28515625" style="1" bestFit="1" customWidth="1"/>
    <col min="11860" max="11862" width="9.140625" style="1"/>
    <col min="11863" max="11865" width="9.28515625" style="1" bestFit="1" customWidth="1"/>
    <col min="11866" max="11868" width="9.140625" style="1"/>
    <col min="11869" max="11870" width="9.28515625" style="1" bestFit="1" customWidth="1"/>
    <col min="11871" max="11871" width="9.140625" style="1"/>
    <col min="11872" max="11873" width="9.28515625" style="1" bestFit="1" customWidth="1"/>
    <col min="11874" max="11874" width="9.140625" style="1"/>
    <col min="11875" max="11875" width="9.28515625" style="1" bestFit="1" customWidth="1"/>
    <col min="11876" max="11878" width="9.140625" style="1"/>
    <col min="11879" max="11881" width="9.28515625" style="1" bestFit="1" customWidth="1"/>
    <col min="11882" max="11884" width="9.140625" style="1"/>
    <col min="11885" max="11886" width="9.28515625" style="1" bestFit="1" customWidth="1"/>
    <col min="11887" max="11887" width="9.140625" style="1"/>
    <col min="11888" max="11889" width="9.28515625" style="1" bestFit="1" customWidth="1"/>
    <col min="11890" max="11890" width="9.140625" style="1"/>
    <col min="11891" max="11891" width="9.28515625" style="1" bestFit="1" customWidth="1"/>
    <col min="11892" max="11894" width="9.140625" style="1"/>
    <col min="11895" max="11897" width="9.28515625" style="1" bestFit="1" customWidth="1"/>
    <col min="11898" max="11900" width="9.140625" style="1"/>
    <col min="11901" max="11902" width="9.28515625" style="1" bestFit="1" customWidth="1"/>
    <col min="11903" max="11903" width="9.140625" style="1"/>
    <col min="11904" max="11905" width="9.28515625" style="1" bestFit="1" customWidth="1"/>
    <col min="11906" max="11906" width="9.140625" style="1"/>
    <col min="11907" max="11907" width="9.28515625" style="1" bestFit="1" customWidth="1"/>
    <col min="11908" max="11910" width="9.140625" style="1"/>
    <col min="11911" max="11913" width="9.28515625" style="1" bestFit="1" customWidth="1"/>
    <col min="11914" max="11916" width="9.140625" style="1"/>
    <col min="11917" max="11918" width="9.28515625" style="1" bestFit="1" customWidth="1"/>
    <col min="11919" max="11919" width="9.140625" style="1"/>
    <col min="11920" max="11921" width="9.28515625" style="1" bestFit="1" customWidth="1"/>
    <col min="11922" max="11922" width="9.140625" style="1"/>
    <col min="11923" max="11923" width="9.28515625" style="1" bestFit="1" customWidth="1"/>
    <col min="11924" max="11926" width="9.140625" style="1"/>
    <col min="11927" max="11929" width="9.28515625" style="1" bestFit="1" customWidth="1"/>
    <col min="11930" max="11932" width="9.140625" style="1"/>
    <col min="11933" max="11934" width="9.28515625" style="1" bestFit="1" customWidth="1"/>
    <col min="11935" max="11935" width="9.140625" style="1"/>
    <col min="11936" max="11937" width="9.28515625" style="1" bestFit="1" customWidth="1"/>
    <col min="11938" max="11938" width="9.140625" style="1"/>
    <col min="11939" max="11939" width="9.28515625" style="1" bestFit="1" customWidth="1"/>
    <col min="11940" max="11942" width="9.140625" style="1"/>
    <col min="11943" max="11945" width="9.28515625" style="1" bestFit="1" customWidth="1"/>
    <col min="11946" max="11948" width="9.140625" style="1"/>
    <col min="11949" max="11950" width="9.28515625" style="1" bestFit="1" customWidth="1"/>
    <col min="11951" max="11951" width="9.140625" style="1"/>
    <col min="11952" max="11953" width="9.28515625" style="1" bestFit="1" customWidth="1"/>
    <col min="11954" max="11954" width="9.140625" style="1"/>
    <col min="11955" max="11955" width="9.28515625" style="1" bestFit="1" customWidth="1"/>
    <col min="11956" max="11958" width="9.140625" style="1"/>
    <col min="11959" max="11961" width="9.28515625" style="1" bestFit="1" customWidth="1"/>
    <col min="11962" max="11964" width="9.140625" style="1"/>
    <col min="11965" max="11966" width="9.28515625" style="1" bestFit="1" customWidth="1"/>
    <col min="11967" max="11967" width="9.140625" style="1"/>
    <col min="11968" max="11969" width="9.28515625" style="1" bestFit="1" customWidth="1"/>
    <col min="11970" max="11970" width="9.140625" style="1"/>
    <col min="11971" max="11971" width="9.28515625" style="1" bestFit="1" customWidth="1"/>
    <col min="11972" max="11974" width="9.140625" style="1"/>
    <col min="11975" max="11977" width="9.28515625" style="1" bestFit="1" customWidth="1"/>
    <col min="11978" max="11980" width="9.140625" style="1"/>
    <col min="11981" max="11982" width="9.28515625" style="1" bestFit="1" customWidth="1"/>
    <col min="11983" max="11983" width="9.140625" style="1"/>
    <col min="11984" max="11985" width="9.28515625" style="1" bestFit="1" customWidth="1"/>
    <col min="11986" max="11986" width="9.140625" style="1"/>
    <col min="11987" max="11987" width="9.28515625" style="1" bestFit="1" customWidth="1"/>
    <col min="11988" max="11990" width="9.140625" style="1"/>
    <col min="11991" max="11993" width="9.28515625" style="1" bestFit="1" customWidth="1"/>
    <col min="11994" max="11996" width="9.140625" style="1"/>
    <col min="11997" max="11998" width="9.28515625" style="1" bestFit="1" customWidth="1"/>
    <col min="11999" max="11999" width="9.140625" style="1"/>
    <col min="12000" max="12001" width="9.28515625" style="1" bestFit="1" customWidth="1"/>
    <col min="12002" max="12002" width="9.140625" style="1"/>
    <col min="12003" max="12003" width="9.28515625" style="1" bestFit="1" customWidth="1"/>
    <col min="12004" max="12006" width="9.140625" style="1"/>
    <col min="12007" max="12009" width="9.28515625" style="1" bestFit="1" customWidth="1"/>
    <col min="12010" max="12012" width="9.140625" style="1"/>
    <col min="12013" max="12014" width="9.28515625" style="1" bestFit="1" customWidth="1"/>
    <col min="12015" max="12015" width="9.140625" style="1"/>
    <col min="12016" max="12017" width="9.28515625" style="1" bestFit="1" customWidth="1"/>
    <col min="12018" max="12018" width="9.140625" style="1"/>
    <col min="12019" max="12019" width="9.28515625" style="1" bestFit="1" customWidth="1"/>
    <col min="12020" max="12022" width="9.140625" style="1"/>
    <col min="12023" max="12025" width="9.28515625" style="1" bestFit="1" customWidth="1"/>
    <col min="12026" max="12028" width="9.140625" style="1"/>
    <col min="12029" max="12030" width="9.28515625" style="1" bestFit="1" customWidth="1"/>
    <col min="12031" max="12031" width="9.140625" style="1"/>
    <col min="12032" max="12033" width="9.28515625" style="1" bestFit="1" customWidth="1"/>
    <col min="12034" max="12034" width="9.140625" style="1"/>
    <col min="12035" max="12035" width="9.28515625" style="1" bestFit="1" customWidth="1"/>
    <col min="12036" max="12038" width="9.140625" style="1"/>
    <col min="12039" max="12041" width="9.28515625" style="1" bestFit="1" customWidth="1"/>
    <col min="12042" max="12044" width="9.140625" style="1"/>
    <col min="12045" max="12046" width="9.28515625" style="1" bestFit="1" customWidth="1"/>
    <col min="12047" max="12047" width="9.140625" style="1"/>
    <col min="12048" max="12049" width="9.28515625" style="1" bestFit="1" customWidth="1"/>
    <col min="12050" max="12050" width="9.140625" style="1"/>
    <col min="12051" max="12051" width="9.28515625" style="1" bestFit="1" customWidth="1"/>
    <col min="12052" max="12054" width="9.140625" style="1"/>
    <col min="12055" max="12057" width="9.28515625" style="1" bestFit="1" customWidth="1"/>
    <col min="12058" max="12060" width="9.140625" style="1"/>
    <col min="12061" max="12062" width="9.28515625" style="1" bestFit="1" customWidth="1"/>
    <col min="12063" max="12063" width="9.140625" style="1"/>
    <col min="12064" max="12065" width="9.28515625" style="1" bestFit="1" customWidth="1"/>
    <col min="12066" max="12066" width="9.140625" style="1"/>
    <col min="12067" max="12067" width="9.28515625" style="1" bestFit="1" customWidth="1"/>
    <col min="12068" max="12070" width="9.140625" style="1"/>
    <col min="12071" max="12073" width="9.28515625" style="1" bestFit="1" customWidth="1"/>
    <col min="12074" max="12076" width="9.140625" style="1"/>
    <col min="12077" max="12078" width="9.28515625" style="1" bestFit="1" customWidth="1"/>
    <col min="12079" max="12079" width="9.140625" style="1"/>
    <col min="12080" max="12081" width="9.28515625" style="1" bestFit="1" customWidth="1"/>
    <col min="12082" max="12082" width="9.140625" style="1"/>
    <col min="12083" max="12083" width="9.28515625" style="1" bestFit="1" customWidth="1"/>
    <col min="12084" max="12086" width="9.140625" style="1"/>
    <col min="12087" max="12089" width="9.28515625" style="1" bestFit="1" customWidth="1"/>
    <col min="12090" max="12092" width="9.140625" style="1"/>
    <col min="12093" max="12094" width="9.28515625" style="1" bestFit="1" customWidth="1"/>
    <col min="12095" max="12095" width="9.140625" style="1"/>
    <col min="12096" max="12097" width="9.28515625" style="1" bestFit="1" customWidth="1"/>
    <col min="12098" max="12098" width="9.140625" style="1"/>
    <col min="12099" max="12099" width="9.28515625" style="1" bestFit="1" customWidth="1"/>
    <col min="12100" max="12102" width="9.140625" style="1"/>
    <col min="12103" max="12105" width="9.28515625" style="1" bestFit="1" customWidth="1"/>
    <col min="12106" max="12108" width="9.140625" style="1"/>
    <col min="12109" max="12110" width="9.28515625" style="1" bestFit="1" customWidth="1"/>
    <col min="12111" max="12111" width="9.140625" style="1"/>
    <col min="12112" max="12113" width="9.28515625" style="1" bestFit="1" customWidth="1"/>
    <col min="12114" max="12114" width="9.140625" style="1"/>
    <col min="12115" max="12115" width="9.28515625" style="1" bestFit="1" customWidth="1"/>
    <col min="12116" max="12118" width="9.140625" style="1"/>
    <col min="12119" max="12121" width="9.28515625" style="1" bestFit="1" customWidth="1"/>
    <col min="12122" max="12124" width="9.140625" style="1"/>
    <col min="12125" max="12126" width="9.28515625" style="1" bestFit="1" customWidth="1"/>
    <col min="12127" max="12127" width="9.140625" style="1"/>
    <col min="12128" max="12129" width="9.28515625" style="1" bestFit="1" customWidth="1"/>
    <col min="12130" max="12130" width="9.140625" style="1"/>
    <col min="12131" max="12131" width="9.28515625" style="1" bestFit="1" customWidth="1"/>
    <col min="12132" max="12134" width="9.140625" style="1"/>
    <col min="12135" max="12137" width="9.28515625" style="1" bestFit="1" customWidth="1"/>
    <col min="12138" max="12140" width="9.140625" style="1"/>
    <col min="12141" max="12142" width="9.28515625" style="1" bestFit="1" customWidth="1"/>
    <col min="12143" max="12143" width="9.140625" style="1"/>
    <col min="12144" max="12145" width="9.28515625" style="1" bestFit="1" customWidth="1"/>
    <col min="12146" max="12146" width="9.140625" style="1"/>
    <col min="12147" max="12147" width="9.28515625" style="1" bestFit="1" customWidth="1"/>
    <col min="12148" max="12150" width="9.140625" style="1"/>
    <col min="12151" max="12153" width="9.28515625" style="1" bestFit="1" customWidth="1"/>
    <col min="12154" max="12156" width="9.140625" style="1"/>
    <col min="12157" max="12158" width="9.28515625" style="1" bestFit="1" customWidth="1"/>
    <col min="12159" max="12159" width="9.140625" style="1"/>
    <col min="12160" max="12161" width="9.28515625" style="1" bestFit="1" customWidth="1"/>
    <col min="12162" max="12162" width="9.140625" style="1"/>
    <col min="12163" max="12163" width="9.28515625" style="1" bestFit="1" customWidth="1"/>
    <col min="12164" max="12166" width="9.140625" style="1"/>
    <col min="12167" max="12169" width="9.28515625" style="1" bestFit="1" customWidth="1"/>
    <col min="12170" max="12172" width="9.140625" style="1"/>
    <col min="12173" max="12174" width="9.28515625" style="1" bestFit="1" customWidth="1"/>
    <col min="12175" max="12175" width="9.140625" style="1"/>
    <col min="12176" max="12177" width="9.28515625" style="1" bestFit="1" customWidth="1"/>
    <col min="12178" max="12178" width="9.140625" style="1"/>
    <col min="12179" max="12179" width="9.28515625" style="1" bestFit="1" customWidth="1"/>
    <col min="12180" max="12182" width="9.140625" style="1"/>
    <col min="12183" max="12185" width="9.28515625" style="1" bestFit="1" customWidth="1"/>
    <col min="12186" max="12188" width="9.140625" style="1"/>
    <col min="12189" max="12190" width="9.28515625" style="1" bestFit="1" customWidth="1"/>
    <col min="12191" max="12191" width="9.140625" style="1"/>
    <col min="12192" max="12193" width="9.28515625" style="1" bestFit="1" customWidth="1"/>
    <col min="12194" max="12194" width="9.140625" style="1"/>
    <col min="12195" max="12195" width="9.28515625" style="1" bestFit="1" customWidth="1"/>
    <col min="12196" max="12198" width="9.140625" style="1"/>
    <col min="12199" max="12201" width="9.28515625" style="1" bestFit="1" customWidth="1"/>
    <col min="12202" max="12204" width="9.140625" style="1"/>
    <col min="12205" max="12206" width="9.28515625" style="1" bestFit="1" customWidth="1"/>
    <col min="12207" max="12207" width="9.140625" style="1"/>
    <col min="12208" max="12209" width="9.28515625" style="1" bestFit="1" customWidth="1"/>
    <col min="12210" max="12210" width="9.140625" style="1"/>
    <col min="12211" max="12211" width="9.28515625" style="1" bestFit="1" customWidth="1"/>
    <col min="12212" max="12214" width="9.140625" style="1"/>
    <col min="12215" max="12217" width="9.28515625" style="1" bestFit="1" customWidth="1"/>
    <col min="12218" max="12220" width="9.140625" style="1"/>
    <col min="12221" max="12222" width="9.28515625" style="1" bestFit="1" customWidth="1"/>
    <col min="12223" max="12223" width="9.140625" style="1"/>
    <col min="12224" max="12225" width="9.28515625" style="1" bestFit="1" customWidth="1"/>
    <col min="12226" max="12226" width="9.140625" style="1"/>
    <col min="12227" max="12227" width="9.28515625" style="1" bestFit="1" customWidth="1"/>
    <col min="12228" max="12230" width="9.140625" style="1"/>
    <col min="12231" max="12233" width="9.28515625" style="1" bestFit="1" customWidth="1"/>
    <col min="12234" max="12236" width="9.140625" style="1"/>
    <col min="12237" max="12238" width="9.28515625" style="1" bestFit="1" customWidth="1"/>
    <col min="12239" max="12239" width="9.140625" style="1"/>
    <col min="12240" max="12241" width="9.28515625" style="1" bestFit="1" customWidth="1"/>
    <col min="12242" max="12242" width="9.140625" style="1"/>
    <col min="12243" max="12243" width="9.28515625" style="1" bestFit="1" customWidth="1"/>
    <col min="12244" max="12246" width="9.140625" style="1"/>
    <col min="12247" max="12249" width="9.28515625" style="1" bestFit="1" customWidth="1"/>
    <col min="12250" max="12252" width="9.140625" style="1"/>
    <col min="12253" max="12254" width="9.28515625" style="1" bestFit="1" customWidth="1"/>
    <col min="12255" max="12255" width="9.140625" style="1"/>
    <col min="12256" max="12257" width="9.28515625" style="1" bestFit="1" customWidth="1"/>
    <col min="12258" max="12258" width="9.140625" style="1"/>
    <col min="12259" max="12259" width="9.28515625" style="1" bestFit="1" customWidth="1"/>
    <col min="12260" max="12262" width="9.140625" style="1"/>
    <col min="12263" max="12265" width="9.28515625" style="1" bestFit="1" customWidth="1"/>
    <col min="12266" max="12268" width="9.140625" style="1"/>
    <col min="12269" max="12270" width="9.28515625" style="1" bestFit="1" customWidth="1"/>
    <col min="12271" max="12271" width="9.140625" style="1"/>
    <col min="12272" max="12273" width="9.28515625" style="1" bestFit="1" customWidth="1"/>
    <col min="12274" max="12274" width="9.140625" style="1"/>
    <col min="12275" max="12275" width="9.28515625" style="1" bestFit="1" customWidth="1"/>
    <col min="12276" max="12278" width="9.140625" style="1"/>
    <col min="12279" max="12281" width="9.28515625" style="1" bestFit="1" customWidth="1"/>
    <col min="12282" max="12284" width="9.140625" style="1"/>
    <col min="12285" max="12286" width="9.28515625" style="1" bestFit="1" customWidth="1"/>
    <col min="12287" max="12287" width="9.140625" style="1"/>
    <col min="12288" max="12289" width="9.28515625" style="1" bestFit="1" customWidth="1"/>
    <col min="12290" max="12290" width="9.140625" style="1"/>
    <col min="12291" max="12291" width="9.28515625" style="1" bestFit="1" customWidth="1"/>
    <col min="12292" max="12294" width="9.140625" style="1"/>
    <col min="12295" max="12297" width="9.28515625" style="1" bestFit="1" customWidth="1"/>
    <col min="12298" max="12300" width="9.140625" style="1"/>
    <col min="12301" max="12302" width="9.28515625" style="1" bestFit="1" customWidth="1"/>
    <col min="12303" max="12303" width="9.140625" style="1"/>
    <col min="12304" max="12305" width="9.28515625" style="1" bestFit="1" customWidth="1"/>
    <col min="12306" max="12306" width="9.140625" style="1"/>
    <col min="12307" max="12307" width="9.28515625" style="1" bestFit="1" customWidth="1"/>
    <col min="12308" max="12310" width="9.140625" style="1"/>
    <col min="12311" max="12313" width="9.28515625" style="1" bestFit="1" customWidth="1"/>
    <col min="12314" max="12316" width="9.140625" style="1"/>
    <col min="12317" max="12318" width="9.28515625" style="1" bestFit="1" customWidth="1"/>
    <col min="12319" max="12319" width="9.140625" style="1"/>
    <col min="12320" max="12321" width="9.28515625" style="1" bestFit="1" customWidth="1"/>
    <col min="12322" max="12322" width="9.140625" style="1"/>
    <col min="12323" max="12323" width="9.28515625" style="1" bestFit="1" customWidth="1"/>
    <col min="12324" max="12326" width="9.140625" style="1"/>
    <col min="12327" max="12329" width="9.28515625" style="1" bestFit="1" customWidth="1"/>
    <col min="12330" max="12332" width="9.140625" style="1"/>
    <col min="12333" max="12334" width="9.28515625" style="1" bestFit="1" customWidth="1"/>
    <col min="12335" max="12335" width="9.140625" style="1"/>
    <col min="12336" max="12337" width="9.28515625" style="1" bestFit="1" customWidth="1"/>
    <col min="12338" max="12338" width="9.140625" style="1"/>
    <col min="12339" max="12339" width="9.28515625" style="1" bestFit="1" customWidth="1"/>
    <col min="12340" max="12342" width="9.140625" style="1"/>
    <col min="12343" max="12345" width="9.28515625" style="1" bestFit="1" customWidth="1"/>
    <col min="12346" max="12348" width="9.140625" style="1"/>
    <col min="12349" max="12350" width="9.28515625" style="1" bestFit="1" customWidth="1"/>
    <col min="12351" max="12351" width="9.140625" style="1"/>
    <col min="12352" max="12353" width="9.28515625" style="1" bestFit="1" customWidth="1"/>
    <col min="12354" max="12354" width="9.140625" style="1"/>
    <col min="12355" max="12355" width="9.28515625" style="1" bestFit="1" customWidth="1"/>
    <col min="12356" max="12358" width="9.140625" style="1"/>
    <col min="12359" max="12361" width="9.28515625" style="1" bestFit="1" customWidth="1"/>
    <col min="12362" max="12364" width="9.140625" style="1"/>
    <col min="12365" max="12366" width="9.28515625" style="1" bestFit="1" customWidth="1"/>
    <col min="12367" max="12367" width="9.140625" style="1"/>
    <col min="12368" max="12369" width="9.28515625" style="1" bestFit="1" customWidth="1"/>
    <col min="12370" max="12370" width="9.140625" style="1"/>
    <col min="12371" max="12371" width="9.28515625" style="1" bestFit="1" customWidth="1"/>
    <col min="12372" max="12374" width="9.140625" style="1"/>
    <col min="12375" max="12377" width="9.28515625" style="1" bestFit="1" customWidth="1"/>
    <col min="12378" max="12380" width="9.140625" style="1"/>
    <col min="12381" max="12382" width="9.28515625" style="1" bestFit="1" customWidth="1"/>
    <col min="12383" max="12383" width="9.140625" style="1"/>
    <col min="12384" max="12385" width="9.28515625" style="1" bestFit="1" customWidth="1"/>
    <col min="12386" max="12386" width="9.140625" style="1"/>
    <col min="12387" max="12387" width="9.28515625" style="1" bestFit="1" customWidth="1"/>
    <col min="12388" max="12390" width="9.140625" style="1"/>
    <col min="12391" max="12393" width="9.28515625" style="1" bestFit="1" customWidth="1"/>
    <col min="12394" max="12396" width="9.140625" style="1"/>
    <col min="12397" max="12398" width="9.28515625" style="1" bestFit="1" customWidth="1"/>
    <col min="12399" max="12399" width="9.140625" style="1"/>
    <col min="12400" max="12401" width="9.28515625" style="1" bestFit="1" customWidth="1"/>
    <col min="12402" max="12402" width="9.140625" style="1"/>
    <col min="12403" max="12403" width="9.28515625" style="1" bestFit="1" customWidth="1"/>
    <col min="12404" max="12406" width="9.140625" style="1"/>
    <col min="12407" max="12409" width="9.28515625" style="1" bestFit="1" customWidth="1"/>
    <col min="12410" max="12412" width="9.140625" style="1"/>
    <col min="12413" max="12414" width="9.28515625" style="1" bestFit="1" customWidth="1"/>
    <col min="12415" max="12415" width="9.140625" style="1"/>
    <col min="12416" max="12417" width="9.28515625" style="1" bestFit="1" customWidth="1"/>
    <col min="12418" max="12418" width="9.140625" style="1"/>
    <col min="12419" max="12419" width="9.28515625" style="1" bestFit="1" customWidth="1"/>
    <col min="12420" max="12422" width="9.140625" style="1"/>
    <col min="12423" max="12425" width="9.28515625" style="1" bestFit="1" customWidth="1"/>
    <col min="12426" max="12428" width="9.140625" style="1"/>
    <col min="12429" max="12430" width="9.28515625" style="1" bestFit="1" customWidth="1"/>
    <col min="12431" max="12431" width="9.140625" style="1"/>
    <col min="12432" max="12433" width="9.28515625" style="1" bestFit="1" customWidth="1"/>
    <col min="12434" max="12434" width="9.140625" style="1"/>
    <col min="12435" max="12435" width="9.28515625" style="1" bestFit="1" customWidth="1"/>
    <col min="12436" max="12438" width="9.140625" style="1"/>
    <col min="12439" max="12441" width="9.28515625" style="1" bestFit="1" customWidth="1"/>
    <col min="12442" max="12444" width="9.140625" style="1"/>
    <col min="12445" max="12446" width="9.28515625" style="1" bestFit="1" customWidth="1"/>
    <col min="12447" max="12447" width="9.140625" style="1"/>
    <col min="12448" max="12449" width="9.28515625" style="1" bestFit="1" customWidth="1"/>
    <col min="12450" max="12450" width="9.140625" style="1"/>
    <col min="12451" max="12451" width="9.28515625" style="1" bestFit="1" customWidth="1"/>
    <col min="12452" max="12454" width="9.140625" style="1"/>
    <col min="12455" max="12457" width="9.28515625" style="1" bestFit="1" customWidth="1"/>
    <col min="12458" max="12460" width="9.140625" style="1"/>
    <col min="12461" max="12462" width="9.28515625" style="1" bestFit="1" customWidth="1"/>
    <col min="12463" max="12463" width="9.140625" style="1"/>
    <col min="12464" max="12465" width="9.28515625" style="1" bestFit="1" customWidth="1"/>
    <col min="12466" max="12466" width="9.140625" style="1"/>
    <col min="12467" max="12467" width="9.28515625" style="1" bestFit="1" customWidth="1"/>
    <col min="12468" max="12470" width="9.140625" style="1"/>
    <col min="12471" max="12473" width="9.28515625" style="1" bestFit="1" customWidth="1"/>
    <col min="12474" max="12476" width="9.140625" style="1"/>
    <col min="12477" max="12478" width="9.28515625" style="1" bestFit="1" customWidth="1"/>
    <col min="12479" max="12479" width="9.140625" style="1"/>
    <col min="12480" max="12481" width="9.28515625" style="1" bestFit="1" customWidth="1"/>
    <col min="12482" max="12482" width="9.140625" style="1"/>
    <col min="12483" max="12483" width="9.28515625" style="1" bestFit="1" customWidth="1"/>
    <col min="12484" max="12486" width="9.140625" style="1"/>
    <col min="12487" max="12489" width="9.28515625" style="1" bestFit="1" customWidth="1"/>
    <col min="12490" max="12492" width="9.140625" style="1"/>
    <col min="12493" max="12494" width="9.28515625" style="1" bestFit="1" customWidth="1"/>
    <col min="12495" max="12495" width="9.140625" style="1"/>
    <col min="12496" max="12497" width="9.28515625" style="1" bestFit="1" customWidth="1"/>
    <col min="12498" max="12498" width="9.140625" style="1"/>
    <col min="12499" max="12499" width="9.28515625" style="1" bestFit="1" customWidth="1"/>
    <col min="12500" max="12502" width="9.140625" style="1"/>
    <col min="12503" max="12505" width="9.28515625" style="1" bestFit="1" customWidth="1"/>
    <col min="12506" max="12508" width="9.140625" style="1"/>
    <col min="12509" max="12510" width="9.28515625" style="1" bestFit="1" customWidth="1"/>
    <col min="12511" max="12511" width="9.140625" style="1"/>
    <col min="12512" max="12513" width="9.28515625" style="1" bestFit="1" customWidth="1"/>
    <col min="12514" max="12514" width="9.140625" style="1"/>
    <col min="12515" max="12515" width="9.28515625" style="1" bestFit="1" customWidth="1"/>
    <col min="12516" max="12518" width="9.140625" style="1"/>
    <col min="12519" max="12521" width="9.28515625" style="1" bestFit="1" customWidth="1"/>
    <col min="12522" max="12524" width="9.140625" style="1"/>
    <col min="12525" max="12526" width="9.28515625" style="1" bestFit="1" customWidth="1"/>
    <col min="12527" max="12527" width="9.140625" style="1"/>
    <col min="12528" max="12529" width="9.28515625" style="1" bestFit="1" customWidth="1"/>
    <col min="12530" max="12530" width="9.140625" style="1"/>
    <col min="12531" max="12531" width="9.28515625" style="1" bestFit="1" customWidth="1"/>
    <col min="12532" max="12534" width="9.140625" style="1"/>
    <col min="12535" max="12537" width="9.28515625" style="1" bestFit="1" customWidth="1"/>
    <col min="12538" max="12540" width="9.140625" style="1"/>
    <col min="12541" max="12542" width="9.28515625" style="1" bestFit="1" customWidth="1"/>
    <col min="12543" max="12543" width="9.140625" style="1"/>
    <col min="12544" max="12545" width="9.28515625" style="1" bestFit="1" customWidth="1"/>
    <col min="12546" max="12546" width="9.140625" style="1"/>
    <col min="12547" max="12547" width="9.28515625" style="1" bestFit="1" customWidth="1"/>
    <col min="12548" max="12550" width="9.140625" style="1"/>
    <col min="12551" max="12553" width="9.28515625" style="1" bestFit="1" customWidth="1"/>
    <col min="12554" max="12556" width="9.140625" style="1"/>
    <col min="12557" max="12558" width="9.28515625" style="1" bestFit="1" customWidth="1"/>
    <col min="12559" max="12559" width="9.140625" style="1"/>
    <col min="12560" max="12561" width="9.28515625" style="1" bestFit="1" customWidth="1"/>
    <col min="12562" max="12562" width="9.140625" style="1"/>
    <col min="12563" max="12563" width="9.28515625" style="1" bestFit="1" customWidth="1"/>
    <col min="12564" max="12566" width="9.140625" style="1"/>
    <col min="12567" max="12569" width="9.28515625" style="1" bestFit="1" customWidth="1"/>
    <col min="12570" max="12572" width="9.140625" style="1"/>
    <col min="12573" max="12574" width="9.28515625" style="1" bestFit="1" customWidth="1"/>
    <col min="12575" max="12575" width="9.140625" style="1"/>
    <col min="12576" max="12577" width="9.28515625" style="1" bestFit="1" customWidth="1"/>
    <col min="12578" max="12578" width="9.140625" style="1"/>
    <col min="12579" max="12579" width="9.28515625" style="1" bestFit="1" customWidth="1"/>
    <col min="12580" max="12582" width="9.140625" style="1"/>
    <col min="12583" max="12585" width="9.28515625" style="1" bestFit="1" customWidth="1"/>
    <col min="12586" max="12588" width="9.140625" style="1"/>
    <col min="12589" max="12590" width="9.28515625" style="1" bestFit="1" customWidth="1"/>
    <col min="12591" max="12591" width="9.140625" style="1"/>
    <col min="12592" max="12593" width="9.28515625" style="1" bestFit="1" customWidth="1"/>
    <col min="12594" max="12594" width="9.140625" style="1"/>
    <col min="12595" max="12595" width="9.28515625" style="1" bestFit="1" customWidth="1"/>
    <col min="12596" max="12598" width="9.140625" style="1"/>
    <col min="12599" max="12601" width="9.28515625" style="1" bestFit="1" customWidth="1"/>
    <col min="12602" max="12604" width="9.140625" style="1"/>
    <col min="12605" max="12606" width="9.28515625" style="1" bestFit="1" customWidth="1"/>
    <col min="12607" max="12607" width="9.140625" style="1"/>
    <col min="12608" max="12609" width="9.28515625" style="1" bestFit="1" customWidth="1"/>
    <col min="12610" max="12610" width="9.140625" style="1"/>
    <col min="12611" max="12611" width="9.28515625" style="1" bestFit="1" customWidth="1"/>
    <col min="12612" max="12614" width="9.140625" style="1"/>
    <col min="12615" max="12617" width="9.28515625" style="1" bestFit="1" customWidth="1"/>
    <col min="12618" max="12620" width="9.140625" style="1"/>
    <col min="12621" max="12622" width="9.28515625" style="1" bestFit="1" customWidth="1"/>
    <col min="12623" max="12623" width="9.140625" style="1"/>
    <col min="12624" max="12625" width="9.28515625" style="1" bestFit="1" customWidth="1"/>
    <col min="12626" max="12626" width="9.140625" style="1"/>
    <col min="12627" max="12627" width="9.28515625" style="1" bestFit="1" customWidth="1"/>
    <col min="12628" max="12630" width="9.140625" style="1"/>
    <col min="12631" max="12633" width="9.28515625" style="1" bestFit="1" customWidth="1"/>
    <col min="12634" max="12636" width="9.140625" style="1"/>
    <col min="12637" max="12638" width="9.28515625" style="1" bestFit="1" customWidth="1"/>
    <col min="12639" max="12639" width="9.140625" style="1"/>
    <col min="12640" max="12641" width="9.28515625" style="1" bestFit="1" customWidth="1"/>
    <col min="12642" max="12642" width="9.140625" style="1"/>
    <col min="12643" max="12643" width="9.28515625" style="1" bestFit="1" customWidth="1"/>
    <col min="12644" max="12646" width="9.140625" style="1"/>
    <col min="12647" max="12649" width="9.28515625" style="1" bestFit="1" customWidth="1"/>
    <col min="12650" max="12652" width="9.140625" style="1"/>
    <col min="12653" max="12654" width="9.28515625" style="1" bestFit="1" customWidth="1"/>
    <col min="12655" max="12655" width="9.140625" style="1"/>
    <col min="12656" max="12657" width="9.28515625" style="1" bestFit="1" customWidth="1"/>
    <col min="12658" max="12658" width="9.140625" style="1"/>
    <col min="12659" max="12659" width="9.28515625" style="1" bestFit="1" customWidth="1"/>
    <col min="12660" max="12662" width="9.140625" style="1"/>
    <col min="12663" max="12665" width="9.28515625" style="1" bestFit="1" customWidth="1"/>
    <col min="12666" max="12668" width="9.140625" style="1"/>
    <col min="12669" max="12670" width="9.28515625" style="1" bestFit="1" customWidth="1"/>
    <col min="12671" max="12671" width="9.140625" style="1"/>
    <col min="12672" max="12673" width="9.28515625" style="1" bestFit="1" customWidth="1"/>
    <col min="12674" max="12674" width="9.140625" style="1"/>
    <col min="12675" max="12675" width="9.28515625" style="1" bestFit="1" customWidth="1"/>
    <col min="12676" max="12678" width="9.140625" style="1"/>
    <col min="12679" max="12681" width="9.28515625" style="1" bestFit="1" customWidth="1"/>
    <col min="12682" max="12684" width="9.140625" style="1"/>
    <col min="12685" max="12686" width="9.28515625" style="1" bestFit="1" customWidth="1"/>
    <col min="12687" max="12687" width="9.140625" style="1"/>
    <col min="12688" max="12689" width="9.28515625" style="1" bestFit="1" customWidth="1"/>
    <col min="12690" max="12690" width="9.140625" style="1"/>
    <col min="12691" max="12691" width="9.28515625" style="1" bestFit="1" customWidth="1"/>
    <col min="12692" max="12694" width="9.140625" style="1"/>
    <col min="12695" max="12697" width="9.28515625" style="1" bestFit="1" customWidth="1"/>
    <col min="12698" max="12700" width="9.140625" style="1"/>
    <col min="12701" max="12702" width="9.28515625" style="1" bestFit="1" customWidth="1"/>
    <col min="12703" max="12703" width="9.140625" style="1"/>
    <col min="12704" max="12705" width="9.28515625" style="1" bestFit="1" customWidth="1"/>
    <col min="12706" max="12706" width="9.140625" style="1"/>
    <col min="12707" max="12707" width="9.28515625" style="1" bestFit="1" customWidth="1"/>
    <col min="12708" max="12710" width="9.140625" style="1"/>
    <col min="12711" max="12713" width="9.28515625" style="1" bestFit="1" customWidth="1"/>
    <col min="12714" max="12716" width="9.140625" style="1"/>
    <col min="12717" max="12718" width="9.28515625" style="1" bestFit="1" customWidth="1"/>
    <col min="12719" max="12719" width="9.140625" style="1"/>
    <col min="12720" max="12721" width="9.28515625" style="1" bestFit="1" customWidth="1"/>
    <col min="12722" max="12722" width="9.140625" style="1"/>
    <col min="12723" max="12723" width="9.28515625" style="1" bestFit="1" customWidth="1"/>
    <col min="12724" max="12726" width="9.140625" style="1"/>
    <col min="12727" max="12729" width="9.28515625" style="1" bestFit="1" customWidth="1"/>
    <col min="12730" max="12732" width="9.140625" style="1"/>
    <col min="12733" max="12734" width="9.28515625" style="1" bestFit="1" customWidth="1"/>
    <col min="12735" max="12735" width="9.140625" style="1"/>
    <col min="12736" max="12737" width="9.28515625" style="1" bestFit="1" customWidth="1"/>
    <col min="12738" max="12738" width="9.140625" style="1"/>
    <col min="12739" max="12739" width="9.28515625" style="1" bestFit="1" customWidth="1"/>
    <col min="12740" max="12742" width="9.140625" style="1"/>
    <col min="12743" max="12745" width="9.28515625" style="1" bestFit="1" customWidth="1"/>
    <col min="12746" max="12748" width="9.140625" style="1"/>
    <col min="12749" max="12750" width="9.28515625" style="1" bestFit="1" customWidth="1"/>
    <col min="12751" max="12751" width="9.140625" style="1"/>
    <col min="12752" max="12753" width="9.28515625" style="1" bestFit="1" customWidth="1"/>
    <col min="12754" max="12754" width="9.140625" style="1"/>
    <col min="12755" max="12755" width="9.28515625" style="1" bestFit="1" customWidth="1"/>
    <col min="12756" max="12758" width="9.140625" style="1"/>
    <col min="12759" max="12761" width="9.28515625" style="1" bestFit="1" customWidth="1"/>
    <col min="12762" max="12764" width="9.140625" style="1"/>
    <col min="12765" max="12766" width="9.28515625" style="1" bestFit="1" customWidth="1"/>
    <col min="12767" max="12767" width="9.140625" style="1"/>
    <col min="12768" max="12769" width="9.28515625" style="1" bestFit="1" customWidth="1"/>
    <col min="12770" max="12770" width="9.140625" style="1"/>
    <col min="12771" max="12771" width="9.28515625" style="1" bestFit="1" customWidth="1"/>
    <col min="12772" max="12774" width="9.140625" style="1"/>
    <col min="12775" max="12777" width="9.28515625" style="1" bestFit="1" customWidth="1"/>
    <col min="12778" max="12780" width="9.140625" style="1"/>
    <col min="12781" max="12782" width="9.28515625" style="1" bestFit="1" customWidth="1"/>
    <col min="12783" max="12783" width="9.140625" style="1"/>
    <col min="12784" max="12785" width="9.28515625" style="1" bestFit="1" customWidth="1"/>
    <col min="12786" max="12786" width="9.140625" style="1"/>
    <col min="12787" max="12787" width="9.28515625" style="1" bestFit="1" customWidth="1"/>
    <col min="12788" max="12790" width="9.140625" style="1"/>
    <col min="12791" max="12793" width="9.28515625" style="1" bestFit="1" customWidth="1"/>
    <col min="12794" max="12796" width="9.140625" style="1"/>
    <col min="12797" max="12798" width="9.28515625" style="1" bestFit="1" customWidth="1"/>
    <col min="12799" max="12799" width="9.140625" style="1"/>
    <col min="12800" max="12801" width="9.28515625" style="1" bestFit="1" customWidth="1"/>
    <col min="12802" max="12802" width="9.140625" style="1"/>
    <col min="12803" max="12803" width="9.28515625" style="1" bestFit="1" customWidth="1"/>
    <col min="12804" max="12806" width="9.140625" style="1"/>
    <col min="12807" max="12809" width="9.28515625" style="1" bestFit="1" customWidth="1"/>
    <col min="12810" max="12812" width="9.140625" style="1"/>
    <col min="12813" max="12814" width="9.28515625" style="1" bestFit="1" customWidth="1"/>
    <col min="12815" max="12815" width="9.140625" style="1"/>
    <col min="12816" max="12817" width="9.28515625" style="1" bestFit="1" customWidth="1"/>
    <col min="12818" max="12818" width="9.140625" style="1"/>
    <col min="12819" max="12819" width="9.28515625" style="1" bestFit="1" customWidth="1"/>
    <col min="12820" max="12822" width="9.140625" style="1"/>
    <col min="12823" max="12825" width="9.28515625" style="1" bestFit="1" customWidth="1"/>
    <col min="12826" max="12828" width="9.140625" style="1"/>
    <col min="12829" max="12830" width="9.28515625" style="1" bestFit="1" customWidth="1"/>
    <col min="12831" max="12831" width="9.140625" style="1"/>
    <col min="12832" max="12833" width="9.28515625" style="1" bestFit="1" customWidth="1"/>
    <col min="12834" max="12834" width="9.140625" style="1"/>
    <col min="12835" max="12835" width="9.28515625" style="1" bestFit="1" customWidth="1"/>
    <col min="12836" max="12838" width="9.140625" style="1"/>
    <col min="12839" max="12841" width="9.28515625" style="1" bestFit="1" customWidth="1"/>
    <col min="12842" max="12844" width="9.140625" style="1"/>
    <col min="12845" max="12846" width="9.28515625" style="1" bestFit="1" customWidth="1"/>
    <col min="12847" max="12847" width="9.140625" style="1"/>
    <col min="12848" max="12849" width="9.28515625" style="1" bestFit="1" customWidth="1"/>
    <col min="12850" max="12850" width="9.140625" style="1"/>
    <col min="12851" max="12851" width="9.28515625" style="1" bestFit="1" customWidth="1"/>
    <col min="12852" max="12854" width="9.140625" style="1"/>
    <col min="12855" max="12857" width="9.28515625" style="1" bestFit="1" customWidth="1"/>
    <col min="12858" max="12860" width="9.140625" style="1"/>
    <col min="12861" max="12862" width="9.28515625" style="1" bestFit="1" customWidth="1"/>
    <col min="12863" max="12863" width="9.140625" style="1"/>
    <col min="12864" max="12865" width="9.28515625" style="1" bestFit="1" customWidth="1"/>
    <col min="12866" max="12866" width="9.140625" style="1"/>
    <col min="12867" max="12867" width="9.28515625" style="1" bestFit="1" customWidth="1"/>
    <col min="12868" max="12870" width="9.140625" style="1"/>
    <col min="12871" max="12873" width="9.28515625" style="1" bestFit="1" customWidth="1"/>
    <col min="12874" max="12876" width="9.140625" style="1"/>
    <col min="12877" max="12878" width="9.28515625" style="1" bestFit="1" customWidth="1"/>
    <col min="12879" max="12879" width="9.140625" style="1"/>
    <col min="12880" max="12881" width="9.28515625" style="1" bestFit="1" customWidth="1"/>
    <col min="12882" max="12882" width="9.140625" style="1"/>
    <col min="12883" max="12883" width="9.28515625" style="1" bestFit="1" customWidth="1"/>
    <col min="12884" max="12886" width="9.140625" style="1"/>
    <col min="12887" max="12889" width="9.28515625" style="1" bestFit="1" customWidth="1"/>
    <col min="12890" max="12892" width="9.140625" style="1"/>
    <col min="12893" max="12894" width="9.28515625" style="1" bestFit="1" customWidth="1"/>
    <col min="12895" max="12895" width="9.140625" style="1"/>
    <col min="12896" max="12897" width="9.28515625" style="1" bestFit="1" customWidth="1"/>
    <col min="12898" max="12898" width="9.140625" style="1"/>
    <col min="12899" max="12899" width="9.28515625" style="1" bestFit="1" customWidth="1"/>
    <col min="12900" max="12902" width="9.140625" style="1"/>
    <col min="12903" max="12905" width="9.28515625" style="1" bestFit="1" customWidth="1"/>
    <col min="12906" max="12908" width="9.140625" style="1"/>
    <col min="12909" max="12910" width="9.28515625" style="1" bestFit="1" customWidth="1"/>
    <col min="12911" max="12911" width="9.140625" style="1"/>
    <col min="12912" max="12913" width="9.28515625" style="1" bestFit="1" customWidth="1"/>
    <col min="12914" max="12914" width="9.140625" style="1"/>
    <col min="12915" max="12915" width="9.28515625" style="1" bestFit="1" customWidth="1"/>
    <col min="12916" max="12918" width="9.140625" style="1"/>
    <col min="12919" max="12921" width="9.28515625" style="1" bestFit="1" customWidth="1"/>
    <col min="12922" max="12924" width="9.140625" style="1"/>
    <col min="12925" max="12926" width="9.28515625" style="1" bestFit="1" customWidth="1"/>
    <col min="12927" max="12927" width="9.140625" style="1"/>
    <col min="12928" max="12929" width="9.28515625" style="1" bestFit="1" customWidth="1"/>
    <col min="12930" max="12930" width="9.140625" style="1"/>
    <col min="12931" max="12931" width="9.28515625" style="1" bestFit="1" customWidth="1"/>
    <col min="12932" max="12934" width="9.140625" style="1"/>
    <col min="12935" max="12937" width="9.28515625" style="1" bestFit="1" customWidth="1"/>
    <col min="12938" max="12940" width="9.140625" style="1"/>
    <col min="12941" max="12942" width="9.28515625" style="1" bestFit="1" customWidth="1"/>
    <col min="12943" max="12943" width="9.140625" style="1"/>
    <col min="12944" max="12945" width="9.28515625" style="1" bestFit="1" customWidth="1"/>
    <col min="12946" max="12946" width="9.140625" style="1"/>
    <col min="12947" max="12947" width="9.28515625" style="1" bestFit="1" customWidth="1"/>
    <col min="12948" max="12950" width="9.140625" style="1"/>
    <col min="12951" max="12953" width="9.28515625" style="1" bestFit="1" customWidth="1"/>
    <col min="12954" max="12956" width="9.140625" style="1"/>
    <col min="12957" max="12958" width="9.28515625" style="1" bestFit="1" customWidth="1"/>
    <col min="12959" max="12959" width="9.140625" style="1"/>
    <col min="12960" max="12961" width="9.28515625" style="1" bestFit="1" customWidth="1"/>
    <col min="12962" max="12962" width="9.140625" style="1"/>
    <col min="12963" max="12963" width="9.28515625" style="1" bestFit="1" customWidth="1"/>
    <col min="12964" max="12966" width="9.140625" style="1"/>
    <col min="12967" max="12969" width="9.28515625" style="1" bestFit="1" customWidth="1"/>
    <col min="12970" max="12972" width="9.140625" style="1"/>
    <col min="12973" max="12974" width="9.28515625" style="1" bestFit="1" customWidth="1"/>
    <col min="12975" max="12975" width="9.140625" style="1"/>
    <col min="12976" max="12977" width="9.28515625" style="1" bestFit="1" customWidth="1"/>
    <col min="12978" max="12978" width="9.140625" style="1"/>
    <col min="12979" max="12979" width="9.28515625" style="1" bestFit="1" customWidth="1"/>
    <col min="12980" max="12982" width="9.140625" style="1"/>
    <col min="12983" max="12985" width="9.28515625" style="1" bestFit="1" customWidth="1"/>
    <col min="12986" max="12988" width="9.140625" style="1"/>
    <col min="12989" max="12990" width="9.28515625" style="1" bestFit="1" customWidth="1"/>
    <col min="12991" max="12991" width="9.140625" style="1"/>
    <col min="12992" max="12993" width="9.28515625" style="1" bestFit="1" customWidth="1"/>
    <col min="12994" max="12994" width="9.140625" style="1"/>
    <col min="12995" max="12995" width="9.28515625" style="1" bestFit="1" customWidth="1"/>
    <col min="12996" max="12998" width="9.140625" style="1"/>
    <col min="12999" max="13001" width="9.28515625" style="1" bestFit="1" customWidth="1"/>
    <col min="13002" max="13004" width="9.140625" style="1"/>
    <col min="13005" max="13006" width="9.28515625" style="1" bestFit="1" customWidth="1"/>
    <col min="13007" max="13007" width="9.140625" style="1"/>
    <col min="13008" max="13009" width="9.28515625" style="1" bestFit="1" customWidth="1"/>
    <col min="13010" max="13010" width="9.140625" style="1"/>
    <col min="13011" max="13011" width="9.28515625" style="1" bestFit="1" customWidth="1"/>
    <col min="13012" max="13014" width="9.140625" style="1"/>
    <col min="13015" max="13017" width="9.28515625" style="1" bestFit="1" customWidth="1"/>
    <col min="13018" max="13020" width="9.140625" style="1"/>
    <col min="13021" max="13022" width="9.28515625" style="1" bestFit="1" customWidth="1"/>
    <col min="13023" max="13023" width="9.140625" style="1"/>
    <col min="13024" max="13025" width="9.28515625" style="1" bestFit="1" customWidth="1"/>
    <col min="13026" max="13026" width="9.140625" style="1"/>
    <col min="13027" max="13027" width="9.28515625" style="1" bestFit="1" customWidth="1"/>
    <col min="13028" max="13030" width="9.140625" style="1"/>
    <col min="13031" max="13033" width="9.28515625" style="1" bestFit="1" customWidth="1"/>
    <col min="13034" max="13036" width="9.140625" style="1"/>
    <col min="13037" max="13038" width="9.28515625" style="1" bestFit="1" customWidth="1"/>
    <col min="13039" max="13039" width="9.140625" style="1"/>
    <col min="13040" max="13041" width="9.28515625" style="1" bestFit="1" customWidth="1"/>
    <col min="13042" max="13042" width="9.140625" style="1"/>
    <col min="13043" max="13043" width="9.28515625" style="1" bestFit="1" customWidth="1"/>
    <col min="13044" max="13046" width="9.140625" style="1"/>
    <col min="13047" max="13049" width="9.28515625" style="1" bestFit="1" customWidth="1"/>
    <col min="13050" max="13052" width="9.140625" style="1"/>
    <col min="13053" max="13054" width="9.28515625" style="1" bestFit="1" customWidth="1"/>
    <col min="13055" max="13055" width="9.140625" style="1"/>
    <col min="13056" max="13057" width="9.28515625" style="1" bestFit="1" customWidth="1"/>
    <col min="13058" max="13058" width="9.140625" style="1"/>
    <col min="13059" max="13059" width="9.28515625" style="1" bestFit="1" customWidth="1"/>
    <col min="13060" max="13062" width="9.140625" style="1"/>
    <col min="13063" max="13065" width="9.28515625" style="1" bestFit="1" customWidth="1"/>
    <col min="13066" max="13068" width="9.140625" style="1"/>
    <col min="13069" max="13070" width="9.28515625" style="1" bestFit="1" customWidth="1"/>
    <col min="13071" max="13071" width="9.140625" style="1"/>
    <col min="13072" max="13073" width="9.28515625" style="1" bestFit="1" customWidth="1"/>
    <col min="13074" max="13074" width="9.140625" style="1"/>
    <col min="13075" max="13075" width="9.28515625" style="1" bestFit="1" customWidth="1"/>
    <col min="13076" max="13078" width="9.140625" style="1"/>
    <col min="13079" max="13081" width="9.28515625" style="1" bestFit="1" customWidth="1"/>
    <col min="13082" max="13084" width="9.140625" style="1"/>
    <col min="13085" max="13086" width="9.28515625" style="1" bestFit="1" customWidth="1"/>
    <col min="13087" max="13087" width="9.140625" style="1"/>
    <col min="13088" max="13089" width="9.28515625" style="1" bestFit="1" customWidth="1"/>
    <col min="13090" max="13090" width="9.140625" style="1"/>
    <col min="13091" max="13091" width="9.28515625" style="1" bestFit="1" customWidth="1"/>
    <col min="13092" max="13094" width="9.140625" style="1"/>
    <col min="13095" max="13097" width="9.28515625" style="1" bestFit="1" customWidth="1"/>
    <col min="13098" max="13100" width="9.140625" style="1"/>
    <col min="13101" max="13102" width="9.28515625" style="1" bestFit="1" customWidth="1"/>
    <col min="13103" max="13103" width="9.140625" style="1"/>
    <col min="13104" max="13105" width="9.28515625" style="1" bestFit="1" customWidth="1"/>
    <col min="13106" max="13106" width="9.140625" style="1"/>
    <col min="13107" max="13107" width="9.28515625" style="1" bestFit="1" customWidth="1"/>
    <col min="13108" max="13110" width="9.140625" style="1"/>
    <col min="13111" max="13113" width="9.28515625" style="1" bestFit="1" customWidth="1"/>
    <col min="13114" max="13116" width="9.140625" style="1"/>
    <col min="13117" max="13118" width="9.28515625" style="1" bestFit="1" customWidth="1"/>
    <col min="13119" max="13119" width="9.140625" style="1"/>
    <col min="13120" max="13121" width="9.28515625" style="1" bestFit="1" customWidth="1"/>
    <col min="13122" max="13122" width="9.140625" style="1"/>
    <col min="13123" max="13123" width="9.28515625" style="1" bestFit="1" customWidth="1"/>
    <col min="13124" max="13126" width="9.140625" style="1"/>
    <col min="13127" max="13129" width="9.28515625" style="1" bestFit="1" customWidth="1"/>
    <col min="13130" max="13132" width="9.140625" style="1"/>
    <col min="13133" max="13134" width="9.28515625" style="1" bestFit="1" customWidth="1"/>
    <col min="13135" max="13135" width="9.140625" style="1"/>
    <col min="13136" max="13137" width="9.28515625" style="1" bestFit="1" customWidth="1"/>
    <col min="13138" max="13138" width="9.140625" style="1"/>
    <col min="13139" max="13139" width="9.28515625" style="1" bestFit="1" customWidth="1"/>
    <col min="13140" max="13142" width="9.140625" style="1"/>
    <col min="13143" max="13145" width="9.28515625" style="1" bestFit="1" customWidth="1"/>
    <col min="13146" max="13148" width="9.140625" style="1"/>
    <col min="13149" max="13150" width="9.28515625" style="1" bestFit="1" customWidth="1"/>
    <col min="13151" max="13151" width="9.140625" style="1"/>
    <col min="13152" max="13153" width="9.28515625" style="1" bestFit="1" customWidth="1"/>
    <col min="13154" max="13154" width="9.140625" style="1"/>
    <col min="13155" max="13155" width="9.28515625" style="1" bestFit="1" customWidth="1"/>
    <col min="13156" max="13158" width="9.140625" style="1"/>
    <col min="13159" max="13161" width="9.28515625" style="1" bestFit="1" customWidth="1"/>
    <col min="13162" max="13164" width="9.140625" style="1"/>
    <col min="13165" max="13166" width="9.28515625" style="1" bestFit="1" customWidth="1"/>
    <col min="13167" max="13167" width="9.140625" style="1"/>
    <col min="13168" max="13169" width="9.28515625" style="1" bestFit="1" customWidth="1"/>
    <col min="13170" max="13170" width="9.140625" style="1"/>
    <col min="13171" max="13171" width="9.28515625" style="1" bestFit="1" customWidth="1"/>
    <col min="13172" max="13174" width="9.140625" style="1"/>
    <col min="13175" max="13177" width="9.28515625" style="1" bestFit="1" customWidth="1"/>
    <col min="13178" max="13180" width="9.140625" style="1"/>
    <col min="13181" max="13182" width="9.28515625" style="1" bestFit="1" customWidth="1"/>
    <col min="13183" max="13183" width="9.140625" style="1"/>
    <col min="13184" max="13185" width="9.28515625" style="1" bestFit="1" customWidth="1"/>
    <col min="13186" max="13186" width="9.140625" style="1"/>
    <col min="13187" max="13187" width="9.28515625" style="1" bestFit="1" customWidth="1"/>
    <col min="13188" max="13190" width="9.140625" style="1"/>
    <col min="13191" max="13193" width="9.28515625" style="1" bestFit="1" customWidth="1"/>
    <col min="13194" max="13196" width="9.140625" style="1"/>
    <col min="13197" max="13198" width="9.28515625" style="1" bestFit="1" customWidth="1"/>
    <col min="13199" max="13199" width="9.140625" style="1"/>
    <col min="13200" max="13201" width="9.28515625" style="1" bestFit="1" customWidth="1"/>
    <col min="13202" max="13202" width="9.140625" style="1"/>
    <col min="13203" max="13203" width="9.28515625" style="1" bestFit="1" customWidth="1"/>
    <col min="13204" max="13206" width="9.140625" style="1"/>
    <col min="13207" max="13209" width="9.28515625" style="1" bestFit="1" customWidth="1"/>
    <col min="13210" max="13212" width="9.140625" style="1"/>
    <col min="13213" max="13214" width="9.28515625" style="1" bestFit="1" customWidth="1"/>
    <col min="13215" max="13215" width="9.140625" style="1"/>
    <col min="13216" max="13217" width="9.28515625" style="1" bestFit="1" customWidth="1"/>
    <col min="13218" max="13218" width="9.140625" style="1"/>
    <col min="13219" max="13219" width="9.28515625" style="1" bestFit="1" customWidth="1"/>
    <col min="13220" max="13222" width="9.140625" style="1"/>
    <col min="13223" max="13225" width="9.28515625" style="1" bestFit="1" customWidth="1"/>
    <col min="13226" max="13228" width="9.140625" style="1"/>
    <col min="13229" max="13230" width="9.28515625" style="1" bestFit="1" customWidth="1"/>
    <col min="13231" max="13231" width="9.140625" style="1"/>
    <col min="13232" max="13233" width="9.28515625" style="1" bestFit="1" customWidth="1"/>
    <col min="13234" max="13234" width="9.140625" style="1"/>
    <col min="13235" max="13235" width="9.28515625" style="1" bestFit="1" customWidth="1"/>
    <col min="13236" max="13238" width="9.140625" style="1"/>
    <col min="13239" max="13241" width="9.28515625" style="1" bestFit="1" customWidth="1"/>
    <col min="13242" max="13244" width="9.140625" style="1"/>
    <col min="13245" max="13246" width="9.28515625" style="1" bestFit="1" customWidth="1"/>
    <col min="13247" max="13247" width="9.140625" style="1"/>
    <col min="13248" max="13249" width="9.28515625" style="1" bestFit="1" customWidth="1"/>
    <col min="13250" max="13250" width="9.140625" style="1"/>
    <col min="13251" max="13251" width="9.28515625" style="1" bestFit="1" customWidth="1"/>
    <col min="13252" max="13254" width="9.140625" style="1"/>
    <col min="13255" max="13257" width="9.28515625" style="1" bestFit="1" customWidth="1"/>
    <col min="13258" max="13260" width="9.140625" style="1"/>
    <col min="13261" max="13262" width="9.28515625" style="1" bestFit="1" customWidth="1"/>
    <col min="13263" max="13263" width="9.140625" style="1"/>
    <col min="13264" max="13265" width="9.28515625" style="1" bestFit="1" customWidth="1"/>
    <col min="13266" max="13266" width="9.140625" style="1"/>
    <col min="13267" max="13267" width="9.28515625" style="1" bestFit="1" customWidth="1"/>
    <col min="13268" max="13270" width="9.140625" style="1"/>
    <col min="13271" max="13273" width="9.28515625" style="1" bestFit="1" customWidth="1"/>
    <col min="13274" max="13276" width="9.140625" style="1"/>
    <col min="13277" max="13278" width="9.28515625" style="1" bestFit="1" customWidth="1"/>
    <col min="13279" max="13279" width="9.140625" style="1"/>
    <col min="13280" max="13281" width="9.28515625" style="1" bestFit="1" customWidth="1"/>
    <col min="13282" max="13282" width="9.140625" style="1"/>
    <col min="13283" max="13283" width="9.28515625" style="1" bestFit="1" customWidth="1"/>
    <col min="13284" max="13286" width="9.140625" style="1"/>
    <col min="13287" max="13289" width="9.28515625" style="1" bestFit="1" customWidth="1"/>
    <col min="13290" max="13292" width="9.140625" style="1"/>
    <col min="13293" max="13294" width="9.28515625" style="1" bestFit="1" customWidth="1"/>
    <col min="13295" max="13295" width="9.140625" style="1"/>
    <col min="13296" max="13297" width="9.28515625" style="1" bestFit="1" customWidth="1"/>
    <col min="13298" max="13298" width="9.140625" style="1"/>
    <col min="13299" max="13299" width="9.28515625" style="1" bestFit="1" customWidth="1"/>
    <col min="13300" max="13302" width="9.140625" style="1"/>
    <col min="13303" max="13305" width="9.28515625" style="1" bestFit="1" customWidth="1"/>
    <col min="13306" max="13308" width="9.140625" style="1"/>
    <col min="13309" max="13310" width="9.28515625" style="1" bestFit="1" customWidth="1"/>
    <col min="13311" max="13311" width="9.140625" style="1"/>
    <col min="13312" max="13313" width="9.28515625" style="1" bestFit="1" customWidth="1"/>
    <col min="13314" max="13314" width="9.140625" style="1"/>
    <col min="13315" max="13315" width="9.28515625" style="1" bestFit="1" customWidth="1"/>
    <col min="13316" max="13318" width="9.140625" style="1"/>
    <col min="13319" max="13321" width="9.28515625" style="1" bestFit="1" customWidth="1"/>
    <col min="13322" max="13324" width="9.140625" style="1"/>
    <col min="13325" max="13326" width="9.28515625" style="1" bestFit="1" customWidth="1"/>
    <col min="13327" max="13327" width="9.140625" style="1"/>
    <col min="13328" max="13329" width="9.28515625" style="1" bestFit="1" customWidth="1"/>
    <col min="13330" max="13330" width="9.140625" style="1"/>
    <col min="13331" max="13331" width="9.28515625" style="1" bestFit="1" customWidth="1"/>
    <col min="13332" max="13334" width="9.140625" style="1"/>
    <col min="13335" max="13337" width="9.28515625" style="1" bestFit="1" customWidth="1"/>
    <col min="13338" max="13340" width="9.140625" style="1"/>
    <col min="13341" max="13342" width="9.28515625" style="1" bestFit="1" customWidth="1"/>
    <col min="13343" max="13343" width="9.140625" style="1"/>
    <col min="13344" max="13345" width="9.28515625" style="1" bestFit="1" customWidth="1"/>
    <col min="13346" max="13346" width="9.140625" style="1"/>
    <col min="13347" max="13347" width="9.28515625" style="1" bestFit="1" customWidth="1"/>
    <col min="13348" max="13350" width="9.140625" style="1"/>
    <col min="13351" max="13353" width="9.28515625" style="1" bestFit="1" customWidth="1"/>
    <col min="13354" max="13356" width="9.140625" style="1"/>
    <col min="13357" max="13358" width="9.28515625" style="1" bestFit="1" customWidth="1"/>
    <col min="13359" max="13359" width="9.140625" style="1"/>
    <col min="13360" max="13361" width="9.28515625" style="1" bestFit="1" customWidth="1"/>
    <col min="13362" max="13362" width="9.140625" style="1"/>
    <col min="13363" max="13363" width="9.28515625" style="1" bestFit="1" customWidth="1"/>
    <col min="13364" max="13366" width="9.140625" style="1"/>
    <col min="13367" max="13369" width="9.28515625" style="1" bestFit="1" customWidth="1"/>
    <col min="13370" max="13372" width="9.140625" style="1"/>
    <col min="13373" max="13374" width="9.28515625" style="1" bestFit="1" customWidth="1"/>
    <col min="13375" max="13375" width="9.140625" style="1"/>
    <col min="13376" max="13377" width="9.28515625" style="1" bestFit="1" customWidth="1"/>
    <col min="13378" max="13378" width="9.140625" style="1"/>
    <col min="13379" max="13379" width="9.28515625" style="1" bestFit="1" customWidth="1"/>
    <col min="13380" max="13382" width="9.140625" style="1"/>
    <col min="13383" max="13385" width="9.28515625" style="1" bestFit="1" customWidth="1"/>
    <col min="13386" max="13388" width="9.140625" style="1"/>
    <col min="13389" max="13390" width="9.28515625" style="1" bestFit="1" customWidth="1"/>
    <col min="13391" max="13391" width="9.140625" style="1"/>
    <col min="13392" max="13393" width="9.28515625" style="1" bestFit="1" customWidth="1"/>
    <col min="13394" max="13394" width="9.140625" style="1"/>
    <col min="13395" max="13395" width="9.28515625" style="1" bestFit="1" customWidth="1"/>
    <col min="13396" max="13398" width="9.140625" style="1"/>
    <col min="13399" max="13401" width="9.28515625" style="1" bestFit="1" customWidth="1"/>
    <col min="13402" max="13404" width="9.140625" style="1"/>
    <col min="13405" max="13406" width="9.28515625" style="1" bestFit="1" customWidth="1"/>
    <col min="13407" max="13407" width="9.140625" style="1"/>
    <col min="13408" max="13409" width="9.28515625" style="1" bestFit="1" customWidth="1"/>
    <col min="13410" max="13410" width="9.140625" style="1"/>
    <col min="13411" max="13411" width="9.28515625" style="1" bestFit="1" customWidth="1"/>
    <col min="13412" max="13414" width="9.140625" style="1"/>
    <col min="13415" max="13417" width="9.28515625" style="1" bestFit="1" customWidth="1"/>
    <col min="13418" max="13420" width="9.140625" style="1"/>
    <col min="13421" max="13422" width="9.28515625" style="1" bestFit="1" customWidth="1"/>
    <col min="13423" max="13423" width="9.140625" style="1"/>
    <col min="13424" max="13425" width="9.28515625" style="1" bestFit="1" customWidth="1"/>
    <col min="13426" max="13426" width="9.140625" style="1"/>
    <col min="13427" max="13427" width="9.28515625" style="1" bestFit="1" customWidth="1"/>
    <col min="13428" max="13430" width="9.140625" style="1"/>
    <col min="13431" max="13433" width="9.28515625" style="1" bestFit="1" customWidth="1"/>
    <col min="13434" max="13436" width="9.140625" style="1"/>
    <col min="13437" max="13438" width="9.28515625" style="1" bestFit="1" customWidth="1"/>
    <col min="13439" max="13439" width="9.140625" style="1"/>
    <col min="13440" max="13441" width="9.28515625" style="1" bestFit="1" customWidth="1"/>
    <col min="13442" max="13442" width="9.140625" style="1"/>
    <col min="13443" max="13443" width="9.28515625" style="1" bestFit="1" customWidth="1"/>
    <col min="13444" max="13446" width="9.140625" style="1"/>
    <col min="13447" max="13449" width="9.28515625" style="1" bestFit="1" customWidth="1"/>
    <col min="13450" max="13452" width="9.140625" style="1"/>
    <col min="13453" max="13454" width="9.28515625" style="1" bestFit="1" customWidth="1"/>
    <col min="13455" max="13455" width="9.140625" style="1"/>
    <col min="13456" max="13457" width="9.28515625" style="1" bestFit="1" customWidth="1"/>
    <col min="13458" max="13458" width="9.140625" style="1"/>
    <col min="13459" max="13459" width="9.28515625" style="1" bestFit="1" customWidth="1"/>
    <col min="13460" max="13462" width="9.140625" style="1"/>
    <col min="13463" max="13465" width="9.28515625" style="1" bestFit="1" customWidth="1"/>
    <col min="13466" max="13468" width="9.140625" style="1"/>
    <col min="13469" max="13470" width="9.28515625" style="1" bestFit="1" customWidth="1"/>
    <col min="13471" max="13471" width="9.140625" style="1"/>
    <col min="13472" max="13473" width="9.28515625" style="1" bestFit="1" customWidth="1"/>
    <col min="13474" max="13474" width="9.140625" style="1"/>
    <col min="13475" max="13475" width="9.28515625" style="1" bestFit="1" customWidth="1"/>
    <col min="13476" max="13478" width="9.140625" style="1"/>
    <col min="13479" max="13481" width="9.28515625" style="1" bestFit="1" customWidth="1"/>
    <col min="13482" max="13484" width="9.140625" style="1"/>
    <col min="13485" max="13486" width="9.28515625" style="1" bestFit="1" customWidth="1"/>
    <col min="13487" max="13487" width="9.140625" style="1"/>
    <col min="13488" max="13489" width="9.28515625" style="1" bestFit="1" customWidth="1"/>
    <col min="13490" max="13490" width="9.140625" style="1"/>
    <col min="13491" max="13491" width="9.28515625" style="1" bestFit="1" customWidth="1"/>
    <col min="13492" max="13494" width="9.140625" style="1"/>
    <col min="13495" max="13497" width="9.28515625" style="1" bestFit="1" customWidth="1"/>
    <col min="13498" max="13500" width="9.140625" style="1"/>
    <col min="13501" max="13502" width="9.28515625" style="1" bestFit="1" customWidth="1"/>
    <col min="13503" max="13503" width="9.140625" style="1"/>
    <col min="13504" max="13505" width="9.28515625" style="1" bestFit="1" customWidth="1"/>
    <col min="13506" max="13506" width="9.140625" style="1"/>
    <col min="13507" max="13507" width="9.28515625" style="1" bestFit="1" customWidth="1"/>
    <col min="13508" max="13510" width="9.140625" style="1"/>
    <col min="13511" max="13513" width="9.28515625" style="1" bestFit="1" customWidth="1"/>
    <col min="13514" max="13516" width="9.140625" style="1"/>
    <col min="13517" max="13518" width="9.28515625" style="1" bestFit="1" customWidth="1"/>
    <col min="13519" max="13519" width="9.140625" style="1"/>
    <col min="13520" max="13521" width="9.28515625" style="1" bestFit="1" customWidth="1"/>
    <col min="13522" max="13522" width="9.140625" style="1"/>
    <col min="13523" max="13523" width="9.28515625" style="1" bestFit="1" customWidth="1"/>
    <col min="13524" max="13526" width="9.140625" style="1"/>
    <col min="13527" max="13529" width="9.28515625" style="1" bestFit="1" customWidth="1"/>
    <col min="13530" max="13532" width="9.140625" style="1"/>
    <col min="13533" max="13534" width="9.28515625" style="1" bestFit="1" customWidth="1"/>
    <col min="13535" max="13535" width="9.140625" style="1"/>
    <col min="13536" max="13537" width="9.28515625" style="1" bestFit="1" customWidth="1"/>
    <col min="13538" max="13538" width="9.140625" style="1"/>
    <col min="13539" max="13539" width="9.28515625" style="1" bestFit="1" customWidth="1"/>
    <col min="13540" max="13542" width="9.140625" style="1"/>
    <col min="13543" max="13545" width="9.28515625" style="1" bestFit="1" customWidth="1"/>
    <col min="13546" max="13548" width="9.140625" style="1"/>
    <col min="13549" max="13550" width="9.28515625" style="1" bestFit="1" customWidth="1"/>
    <col min="13551" max="13551" width="9.140625" style="1"/>
    <col min="13552" max="13553" width="9.28515625" style="1" bestFit="1" customWidth="1"/>
    <col min="13554" max="13554" width="9.140625" style="1"/>
    <col min="13555" max="13555" width="9.28515625" style="1" bestFit="1" customWidth="1"/>
    <col min="13556" max="13558" width="9.140625" style="1"/>
    <col min="13559" max="13561" width="9.28515625" style="1" bestFit="1" customWidth="1"/>
    <col min="13562" max="13564" width="9.140625" style="1"/>
    <col min="13565" max="13566" width="9.28515625" style="1" bestFit="1" customWidth="1"/>
    <col min="13567" max="13567" width="9.140625" style="1"/>
    <col min="13568" max="13569" width="9.28515625" style="1" bestFit="1" customWidth="1"/>
    <col min="13570" max="13570" width="9.140625" style="1"/>
    <col min="13571" max="13571" width="9.28515625" style="1" bestFit="1" customWidth="1"/>
    <col min="13572" max="13574" width="9.140625" style="1"/>
    <col min="13575" max="13577" width="9.28515625" style="1" bestFit="1" customWidth="1"/>
    <col min="13578" max="13580" width="9.140625" style="1"/>
    <col min="13581" max="13582" width="9.28515625" style="1" bestFit="1" customWidth="1"/>
    <col min="13583" max="13583" width="9.140625" style="1"/>
    <col min="13584" max="13585" width="9.28515625" style="1" bestFit="1" customWidth="1"/>
    <col min="13586" max="13586" width="9.140625" style="1"/>
    <col min="13587" max="13587" width="9.28515625" style="1" bestFit="1" customWidth="1"/>
    <col min="13588" max="13590" width="9.140625" style="1"/>
    <col min="13591" max="13593" width="9.28515625" style="1" bestFit="1" customWidth="1"/>
    <col min="13594" max="13596" width="9.140625" style="1"/>
    <col min="13597" max="13598" width="9.28515625" style="1" bestFit="1" customWidth="1"/>
    <col min="13599" max="13599" width="9.140625" style="1"/>
    <col min="13600" max="13601" width="9.28515625" style="1" bestFit="1" customWidth="1"/>
    <col min="13602" max="13602" width="9.140625" style="1"/>
    <col min="13603" max="13603" width="9.28515625" style="1" bestFit="1" customWidth="1"/>
    <col min="13604" max="13606" width="9.140625" style="1"/>
    <col min="13607" max="13609" width="9.28515625" style="1" bestFit="1" customWidth="1"/>
    <col min="13610" max="13612" width="9.140625" style="1"/>
    <col min="13613" max="13614" width="9.28515625" style="1" bestFit="1" customWidth="1"/>
    <col min="13615" max="13615" width="9.140625" style="1"/>
    <col min="13616" max="13617" width="9.28515625" style="1" bestFit="1" customWidth="1"/>
    <col min="13618" max="13618" width="9.140625" style="1"/>
    <col min="13619" max="13619" width="9.28515625" style="1" bestFit="1" customWidth="1"/>
    <col min="13620" max="13622" width="9.140625" style="1"/>
    <col min="13623" max="13625" width="9.28515625" style="1" bestFit="1" customWidth="1"/>
    <col min="13626" max="13628" width="9.140625" style="1"/>
    <col min="13629" max="13630" width="9.28515625" style="1" bestFit="1" customWidth="1"/>
    <col min="13631" max="13631" width="9.140625" style="1"/>
    <col min="13632" max="13633" width="9.28515625" style="1" bestFit="1" customWidth="1"/>
    <col min="13634" max="13634" width="9.140625" style="1"/>
    <col min="13635" max="13635" width="9.28515625" style="1" bestFit="1" customWidth="1"/>
    <col min="13636" max="13638" width="9.140625" style="1"/>
    <col min="13639" max="13641" width="9.28515625" style="1" bestFit="1" customWidth="1"/>
    <col min="13642" max="13644" width="9.140625" style="1"/>
    <col min="13645" max="13646" width="9.28515625" style="1" bestFit="1" customWidth="1"/>
    <col min="13647" max="13647" width="9.140625" style="1"/>
    <col min="13648" max="13649" width="9.28515625" style="1" bestFit="1" customWidth="1"/>
    <col min="13650" max="13650" width="9.140625" style="1"/>
    <col min="13651" max="13651" width="9.28515625" style="1" bestFit="1" customWidth="1"/>
    <col min="13652" max="13654" width="9.140625" style="1"/>
    <col min="13655" max="13657" width="9.28515625" style="1" bestFit="1" customWidth="1"/>
    <col min="13658" max="13660" width="9.140625" style="1"/>
    <col min="13661" max="13662" width="9.28515625" style="1" bestFit="1" customWidth="1"/>
    <col min="13663" max="13663" width="9.140625" style="1"/>
    <col min="13664" max="13665" width="9.28515625" style="1" bestFit="1" customWidth="1"/>
    <col min="13666" max="13666" width="9.140625" style="1"/>
    <col min="13667" max="13667" width="9.28515625" style="1" bestFit="1" customWidth="1"/>
    <col min="13668" max="13670" width="9.140625" style="1"/>
    <col min="13671" max="13673" width="9.28515625" style="1" bestFit="1" customWidth="1"/>
    <col min="13674" max="13676" width="9.140625" style="1"/>
    <col min="13677" max="13678" width="9.28515625" style="1" bestFit="1" customWidth="1"/>
    <col min="13679" max="13679" width="9.140625" style="1"/>
    <col min="13680" max="13681" width="9.28515625" style="1" bestFit="1" customWidth="1"/>
    <col min="13682" max="13682" width="9.140625" style="1"/>
    <col min="13683" max="13683" width="9.28515625" style="1" bestFit="1" customWidth="1"/>
    <col min="13684" max="13686" width="9.140625" style="1"/>
    <col min="13687" max="13689" width="9.28515625" style="1" bestFit="1" customWidth="1"/>
    <col min="13690" max="13692" width="9.140625" style="1"/>
    <col min="13693" max="13694" width="9.28515625" style="1" bestFit="1" customWidth="1"/>
    <col min="13695" max="13695" width="9.140625" style="1"/>
    <col min="13696" max="13697" width="9.28515625" style="1" bestFit="1" customWidth="1"/>
    <col min="13698" max="13698" width="9.140625" style="1"/>
    <col min="13699" max="13699" width="9.28515625" style="1" bestFit="1" customWidth="1"/>
    <col min="13700" max="13702" width="9.140625" style="1"/>
    <col min="13703" max="13705" width="9.28515625" style="1" bestFit="1" customWidth="1"/>
    <col min="13706" max="13708" width="9.140625" style="1"/>
    <col min="13709" max="13710" width="9.28515625" style="1" bestFit="1" customWidth="1"/>
    <col min="13711" max="13711" width="9.140625" style="1"/>
    <col min="13712" max="13713" width="9.28515625" style="1" bestFit="1" customWidth="1"/>
    <col min="13714" max="13714" width="9.140625" style="1"/>
    <col min="13715" max="13715" width="9.28515625" style="1" bestFit="1" customWidth="1"/>
    <col min="13716" max="13718" width="9.140625" style="1"/>
    <col min="13719" max="13721" width="9.28515625" style="1" bestFit="1" customWidth="1"/>
    <col min="13722" max="13724" width="9.140625" style="1"/>
    <col min="13725" max="13726" width="9.28515625" style="1" bestFit="1" customWidth="1"/>
    <col min="13727" max="13727" width="9.140625" style="1"/>
    <col min="13728" max="13729" width="9.28515625" style="1" bestFit="1" customWidth="1"/>
    <col min="13730" max="13730" width="9.140625" style="1"/>
    <col min="13731" max="13731" width="9.28515625" style="1" bestFit="1" customWidth="1"/>
    <col min="13732" max="13734" width="9.140625" style="1"/>
    <col min="13735" max="13737" width="9.28515625" style="1" bestFit="1" customWidth="1"/>
    <col min="13738" max="13740" width="9.140625" style="1"/>
    <col min="13741" max="13742" width="9.28515625" style="1" bestFit="1" customWidth="1"/>
    <col min="13743" max="13743" width="9.140625" style="1"/>
    <col min="13744" max="13745" width="9.28515625" style="1" bestFit="1" customWidth="1"/>
    <col min="13746" max="13746" width="9.140625" style="1"/>
    <col min="13747" max="13747" width="9.28515625" style="1" bestFit="1" customWidth="1"/>
    <col min="13748" max="13750" width="9.140625" style="1"/>
    <col min="13751" max="13753" width="9.28515625" style="1" bestFit="1" customWidth="1"/>
    <col min="13754" max="13756" width="9.140625" style="1"/>
    <col min="13757" max="13758" width="9.28515625" style="1" bestFit="1" customWidth="1"/>
    <col min="13759" max="13759" width="9.140625" style="1"/>
    <col min="13760" max="13761" width="9.28515625" style="1" bestFit="1" customWidth="1"/>
    <col min="13762" max="13762" width="9.140625" style="1"/>
    <col min="13763" max="13763" width="9.28515625" style="1" bestFit="1" customWidth="1"/>
    <col min="13764" max="13766" width="9.140625" style="1"/>
    <col min="13767" max="13769" width="9.28515625" style="1" bestFit="1" customWidth="1"/>
    <col min="13770" max="13772" width="9.140625" style="1"/>
    <col min="13773" max="13774" width="9.28515625" style="1" bestFit="1" customWidth="1"/>
    <col min="13775" max="13775" width="9.140625" style="1"/>
    <col min="13776" max="13777" width="9.28515625" style="1" bestFit="1" customWidth="1"/>
    <col min="13778" max="13778" width="9.140625" style="1"/>
    <col min="13779" max="13779" width="9.28515625" style="1" bestFit="1" customWidth="1"/>
    <col min="13780" max="13782" width="9.140625" style="1"/>
    <col min="13783" max="13785" width="9.28515625" style="1" bestFit="1" customWidth="1"/>
    <col min="13786" max="13788" width="9.140625" style="1"/>
    <col min="13789" max="13790" width="9.28515625" style="1" bestFit="1" customWidth="1"/>
    <col min="13791" max="13791" width="9.140625" style="1"/>
    <col min="13792" max="13793" width="9.28515625" style="1" bestFit="1" customWidth="1"/>
    <col min="13794" max="13794" width="9.140625" style="1"/>
    <col min="13795" max="13795" width="9.28515625" style="1" bestFit="1" customWidth="1"/>
    <col min="13796" max="13798" width="9.140625" style="1"/>
    <col min="13799" max="13801" width="9.28515625" style="1" bestFit="1" customWidth="1"/>
    <col min="13802" max="13804" width="9.140625" style="1"/>
    <col min="13805" max="13806" width="9.28515625" style="1" bestFit="1" customWidth="1"/>
    <col min="13807" max="13807" width="9.140625" style="1"/>
    <col min="13808" max="13809" width="9.28515625" style="1" bestFit="1" customWidth="1"/>
    <col min="13810" max="13810" width="9.140625" style="1"/>
    <col min="13811" max="13811" width="9.28515625" style="1" bestFit="1" customWidth="1"/>
    <col min="13812" max="13814" width="9.140625" style="1"/>
    <col min="13815" max="13817" width="9.28515625" style="1" bestFit="1" customWidth="1"/>
    <col min="13818" max="13820" width="9.140625" style="1"/>
    <col min="13821" max="13822" width="9.28515625" style="1" bestFit="1" customWidth="1"/>
    <col min="13823" max="13823" width="9.140625" style="1"/>
    <col min="13824" max="13825" width="9.28515625" style="1" bestFit="1" customWidth="1"/>
    <col min="13826" max="13826" width="9.140625" style="1"/>
    <col min="13827" max="13827" width="9.28515625" style="1" bestFit="1" customWidth="1"/>
    <col min="13828" max="13830" width="9.140625" style="1"/>
    <col min="13831" max="13833" width="9.28515625" style="1" bestFit="1" customWidth="1"/>
    <col min="13834" max="13836" width="9.140625" style="1"/>
    <col min="13837" max="13838" width="9.28515625" style="1" bestFit="1" customWidth="1"/>
    <col min="13839" max="13839" width="9.140625" style="1"/>
    <col min="13840" max="13841" width="9.28515625" style="1" bestFit="1" customWidth="1"/>
    <col min="13842" max="13842" width="9.140625" style="1"/>
    <col min="13843" max="13843" width="9.28515625" style="1" bestFit="1" customWidth="1"/>
    <col min="13844" max="13846" width="9.140625" style="1"/>
    <col min="13847" max="13849" width="9.28515625" style="1" bestFit="1" customWidth="1"/>
    <col min="13850" max="13852" width="9.140625" style="1"/>
    <col min="13853" max="13854" width="9.28515625" style="1" bestFit="1" customWidth="1"/>
    <col min="13855" max="13855" width="9.140625" style="1"/>
    <col min="13856" max="13857" width="9.28515625" style="1" bestFit="1" customWidth="1"/>
    <col min="13858" max="13858" width="9.140625" style="1"/>
    <col min="13859" max="13859" width="9.28515625" style="1" bestFit="1" customWidth="1"/>
    <col min="13860" max="13862" width="9.140625" style="1"/>
    <col min="13863" max="13865" width="9.28515625" style="1" bestFit="1" customWidth="1"/>
    <col min="13866" max="13868" width="9.140625" style="1"/>
    <col min="13869" max="13870" width="9.28515625" style="1" bestFit="1" customWidth="1"/>
    <col min="13871" max="13871" width="9.140625" style="1"/>
    <col min="13872" max="13873" width="9.28515625" style="1" bestFit="1" customWidth="1"/>
    <col min="13874" max="13874" width="9.140625" style="1"/>
    <col min="13875" max="13875" width="9.28515625" style="1" bestFit="1" customWidth="1"/>
    <col min="13876" max="13878" width="9.140625" style="1"/>
    <col min="13879" max="13881" width="9.28515625" style="1" bestFit="1" customWidth="1"/>
    <col min="13882" max="13884" width="9.140625" style="1"/>
    <col min="13885" max="13886" width="9.28515625" style="1" bestFit="1" customWidth="1"/>
    <col min="13887" max="13887" width="9.140625" style="1"/>
    <col min="13888" max="13889" width="9.28515625" style="1" bestFit="1" customWidth="1"/>
    <col min="13890" max="13890" width="9.140625" style="1"/>
    <col min="13891" max="13891" width="9.28515625" style="1" bestFit="1" customWidth="1"/>
    <col min="13892" max="13894" width="9.140625" style="1"/>
    <col min="13895" max="13897" width="9.28515625" style="1" bestFit="1" customWidth="1"/>
    <col min="13898" max="13900" width="9.140625" style="1"/>
    <col min="13901" max="13902" width="9.28515625" style="1" bestFit="1" customWidth="1"/>
    <col min="13903" max="13903" width="9.140625" style="1"/>
    <col min="13904" max="13905" width="9.28515625" style="1" bestFit="1" customWidth="1"/>
    <col min="13906" max="13906" width="9.140625" style="1"/>
    <col min="13907" max="13907" width="9.28515625" style="1" bestFit="1" customWidth="1"/>
    <col min="13908" max="13910" width="9.140625" style="1"/>
    <col min="13911" max="13913" width="9.28515625" style="1" bestFit="1" customWidth="1"/>
    <col min="13914" max="13916" width="9.140625" style="1"/>
    <col min="13917" max="13918" width="9.28515625" style="1" bestFit="1" customWidth="1"/>
    <col min="13919" max="13919" width="9.140625" style="1"/>
    <col min="13920" max="13921" width="9.28515625" style="1" bestFit="1" customWidth="1"/>
    <col min="13922" max="13922" width="9.140625" style="1"/>
    <col min="13923" max="13923" width="9.28515625" style="1" bestFit="1" customWidth="1"/>
    <col min="13924" max="13926" width="9.140625" style="1"/>
    <col min="13927" max="13929" width="9.28515625" style="1" bestFit="1" customWidth="1"/>
    <col min="13930" max="13932" width="9.140625" style="1"/>
    <col min="13933" max="13934" width="9.28515625" style="1" bestFit="1" customWidth="1"/>
    <col min="13935" max="13935" width="9.140625" style="1"/>
    <col min="13936" max="13937" width="9.28515625" style="1" bestFit="1" customWidth="1"/>
    <col min="13938" max="13938" width="9.140625" style="1"/>
    <col min="13939" max="13939" width="9.28515625" style="1" bestFit="1" customWidth="1"/>
    <col min="13940" max="13942" width="9.140625" style="1"/>
    <col min="13943" max="13945" width="9.28515625" style="1" bestFit="1" customWidth="1"/>
    <col min="13946" max="13948" width="9.140625" style="1"/>
    <col min="13949" max="13950" width="9.28515625" style="1" bestFit="1" customWidth="1"/>
    <col min="13951" max="13951" width="9.140625" style="1"/>
    <col min="13952" max="13953" width="9.28515625" style="1" bestFit="1" customWidth="1"/>
    <col min="13954" max="13954" width="9.140625" style="1"/>
    <col min="13955" max="13955" width="9.28515625" style="1" bestFit="1" customWidth="1"/>
    <col min="13956" max="13958" width="9.140625" style="1"/>
    <col min="13959" max="13961" width="9.28515625" style="1" bestFit="1" customWidth="1"/>
    <col min="13962" max="13964" width="9.140625" style="1"/>
    <col min="13965" max="13966" width="9.28515625" style="1" bestFit="1" customWidth="1"/>
    <col min="13967" max="13967" width="9.140625" style="1"/>
    <col min="13968" max="13969" width="9.28515625" style="1" bestFit="1" customWidth="1"/>
    <col min="13970" max="13970" width="9.140625" style="1"/>
    <col min="13971" max="13971" width="9.28515625" style="1" bestFit="1" customWidth="1"/>
    <col min="13972" max="13974" width="9.140625" style="1"/>
    <col min="13975" max="13977" width="9.28515625" style="1" bestFit="1" customWidth="1"/>
    <col min="13978" max="13980" width="9.140625" style="1"/>
    <col min="13981" max="13982" width="9.28515625" style="1" bestFit="1" customWidth="1"/>
    <col min="13983" max="13983" width="9.140625" style="1"/>
    <col min="13984" max="13985" width="9.28515625" style="1" bestFit="1" customWidth="1"/>
    <col min="13986" max="13986" width="9.140625" style="1"/>
    <col min="13987" max="13987" width="9.28515625" style="1" bestFit="1" customWidth="1"/>
    <col min="13988" max="13990" width="9.140625" style="1"/>
    <col min="13991" max="13993" width="9.28515625" style="1" bestFit="1" customWidth="1"/>
    <col min="13994" max="13996" width="9.140625" style="1"/>
    <col min="13997" max="13998" width="9.28515625" style="1" bestFit="1" customWidth="1"/>
    <col min="13999" max="13999" width="9.140625" style="1"/>
    <col min="14000" max="14001" width="9.28515625" style="1" bestFit="1" customWidth="1"/>
    <col min="14002" max="14002" width="9.140625" style="1"/>
    <col min="14003" max="14003" width="9.28515625" style="1" bestFit="1" customWidth="1"/>
    <col min="14004" max="14006" width="9.140625" style="1"/>
    <col min="14007" max="14009" width="9.28515625" style="1" bestFit="1" customWidth="1"/>
    <col min="14010" max="14012" width="9.140625" style="1"/>
    <col min="14013" max="14014" width="9.28515625" style="1" bestFit="1" customWidth="1"/>
    <col min="14015" max="14015" width="9.140625" style="1"/>
    <col min="14016" max="14017" width="9.28515625" style="1" bestFit="1" customWidth="1"/>
    <col min="14018" max="14018" width="9.140625" style="1"/>
    <col min="14019" max="14019" width="9.28515625" style="1" bestFit="1" customWidth="1"/>
    <col min="14020" max="14022" width="9.140625" style="1"/>
    <col min="14023" max="14025" width="9.28515625" style="1" bestFit="1" customWidth="1"/>
    <col min="14026" max="14028" width="9.140625" style="1"/>
    <col min="14029" max="14030" width="9.28515625" style="1" bestFit="1" customWidth="1"/>
    <col min="14031" max="14031" width="9.140625" style="1"/>
    <col min="14032" max="14033" width="9.28515625" style="1" bestFit="1" customWidth="1"/>
    <col min="14034" max="14034" width="9.140625" style="1"/>
    <col min="14035" max="14035" width="9.28515625" style="1" bestFit="1" customWidth="1"/>
    <col min="14036" max="14038" width="9.140625" style="1"/>
    <col min="14039" max="14041" width="9.28515625" style="1" bestFit="1" customWidth="1"/>
    <col min="14042" max="14044" width="9.140625" style="1"/>
    <col min="14045" max="14046" width="9.28515625" style="1" bestFit="1" customWidth="1"/>
    <col min="14047" max="14047" width="9.140625" style="1"/>
    <col min="14048" max="14049" width="9.28515625" style="1" bestFit="1" customWidth="1"/>
    <col min="14050" max="14050" width="9.140625" style="1"/>
    <col min="14051" max="14051" width="9.28515625" style="1" bestFit="1" customWidth="1"/>
    <col min="14052" max="14054" width="9.140625" style="1"/>
    <col min="14055" max="14057" width="9.28515625" style="1" bestFit="1" customWidth="1"/>
    <col min="14058" max="14060" width="9.140625" style="1"/>
    <col min="14061" max="14062" width="9.28515625" style="1" bestFit="1" customWidth="1"/>
    <col min="14063" max="14063" width="9.140625" style="1"/>
    <col min="14064" max="14065" width="9.28515625" style="1" bestFit="1" customWidth="1"/>
    <col min="14066" max="14066" width="9.140625" style="1"/>
    <col min="14067" max="14067" width="9.28515625" style="1" bestFit="1" customWidth="1"/>
    <col min="14068" max="14070" width="9.140625" style="1"/>
    <col min="14071" max="14073" width="9.28515625" style="1" bestFit="1" customWidth="1"/>
    <col min="14074" max="14076" width="9.140625" style="1"/>
    <col min="14077" max="14078" width="9.28515625" style="1" bestFit="1" customWidth="1"/>
    <col min="14079" max="14079" width="9.140625" style="1"/>
    <col min="14080" max="14081" width="9.28515625" style="1" bestFit="1" customWidth="1"/>
    <col min="14082" max="14082" width="9.140625" style="1"/>
    <col min="14083" max="14083" width="9.28515625" style="1" bestFit="1" customWidth="1"/>
    <col min="14084" max="14086" width="9.140625" style="1"/>
    <col min="14087" max="14089" width="9.28515625" style="1" bestFit="1" customWidth="1"/>
    <col min="14090" max="14092" width="9.140625" style="1"/>
    <col min="14093" max="14094" width="9.28515625" style="1" bestFit="1" customWidth="1"/>
    <col min="14095" max="14095" width="9.140625" style="1"/>
    <col min="14096" max="14097" width="9.28515625" style="1" bestFit="1" customWidth="1"/>
    <col min="14098" max="14098" width="9.140625" style="1"/>
    <col min="14099" max="14099" width="9.28515625" style="1" bestFit="1" customWidth="1"/>
    <col min="14100" max="14102" width="9.140625" style="1"/>
    <col min="14103" max="14105" width="9.28515625" style="1" bestFit="1" customWidth="1"/>
    <col min="14106" max="14108" width="9.140625" style="1"/>
    <col min="14109" max="14110" width="9.28515625" style="1" bestFit="1" customWidth="1"/>
    <col min="14111" max="14111" width="9.140625" style="1"/>
    <col min="14112" max="14113" width="9.28515625" style="1" bestFit="1" customWidth="1"/>
    <col min="14114" max="14114" width="9.140625" style="1"/>
    <col min="14115" max="14115" width="9.28515625" style="1" bestFit="1" customWidth="1"/>
    <col min="14116" max="14118" width="9.140625" style="1"/>
    <col min="14119" max="14121" width="9.28515625" style="1" bestFit="1" customWidth="1"/>
    <col min="14122" max="14124" width="9.140625" style="1"/>
    <col min="14125" max="14126" width="9.28515625" style="1" bestFit="1" customWidth="1"/>
    <col min="14127" max="14127" width="9.140625" style="1"/>
    <col min="14128" max="14129" width="9.28515625" style="1" bestFit="1" customWidth="1"/>
    <col min="14130" max="14130" width="9.140625" style="1"/>
    <col min="14131" max="14131" width="9.28515625" style="1" bestFit="1" customWidth="1"/>
    <col min="14132" max="14134" width="9.140625" style="1"/>
    <col min="14135" max="14137" width="9.28515625" style="1" bestFit="1" customWidth="1"/>
    <col min="14138" max="14140" width="9.140625" style="1"/>
    <col min="14141" max="14142" width="9.28515625" style="1" bestFit="1" customWidth="1"/>
    <col min="14143" max="14143" width="9.140625" style="1"/>
    <col min="14144" max="14145" width="9.28515625" style="1" bestFit="1" customWidth="1"/>
    <col min="14146" max="14146" width="9.140625" style="1"/>
    <col min="14147" max="14147" width="9.28515625" style="1" bestFit="1" customWidth="1"/>
    <col min="14148" max="14150" width="9.140625" style="1"/>
    <col min="14151" max="14153" width="9.28515625" style="1" bestFit="1" customWidth="1"/>
    <col min="14154" max="14156" width="9.140625" style="1"/>
    <col min="14157" max="14158" width="9.28515625" style="1" bestFit="1" customWidth="1"/>
    <col min="14159" max="14159" width="9.140625" style="1"/>
    <col min="14160" max="14161" width="9.28515625" style="1" bestFit="1" customWidth="1"/>
    <col min="14162" max="14162" width="9.140625" style="1"/>
    <col min="14163" max="14163" width="9.28515625" style="1" bestFit="1" customWidth="1"/>
    <col min="14164" max="14166" width="9.140625" style="1"/>
    <col min="14167" max="14169" width="9.28515625" style="1" bestFit="1" customWidth="1"/>
    <col min="14170" max="14172" width="9.140625" style="1"/>
    <col min="14173" max="14174" width="9.28515625" style="1" bestFit="1" customWidth="1"/>
    <col min="14175" max="14175" width="9.140625" style="1"/>
    <col min="14176" max="14177" width="9.28515625" style="1" bestFit="1" customWidth="1"/>
    <col min="14178" max="14178" width="9.140625" style="1"/>
    <col min="14179" max="14179" width="9.28515625" style="1" bestFit="1" customWidth="1"/>
    <col min="14180" max="14182" width="9.140625" style="1"/>
    <col min="14183" max="14185" width="9.28515625" style="1" bestFit="1" customWidth="1"/>
    <col min="14186" max="14188" width="9.140625" style="1"/>
    <col min="14189" max="14190" width="9.28515625" style="1" bestFit="1" customWidth="1"/>
    <col min="14191" max="14191" width="9.140625" style="1"/>
    <col min="14192" max="14193" width="9.28515625" style="1" bestFit="1" customWidth="1"/>
    <col min="14194" max="14194" width="9.140625" style="1"/>
    <col min="14195" max="14195" width="9.28515625" style="1" bestFit="1" customWidth="1"/>
    <col min="14196" max="14198" width="9.140625" style="1"/>
    <col min="14199" max="14201" width="9.28515625" style="1" bestFit="1" customWidth="1"/>
    <col min="14202" max="14204" width="9.140625" style="1"/>
    <col min="14205" max="14206" width="9.28515625" style="1" bestFit="1" customWidth="1"/>
    <col min="14207" max="14207" width="9.140625" style="1"/>
    <col min="14208" max="14209" width="9.28515625" style="1" bestFit="1" customWidth="1"/>
    <col min="14210" max="14210" width="9.140625" style="1"/>
    <col min="14211" max="14211" width="9.28515625" style="1" bestFit="1" customWidth="1"/>
    <col min="14212" max="14214" width="9.140625" style="1"/>
    <col min="14215" max="14217" width="9.28515625" style="1" bestFit="1" customWidth="1"/>
    <col min="14218" max="14220" width="9.140625" style="1"/>
    <col min="14221" max="14222" width="9.28515625" style="1" bestFit="1" customWidth="1"/>
    <col min="14223" max="14223" width="9.140625" style="1"/>
    <col min="14224" max="14225" width="9.28515625" style="1" bestFit="1" customWidth="1"/>
    <col min="14226" max="14226" width="9.140625" style="1"/>
    <col min="14227" max="14227" width="9.28515625" style="1" bestFit="1" customWidth="1"/>
    <col min="14228" max="14230" width="9.140625" style="1"/>
    <col min="14231" max="14233" width="9.28515625" style="1" bestFit="1" customWidth="1"/>
    <col min="14234" max="14236" width="9.140625" style="1"/>
    <col min="14237" max="14238" width="9.28515625" style="1" bestFit="1" customWidth="1"/>
    <col min="14239" max="14239" width="9.140625" style="1"/>
    <col min="14240" max="14241" width="9.28515625" style="1" bestFit="1" customWidth="1"/>
    <col min="14242" max="14242" width="9.140625" style="1"/>
    <col min="14243" max="14243" width="9.28515625" style="1" bestFit="1" customWidth="1"/>
    <col min="14244" max="14246" width="9.140625" style="1"/>
    <col min="14247" max="14249" width="9.28515625" style="1" bestFit="1" customWidth="1"/>
    <col min="14250" max="14252" width="9.140625" style="1"/>
    <col min="14253" max="14254" width="9.28515625" style="1" bestFit="1" customWidth="1"/>
    <col min="14255" max="14255" width="9.140625" style="1"/>
    <col min="14256" max="14257" width="9.28515625" style="1" bestFit="1" customWidth="1"/>
    <col min="14258" max="14258" width="9.140625" style="1"/>
    <col min="14259" max="14259" width="9.28515625" style="1" bestFit="1" customWidth="1"/>
    <col min="14260" max="14262" width="9.140625" style="1"/>
    <col min="14263" max="14265" width="9.28515625" style="1" bestFit="1" customWidth="1"/>
    <col min="14266" max="14268" width="9.140625" style="1"/>
    <col min="14269" max="14270" width="9.28515625" style="1" bestFit="1" customWidth="1"/>
    <col min="14271" max="14271" width="9.140625" style="1"/>
    <col min="14272" max="14273" width="9.28515625" style="1" bestFit="1" customWidth="1"/>
    <col min="14274" max="14274" width="9.140625" style="1"/>
    <col min="14275" max="14275" width="9.28515625" style="1" bestFit="1" customWidth="1"/>
    <col min="14276" max="14278" width="9.140625" style="1"/>
    <col min="14279" max="14281" width="9.28515625" style="1" bestFit="1" customWidth="1"/>
    <col min="14282" max="14284" width="9.140625" style="1"/>
    <col min="14285" max="14286" width="9.28515625" style="1" bestFit="1" customWidth="1"/>
    <col min="14287" max="14287" width="9.140625" style="1"/>
    <col min="14288" max="14289" width="9.28515625" style="1" bestFit="1" customWidth="1"/>
    <col min="14290" max="14290" width="9.140625" style="1"/>
    <col min="14291" max="14291" width="9.28515625" style="1" bestFit="1" customWidth="1"/>
    <col min="14292" max="14294" width="9.140625" style="1"/>
    <col min="14295" max="14297" width="9.28515625" style="1" bestFit="1" customWidth="1"/>
    <col min="14298" max="14300" width="9.140625" style="1"/>
    <col min="14301" max="14302" width="9.28515625" style="1" bestFit="1" customWidth="1"/>
    <col min="14303" max="14303" width="9.140625" style="1"/>
    <col min="14304" max="14305" width="9.28515625" style="1" bestFit="1" customWidth="1"/>
    <col min="14306" max="14306" width="9.140625" style="1"/>
    <col min="14307" max="14307" width="9.28515625" style="1" bestFit="1" customWidth="1"/>
    <col min="14308" max="14310" width="9.140625" style="1"/>
    <col min="14311" max="14313" width="9.28515625" style="1" bestFit="1" customWidth="1"/>
    <col min="14314" max="14316" width="9.140625" style="1"/>
    <col min="14317" max="14318" width="9.28515625" style="1" bestFit="1" customWidth="1"/>
    <col min="14319" max="14319" width="9.140625" style="1"/>
    <col min="14320" max="14321" width="9.28515625" style="1" bestFit="1" customWidth="1"/>
    <col min="14322" max="14322" width="9.140625" style="1"/>
    <col min="14323" max="14323" width="9.28515625" style="1" bestFit="1" customWidth="1"/>
    <col min="14324" max="14326" width="9.140625" style="1"/>
    <col min="14327" max="14329" width="9.28515625" style="1" bestFit="1" customWidth="1"/>
    <col min="14330" max="14332" width="9.140625" style="1"/>
    <col min="14333" max="14334" width="9.28515625" style="1" bestFit="1" customWidth="1"/>
    <col min="14335" max="14335" width="9.140625" style="1"/>
    <col min="14336" max="14337" width="9.28515625" style="1" bestFit="1" customWidth="1"/>
    <col min="14338" max="14338" width="9.140625" style="1"/>
    <col min="14339" max="14339" width="9.28515625" style="1" bestFit="1" customWidth="1"/>
    <col min="14340" max="14342" width="9.140625" style="1"/>
    <col min="14343" max="14345" width="9.28515625" style="1" bestFit="1" customWidth="1"/>
    <col min="14346" max="14348" width="9.140625" style="1"/>
    <col min="14349" max="14350" width="9.28515625" style="1" bestFit="1" customWidth="1"/>
    <col min="14351" max="14351" width="9.140625" style="1"/>
    <col min="14352" max="14353" width="9.28515625" style="1" bestFit="1" customWidth="1"/>
    <col min="14354" max="14354" width="9.140625" style="1"/>
    <col min="14355" max="14355" width="9.28515625" style="1" bestFit="1" customWidth="1"/>
    <col min="14356" max="14358" width="9.140625" style="1"/>
    <col min="14359" max="14361" width="9.28515625" style="1" bestFit="1" customWidth="1"/>
    <col min="14362" max="14364" width="9.140625" style="1"/>
    <col min="14365" max="14366" width="9.28515625" style="1" bestFit="1" customWidth="1"/>
    <col min="14367" max="14367" width="9.140625" style="1"/>
    <col min="14368" max="14369" width="9.28515625" style="1" bestFit="1" customWidth="1"/>
    <col min="14370" max="14370" width="9.140625" style="1"/>
    <col min="14371" max="14371" width="9.28515625" style="1" bestFit="1" customWidth="1"/>
    <col min="14372" max="14374" width="9.140625" style="1"/>
    <col min="14375" max="14377" width="9.28515625" style="1" bestFit="1" customWidth="1"/>
    <col min="14378" max="14380" width="9.140625" style="1"/>
    <col min="14381" max="14382" width="9.28515625" style="1" bestFit="1" customWidth="1"/>
    <col min="14383" max="14383" width="9.140625" style="1"/>
    <col min="14384" max="14385" width="9.28515625" style="1" bestFit="1" customWidth="1"/>
    <col min="14386" max="14386" width="9.140625" style="1"/>
    <col min="14387" max="14387" width="9.28515625" style="1" bestFit="1" customWidth="1"/>
    <col min="14388" max="14390" width="9.140625" style="1"/>
    <col min="14391" max="14393" width="9.28515625" style="1" bestFit="1" customWidth="1"/>
    <col min="14394" max="14396" width="9.140625" style="1"/>
    <col min="14397" max="14398" width="9.28515625" style="1" bestFit="1" customWidth="1"/>
    <col min="14399" max="14399" width="9.140625" style="1"/>
    <col min="14400" max="14401" width="9.28515625" style="1" bestFit="1" customWidth="1"/>
    <col min="14402" max="14402" width="9.140625" style="1"/>
    <col min="14403" max="14403" width="9.28515625" style="1" bestFit="1" customWidth="1"/>
    <col min="14404" max="14406" width="9.140625" style="1"/>
    <col min="14407" max="14409" width="9.28515625" style="1" bestFit="1" customWidth="1"/>
    <col min="14410" max="14412" width="9.140625" style="1"/>
    <col min="14413" max="14414" width="9.28515625" style="1" bestFit="1" customWidth="1"/>
    <col min="14415" max="14415" width="9.140625" style="1"/>
    <col min="14416" max="14417" width="9.28515625" style="1" bestFit="1" customWidth="1"/>
    <col min="14418" max="14418" width="9.140625" style="1"/>
    <col min="14419" max="14419" width="9.28515625" style="1" bestFit="1" customWidth="1"/>
    <col min="14420" max="14422" width="9.140625" style="1"/>
    <col min="14423" max="14425" width="9.28515625" style="1" bestFit="1" customWidth="1"/>
    <col min="14426" max="14428" width="9.140625" style="1"/>
    <col min="14429" max="14430" width="9.28515625" style="1" bestFit="1" customWidth="1"/>
    <col min="14431" max="14431" width="9.140625" style="1"/>
    <col min="14432" max="14433" width="9.28515625" style="1" bestFit="1" customWidth="1"/>
    <col min="14434" max="14434" width="9.140625" style="1"/>
    <col min="14435" max="14435" width="9.28515625" style="1" bestFit="1" customWidth="1"/>
    <col min="14436" max="14438" width="9.140625" style="1"/>
    <col min="14439" max="14441" width="9.28515625" style="1" bestFit="1" customWidth="1"/>
    <col min="14442" max="14444" width="9.140625" style="1"/>
    <col min="14445" max="14446" width="9.28515625" style="1" bestFit="1" customWidth="1"/>
    <col min="14447" max="14447" width="9.140625" style="1"/>
    <col min="14448" max="14449" width="9.28515625" style="1" bestFit="1" customWidth="1"/>
    <col min="14450" max="14450" width="9.140625" style="1"/>
    <col min="14451" max="14451" width="9.28515625" style="1" bestFit="1" customWidth="1"/>
    <col min="14452" max="14454" width="9.140625" style="1"/>
    <col min="14455" max="14457" width="9.28515625" style="1" bestFit="1" customWidth="1"/>
    <col min="14458" max="14460" width="9.140625" style="1"/>
    <col min="14461" max="14462" width="9.28515625" style="1" bestFit="1" customWidth="1"/>
    <col min="14463" max="14463" width="9.140625" style="1"/>
    <col min="14464" max="14465" width="9.28515625" style="1" bestFit="1" customWidth="1"/>
    <col min="14466" max="14466" width="9.140625" style="1"/>
    <col min="14467" max="14467" width="9.28515625" style="1" bestFit="1" customWidth="1"/>
    <col min="14468" max="14470" width="9.140625" style="1"/>
    <col min="14471" max="14473" width="9.28515625" style="1" bestFit="1" customWidth="1"/>
    <col min="14474" max="14476" width="9.140625" style="1"/>
    <col min="14477" max="14478" width="9.28515625" style="1" bestFit="1" customWidth="1"/>
    <col min="14479" max="14479" width="9.140625" style="1"/>
    <col min="14480" max="14481" width="9.28515625" style="1" bestFit="1" customWidth="1"/>
    <col min="14482" max="14482" width="9.140625" style="1"/>
    <col min="14483" max="14483" width="9.28515625" style="1" bestFit="1" customWidth="1"/>
    <col min="14484" max="14486" width="9.140625" style="1"/>
    <col min="14487" max="14489" width="9.28515625" style="1" bestFit="1" customWidth="1"/>
    <col min="14490" max="14492" width="9.140625" style="1"/>
    <col min="14493" max="14494" width="9.28515625" style="1" bestFit="1" customWidth="1"/>
    <col min="14495" max="14495" width="9.140625" style="1"/>
    <col min="14496" max="14497" width="9.28515625" style="1" bestFit="1" customWidth="1"/>
    <col min="14498" max="14498" width="9.140625" style="1"/>
    <col min="14499" max="14499" width="9.28515625" style="1" bestFit="1" customWidth="1"/>
    <col min="14500" max="14502" width="9.140625" style="1"/>
    <col min="14503" max="14505" width="9.28515625" style="1" bestFit="1" customWidth="1"/>
    <col min="14506" max="14508" width="9.140625" style="1"/>
    <col min="14509" max="14510" width="9.28515625" style="1" bestFit="1" customWidth="1"/>
    <col min="14511" max="14511" width="9.140625" style="1"/>
    <col min="14512" max="14513" width="9.28515625" style="1" bestFit="1" customWidth="1"/>
    <col min="14514" max="14514" width="9.140625" style="1"/>
    <col min="14515" max="14515" width="9.28515625" style="1" bestFit="1" customWidth="1"/>
    <col min="14516" max="14518" width="9.140625" style="1"/>
    <col min="14519" max="14521" width="9.28515625" style="1" bestFit="1" customWidth="1"/>
    <col min="14522" max="14524" width="9.140625" style="1"/>
    <col min="14525" max="14526" width="9.28515625" style="1" bestFit="1" customWidth="1"/>
    <col min="14527" max="14527" width="9.140625" style="1"/>
    <col min="14528" max="14529" width="9.28515625" style="1" bestFit="1" customWidth="1"/>
    <col min="14530" max="14530" width="9.140625" style="1"/>
    <col min="14531" max="14531" width="9.28515625" style="1" bestFit="1" customWidth="1"/>
    <col min="14532" max="14534" width="9.140625" style="1"/>
    <col min="14535" max="14537" width="9.28515625" style="1" bestFit="1" customWidth="1"/>
    <col min="14538" max="14540" width="9.140625" style="1"/>
    <col min="14541" max="14542" width="9.28515625" style="1" bestFit="1" customWidth="1"/>
    <col min="14543" max="14543" width="9.140625" style="1"/>
    <col min="14544" max="14545" width="9.28515625" style="1" bestFit="1" customWidth="1"/>
    <col min="14546" max="14546" width="9.140625" style="1"/>
    <col min="14547" max="14547" width="9.28515625" style="1" bestFit="1" customWidth="1"/>
    <col min="14548" max="14550" width="9.140625" style="1"/>
    <col min="14551" max="14553" width="9.28515625" style="1" bestFit="1" customWidth="1"/>
    <col min="14554" max="14556" width="9.140625" style="1"/>
    <col min="14557" max="14558" width="9.28515625" style="1" bestFit="1" customWidth="1"/>
    <col min="14559" max="14559" width="9.140625" style="1"/>
    <col min="14560" max="14561" width="9.28515625" style="1" bestFit="1" customWidth="1"/>
    <col min="14562" max="14562" width="9.140625" style="1"/>
    <col min="14563" max="14563" width="9.28515625" style="1" bestFit="1" customWidth="1"/>
    <col min="14564" max="14566" width="9.140625" style="1"/>
    <col min="14567" max="14569" width="9.28515625" style="1" bestFit="1" customWidth="1"/>
    <col min="14570" max="14572" width="9.140625" style="1"/>
    <col min="14573" max="14574" width="9.28515625" style="1" bestFit="1" customWidth="1"/>
    <col min="14575" max="14575" width="9.140625" style="1"/>
    <col min="14576" max="14577" width="9.28515625" style="1" bestFit="1" customWidth="1"/>
    <col min="14578" max="14578" width="9.140625" style="1"/>
    <col min="14579" max="14579" width="9.28515625" style="1" bestFit="1" customWidth="1"/>
    <col min="14580" max="14582" width="9.140625" style="1"/>
    <col min="14583" max="14585" width="9.28515625" style="1" bestFit="1" customWidth="1"/>
    <col min="14586" max="14588" width="9.140625" style="1"/>
    <col min="14589" max="14590" width="9.28515625" style="1" bestFit="1" customWidth="1"/>
    <col min="14591" max="14591" width="9.140625" style="1"/>
    <col min="14592" max="14593" width="9.28515625" style="1" bestFit="1" customWidth="1"/>
    <col min="14594" max="14594" width="9.140625" style="1"/>
    <col min="14595" max="14595" width="9.28515625" style="1" bestFit="1" customWidth="1"/>
    <col min="14596" max="14598" width="9.140625" style="1"/>
    <col min="14599" max="14601" width="9.28515625" style="1" bestFit="1" customWidth="1"/>
    <col min="14602" max="14604" width="9.140625" style="1"/>
    <col min="14605" max="14606" width="9.28515625" style="1" bestFit="1" customWidth="1"/>
    <col min="14607" max="14607" width="9.140625" style="1"/>
    <col min="14608" max="14609" width="9.28515625" style="1" bestFit="1" customWidth="1"/>
    <col min="14610" max="14610" width="9.140625" style="1"/>
    <col min="14611" max="14611" width="9.28515625" style="1" bestFit="1" customWidth="1"/>
    <col min="14612" max="14614" width="9.140625" style="1"/>
    <col min="14615" max="14617" width="9.28515625" style="1" bestFit="1" customWidth="1"/>
    <col min="14618" max="14620" width="9.140625" style="1"/>
    <col min="14621" max="14622" width="9.28515625" style="1" bestFit="1" customWidth="1"/>
    <col min="14623" max="14623" width="9.140625" style="1"/>
    <col min="14624" max="14625" width="9.28515625" style="1" bestFit="1" customWidth="1"/>
    <col min="14626" max="14626" width="9.140625" style="1"/>
    <col min="14627" max="14627" width="9.28515625" style="1" bestFit="1" customWidth="1"/>
    <col min="14628" max="14630" width="9.140625" style="1"/>
    <col min="14631" max="14633" width="9.28515625" style="1" bestFit="1" customWidth="1"/>
    <col min="14634" max="14636" width="9.140625" style="1"/>
    <col min="14637" max="14638" width="9.28515625" style="1" bestFit="1" customWidth="1"/>
    <col min="14639" max="14639" width="9.140625" style="1"/>
    <col min="14640" max="14641" width="9.28515625" style="1" bestFit="1" customWidth="1"/>
    <col min="14642" max="14642" width="9.140625" style="1"/>
    <col min="14643" max="14643" width="9.28515625" style="1" bestFit="1" customWidth="1"/>
    <col min="14644" max="14646" width="9.140625" style="1"/>
    <col min="14647" max="14649" width="9.28515625" style="1" bestFit="1" customWidth="1"/>
    <col min="14650" max="14652" width="9.140625" style="1"/>
    <col min="14653" max="14654" width="9.28515625" style="1" bestFit="1" customWidth="1"/>
    <col min="14655" max="14655" width="9.140625" style="1"/>
    <col min="14656" max="14657" width="9.28515625" style="1" bestFit="1" customWidth="1"/>
    <col min="14658" max="14658" width="9.140625" style="1"/>
    <col min="14659" max="14659" width="9.28515625" style="1" bestFit="1" customWidth="1"/>
    <col min="14660" max="14662" width="9.140625" style="1"/>
    <col min="14663" max="14665" width="9.28515625" style="1" bestFit="1" customWidth="1"/>
    <col min="14666" max="14668" width="9.140625" style="1"/>
    <col min="14669" max="14670" width="9.28515625" style="1" bestFit="1" customWidth="1"/>
    <col min="14671" max="14671" width="9.140625" style="1"/>
    <col min="14672" max="14673" width="9.28515625" style="1" bestFit="1" customWidth="1"/>
    <col min="14674" max="14674" width="9.140625" style="1"/>
    <col min="14675" max="14675" width="9.28515625" style="1" bestFit="1" customWidth="1"/>
    <col min="14676" max="14678" width="9.140625" style="1"/>
    <col min="14679" max="14681" width="9.28515625" style="1" bestFit="1" customWidth="1"/>
    <col min="14682" max="14684" width="9.140625" style="1"/>
    <col min="14685" max="14686" width="9.28515625" style="1" bestFit="1" customWidth="1"/>
    <col min="14687" max="14687" width="9.140625" style="1"/>
    <col min="14688" max="14689" width="9.28515625" style="1" bestFit="1" customWidth="1"/>
    <col min="14690" max="14690" width="9.140625" style="1"/>
    <col min="14691" max="14691" width="9.28515625" style="1" bestFit="1" customWidth="1"/>
    <col min="14692" max="14694" width="9.140625" style="1"/>
    <col min="14695" max="14697" width="9.28515625" style="1" bestFit="1" customWidth="1"/>
    <col min="14698" max="14700" width="9.140625" style="1"/>
    <col min="14701" max="14702" width="9.28515625" style="1" bestFit="1" customWidth="1"/>
    <col min="14703" max="14703" width="9.140625" style="1"/>
    <col min="14704" max="14705" width="9.28515625" style="1" bestFit="1" customWidth="1"/>
    <col min="14706" max="14706" width="9.140625" style="1"/>
    <col min="14707" max="14707" width="9.28515625" style="1" bestFit="1" customWidth="1"/>
    <col min="14708" max="14710" width="9.140625" style="1"/>
    <col min="14711" max="14713" width="9.28515625" style="1" bestFit="1" customWidth="1"/>
    <col min="14714" max="14716" width="9.140625" style="1"/>
    <col min="14717" max="14718" width="9.28515625" style="1" bestFit="1" customWidth="1"/>
    <col min="14719" max="14719" width="9.140625" style="1"/>
    <col min="14720" max="14721" width="9.28515625" style="1" bestFit="1" customWidth="1"/>
    <col min="14722" max="14722" width="9.140625" style="1"/>
    <col min="14723" max="14723" width="9.28515625" style="1" bestFit="1" customWidth="1"/>
    <col min="14724" max="14726" width="9.140625" style="1"/>
    <col min="14727" max="14729" width="9.28515625" style="1" bestFit="1" customWidth="1"/>
    <col min="14730" max="14732" width="9.140625" style="1"/>
    <col min="14733" max="14734" width="9.28515625" style="1" bestFit="1" customWidth="1"/>
    <col min="14735" max="14735" width="9.140625" style="1"/>
    <col min="14736" max="14737" width="9.28515625" style="1" bestFit="1" customWidth="1"/>
    <col min="14738" max="14738" width="9.140625" style="1"/>
    <col min="14739" max="14739" width="9.28515625" style="1" bestFit="1" customWidth="1"/>
    <col min="14740" max="14742" width="9.140625" style="1"/>
    <col min="14743" max="14745" width="9.28515625" style="1" bestFit="1" customWidth="1"/>
    <col min="14746" max="14748" width="9.140625" style="1"/>
    <col min="14749" max="14750" width="9.28515625" style="1" bestFit="1" customWidth="1"/>
    <col min="14751" max="14751" width="9.140625" style="1"/>
    <col min="14752" max="14753" width="9.28515625" style="1" bestFit="1" customWidth="1"/>
    <col min="14754" max="14754" width="9.140625" style="1"/>
    <col min="14755" max="14755" width="9.28515625" style="1" bestFit="1" customWidth="1"/>
    <col min="14756" max="14758" width="9.140625" style="1"/>
    <col min="14759" max="14761" width="9.28515625" style="1" bestFit="1" customWidth="1"/>
    <col min="14762" max="14764" width="9.140625" style="1"/>
    <col min="14765" max="14766" width="9.28515625" style="1" bestFit="1" customWidth="1"/>
    <col min="14767" max="14767" width="9.140625" style="1"/>
    <col min="14768" max="14769" width="9.28515625" style="1" bestFit="1" customWidth="1"/>
    <col min="14770" max="14770" width="9.140625" style="1"/>
    <col min="14771" max="14771" width="9.28515625" style="1" bestFit="1" customWidth="1"/>
    <col min="14772" max="14774" width="9.140625" style="1"/>
    <col min="14775" max="14777" width="9.28515625" style="1" bestFit="1" customWidth="1"/>
    <col min="14778" max="14780" width="9.140625" style="1"/>
    <col min="14781" max="14782" width="9.28515625" style="1" bestFit="1" customWidth="1"/>
    <col min="14783" max="14783" width="9.140625" style="1"/>
    <col min="14784" max="14785" width="9.28515625" style="1" bestFit="1" customWidth="1"/>
    <col min="14786" max="14786" width="9.140625" style="1"/>
    <col min="14787" max="14787" width="9.28515625" style="1" bestFit="1" customWidth="1"/>
    <col min="14788" max="14790" width="9.140625" style="1"/>
    <col min="14791" max="14793" width="9.28515625" style="1" bestFit="1" customWidth="1"/>
    <col min="14794" max="14796" width="9.140625" style="1"/>
    <col min="14797" max="14798" width="9.28515625" style="1" bestFit="1" customWidth="1"/>
    <col min="14799" max="14799" width="9.140625" style="1"/>
    <col min="14800" max="14801" width="9.28515625" style="1" bestFit="1" customWidth="1"/>
    <col min="14802" max="14802" width="9.140625" style="1"/>
    <col min="14803" max="14803" width="9.28515625" style="1" bestFit="1" customWidth="1"/>
    <col min="14804" max="14806" width="9.140625" style="1"/>
    <col min="14807" max="14809" width="9.28515625" style="1" bestFit="1" customWidth="1"/>
    <col min="14810" max="14812" width="9.140625" style="1"/>
    <col min="14813" max="14814" width="9.28515625" style="1" bestFit="1" customWidth="1"/>
    <col min="14815" max="14815" width="9.140625" style="1"/>
    <col min="14816" max="14817" width="9.28515625" style="1" bestFit="1" customWidth="1"/>
    <col min="14818" max="14818" width="9.140625" style="1"/>
    <col min="14819" max="14819" width="9.28515625" style="1" bestFit="1" customWidth="1"/>
    <col min="14820" max="14822" width="9.140625" style="1"/>
    <col min="14823" max="14825" width="9.28515625" style="1" bestFit="1" customWidth="1"/>
    <col min="14826" max="14828" width="9.140625" style="1"/>
    <col min="14829" max="14830" width="9.28515625" style="1" bestFit="1" customWidth="1"/>
    <col min="14831" max="14831" width="9.140625" style="1"/>
    <col min="14832" max="14833" width="9.28515625" style="1" bestFit="1" customWidth="1"/>
    <col min="14834" max="14834" width="9.140625" style="1"/>
    <col min="14835" max="14835" width="9.28515625" style="1" bestFit="1" customWidth="1"/>
    <col min="14836" max="14838" width="9.140625" style="1"/>
    <col min="14839" max="14841" width="9.28515625" style="1" bestFit="1" customWidth="1"/>
    <col min="14842" max="14844" width="9.140625" style="1"/>
    <col min="14845" max="14846" width="9.28515625" style="1" bestFit="1" customWidth="1"/>
    <col min="14847" max="14847" width="9.140625" style="1"/>
    <col min="14848" max="14849" width="9.28515625" style="1" bestFit="1" customWidth="1"/>
    <col min="14850" max="14850" width="9.140625" style="1"/>
    <col min="14851" max="14851" width="9.28515625" style="1" bestFit="1" customWidth="1"/>
    <col min="14852" max="14854" width="9.140625" style="1"/>
    <col min="14855" max="14857" width="9.28515625" style="1" bestFit="1" customWidth="1"/>
    <col min="14858" max="14860" width="9.140625" style="1"/>
    <col min="14861" max="14862" width="9.28515625" style="1" bestFit="1" customWidth="1"/>
    <col min="14863" max="14863" width="9.140625" style="1"/>
    <col min="14864" max="14865" width="9.28515625" style="1" bestFit="1" customWidth="1"/>
    <col min="14866" max="14866" width="9.140625" style="1"/>
    <col min="14867" max="14867" width="9.28515625" style="1" bestFit="1" customWidth="1"/>
    <col min="14868" max="14870" width="9.140625" style="1"/>
    <col min="14871" max="14873" width="9.28515625" style="1" bestFit="1" customWidth="1"/>
    <col min="14874" max="14876" width="9.140625" style="1"/>
    <col min="14877" max="14878" width="9.28515625" style="1" bestFit="1" customWidth="1"/>
    <col min="14879" max="14879" width="9.140625" style="1"/>
    <col min="14880" max="14881" width="9.28515625" style="1" bestFit="1" customWidth="1"/>
    <col min="14882" max="14882" width="9.140625" style="1"/>
    <col min="14883" max="14883" width="9.28515625" style="1" bestFit="1" customWidth="1"/>
    <col min="14884" max="14886" width="9.140625" style="1"/>
    <col min="14887" max="14889" width="9.28515625" style="1" bestFit="1" customWidth="1"/>
    <col min="14890" max="14892" width="9.140625" style="1"/>
    <col min="14893" max="14894" width="9.28515625" style="1" bestFit="1" customWidth="1"/>
    <col min="14895" max="14895" width="9.140625" style="1"/>
    <col min="14896" max="14897" width="9.28515625" style="1" bestFit="1" customWidth="1"/>
    <col min="14898" max="14898" width="9.140625" style="1"/>
    <col min="14899" max="14899" width="9.28515625" style="1" bestFit="1" customWidth="1"/>
    <col min="14900" max="14902" width="9.140625" style="1"/>
    <col min="14903" max="14905" width="9.28515625" style="1" bestFit="1" customWidth="1"/>
    <col min="14906" max="14908" width="9.140625" style="1"/>
    <col min="14909" max="14910" width="9.28515625" style="1" bestFit="1" customWidth="1"/>
    <col min="14911" max="14911" width="9.140625" style="1"/>
    <col min="14912" max="14913" width="9.28515625" style="1" bestFit="1" customWidth="1"/>
    <col min="14914" max="14914" width="9.140625" style="1"/>
    <col min="14915" max="14915" width="9.28515625" style="1" bestFit="1" customWidth="1"/>
    <col min="14916" max="14918" width="9.140625" style="1"/>
    <col min="14919" max="14921" width="9.28515625" style="1" bestFit="1" customWidth="1"/>
    <col min="14922" max="14924" width="9.140625" style="1"/>
    <col min="14925" max="14926" width="9.28515625" style="1" bestFit="1" customWidth="1"/>
    <col min="14927" max="14927" width="9.140625" style="1"/>
    <col min="14928" max="14929" width="9.28515625" style="1" bestFit="1" customWidth="1"/>
    <col min="14930" max="14930" width="9.140625" style="1"/>
    <col min="14931" max="14931" width="9.28515625" style="1" bestFit="1" customWidth="1"/>
    <col min="14932" max="14934" width="9.140625" style="1"/>
    <col min="14935" max="14937" width="9.28515625" style="1" bestFit="1" customWidth="1"/>
    <col min="14938" max="14940" width="9.140625" style="1"/>
    <col min="14941" max="14942" width="9.28515625" style="1" bestFit="1" customWidth="1"/>
    <col min="14943" max="14943" width="9.140625" style="1"/>
    <col min="14944" max="14945" width="9.28515625" style="1" bestFit="1" customWidth="1"/>
    <col min="14946" max="14946" width="9.140625" style="1"/>
    <col min="14947" max="14947" width="9.28515625" style="1" bestFit="1" customWidth="1"/>
    <col min="14948" max="14950" width="9.140625" style="1"/>
    <col min="14951" max="14953" width="9.28515625" style="1" bestFit="1" customWidth="1"/>
    <col min="14954" max="14956" width="9.140625" style="1"/>
    <col min="14957" max="14958" width="9.28515625" style="1" bestFit="1" customWidth="1"/>
    <col min="14959" max="14959" width="9.140625" style="1"/>
    <col min="14960" max="14961" width="9.28515625" style="1" bestFit="1" customWidth="1"/>
    <col min="14962" max="14962" width="9.140625" style="1"/>
    <col min="14963" max="14963" width="9.28515625" style="1" bestFit="1" customWidth="1"/>
    <col min="14964" max="14966" width="9.140625" style="1"/>
    <col min="14967" max="14969" width="9.28515625" style="1" bestFit="1" customWidth="1"/>
    <col min="14970" max="14972" width="9.140625" style="1"/>
    <col min="14973" max="14974" width="9.28515625" style="1" bestFit="1" customWidth="1"/>
    <col min="14975" max="14975" width="9.140625" style="1"/>
    <col min="14976" max="14977" width="9.28515625" style="1" bestFit="1" customWidth="1"/>
    <col min="14978" max="14978" width="9.140625" style="1"/>
    <col min="14979" max="14979" width="9.28515625" style="1" bestFit="1" customWidth="1"/>
    <col min="14980" max="14982" width="9.140625" style="1"/>
    <col min="14983" max="14985" width="9.28515625" style="1" bestFit="1" customWidth="1"/>
    <col min="14986" max="14988" width="9.140625" style="1"/>
    <col min="14989" max="14990" width="9.28515625" style="1" bestFit="1" customWidth="1"/>
    <col min="14991" max="14991" width="9.140625" style="1"/>
    <col min="14992" max="14993" width="9.28515625" style="1" bestFit="1" customWidth="1"/>
    <col min="14994" max="14994" width="9.140625" style="1"/>
    <col min="14995" max="14995" width="9.28515625" style="1" bestFit="1" customWidth="1"/>
    <col min="14996" max="14998" width="9.140625" style="1"/>
    <col min="14999" max="15001" width="9.28515625" style="1" bestFit="1" customWidth="1"/>
    <col min="15002" max="15004" width="9.140625" style="1"/>
    <col min="15005" max="15006" width="9.28515625" style="1" bestFit="1" customWidth="1"/>
    <col min="15007" max="15007" width="9.140625" style="1"/>
    <col min="15008" max="15009" width="9.28515625" style="1" bestFit="1" customWidth="1"/>
    <col min="15010" max="15010" width="9.140625" style="1"/>
    <col min="15011" max="15011" width="9.28515625" style="1" bestFit="1" customWidth="1"/>
    <col min="15012" max="15014" width="9.140625" style="1"/>
    <col min="15015" max="15017" width="9.28515625" style="1" bestFit="1" customWidth="1"/>
    <col min="15018" max="15020" width="9.140625" style="1"/>
    <col min="15021" max="15022" width="9.28515625" style="1" bestFit="1" customWidth="1"/>
    <col min="15023" max="15023" width="9.140625" style="1"/>
    <col min="15024" max="15025" width="9.28515625" style="1" bestFit="1" customWidth="1"/>
    <col min="15026" max="15026" width="9.140625" style="1"/>
    <col min="15027" max="15027" width="9.28515625" style="1" bestFit="1" customWidth="1"/>
    <col min="15028" max="15030" width="9.140625" style="1"/>
    <col min="15031" max="15033" width="9.28515625" style="1" bestFit="1" customWidth="1"/>
    <col min="15034" max="15036" width="9.140625" style="1"/>
    <col min="15037" max="15038" width="9.28515625" style="1" bestFit="1" customWidth="1"/>
    <col min="15039" max="15039" width="9.140625" style="1"/>
    <col min="15040" max="15041" width="9.28515625" style="1" bestFit="1" customWidth="1"/>
    <col min="15042" max="15042" width="9.140625" style="1"/>
    <col min="15043" max="15043" width="9.28515625" style="1" bestFit="1" customWidth="1"/>
    <col min="15044" max="15046" width="9.140625" style="1"/>
    <col min="15047" max="15049" width="9.28515625" style="1" bestFit="1" customWidth="1"/>
    <col min="15050" max="15052" width="9.140625" style="1"/>
    <col min="15053" max="15054" width="9.28515625" style="1" bestFit="1" customWidth="1"/>
    <col min="15055" max="15055" width="9.140625" style="1"/>
    <col min="15056" max="15057" width="9.28515625" style="1" bestFit="1" customWidth="1"/>
    <col min="15058" max="15058" width="9.140625" style="1"/>
    <col min="15059" max="15059" width="9.28515625" style="1" bestFit="1" customWidth="1"/>
    <col min="15060" max="15062" width="9.140625" style="1"/>
    <col min="15063" max="15065" width="9.28515625" style="1" bestFit="1" customWidth="1"/>
    <col min="15066" max="15068" width="9.140625" style="1"/>
    <col min="15069" max="15070" width="9.28515625" style="1" bestFit="1" customWidth="1"/>
    <col min="15071" max="15071" width="9.140625" style="1"/>
    <col min="15072" max="15073" width="9.28515625" style="1" bestFit="1" customWidth="1"/>
    <col min="15074" max="15074" width="9.140625" style="1"/>
    <col min="15075" max="15075" width="9.28515625" style="1" bestFit="1" customWidth="1"/>
    <col min="15076" max="15078" width="9.140625" style="1"/>
    <col min="15079" max="15081" width="9.28515625" style="1" bestFit="1" customWidth="1"/>
    <col min="15082" max="15084" width="9.140625" style="1"/>
    <col min="15085" max="15086" width="9.28515625" style="1" bestFit="1" customWidth="1"/>
    <col min="15087" max="15087" width="9.140625" style="1"/>
    <col min="15088" max="15089" width="9.28515625" style="1" bestFit="1" customWidth="1"/>
    <col min="15090" max="15090" width="9.140625" style="1"/>
    <col min="15091" max="15091" width="9.28515625" style="1" bestFit="1" customWidth="1"/>
    <col min="15092" max="15094" width="9.140625" style="1"/>
    <col min="15095" max="15097" width="9.28515625" style="1" bestFit="1" customWidth="1"/>
    <col min="15098" max="15100" width="9.140625" style="1"/>
    <col min="15101" max="15102" width="9.28515625" style="1" bestFit="1" customWidth="1"/>
    <col min="15103" max="15103" width="9.140625" style="1"/>
    <col min="15104" max="15105" width="9.28515625" style="1" bestFit="1" customWidth="1"/>
    <col min="15106" max="15106" width="9.140625" style="1"/>
    <col min="15107" max="15107" width="9.28515625" style="1" bestFit="1" customWidth="1"/>
    <col min="15108" max="15110" width="9.140625" style="1"/>
    <col min="15111" max="15113" width="9.28515625" style="1" bestFit="1" customWidth="1"/>
    <col min="15114" max="15116" width="9.140625" style="1"/>
    <col min="15117" max="15118" width="9.28515625" style="1" bestFit="1" customWidth="1"/>
    <col min="15119" max="15119" width="9.140625" style="1"/>
    <col min="15120" max="15121" width="9.28515625" style="1" bestFit="1" customWidth="1"/>
    <col min="15122" max="15122" width="9.140625" style="1"/>
    <col min="15123" max="15123" width="9.28515625" style="1" bestFit="1" customWidth="1"/>
    <col min="15124" max="15126" width="9.140625" style="1"/>
    <col min="15127" max="15129" width="9.28515625" style="1" bestFit="1" customWidth="1"/>
    <col min="15130" max="15132" width="9.140625" style="1"/>
    <col min="15133" max="15134" width="9.28515625" style="1" bestFit="1" customWidth="1"/>
    <col min="15135" max="15135" width="9.140625" style="1"/>
    <col min="15136" max="15137" width="9.28515625" style="1" bestFit="1" customWidth="1"/>
    <col min="15138" max="15138" width="9.140625" style="1"/>
    <col min="15139" max="15139" width="9.28515625" style="1" bestFit="1" customWidth="1"/>
    <col min="15140" max="15142" width="9.140625" style="1"/>
    <col min="15143" max="15145" width="9.28515625" style="1" bestFit="1" customWidth="1"/>
    <col min="15146" max="15148" width="9.140625" style="1"/>
    <col min="15149" max="15150" width="9.28515625" style="1" bestFit="1" customWidth="1"/>
    <col min="15151" max="15151" width="9.140625" style="1"/>
    <col min="15152" max="15153" width="9.28515625" style="1" bestFit="1" customWidth="1"/>
    <col min="15154" max="15154" width="9.140625" style="1"/>
    <col min="15155" max="15155" width="9.28515625" style="1" bestFit="1" customWidth="1"/>
    <col min="15156" max="15158" width="9.140625" style="1"/>
    <col min="15159" max="15161" width="9.28515625" style="1" bestFit="1" customWidth="1"/>
    <col min="15162" max="15164" width="9.140625" style="1"/>
    <col min="15165" max="15166" width="9.28515625" style="1" bestFit="1" customWidth="1"/>
    <col min="15167" max="15167" width="9.140625" style="1"/>
    <col min="15168" max="15169" width="9.28515625" style="1" bestFit="1" customWidth="1"/>
    <col min="15170" max="15170" width="9.140625" style="1"/>
    <col min="15171" max="15171" width="9.28515625" style="1" bestFit="1" customWidth="1"/>
    <col min="15172" max="15174" width="9.140625" style="1"/>
    <col min="15175" max="15177" width="9.28515625" style="1" bestFit="1" customWidth="1"/>
    <col min="15178" max="15180" width="9.140625" style="1"/>
    <col min="15181" max="15182" width="9.28515625" style="1" bestFit="1" customWidth="1"/>
    <col min="15183" max="15183" width="9.140625" style="1"/>
    <col min="15184" max="15185" width="9.28515625" style="1" bestFit="1" customWidth="1"/>
    <col min="15186" max="15186" width="9.140625" style="1"/>
    <col min="15187" max="15187" width="9.28515625" style="1" bestFit="1" customWidth="1"/>
    <col min="15188" max="15190" width="9.140625" style="1"/>
    <col min="15191" max="15193" width="9.28515625" style="1" bestFit="1" customWidth="1"/>
    <col min="15194" max="15196" width="9.140625" style="1"/>
    <col min="15197" max="15198" width="9.28515625" style="1" bestFit="1" customWidth="1"/>
    <col min="15199" max="15199" width="9.140625" style="1"/>
    <col min="15200" max="15201" width="9.28515625" style="1" bestFit="1" customWidth="1"/>
    <col min="15202" max="15202" width="9.140625" style="1"/>
    <col min="15203" max="15203" width="9.28515625" style="1" bestFit="1" customWidth="1"/>
    <col min="15204" max="15206" width="9.140625" style="1"/>
    <col min="15207" max="15209" width="9.28515625" style="1" bestFit="1" customWidth="1"/>
    <col min="15210" max="15212" width="9.140625" style="1"/>
    <col min="15213" max="15214" width="9.28515625" style="1" bestFit="1" customWidth="1"/>
    <col min="15215" max="15215" width="9.140625" style="1"/>
    <col min="15216" max="15217" width="9.28515625" style="1" bestFit="1" customWidth="1"/>
    <col min="15218" max="15218" width="9.140625" style="1"/>
    <col min="15219" max="15219" width="9.28515625" style="1" bestFit="1" customWidth="1"/>
    <col min="15220" max="15222" width="9.140625" style="1"/>
    <col min="15223" max="15225" width="9.28515625" style="1" bestFit="1" customWidth="1"/>
    <col min="15226" max="15228" width="9.140625" style="1"/>
    <col min="15229" max="15230" width="9.28515625" style="1" bestFit="1" customWidth="1"/>
    <col min="15231" max="15231" width="9.140625" style="1"/>
    <col min="15232" max="15233" width="9.28515625" style="1" bestFit="1" customWidth="1"/>
    <col min="15234" max="15234" width="9.140625" style="1"/>
    <col min="15235" max="15235" width="9.28515625" style="1" bestFit="1" customWidth="1"/>
    <col min="15236" max="15238" width="9.140625" style="1"/>
    <col min="15239" max="15241" width="9.28515625" style="1" bestFit="1" customWidth="1"/>
    <col min="15242" max="15244" width="9.140625" style="1"/>
    <col min="15245" max="15246" width="9.28515625" style="1" bestFit="1" customWidth="1"/>
    <col min="15247" max="15247" width="9.140625" style="1"/>
    <col min="15248" max="15249" width="9.28515625" style="1" bestFit="1" customWidth="1"/>
    <col min="15250" max="15250" width="9.140625" style="1"/>
    <col min="15251" max="15251" width="9.28515625" style="1" bestFit="1" customWidth="1"/>
    <col min="15252" max="15254" width="9.140625" style="1"/>
    <col min="15255" max="15257" width="9.28515625" style="1" bestFit="1" customWidth="1"/>
    <col min="15258" max="15260" width="9.140625" style="1"/>
    <col min="15261" max="15262" width="9.28515625" style="1" bestFit="1" customWidth="1"/>
    <col min="15263" max="15263" width="9.140625" style="1"/>
    <col min="15264" max="15265" width="9.28515625" style="1" bestFit="1" customWidth="1"/>
    <col min="15266" max="15266" width="9.140625" style="1"/>
    <col min="15267" max="15267" width="9.28515625" style="1" bestFit="1" customWidth="1"/>
    <col min="15268" max="15270" width="9.140625" style="1"/>
    <col min="15271" max="15273" width="9.28515625" style="1" bestFit="1" customWidth="1"/>
    <col min="15274" max="15276" width="9.140625" style="1"/>
    <col min="15277" max="15278" width="9.28515625" style="1" bestFit="1" customWidth="1"/>
    <col min="15279" max="15279" width="9.140625" style="1"/>
    <col min="15280" max="15281" width="9.28515625" style="1" bestFit="1" customWidth="1"/>
    <col min="15282" max="15282" width="9.140625" style="1"/>
    <col min="15283" max="15283" width="9.28515625" style="1" bestFit="1" customWidth="1"/>
    <col min="15284" max="15286" width="9.140625" style="1"/>
    <col min="15287" max="15289" width="9.28515625" style="1" bestFit="1" customWidth="1"/>
    <col min="15290" max="15292" width="9.140625" style="1"/>
    <col min="15293" max="15294" width="9.28515625" style="1" bestFit="1" customWidth="1"/>
    <col min="15295" max="15295" width="9.140625" style="1"/>
    <col min="15296" max="15297" width="9.28515625" style="1" bestFit="1" customWidth="1"/>
    <col min="15298" max="15298" width="9.140625" style="1"/>
    <col min="15299" max="15299" width="9.28515625" style="1" bestFit="1" customWidth="1"/>
    <col min="15300" max="15302" width="9.140625" style="1"/>
    <col min="15303" max="15305" width="9.28515625" style="1" bestFit="1" customWidth="1"/>
    <col min="15306" max="15308" width="9.140625" style="1"/>
    <col min="15309" max="15310" width="9.28515625" style="1" bestFit="1" customWidth="1"/>
    <col min="15311" max="15311" width="9.140625" style="1"/>
    <col min="15312" max="15313" width="9.28515625" style="1" bestFit="1" customWidth="1"/>
    <col min="15314" max="15314" width="9.140625" style="1"/>
    <col min="15315" max="15315" width="9.28515625" style="1" bestFit="1" customWidth="1"/>
    <col min="15316" max="15318" width="9.140625" style="1"/>
    <col min="15319" max="15321" width="9.28515625" style="1" bestFit="1" customWidth="1"/>
    <col min="15322" max="15324" width="9.140625" style="1"/>
    <col min="15325" max="15326" width="9.28515625" style="1" bestFit="1" customWidth="1"/>
    <col min="15327" max="15327" width="9.140625" style="1"/>
    <col min="15328" max="15329" width="9.28515625" style="1" bestFit="1" customWidth="1"/>
    <col min="15330" max="15330" width="9.140625" style="1"/>
    <col min="15331" max="15331" width="9.28515625" style="1" bestFit="1" customWidth="1"/>
    <col min="15332" max="15334" width="9.140625" style="1"/>
    <col min="15335" max="15337" width="9.28515625" style="1" bestFit="1" customWidth="1"/>
    <col min="15338" max="15340" width="9.140625" style="1"/>
    <col min="15341" max="15342" width="9.28515625" style="1" bestFit="1" customWidth="1"/>
    <col min="15343" max="15343" width="9.140625" style="1"/>
    <col min="15344" max="15345" width="9.28515625" style="1" bestFit="1" customWidth="1"/>
    <col min="15346" max="15346" width="9.140625" style="1"/>
    <col min="15347" max="15347" width="9.28515625" style="1" bestFit="1" customWidth="1"/>
    <col min="15348" max="15350" width="9.140625" style="1"/>
    <col min="15351" max="15353" width="9.28515625" style="1" bestFit="1" customWidth="1"/>
    <col min="15354" max="15356" width="9.140625" style="1"/>
    <col min="15357" max="15358" width="9.28515625" style="1" bestFit="1" customWidth="1"/>
    <col min="15359" max="15359" width="9.140625" style="1"/>
    <col min="15360" max="15361" width="9.28515625" style="1" bestFit="1" customWidth="1"/>
    <col min="15362" max="15362" width="9.140625" style="1"/>
    <col min="15363" max="15363" width="9.28515625" style="1" bestFit="1" customWidth="1"/>
    <col min="15364" max="15366" width="9.140625" style="1"/>
    <col min="15367" max="15369" width="9.28515625" style="1" bestFit="1" customWidth="1"/>
    <col min="15370" max="15372" width="9.140625" style="1"/>
    <col min="15373" max="15374" width="9.28515625" style="1" bestFit="1" customWidth="1"/>
    <col min="15375" max="15375" width="9.140625" style="1"/>
    <col min="15376" max="15377" width="9.28515625" style="1" bestFit="1" customWidth="1"/>
    <col min="15378" max="15378" width="9.140625" style="1"/>
    <col min="15379" max="15379" width="9.28515625" style="1" bestFit="1" customWidth="1"/>
    <col min="15380" max="15382" width="9.140625" style="1"/>
    <col min="15383" max="15385" width="9.28515625" style="1" bestFit="1" customWidth="1"/>
    <col min="15386" max="15388" width="9.140625" style="1"/>
    <col min="15389" max="15390" width="9.28515625" style="1" bestFit="1" customWidth="1"/>
    <col min="15391" max="15391" width="9.140625" style="1"/>
    <col min="15392" max="15393" width="9.28515625" style="1" bestFit="1" customWidth="1"/>
    <col min="15394" max="15394" width="9.140625" style="1"/>
    <col min="15395" max="15395" width="9.28515625" style="1" bestFit="1" customWidth="1"/>
    <col min="15396" max="15398" width="9.140625" style="1"/>
    <col min="15399" max="15401" width="9.28515625" style="1" bestFit="1" customWidth="1"/>
    <col min="15402" max="15404" width="9.140625" style="1"/>
    <col min="15405" max="15406" width="9.28515625" style="1" bestFit="1" customWidth="1"/>
    <col min="15407" max="15407" width="9.140625" style="1"/>
    <col min="15408" max="15409" width="9.28515625" style="1" bestFit="1" customWidth="1"/>
    <col min="15410" max="15410" width="9.140625" style="1"/>
    <col min="15411" max="15411" width="9.28515625" style="1" bestFit="1" customWidth="1"/>
    <col min="15412" max="15414" width="9.140625" style="1"/>
    <col min="15415" max="15417" width="9.28515625" style="1" bestFit="1" customWidth="1"/>
    <col min="15418" max="15420" width="9.140625" style="1"/>
    <col min="15421" max="15422" width="9.28515625" style="1" bestFit="1" customWidth="1"/>
    <col min="15423" max="15423" width="9.140625" style="1"/>
    <col min="15424" max="15425" width="9.28515625" style="1" bestFit="1" customWidth="1"/>
    <col min="15426" max="15426" width="9.140625" style="1"/>
    <col min="15427" max="15427" width="9.28515625" style="1" bestFit="1" customWidth="1"/>
    <col min="15428" max="15430" width="9.140625" style="1"/>
    <col min="15431" max="15433" width="9.28515625" style="1" bestFit="1" customWidth="1"/>
    <col min="15434" max="15436" width="9.140625" style="1"/>
    <col min="15437" max="15438" width="9.28515625" style="1" bestFit="1" customWidth="1"/>
    <col min="15439" max="15439" width="9.140625" style="1"/>
    <col min="15440" max="15441" width="9.28515625" style="1" bestFit="1" customWidth="1"/>
    <col min="15442" max="15442" width="9.140625" style="1"/>
    <col min="15443" max="15443" width="9.28515625" style="1" bestFit="1" customWidth="1"/>
    <col min="15444" max="15446" width="9.140625" style="1"/>
    <col min="15447" max="15449" width="9.28515625" style="1" bestFit="1" customWidth="1"/>
    <col min="15450" max="15452" width="9.140625" style="1"/>
    <col min="15453" max="15454" width="9.28515625" style="1" bestFit="1" customWidth="1"/>
    <col min="15455" max="15455" width="9.140625" style="1"/>
    <col min="15456" max="15457" width="9.28515625" style="1" bestFit="1" customWidth="1"/>
    <col min="15458" max="15458" width="9.140625" style="1"/>
    <col min="15459" max="15459" width="9.28515625" style="1" bestFit="1" customWidth="1"/>
    <col min="15460" max="15462" width="9.140625" style="1"/>
    <col min="15463" max="15465" width="9.28515625" style="1" bestFit="1" customWidth="1"/>
    <col min="15466" max="15468" width="9.140625" style="1"/>
    <col min="15469" max="15470" width="9.28515625" style="1" bestFit="1" customWidth="1"/>
    <col min="15471" max="15471" width="9.140625" style="1"/>
    <col min="15472" max="15473" width="9.28515625" style="1" bestFit="1" customWidth="1"/>
    <col min="15474" max="15474" width="9.140625" style="1"/>
    <col min="15475" max="15475" width="9.28515625" style="1" bestFit="1" customWidth="1"/>
    <col min="15476" max="15478" width="9.140625" style="1"/>
    <col min="15479" max="15481" width="9.28515625" style="1" bestFit="1" customWidth="1"/>
    <col min="15482" max="15484" width="9.140625" style="1"/>
    <col min="15485" max="15486" width="9.28515625" style="1" bestFit="1" customWidth="1"/>
    <col min="15487" max="15487" width="9.140625" style="1"/>
    <col min="15488" max="15489" width="9.28515625" style="1" bestFit="1" customWidth="1"/>
    <col min="15490" max="15490" width="9.140625" style="1"/>
    <col min="15491" max="15491" width="9.28515625" style="1" bestFit="1" customWidth="1"/>
    <col min="15492" max="15494" width="9.140625" style="1"/>
    <col min="15495" max="15497" width="9.28515625" style="1" bestFit="1" customWidth="1"/>
    <col min="15498" max="15500" width="9.140625" style="1"/>
    <col min="15501" max="15502" width="9.28515625" style="1" bestFit="1" customWidth="1"/>
    <col min="15503" max="15503" width="9.140625" style="1"/>
    <col min="15504" max="15505" width="9.28515625" style="1" bestFit="1" customWidth="1"/>
    <col min="15506" max="15506" width="9.140625" style="1"/>
    <col min="15507" max="15507" width="9.28515625" style="1" bestFit="1" customWidth="1"/>
    <col min="15508" max="15510" width="9.140625" style="1"/>
    <col min="15511" max="15513" width="9.28515625" style="1" bestFit="1" customWidth="1"/>
    <col min="15514" max="15516" width="9.140625" style="1"/>
    <col min="15517" max="15518" width="9.28515625" style="1" bestFit="1" customWidth="1"/>
    <col min="15519" max="15519" width="9.140625" style="1"/>
    <col min="15520" max="15521" width="9.28515625" style="1" bestFit="1" customWidth="1"/>
    <col min="15522" max="15522" width="9.140625" style="1"/>
    <col min="15523" max="15523" width="9.28515625" style="1" bestFit="1" customWidth="1"/>
    <col min="15524" max="15526" width="9.140625" style="1"/>
    <col min="15527" max="15529" width="9.28515625" style="1" bestFit="1" customWidth="1"/>
    <col min="15530" max="15532" width="9.140625" style="1"/>
    <col min="15533" max="15534" width="9.28515625" style="1" bestFit="1" customWidth="1"/>
    <col min="15535" max="15535" width="9.140625" style="1"/>
    <col min="15536" max="15537" width="9.28515625" style="1" bestFit="1" customWidth="1"/>
    <col min="15538" max="15538" width="9.140625" style="1"/>
    <col min="15539" max="15539" width="9.28515625" style="1" bestFit="1" customWidth="1"/>
    <col min="15540" max="15542" width="9.140625" style="1"/>
    <col min="15543" max="15545" width="9.28515625" style="1" bestFit="1" customWidth="1"/>
    <col min="15546" max="15548" width="9.140625" style="1"/>
    <col min="15549" max="15550" width="9.28515625" style="1" bestFit="1" customWidth="1"/>
    <col min="15551" max="15551" width="9.140625" style="1"/>
    <col min="15552" max="15553" width="9.28515625" style="1" bestFit="1" customWidth="1"/>
    <col min="15554" max="15554" width="9.140625" style="1"/>
    <col min="15555" max="15555" width="9.28515625" style="1" bestFit="1" customWidth="1"/>
    <col min="15556" max="15558" width="9.140625" style="1"/>
    <col min="15559" max="15561" width="9.28515625" style="1" bestFit="1" customWidth="1"/>
    <col min="15562" max="15564" width="9.140625" style="1"/>
    <col min="15565" max="15566" width="9.28515625" style="1" bestFit="1" customWidth="1"/>
    <col min="15567" max="15567" width="9.140625" style="1"/>
    <col min="15568" max="15569" width="9.28515625" style="1" bestFit="1" customWidth="1"/>
    <col min="15570" max="15570" width="9.140625" style="1"/>
    <col min="15571" max="15571" width="9.28515625" style="1" bestFit="1" customWidth="1"/>
    <col min="15572" max="15574" width="9.140625" style="1"/>
    <col min="15575" max="15577" width="9.28515625" style="1" bestFit="1" customWidth="1"/>
    <col min="15578" max="15580" width="9.140625" style="1"/>
    <col min="15581" max="15582" width="9.28515625" style="1" bestFit="1" customWidth="1"/>
    <col min="15583" max="15583" width="9.140625" style="1"/>
    <col min="15584" max="15585" width="9.28515625" style="1" bestFit="1" customWidth="1"/>
    <col min="15586" max="15586" width="9.140625" style="1"/>
    <col min="15587" max="15587" width="9.28515625" style="1" bestFit="1" customWidth="1"/>
    <col min="15588" max="15590" width="9.140625" style="1"/>
    <col min="15591" max="15593" width="9.28515625" style="1" bestFit="1" customWidth="1"/>
    <col min="15594" max="15596" width="9.140625" style="1"/>
    <col min="15597" max="15598" width="9.28515625" style="1" bestFit="1" customWidth="1"/>
    <col min="15599" max="15599" width="9.140625" style="1"/>
    <col min="15600" max="15601" width="9.28515625" style="1" bestFit="1" customWidth="1"/>
    <col min="15602" max="15602" width="9.140625" style="1"/>
    <col min="15603" max="15603" width="9.28515625" style="1" bestFit="1" customWidth="1"/>
    <col min="15604" max="15606" width="9.140625" style="1"/>
    <col min="15607" max="15609" width="9.28515625" style="1" bestFit="1" customWidth="1"/>
    <col min="15610" max="15612" width="9.140625" style="1"/>
    <col min="15613" max="15614" width="9.28515625" style="1" bestFit="1" customWidth="1"/>
    <col min="15615" max="15615" width="9.140625" style="1"/>
    <col min="15616" max="15617" width="9.28515625" style="1" bestFit="1" customWidth="1"/>
    <col min="15618" max="15618" width="9.140625" style="1"/>
    <col min="15619" max="15619" width="9.28515625" style="1" bestFit="1" customWidth="1"/>
    <col min="15620" max="15622" width="9.140625" style="1"/>
    <col min="15623" max="15625" width="9.28515625" style="1" bestFit="1" customWidth="1"/>
    <col min="15626" max="15628" width="9.140625" style="1"/>
    <col min="15629" max="15630" width="9.28515625" style="1" bestFit="1" customWidth="1"/>
    <col min="15631" max="15631" width="9.140625" style="1"/>
    <col min="15632" max="15633" width="9.28515625" style="1" bestFit="1" customWidth="1"/>
    <col min="15634" max="15634" width="9.140625" style="1"/>
    <col min="15635" max="15635" width="9.28515625" style="1" bestFit="1" customWidth="1"/>
    <col min="15636" max="15638" width="9.140625" style="1"/>
    <col min="15639" max="15641" width="9.28515625" style="1" bestFit="1" customWidth="1"/>
    <col min="15642" max="15644" width="9.140625" style="1"/>
    <col min="15645" max="15646" width="9.28515625" style="1" bestFit="1" customWidth="1"/>
    <col min="15647" max="15647" width="9.140625" style="1"/>
    <col min="15648" max="15649" width="9.28515625" style="1" bestFit="1" customWidth="1"/>
    <col min="15650" max="15650" width="9.140625" style="1"/>
    <col min="15651" max="15651" width="9.28515625" style="1" bestFit="1" customWidth="1"/>
    <col min="15652" max="15654" width="9.140625" style="1"/>
    <col min="15655" max="15657" width="9.28515625" style="1" bestFit="1" customWidth="1"/>
    <col min="15658" max="15660" width="9.140625" style="1"/>
    <col min="15661" max="15662" width="9.28515625" style="1" bestFit="1" customWidth="1"/>
    <col min="15663" max="15663" width="9.140625" style="1"/>
    <col min="15664" max="15665" width="9.28515625" style="1" bestFit="1" customWidth="1"/>
    <col min="15666" max="15666" width="9.140625" style="1"/>
    <col min="15667" max="15667" width="9.28515625" style="1" bestFit="1" customWidth="1"/>
    <col min="15668" max="15670" width="9.140625" style="1"/>
    <col min="15671" max="15673" width="9.28515625" style="1" bestFit="1" customWidth="1"/>
    <col min="15674" max="15676" width="9.140625" style="1"/>
    <col min="15677" max="15678" width="9.28515625" style="1" bestFit="1" customWidth="1"/>
    <col min="15679" max="15679" width="9.140625" style="1"/>
    <col min="15680" max="15681" width="9.28515625" style="1" bestFit="1" customWidth="1"/>
    <col min="15682" max="15682" width="9.140625" style="1"/>
    <col min="15683" max="15683" width="9.28515625" style="1" bestFit="1" customWidth="1"/>
    <col min="15684" max="15686" width="9.140625" style="1"/>
    <col min="15687" max="15689" width="9.28515625" style="1" bestFit="1" customWidth="1"/>
    <col min="15690" max="15692" width="9.140625" style="1"/>
    <col min="15693" max="15694" width="9.28515625" style="1" bestFit="1" customWidth="1"/>
    <col min="15695" max="15695" width="9.140625" style="1"/>
    <col min="15696" max="15697" width="9.28515625" style="1" bestFit="1" customWidth="1"/>
    <col min="15698" max="15698" width="9.140625" style="1"/>
    <col min="15699" max="15699" width="9.28515625" style="1" bestFit="1" customWidth="1"/>
    <col min="15700" max="15702" width="9.140625" style="1"/>
    <col min="15703" max="15705" width="9.28515625" style="1" bestFit="1" customWidth="1"/>
    <col min="15706" max="15708" width="9.140625" style="1"/>
    <col min="15709" max="15710" width="9.28515625" style="1" bestFit="1" customWidth="1"/>
    <col min="15711" max="15711" width="9.140625" style="1"/>
    <col min="15712" max="15713" width="9.28515625" style="1" bestFit="1" customWidth="1"/>
    <col min="15714" max="15714" width="9.140625" style="1"/>
    <col min="15715" max="15715" width="9.28515625" style="1" bestFit="1" customWidth="1"/>
    <col min="15716" max="15718" width="9.140625" style="1"/>
    <col min="15719" max="15721" width="9.28515625" style="1" bestFit="1" customWidth="1"/>
    <col min="15722" max="15724" width="9.140625" style="1"/>
    <col min="15725" max="15726" width="9.28515625" style="1" bestFit="1" customWidth="1"/>
    <col min="15727" max="15727" width="9.140625" style="1"/>
    <col min="15728" max="15729" width="9.28515625" style="1" bestFit="1" customWidth="1"/>
    <col min="15730" max="15730" width="9.140625" style="1"/>
    <col min="15731" max="15731" width="9.28515625" style="1" bestFit="1" customWidth="1"/>
    <col min="15732" max="15734" width="9.140625" style="1"/>
    <col min="15735" max="15737" width="9.28515625" style="1" bestFit="1" customWidth="1"/>
    <col min="15738" max="15740" width="9.140625" style="1"/>
    <col min="15741" max="15742" width="9.28515625" style="1" bestFit="1" customWidth="1"/>
    <col min="15743" max="15743" width="9.140625" style="1"/>
    <col min="15744" max="15745" width="9.28515625" style="1" bestFit="1" customWidth="1"/>
    <col min="15746" max="15746" width="9.140625" style="1"/>
    <col min="15747" max="15747" width="9.28515625" style="1" bestFit="1" customWidth="1"/>
    <col min="15748" max="15750" width="9.140625" style="1"/>
    <col min="15751" max="15753" width="9.28515625" style="1" bestFit="1" customWidth="1"/>
    <col min="15754" max="15756" width="9.140625" style="1"/>
    <col min="15757" max="15758" width="9.28515625" style="1" bestFit="1" customWidth="1"/>
    <col min="15759" max="15759" width="9.140625" style="1"/>
    <col min="15760" max="15761" width="9.28515625" style="1" bestFit="1" customWidth="1"/>
    <col min="15762" max="15762" width="9.140625" style="1"/>
    <col min="15763" max="15763" width="9.28515625" style="1" bestFit="1" customWidth="1"/>
    <col min="15764" max="15766" width="9.140625" style="1"/>
    <col min="15767" max="15769" width="9.28515625" style="1" bestFit="1" customWidth="1"/>
    <col min="15770" max="15772" width="9.140625" style="1"/>
    <col min="15773" max="15774" width="9.28515625" style="1" bestFit="1" customWidth="1"/>
    <col min="15775" max="15775" width="9.140625" style="1"/>
    <col min="15776" max="15777" width="9.28515625" style="1" bestFit="1" customWidth="1"/>
    <col min="15778" max="15778" width="9.140625" style="1"/>
    <col min="15779" max="15779" width="9.28515625" style="1" bestFit="1" customWidth="1"/>
    <col min="15780" max="15782" width="9.140625" style="1"/>
    <col min="15783" max="15785" width="9.28515625" style="1" bestFit="1" customWidth="1"/>
    <col min="15786" max="15788" width="9.140625" style="1"/>
    <col min="15789" max="15790" width="9.28515625" style="1" bestFit="1" customWidth="1"/>
    <col min="15791" max="15791" width="9.140625" style="1"/>
    <col min="15792" max="15793" width="9.28515625" style="1" bestFit="1" customWidth="1"/>
    <col min="15794" max="15794" width="9.140625" style="1"/>
    <col min="15795" max="15795" width="9.28515625" style="1" bestFit="1" customWidth="1"/>
    <col min="15796" max="15798" width="9.140625" style="1"/>
    <col min="15799" max="15801" width="9.28515625" style="1" bestFit="1" customWidth="1"/>
    <col min="15802" max="15804" width="9.140625" style="1"/>
    <col min="15805" max="15806" width="9.28515625" style="1" bestFit="1" customWidth="1"/>
    <col min="15807" max="15807" width="9.140625" style="1"/>
    <col min="15808" max="15809" width="9.28515625" style="1" bestFit="1" customWidth="1"/>
    <col min="15810" max="15810" width="9.140625" style="1"/>
    <col min="15811" max="15811" width="9.28515625" style="1" bestFit="1" customWidth="1"/>
    <col min="15812" max="15814" width="9.140625" style="1"/>
    <col min="15815" max="15817" width="9.28515625" style="1" bestFit="1" customWidth="1"/>
    <col min="15818" max="15820" width="9.140625" style="1"/>
    <col min="15821" max="15822" width="9.28515625" style="1" bestFit="1" customWidth="1"/>
    <col min="15823" max="15823" width="9.140625" style="1"/>
    <col min="15824" max="15825" width="9.28515625" style="1" bestFit="1" customWidth="1"/>
    <col min="15826" max="15826" width="9.140625" style="1"/>
    <col min="15827" max="15827" width="9.28515625" style="1" bestFit="1" customWidth="1"/>
    <col min="15828" max="15830" width="9.140625" style="1"/>
    <col min="15831" max="15833" width="9.28515625" style="1" bestFit="1" customWidth="1"/>
    <col min="15834" max="15836" width="9.140625" style="1"/>
    <col min="15837" max="15838" width="9.28515625" style="1" bestFit="1" customWidth="1"/>
    <col min="15839" max="15839" width="9.140625" style="1"/>
    <col min="15840" max="15841" width="9.28515625" style="1" bestFit="1" customWidth="1"/>
    <col min="15842" max="15842" width="9.140625" style="1"/>
    <col min="15843" max="15843" width="9.28515625" style="1" bestFit="1" customWidth="1"/>
    <col min="15844" max="15846" width="9.140625" style="1"/>
    <col min="15847" max="15849" width="9.28515625" style="1" bestFit="1" customWidth="1"/>
    <col min="15850" max="15852" width="9.140625" style="1"/>
    <col min="15853" max="15854" width="9.28515625" style="1" bestFit="1" customWidth="1"/>
    <col min="15855" max="15855" width="9.140625" style="1"/>
    <col min="15856" max="15857" width="9.28515625" style="1" bestFit="1" customWidth="1"/>
    <col min="15858" max="15858" width="9.140625" style="1"/>
    <col min="15859" max="15859" width="9.28515625" style="1" bestFit="1" customWidth="1"/>
    <col min="15860" max="15862" width="9.140625" style="1"/>
    <col min="15863" max="15865" width="9.28515625" style="1" bestFit="1" customWidth="1"/>
    <col min="15866" max="15868" width="9.140625" style="1"/>
    <col min="15869" max="15870" width="9.28515625" style="1" bestFit="1" customWidth="1"/>
    <col min="15871" max="15871" width="9.140625" style="1"/>
    <col min="15872" max="15873" width="9.28515625" style="1" bestFit="1" customWidth="1"/>
    <col min="15874" max="15874" width="9.140625" style="1"/>
    <col min="15875" max="15875" width="9.28515625" style="1" bestFit="1" customWidth="1"/>
    <col min="15876" max="15878" width="9.140625" style="1"/>
    <col min="15879" max="15881" width="9.28515625" style="1" bestFit="1" customWidth="1"/>
    <col min="15882" max="15884" width="9.140625" style="1"/>
    <col min="15885" max="15886" width="9.28515625" style="1" bestFit="1" customWidth="1"/>
    <col min="15887" max="15887" width="9.140625" style="1"/>
    <col min="15888" max="15889" width="9.28515625" style="1" bestFit="1" customWidth="1"/>
    <col min="15890" max="15890" width="9.140625" style="1"/>
    <col min="15891" max="15891" width="9.28515625" style="1" bestFit="1" customWidth="1"/>
    <col min="15892" max="15894" width="9.140625" style="1"/>
    <col min="15895" max="15897" width="9.28515625" style="1" bestFit="1" customWidth="1"/>
    <col min="15898" max="15900" width="9.140625" style="1"/>
    <col min="15901" max="15902" width="9.28515625" style="1" bestFit="1" customWidth="1"/>
    <col min="15903" max="15903" width="9.140625" style="1"/>
    <col min="15904" max="15905" width="9.28515625" style="1" bestFit="1" customWidth="1"/>
    <col min="15906" max="15906" width="9.140625" style="1"/>
    <col min="15907" max="15907" width="9.28515625" style="1" bestFit="1" customWidth="1"/>
    <col min="15908" max="15910" width="9.140625" style="1"/>
    <col min="15911" max="15913" width="9.28515625" style="1" bestFit="1" customWidth="1"/>
    <col min="15914" max="15916" width="9.140625" style="1"/>
    <col min="15917" max="15918" width="9.28515625" style="1" bestFit="1" customWidth="1"/>
    <col min="15919" max="15919" width="9.140625" style="1"/>
    <col min="15920" max="15921" width="9.28515625" style="1" bestFit="1" customWidth="1"/>
    <col min="15922" max="15922" width="9.140625" style="1"/>
    <col min="15923" max="15923" width="9.28515625" style="1" bestFit="1" customWidth="1"/>
    <col min="15924" max="15926" width="9.140625" style="1"/>
    <col min="15927" max="15929" width="9.28515625" style="1" bestFit="1" customWidth="1"/>
    <col min="15930" max="15932" width="9.140625" style="1"/>
    <col min="15933" max="15934" width="9.28515625" style="1" bestFit="1" customWidth="1"/>
    <col min="15935" max="15935" width="9.140625" style="1"/>
    <col min="15936" max="15937" width="9.28515625" style="1" bestFit="1" customWidth="1"/>
    <col min="15938" max="15938" width="9.140625" style="1"/>
    <col min="15939" max="15939" width="9.28515625" style="1" bestFit="1" customWidth="1"/>
    <col min="15940" max="15942" width="9.140625" style="1"/>
    <col min="15943" max="15945" width="9.28515625" style="1" bestFit="1" customWidth="1"/>
    <col min="15946" max="15948" width="9.140625" style="1"/>
    <col min="15949" max="15950" width="9.28515625" style="1" bestFit="1" customWidth="1"/>
    <col min="15951" max="15951" width="9.140625" style="1"/>
    <col min="15952" max="15953" width="9.28515625" style="1" bestFit="1" customWidth="1"/>
    <col min="15954" max="15954" width="9.140625" style="1"/>
    <col min="15955" max="15955" width="9.28515625" style="1" bestFit="1" customWidth="1"/>
    <col min="15956" max="15958" width="9.140625" style="1"/>
    <col min="15959" max="15961" width="9.28515625" style="1" bestFit="1" customWidth="1"/>
    <col min="15962" max="15964" width="9.140625" style="1"/>
    <col min="15965" max="15966" width="9.28515625" style="1" bestFit="1" customWidth="1"/>
    <col min="15967" max="15967" width="9.140625" style="1"/>
    <col min="15968" max="15969" width="9.28515625" style="1" bestFit="1" customWidth="1"/>
    <col min="15970" max="15970" width="9.140625" style="1"/>
    <col min="15971" max="15971" width="9.28515625" style="1" bestFit="1" customWidth="1"/>
    <col min="15972" max="15974" width="9.140625" style="1"/>
    <col min="15975" max="15977" width="9.28515625" style="1" bestFit="1" customWidth="1"/>
    <col min="15978" max="15980" width="9.140625" style="1"/>
    <col min="15981" max="15982" width="9.28515625" style="1" bestFit="1" customWidth="1"/>
    <col min="15983" max="15983" width="9.140625" style="1"/>
    <col min="15984" max="15985" width="9.28515625" style="1" bestFit="1" customWidth="1"/>
    <col min="15986" max="15986" width="9.140625" style="1"/>
    <col min="15987" max="15987" width="9.28515625" style="1" bestFit="1" customWidth="1"/>
    <col min="15988" max="15990" width="9.140625" style="1"/>
    <col min="15991" max="15993" width="9.28515625" style="1" bestFit="1" customWidth="1"/>
    <col min="15994" max="15996" width="9.140625" style="1"/>
    <col min="15997" max="15998" width="9.28515625" style="1" bestFit="1" customWidth="1"/>
    <col min="15999" max="15999" width="9.140625" style="1"/>
    <col min="16000" max="16001" width="9.28515625" style="1" bestFit="1" customWidth="1"/>
    <col min="16002" max="16002" width="9.140625" style="1"/>
    <col min="16003" max="16003" width="9.28515625" style="1" bestFit="1" customWidth="1"/>
    <col min="16004" max="16006" width="9.140625" style="1"/>
    <col min="16007" max="16009" width="9.28515625" style="1" bestFit="1" customWidth="1"/>
    <col min="16010" max="16012" width="9.140625" style="1"/>
    <col min="16013" max="16014" width="9.28515625" style="1" bestFit="1" customWidth="1"/>
    <col min="16015" max="16015" width="9.140625" style="1"/>
    <col min="16016" max="16017" width="9.28515625" style="1" bestFit="1" customWidth="1"/>
    <col min="16018" max="16018" width="9.140625" style="1"/>
    <col min="16019" max="16019" width="9.28515625" style="1" bestFit="1" customWidth="1"/>
    <col min="16020" max="16022" width="9.140625" style="1"/>
    <col min="16023" max="16025" width="9.28515625" style="1" bestFit="1" customWidth="1"/>
    <col min="16026" max="16028" width="9.140625" style="1"/>
    <col min="16029" max="16030" width="9.28515625" style="1" bestFit="1" customWidth="1"/>
    <col min="16031" max="16031" width="9.140625" style="1"/>
    <col min="16032" max="16033" width="9.28515625" style="1" bestFit="1" customWidth="1"/>
    <col min="16034" max="16034" width="9.140625" style="1"/>
    <col min="16035" max="16035" width="9.28515625" style="1" bestFit="1" customWidth="1"/>
    <col min="16036" max="16038" width="9.140625" style="1"/>
    <col min="16039" max="16041" width="9.28515625" style="1" bestFit="1" customWidth="1"/>
    <col min="16042" max="16044" width="9.140625" style="1"/>
    <col min="16045" max="16046" width="9.28515625" style="1" bestFit="1" customWidth="1"/>
    <col min="16047" max="16047" width="9.140625" style="1"/>
    <col min="16048" max="16049" width="9.28515625" style="1" bestFit="1" customWidth="1"/>
    <col min="16050" max="16050" width="9.140625" style="1"/>
    <col min="16051" max="16051" width="9.28515625" style="1" bestFit="1" customWidth="1"/>
    <col min="16052" max="16054" width="9.140625" style="1"/>
    <col min="16055" max="16057" width="9.28515625" style="1" bestFit="1" customWidth="1"/>
    <col min="16058" max="16060" width="9.140625" style="1"/>
    <col min="16061" max="16062" width="9.28515625" style="1" bestFit="1" customWidth="1"/>
    <col min="16063" max="16063" width="9.140625" style="1"/>
    <col min="16064" max="16065" width="9.28515625" style="1" bestFit="1" customWidth="1"/>
    <col min="16066" max="16066" width="9.140625" style="1"/>
    <col min="16067" max="16067" width="9.28515625" style="1" bestFit="1" customWidth="1"/>
    <col min="16068" max="16070" width="9.140625" style="1"/>
    <col min="16071" max="16073" width="9.28515625" style="1" bestFit="1" customWidth="1"/>
    <col min="16074" max="16076" width="9.140625" style="1"/>
    <col min="16077" max="16078" width="9.28515625" style="1" bestFit="1" customWidth="1"/>
    <col min="16079" max="16079" width="9.140625" style="1"/>
    <col min="16080" max="16081" width="9.28515625" style="1" bestFit="1" customWidth="1"/>
    <col min="16082" max="16082" width="9.140625" style="1"/>
    <col min="16083" max="16083" width="9.28515625" style="1" bestFit="1" customWidth="1"/>
    <col min="16084" max="16086" width="9.140625" style="1"/>
    <col min="16087" max="16089" width="9.28515625" style="1" bestFit="1" customWidth="1"/>
    <col min="16090" max="16092" width="9.140625" style="1"/>
    <col min="16093" max="16094" width="9.28515625" style="1" bestFit="1" customWidth="1"/>
    <col min="16095" max="16095" width="9.140625" style="1"/>
    <col min="16096" max="16097" width="9.28515625" style="1" bestFit="1" customWidth="1"/>
    <col min="16098" max="16098" width="9.140625" style="1"/>
    <col min="16099" max="16099" width="9.28515625" style="1" bestFit="1" customWidth="1"/>
    <col min="16100" max="16102" width="9.140625" style="1"/>
    <col min="16103" max="16105" width="9.28515625" style="1" bestFit="1" customWidth="1"/>
    <col min="16106" max="16108" width="9.140625" style="1"/>
    <col min="16109" max="16110" width="9.28515625" style="1" bestFit="1" customWidth="1"/>
    <col min="16111" max="16111" width="9.140625" style="1"/>
    <col min="16112" max="16113" width="9.28515625" style="1" bestFit="1" customWidth="1"/>
    <col min="16114" max="16114" width="9.140625" style="1"/>
    <col min="16115" max="16115" width="9.28515625" style="1" bestFit="1" customWidth="1"/>
    <col min="16116" max="16118" width="9.140625" style="1"/>
    <col min="16119" max="16121" width="9.28515625" style="1" bestFit="1" customWidth="1"/>
    <col min="16122" max="16124" width="9.140625" style="1"/>
    <col min="16125" max="16126" width="9.28515625" style="1" bestFit="1" customWidth="1"/>
    <col min="16127" max="16127" width="9.140625" style="1"/>
    <col min="16128" max="16129" width="9.28515625" style="1" bestFit="1" customWidth="1"/>
    <col min="16130" max="16130" width="9.140625" style="1"/>
    <col min="16131" max="16131" width="9.28515625" style="1" bestFit="1" customWidth="1"/>
    <col min="16132" max="16134" width="9.140625" style="1"/>
    <col min="16135" max="16137" width="9.28515625" style="1" bestFit="1" customWidth="1"/>
    <col min="16138" max="16140" width="9.140625" style="1"/>
    <col min="16141" max="16142" width="9.28515625" style="1" bestFit="1" customWidth="1"/>
    <col min="16143" max="16143" width="9.140625" style="1"/>
    <col min="16144" max="16145" width="9.28515625" style="1" bestFit="1" customWidth="1"/>
    <col min="16146" max="16146" width="9.140625" style="1"/>
    <col min="16147" max="16147" width="9.28515625" style="1" bestFit="1" customWidth="1"/>
    <col min="16148" max="16150" width="9.140625" style="1"/>
    <col min="16151" max="16153" width="9.28515625" style="1" bestFit="1" customWidth="1"/>
    <col min="16154" max="16156" width="9.140625" style="1"/>
    <col min="16157" max="16158" width="9.28515625" style="1" bestFit="1" customWidth="1"/>
    <col min="16159" max="16159" width="9.140625" style="1"/>
    <col min="16160" max="16161" width="9.28515625" style="1" bestFit="1" customWidth="1"/>
    <col min="16162" max="16162" width="9.140625" style="1"/>
    <col min="16163" max="16163" width="9.28515625" style="1" bestFit="1" customWidth="1"/>
    <col min="16164" max="16166" width="9.140625" style="1"/>
    <col min="16167" max="16169" width="9.28515625" style="1" bestFit="1" customWidth="1"/>
    <col min="16170" max="16172" width="9.140625" style="1"/>
    <col min="16173" max="16174" width="9.28515625" style="1" bestFit="1" customWidth="1"/>
    <col min="16175" max="16175" width="9.140625" style="1"/>
    <col min="16176" max="16177" width="9.28515625" style="1" bestFit="1" customWidth="1"/>
    <col min="16178" max="16178" width="9.140625" style="1"/>
    <col min="16179" max="16179" width="9.28515625" style="1" bestFit="1" customWidth="1"/>
    <col min="16180" max="16182" width="9.140625" style="1"/>
    <col min="16183" max="16185" width="9.28515625" style="1" bestFit="1" customWidth="1"/>
    <col min="16186" max="16188" width="9.140625" style="1"/>
    <col min="16189" max="16190" width="9.28515625" style="1" bestFit="1" customWidth="1"/>
    <col min="16191" max="16191" width="9.140625" style="1"/>
    <col min="16192" max="16193" width="9.28515625" style="1" bestFit="1" customWidth="1"/>
    <col min="16194" max="16194" width="9.140625" style="1"/>
    <col min="16195" max="16195" width="9.28515625" style="1" bestFit="1" customWidth="1"/>
    <col min="16196" max="16198" width="9.140625" style="1"/>
    <col min="16199" max="16201" width="9.28515625" style="1" bestFit="1" customWidth="1"/>
    <col min="16202" max="16204" width="9.140625" style="1"/>
    <col min="16205" max="16206" width="9.28515625" style="1" bestFit="1" customWidth="1"/>
    <col min="16207" max="16207" width="9.140625" style="1"/>
    <col min="16208" max="16209" width="9.28515625" style="1" bestFit="1" customWidth="1"/>
    <col min="16210" max="16210" width="9.140625" style="1"/>
    <col min="16211" max="16211" width="9.28515625" style="1" bestFit="1" customWidth="1"/>
    <col min="16212" max="16214" width="9.140625" style="1"/>
    <col min="16215" max="16217" width="9.28515625" style="1" bestFit="1" customWidth="1"/>
    <col min="16218" max="16220" width="9.140625" style="1"/>
    <col min="16221" max="16222" width="9.28515625" style="1" bestFit="1" customWidth="1"/>
    <col min="16223" max="16223" width="9.140625" style="1"/>
    <col min="16224" max="16225" width="9.28515625" style="1" bestFit="1" customWidth="1"/>
    <col min="16226" max="16226" width="9.140625" style="1"/>
    <col min="16227" max="16227" width="9.28515625" style="1" bestFit="1" customWidth="1"/>
    <col min="16228" max="16230" width="9.140625" style="1"/>
    <col min="16231" max="16233" width="9.28515625" style="1" bestFit="1" customWidth="1"/>
    <col min="16234" max="16236" width="9.140625" style="1"/>
    <col min="16237" max="16238" width="9.28515625" style="1" bestFit="1" customWidth="1"/>
    <col min="16239" max="16239" width="9.140625" style="1"/>
    <col min="16240" max="16241" width="9.28515625" style="1" bestFit="1" customWidth="1"/>
    <col min="16242" max="16242" width="9.140625" style="1"/>
    <col min="16243" max="16243" width="9.28515625" style="1" bestFit="1" customWidth="1"/>
    <col min="16244" max="16246" width="9.140625" style="1"/>
    <col min="16247" max="16249" width="9.28515625" style="1" bestFit="1" customWidth="1"/>
    <col min="16250" max="16252" width="9.140625" style="1"/>
    <col min="16253" max="16254" width="9.28515625" style="1" bestFit="1" customWidth="1"/>
    <col min="16255" max="16255" width="9.140625" style="1"/>
    <col min="16256" max="16257" width="9.28515625" style="1" bestFit="1" customWidth="1"/>
    <col min="16258" max="16258" width="9.140625" style="1"/>
    <col min="16259" max="16259" width="9.28515625" style="1" bestFit="1" customWidth="1"/>
    <col min="16260" max="16262" width="9.140625" style="1"/>
    <col min="16263" max="16265" width="9.28515625" style="1" bestFit="1" customWidth="1"/>
    <col min="16266" max="16268" width="9.140625" style="1"/>
    <col min="16269" max="16270" width="9.28515625" style="1" bestFit="1" customWidth="1"/>
    <col min="16271" max="16271" width="9.140625" style="1"/>
    <col min="16272" max="16273" width="9.28515625" style="1" bestFit="1" customWidth="1"/>
    <col min="16274" max="16274" width="9.140625" style="1"/>
    <col min="16275" max="16275" width="9.28515625" style="1" bestFit="1" customWidth="1"/>
    <col min="16276" max="16278" width="9.140625" style="1"/>
    <col min="16279" max="16281" width="9.28515625" style="1" bestFit="1" customWidth="1"/>
    <col min="16282" max="16284" width="9.140625" style="1"/>
    <col min="16285" max="16286" width="9.28515625" style="1" bestFit="1" customWidth="1"/>
    <col min="16287" max="16287" width="9.140625" style="1"/>
    <col min="16288" max="16289" width="9.28515625" style="1" bestFit="1" customWidth="1"/>
    <col min="16290" max="16290" width="9.140625" style="1"/>
    <col min="16291" max="16291" width="9.28515625" style="1" bestFit="1" customWidth="1"/>
    <col min="16292" max="16294" width="9.140625" style="1"/>
    <col min="16295" max="16297" width="9.28515625" style="1" bestFit="1" customWidth="1"/>
    <col min="16298" max="16300" width="9.140625" style="1"/>
    <col min="16301" max="16302" width="9.28515625" style="1" bestFit="1" customWidth="1"/>
    <col min="16303" max="16303" width="9.140625" style="1"/>
    <col min="16304" max="16305" width="9.28515625" style="1" bestFit="1" customWidth="1"/>
    <col min="16306" max="16306" width="9.140625" style="1"/>
    <col min="16307" max="16307" width="9.28515625" style="1" bestFit="1" customWidth="1"/>
    <col min="16308" max="16310" width="9.140625" style="1"/>
    <col min="16311" max="16313" width="9.28515625" style="1" bestFit="1" customWidth="1"/>
    <col min="16314" max="16316" width="9.140625" style="1"/>
    <col min="16317" max="16318" width="9.28515625" style="1" bestFit="1" customWidth="1"/>
    <col min="16319" max="16319" width="9.140625" style="1"/>
    <col min="16320" max="16321" width="9.28515625" style="1" bestFit="1" customWidth="1"/>
    <col min="16322" max="16322" width="9.140625" style="1"/>
    <col min="16323" max="16323" width="9.28515625" style="1" bestFit="1" customWidth="1"/>
    <col min="16324" max="16326" width="9.140625" style="1"/>
    <col min="16327" max="16329" width="9.28515625" style="1" bestFit="1" customWidth="1"/>
    <col min="16330" max="16332" width="9.140625" style="1"/>
    <col min="16333" max="16334" width="9.28515625" style="1" bestFit="1" customWidth="1"/>
    <col min="16335" max="16335" width="9.140625" style="1"/>
    <col min="16336" max="16337" width="9.28515625" style="1" bestFit="1" customWidth="1"/>
    <col min="16338" max="16338" width="9.140625" style="1"/>
    <col min="16339" max="16339" width="9.28515625" style="1" bestFit="1" customWidth="1"/>
    <col min="16340" max="16342" width="9.140625" style="1"/>
    <col min="16343" max="16345" width="9.28515625" style="1" bestFit="1" customWidth="1"/>
    <col min="16346" max="16348" width="9.140625" style="1"/>
    <col min="16349" max="16350" width="9.28515625" style="1" bestFit="1" customWidth="1"/>
    <col min="16351" max="16351" width="9.140625" style="1"/>
    <col min="16352" max="16353" width="9.28515625" style="1" bestFit="1" customWidth="1"/>
    <col min="16354" max="16354" width="9.140625" style="1"/>
    <col min="16355" max="16355" width="9.28515625" style="1" bestFit="1" customWidth="1"/>
    <col min="16356" max="16358" width="9.140625" style="1"/>
    <col min="16359" max="16361" width="9.28515625" style="1" bestFit="1" customWidth="1"/>
    <col min="16362" max="16364" width="9.140625" style="1"/>
    <col min="16365" max="16366" width="9.28515625" style="1" bestFit="1" customWidth="1"/>
    <col min="16367" max="16367" width="9.140625" style="1"/>
    <col min="16368" max="16369" width="9.28515625" style="1" bestFit="1" customWidth="1"/>
    <col min="16370" max="16370" width="9.140625" style="1"/>
    <col min="16371" max="16371" width="9.28515625" style="1" bestFit="1" customWidth="1"/>
    <col min="16372" max="16374" width="9.140625" style="1"/>
    <col min="16375" max="16378" width="9.28515625" style="1" bestFit="1" customWidth="1"/>
    <col min="16379" max="16380" width="9.140625" style="1"/>
    <col min="16381" max="16383" width="9.28515625" style="1" bestFit="1" customWidth="1"/>
    <col min="16384" max="16384" width="9.28515625" style="1" customWidth="1"/>
  </cols>
  <sheetData>
    <row r="1" spans="1:19" ht="27" x14ac:dyDescent="0.4">
      <c r="A1" s="164" t="s">
        <v>0</v>
      </c>
      <c r="B1" s="166" t="s">
        <v>64</v>
      </c>
      <c r="C1" s="164" t="s">
        <v>1</v>
      </c>
      <c r="D1" s="164" t="s">
        <v>2</v>
      </c>
      <c r="E1" s="165" t="s">
        <v>3</v>
      </c>
      <c r="F1" s="165" t="s">
        <v>4</v>
      </c>
      <c r="G1" s="161" t="s">
        <v>5</v>
      </c>
      <c r="H1" s="161" t="s">
        <v>6</v>
      </c>
      <c r="I1" s="161"/>
      <c r="J1" s="161"/>
      <c r="K1" s="161"/>
      <c r="L1" s="161"/>
      <c r="M1" s="168" t="s">
        <v>7</v>
      </c>
      <c r="N1" s="168" t="s">
        <v>8</v>
      </c>
      <c r="O1" s="168"/>
      <c r="P1" s="168"/>
      <c r="Q1" s="168"/>
      <c r="R1" s="168"/>
      <c r="S1" s="169" t="s">
        <v>9</v>
      </c>
    </row>
    <row r="2" spans="1:19" ht="108" x14ac:dyDescent="0.4">
      <c r="A2" s="164"/>
      <c r="B2" s="167"/>
      <c r="C2" s="164"/>
      <c r="D2" s="164"/>
      <c r="E2" s="165"/>
      <c r="F2" s="165"/>
      <c r="G2" s="161"/>
      <c r="H2" s="63" t="s">
        <v>10</v>
      </c>
      <c r="I2" s="63" t="s">
        <v>11</v>
      </c>
      <c r="J2" s="63" t="s">
        <v>12</v>
      </c>
      <c r="K2" s="63" t="s">
        <v>13</v>
      </c>
      <c r="L2" s="63" t="s">
        <v>14</v>
      </c>
      <c r="M2" s="168"/>
      <c r="N2" s="64" t="s">
        <v>10</v>
      </c>
      <c r="O2" s="64" t="s">
        <v>11</v>
      </c>
      <c r="P2" s="64" t="s">
        <v>15</v>
      </c>
      <c r="Q2" s="64" t="s">
        <v>16</v>
      </c>
      <c r="R2" s="64" t="s">
        <v>17</v>
      </c>
      <c r="S2" s="169"/>
    </row>
    <row r="3" spans="1:19" ht="27" x14ac:dyDescent="0.4">
      <c r="A3" s="65"/>
      <c r="B3" s="65"/>
      <c r="C3" s="66"/>
      <c r="D3" s="66"/>
      <c r="E3" s="67"/>
      <c r="F3" s="68"/>
      <c r="G3" s="68"/>
      <c r="H3" s="66"/>
      <c r="I3" s="67"/>
      <c r="J3" s="67"/>
      <c r="K3" s="67"/>
      <c r="L3" s="66"/>
      <c r="M3" s="68"/>
      <c r="N3" s="66"/>
      <c r="O3" s="69"/>
      <c r="P3" s="67"/>
      <c r="Q3" s="66"/>
      <c r="R3" s="65"/>
      <c r="S3" s="70"/>
    </row>
    <row r="4" spans="1:19" ht="27" x14ac:dyDescent="0.4">
      <c r="A4" s="65"/>
      <c r="B4" s="65"/>
      <c r="C4" s="66"/>
      <c r="D4" s="66"/>
      <c r="E4" s="67"/>
      <c r="F4" s="68"/>
      <c r="G4" s="68"/>
      <c r="H4" s="66"/>
      <c r="I4" s="67"/>
      <c r="J4" s="67"/>
      <c r="K4" s="67"/>
      <c r="L4" s="66"/>
      <c r="M4" s="68"/>
      <c r="N4" s="66"/>
      <c r="O4" s="69"/>
      <c r="P4" s="67"/>
      <c r="Q4" s="66"/>
      <c r="R4" s="65"/>
      <c r="S4" s="70"/>
    </row>
    <row r="5" spans="1:19" ht="27" x14ac:dyDescent="0.4">
      <c r="A5" s="65"/>
      <c r="B5" s="65"/>
      <c r="C5" s="66"/>
      <c r="D5" s="66"/>
      <c r="E5" s="67"/>
      <c r="F5" s="68"/>
      <c r="G5" s="68"/>
      <c r="H5" s="66"/>
      <c r="I5" s="67"/>
      <c r="J5" s="67"/>
      <c r="K5" s="67"/>
      <c r="L5" s="66"/>
      <c r="M5" s="68"/>
      <c r="N5" s="66"/>
      <c r="O5" s="69"/>
      <c r="P5" s="67"/>
      <c r="Q5" s="66"/>
      <c r="R5" s="65"/>
      <c r="S5" s="68"/>
    </row>
    <row r="6" spans="1:19" ht="27" x14ac:dyDescent="0.4">
      <c r="A6" s="65"/>
      <c r="B6" s="65"/>
      <c r="C6" s="66"/>
      <c r="D6" s="66"/>
      <c r="E6" s="67"/>
      <c r="F6" s="68"/>
      <c r="G6" s="68"/>
      <c r="H6" s="66"/>
      <c r="I6" s="67"/>
      <c r="J6" s="67"/>
      <c r="K6" s="67"/>
      <c r="L6" s="66"/>
      <c r="M6" s="68"/>
      <c r="N6" s="66"/>
      <c r="O6" s="69"/>
      <c r="P6" s="67"/>
      <c r="Q6" s="66"/>
      <c r="R6" s="65"/>
      <c r="S6" s="70"/>
    </row>
    <row r="7" spans="1:19" ht="27" x14ac:dyDescent="0.4">
      <c r="A7" s="65"/>
      <c r="B7" s="65"/>
      <c r="C7" s="66"/>
      <c r="D7" s="66"/>
      <c r="E7" s="67"/>
      <c r="F7" s="68"/>
      <c r="G7" s="68"/>
      <c r="H7" s="66"/>
      <c r="I7" s="67"/>
      <c r="J7" s="67"/>
      <c r="K7" s="67"/>
      <c r="L7" s="66"/>
      <c r="M7" s="68"/>
      <c r="N7" s="66"/>
      <c r="O7" s="69"/>
      <c r="P7" s="67"/>
      <c r="Q7" s="66"/>
      <c r="R7" s="65"/>
      <c r="S7" s="70"/>
    </row>
    <row r="8" spans="1:19" ht="27" x14ac:dyDescent="0.4">
      <c r="A8" s="65"/>
      <c r="B8" s="65"/>
      <c r="C8" s="66"/>
      <c r="D8" s="66"/>
      <c r="E8" s="67"/>
      <c r="F8" s="68"/>
      <c r="G8" s="68"/>
      <c r="H8" s="66"/>
      <c r="I8" s="67"/>
      <c r="J8" s="67"/>
      <c r="K8" s="67"/>
      <c r="L8" s="66"/>
      <c r="M8" s="68"/>
      <c r="N8" s="66"/>
      <c r="O8" s="69"/>
      <c r="P8" s="67"/>
      <c r="Q8" s="66"/>
      <c r="R8" s="65"/>
      <c r="S8" s="70"/>
    </row>
    <row r="9" spans="1:19" ht="27" x14ac:dyDescent="0.4">
      <c r="A9" s="65"/>
      <c r="B9" s="65"/>
      <c r="C9" s="66"/>
      <c r="D9" s="66"/>
      <c r="E9" s="67"/>
      <c r="F9" s="68"/>
      <c r="G9" s="68"/>
      <c r="H9" s="66"/>
      <c r="I9" s="67"/>
      <c r="J9" s="67"/>
      <c r="K9" s="67"/>
      <c r="L9" s="66"/>
      <c r="M9" s="68"/>
      <c r="N9" s="66"/>
      <c r="O9" s="69"/>
      <c r="P9" s="67"/>
      <c r="Q9" s="66"/>
      <c r="R9" s="65"/>
      <c r="S9" s="70"/>
    </row>
    <row r="10" spans="1:19" ht="27" x14ac:dyDescent="0.4">
      <c r="A10" s="65"/>
      <c r="B10" s="65"/>
      <c r="C10" s="66"/>
      <c r="D10" s="66"/>
      <c r="E10" s="67"/>
      <c r="F10" s="68"/>
      <c r="G10" s="68"/>
      <c r="H10" s="66"/>
      <c r="I10" s="67"/>
      <c r="J10" s="67"/>
      <c r="K10" s="67"/>
      <c r="L10" s="66"/>
      <c r="M10" s="68"/>
      <c r="N10" s="66"/>
      <c r="O10" s="69"/>
      <c r="P10" s="67"/>
      <c r="Q10" s="66"/>
      <c r="R10" s="65"/>
      <c r="S10" s="70"/>
    </row>
    <row r="11" spans="1:19" ht="27" x14ac:dyDescent="0.4">
      <c r="A11" s="65"/>
      <c r="B11" s="65"/>
      <c r="C11" s="66"/>
      <c r="D11" s="66"/>
      <c r="E11" s="67"/>
      <c r="F11" s="68"/>
      <c r="G11" s="68"/>
      <c r="H11" s="66"/>
      <c r="I11" s="67"/>
      <c r="J11" s="67"/>
      <c r="K11" s="67"/>
      <c r="L11" s="66"/>
      <c r="M11" s="68"/>
      <c r="N11" s="66"/>
      <c r="O11" s="69"/>
      <c r="P11" s="67"/>
      <c r="Q11" s="66"/>
      <c r="R11" s="65"/>
      <c r="S11" s="70"/>
    </row>
    <row r="12" spans="1:19" ht="27" x14ac:dyDescent="0.4">
      <c r="A12" s="65"/>
      <c r="B12" s="65"/>
      <c r="C12" s="66"/>
      <c r="D12" s="66"/>
      <c r="E12" s="67"/>
      <c r="F12" s="68"/>
      <c r="G12" s="68"/>
      <c r="H12" s="66"/>
      <c r="I12" s="67"/>
      <c r="J12" s="67"/>
      <c r="K12" s="67"/>
      <c r="L12" s="66"/>
      <c r="M12" s="68"/>
      <c r="N12" s="66"/>
      <c r="O12" s="69"/>
      <c r="P12" s="67"/>
      <c r="Q12" s="66"/>
      <c r="R12" s="65"/>
      <c r="S12" s="68"/>
    </row>
    <row r="13" spans="1:19" ht="27" x14ac:dyDescent="0.4">
      <c r="A13" s="65"/>
      <c r="B13" s="65"/>
      <c r="C13" s="66"/>
      <c r="D13" s="66"/>
      <c r="E13" s="67"/>
      <c r="F13" s="68"/>
      <c r="G13" s="68"/>
      <c r="H13" s="66"/>
      <c r="I13" s="67"/>
      <c r="J13" s="67"/>
      <c r="K13" s="67"/>
      <c r="L13" s="66"/>
      <c r="M13" s="68"/>
      <c r="N13" s="66"/>
      <c r="O13" s="69"/>
      <c r="P13" s="67"/>
      <c r="Q13" s="66"/>
      <c r="R13" s="65"/>
      <c r="S13" s="68"/>
    </row>
    <row r="14" spans="1:19" ht="27" x14ac:dyDescent="0.4">
      <c r="A14" s="65"/>
      <c r="B14" s="65"/>
      <c r="C14" s="66"/>
      <c r="D14" s="66"/>
      <c r="E14" s="67"/>
      <c r="F14" s="68"/>
      <c r="G14" s="68"/>
      <c r="H14" s="66"/>
      <c r="I14" s="67"/>
      <c r="J14" s="67"/>
      <c r="K14" s="67"/>
      <c r="L14" s="66"/>
      <c r="M14" s="68"/>
      <c r="N14" s="66"/>
      <c r="O14" s="69"/>
      <c r="P14" s="67"/>
      <c r="Q14" s="66"/>
      <c r="R14" s="65"/>
      <c r="S14" s="68"/>
    </row>
    <row r="15" spans="1:19" ht="27" x14ac:dyDescent="0.4">
      <c r="A15" s="65"/>
      <c r="B15" s="65"/>
      <c r="C15" s="66"/>
      <c r="D15" s="66"/>
      <c r="E15" s="67"/>
      <c r="F15" s="68"/>
      <c r="G15" s="68"/>
      <c r="H15" s="66"/>
      <c r="I15" s="67"/>
      <c r="J15" s="67"/>
      <c r="K15" s="67"/>
      <c r="L15" s="66"/>
      <c r="M15" s="68"/>
      <c r="N15" s="66"/>
      <c r="O15" s="69"/>
      <c r="P15" s="67"/>
      <c r="Q15" s="66"/>
      <c r="R15" s="65"/>
      <c r="S15" s="65"/>
    </row>
    <row r="16" spans="1:19" ht="27" x14ac:dyDescent="0.4">
      <c r="A16" s="65"/>
      <c r="B16" s="65"/>
      <c r="C16" s="66"/>
      <c r="D16" s="66"/>
      <c r="E16" s="67"/>
      <c r="F16" s="68"/>
      <c r="G16" s="68"/>
      <c r="H16" s="66"/>
      <c r="I16" s="67"/>
      <c r="J16" s="67"/>
      <c r="K16" s="67"/>
      <c r="L16" s="66"/>
      <c r="M16" s="68"/>
      <c r="N16" s="66"/>
      <c r="O16" s="69"/>
      <c r="P16" s="67"/>
      <c r="Q16" s="66"/>
      <c r="R16" s="65"/>
      <c r="S16" s="120"/>
    </row>
    <row r="17" spans="1:20" ht="27" x14ac:dyDescent="0.4">
      <c r="A17" s="65"/>
      <c r="B17" s="65"/>
      <c r="C17" s="66"/>
      <c r="D17" s="66"/>
      <c r="E17" s="67"/>
      <c r="F17" s="68"/>
      <c r="G17" s="68"/>
      <c r="H17" s="66"/>
      <c r="I17" s="67"/>
      <c r="J17" s="67"/>
      <c r="K17" s="67"/>
      <c r="L17" s="66"/>
      <c r="M17" s="68"/>
      <c r="N17" s="66"/>
      <c r="O17" s="69"/>
      <c r="P17" s="67"/>
      <c r="Q17" s="66"/>
      <c r="R17" s="65"/>
      <c r="S17" s="65"/>
    </row>
    <row r="18" spans="1:20" ht="27" x14ac:dyDescent="0.4">
      <c r="A18" s="65"/>
      <c r="B18" s="65"/>
      <c r="C18" s="66"/>
      <c r="D18" s="66"/>
      <c r="E18" s="67"/>
      <c r="F18" s="68"/>
      <c r="G18" s="68"/>
      <c r="H18" s="66"/>
      <c r="I18" s="67"/>
      <c r="J18" s="67"/>
      <c r="K18" s="67"/>
      <c r="L18" s="66"/>
      <c r="M18" s="68"/>
      <c r="N18" s="66"/>
      <c r="O18" s="69"/>
      <c r="P18" s="67"/>
      <c r="Q18" s="66"/>
      <c r="R18" s="65"/>
      <c r="S18" s="70"/>
    </row>
    <row r="19" spans="1:20" ht="27" x14ac:dyDescent="0.4">
      <c r="A19" s="65"/>
      <c r="B19" s="65"/>
      <c r="C19" s="66"/>
      <c r="D19" s="66"/>
      <c r="E19" s="67"/>
      <c r="F19" s="68"/>
      <c r="G19" s="68"/>
      <c r="H19" s="66"/>
      <c r="I19" s="67"/>
      <c r="J19" s="67"/>
      <c r="K19" s="67"/>
      <c r="L19" s="66"/>
      <c r="M19" s="68"/>
      <c r="N19" s="66"/>
      <c r="O19" s="69"/>
      <c r="P19" s="67"/>
      <c r="Q19" s="66"/>
      <c r="R19" s="65"/>
      <c r="S19" s="68"/>
    </row>
    <row r="20" spans="1:20" ht="27" x14ac:dyDescent="0.4">
      <c r="A20" s="65"/>
      <c r="B20" s="65"/>
      <c r="C20" s="66"/>
      <c r="D20" s="66"/>
      <c r="E20" s="67"/>
      <c r="F20" s="68"/>
      <c r="G20" s="68"/>
      <c r="H20" s="66"/>
      <c r="I20" s="67"/>
      <c r="J20" s="67"/>
      <c r="K20" s="67"/>
      <c r="L20" s="66"/>
      <c r="M20" s="68"/>
      <c r="N20" s="66"/>
      <c r="O20" s="69"/>
      <c r="P20" s="67"/>
      <c r="Q20" s="66"/>
      <c r="R20" s="65"/>
      <c r="S20" s="68"/>
    </row>
    <row r="21" spans="1:20" ht="27" x14ac:dyDescent="0.4">
      <c r="A21" s="65"/>
      <c r="B21" s="65"/>
      <c r="C21" s="66"/>
      <c r="D21" s="66"/>
      <c r="E21" s="67"/>
      <c r="F21" s="68"/>
      <c r="G21" s="68"/>
      <c r="H21" s="66"/>
      <c r="I21" s="67"/>
      <c r="J21" s="67"/>
      <c r="K21" s="67"/>
      <c r="L21" s="66"/>
      <c r="M21" s="68"/>
      <c r="N21" s="66"/>
      <c r="O21" s="69"/>
      <c r="P21" s="67"/>
      <c r="Q21" s="66"/>
      <c r="R21" s="65"/>
      <c r="S21" s="68"/>
    </row>
    <row r="22" spans="1:20" ht="27" x14ac:dyDescent="0.4">
      <c r="A22" s="65"/>
      <c r="B22" s="65"/>
      <c r="C22" s="66"/>
      <c r="D22" s="66"/>
      <c r="E22" s="67"/>
      <c r="F22" s="68"/>
      <c r="G22" s="68"/>
      <c r="H22" s="66"/>
      <c r="I22" s="67"/>
      <c r="J22" s="67"/>
      <c r="K22" s="67"/>
      <c r="L22" s="66"/>
      <c r="M22" s="68"/>
      <c r="N22" s="66"/>
      <c r="O22" s="69"/>
      <c r="P22" s="67"/>
      <c r="Q22" s="66"/>
      <c r="R22" s="65"/>
      <c r="S22" s="68"/>
    </row>
    <row r="23" spans="1:20" ht="27" x14ac:dyDescent="0.4">
      <c r="A23" s="65"/>
      <c r="B23" s="65"/>
      <c r="C23" s="66"/>
      <c r="D23" s="66"/>
      <c r="E23" s="67"/>
      <c r="F23" s="68"/>
      <c r="G23" s="68"/>
      <c r="H23" s="66"/>
      <c r="I23" s="67"/>
      <c r="J23" s="67"/>
      <c r="K23" s="67"/>
      <c r="L23" s="66"/>
      <c r="M23" s="68"/>
      <c r="N23" s="66"/>
      <c r="O23" s="69"/>
      <c r="P23" s="67"/>
      <c r="Q23" s="66"/>
      <c r="R23" s="65"/>
      <c r="S23" s="68"/>
      <c r="T23" s="17"/>
    </row>
    <row r="24" spans="1:20" ht="27" x14ac:dyDescent="0.4">
      <c r="A24" s="65"/>
      <c r="B24" s="65"/>
      <c r="C24" s="66"/>
      <c r="D24" s="66"/>
      <c r="E24" s="67"/>
      <c r="F24" s="68"/>
      <c r="G24" s="68"/>
      <c r="H24" s="66"/>
      <c r="I24" s="67"/>
      <c r="J24" s="67"/>
      <c r="K24" s="67"/>
      <c r="L24" s="66"/>
      <c r="M24" s="68"/>
      <c r="N24" s="66"/>
      <c r="O24" s="69"/>
      <c r="P24" s="67"/>
      <c r="Q24" s="66"/>
      <c r="R24" s="65"/>
      <c r="S24" s="68"/>
    </row>
    <row r="25" spans="1:20" ht="27" x14ac:dyDescent="0.4">
      <c r="A25" s="65"/>
      <c r="B25" s="65"/>
      <c r="C25" s="66"/>
      <c r="D25" s="66"/>
      <c r="E25" s="67"/>
      <c r="F25" s="68"/>
      <c r="G25" s="68"/>
      <c r="H25" s="66"/>
      <c r="I25" s="67"/>
      <c r="J25" s="67"/>
      <c r="K25" s="67"/>
      <c r="L25" s="66"/>
      <c r="M25" s="68"/>
      <c r="N25" s="66"/>
      <c r="O25" s="69"/>
      <c r="P25" s="67"/>
      <c r="Q25" s="66"/>
      <c r="R25" s="65"/>
      <c r="S25" s="68"/>
    </row>
    <row r="26" spans="1:20" ht="27" x14ac:dyDescent="0.4">
      <c r="A26" s="65"/>
      <c r="B26" s="65"/>
      <c r="C26" s="66"/>
      <c r="D26" s="66"/>
      <c r="E26" s="67"/>
      <c r="F26" s="68"/>
      <c r="G26" s="68"/>
      <c r="H26" s="66"/>
      <c r="I26" s="67"/>
      <c r="J26" s="67"/>
      <c r="K26" s="67"/>
      <c r="L26" s="66"/>
      <c r="M26" s="68"/>
      <c r="N26" s="66"/>
      <c r="O26" s="69"/>
      <c r="P26" s="67"/>
      <c r="Q26" s="66"/>
      <c r="R26" s="65"/>
      <c r="S26" s="68"/>
    </row>
    <row r="27" spans="1:20" ht="27" x14ac:dyDescent="0.4">
      <c r="A27" s="65"/>
      <c r="B27" s="65"/>
      <c r="C27" s="66"/>
      <c r="D27" s="66"/>
      <c r="E27" s="67"/>
      <c r="F27" s="68"/>
      <c r="G27" s="68"/>
      <c r="H27" s="66"/>
      <c r="I27" s="67"/>
      <c r="J27" s="67"/>
      <c r="K27" s="67"/>
      <c r="L27" s="66"/>
      <c r="M27" s="68"/>
      <c r="N27" s="66"/>
      <c r="O27" s="69"/>
      <c r="P27" s="67"/>
      <c r="Q27" s="66"/>
      <c r="R27" s="65"/>
      <c r="S27" s="68"/>
    </row>
    <row r="28" spans="1:20" ht="27" x14ac:dyDescent="0.4">
      <c r="A28" s="65"/>
      <c r="B28" s="65"/>
      <c r="C28" s="66"/>
      <c r="D28" s="66"/>
      <c r="E28" s="67"/>
      <c r="F28" s="68"/>
      <c r="G28" s="68"/>
      <c r="H28" s="66"/>
      <c r="I28" s="67"/>
      <c r="J28" s="67"/>
      <c r="K28" s="67"/>
      <c r="L28" s="66"/>
      <c r="M28" s="68"/>
      <c r="N28" s="66"/>
      <c r="O28" s="69"/>
      <c r="P28" s="67"/>
      <c r="Q28" s="66"/>
      <c r="R28" s="65"/>
      <c r="S28" s="68"/>
    </row>
    <row r="29" spans="1:20" ht="27" x14ac:dyDescent="0.4">
      <c r="A29" s="65"/>
      <c r="B29" s="65"/>
      <c r="C29" s="66"/>
      <c r="D29" s="66"/>
      <c r="E29" s="67"/>
      <c r="F29" s="68"/>
      <c r="G29" s="68"/>
      <c r="H29" s="66"/>
      <c r="I29" s="67"/>
      <c r="J29" s="67"/>
      <c r="K29" s="67"/>
      <c r="L29" s="71"/>
      <c r="M29" s="68"/>
      <c r="N29" s="66"/>
      <c r="O29" s="69"/>
      <c r="P29" s="67"/>
      <c r="Q29" s="71"/>
      <c r="R29" s="65"/>
      <c r="S29" s="68"/>
    </row>
    <row r="30" spans="1:20" ht="27" x14ac:dyDescent="0.4">
      <c r="A30" s="65"/>
      <c r="B30" s="65"/>
      <c r="C30" s="66"/>
      <c r="D30" s="66"/>
      <c r="E30" s="67"/>
      <c r="F30" s="68"/>
      <c r="G30" s="68"/>
      <c r="H30" s="66"/>
      <c r="I30" s="67"/>
      <c r="J30" s="67"/>
      <c r="K30" s="67"/>
      <c r="L30" s="71"/>
      <c r="M30" s="68"/>
      <c r="N30" s="66"/>
      <c r="O30" s="69"/>
      <c r="P30" s="67"/>
      <c r="Q30" s="71"/>
      <c r="R30" s="65"/>
      <c r="S30" s="68"/>
    </row>
    <row r="31" spans="1:20" ht="27" x14ac:dyDescent="0.4">
      <c r="A31" s="65"/>
      <c r="B31" s="65"/>
      <c r="C31" s="66"/>
      <c r="D31" s="66"/>
      <c r="E31" s="67"/>
      <c r="F31" s="68"/>
      <c r="G31" s="68"/>
      <c r="H31" s="66"/>
      <c r="I31" s="67"/>
      <c r="J31" s="67"/>
      <c r="K31" s="67"/>
      <c r="L31" s="71"/>
      <c r="M31" s="68"/>
      <c r="N31" s="66"/>
      <c r="O31" s="69"/>
      <c r="P31" s="67"/>
      <c r="Q31" s="71"/>
      <c r="R31" s="65"/>
      <c r="S31" s="68"/>
    </row>
    <row r="32" spans="1:20" ht="27" x14ac:dyDescent="0.4">
      <c r="A32" s="65"/>
      <c r="B32" s="65"/>
      <c r="C32" s="66"/>
      <c r="D32" s="66"/>
      <c r="E32" s="67"/>
      <c r="F32" s="68"/>
      <c r="G32" s="68"/>
      <c r="H32" s="66"/>
      <c r="I32" s="67"/>
      <c r="J32" s="67"/>
      <c r="K32" s="67"/>
      <c r="L32" s="66"/>
      <c r="M32" s="68"/>
      <c r="N32" s="66"/>
      <c r="O32" s="69"/>
      <c r="P32" s="67"/>
      <c r="Q32" s="66"/>
      <c r="R32" s="65"/>
      <c r="S32" s="68"/>
    </row>
    <row r="33" spans="1:20" ht="27" x14ac:dyDescent="0.4">
      <c r="A33" s="65"/>
      <c r="B33" s="65"/>
      <c r="C33" s="66"/>
      <c r="D33" s="66"/>
      <c r="E33" s="67"/>
      <c r="F33" s="68"/>
      <c r="G33" s="68"/>
      <c r="H33" s="66"/>
      <c r="I33" s="67"/>
      <c r="J33" s="67"/>
      <c r="K33" s="67"/>
      <c r="L33" s="66"/>
      <c r="M33" s="68"/>
      <c r="N33" s="66"/>
      <c r="O33" s="69"/>
      <c r="P33" s="67"/>
      <c r="Q33" s="66"/>
      <c r="R33" s="68"/>
      <c r="S33" s="68"/>
    </row>
    <row r="34" spans="1:20" ht="27" x14ac:dyDescent="0.4">
      <c r="A34" s="65"/>
      <c r="B34" s="65"/>
      <c r="C34" s="66"/>
      <c r="D34" s="66"/>
      <c r="E34" s="67"/>
      <c r="F34" s="68"/>
      <c r="G34" s="68"/>
      <c r="H34" s="66"/>
      <c r="I34" s="67"/>
      <c r="J34" s="67"/>
      <c r="K34" s="67"/>
      <c r="L34" s="66"/>
      <c r="M34" s="68"/>
      <c r="N34" s="66"/>
      <c r="O34" s="69"/>
      <c r="P34" s="67"/>
      <c r="Q34" s="66"/>
      <c r="R34" s="68"/>
      <c r="S34" s="68"/>
    </row>
    <row r="35" spans="1:20" ht="27" x14ac:dyDescent="0.4">
      <c r="A35" s="65"/>
      <c r="B35" s="65"/>
      <c r="C35" s="66"/>
      <c r="D35" s="66"/>
      <c r="E35" s="67"/>
      <c r="F35" s="68"/>
      <c r="G35" s="68"/>
      <c r="H35" s="66"/>
      <c r="I35" s="67"/>
      <c r="J35" s="67"/>
      <c r="K35" s="67"/>
      <c r="L35" s="66"/>
      <c r="M35" s="68"/>
      <c r="N35" s="66"/>
      <c r="O35" s="69"/>
      <c r="P35" s="67"/>
      <c r="Q35" s="66"/>
      <c r="R35" s="68"/>
      <c r="S35" s="68"/>
    </row>
    <row r="36" spans="1:20" ht="27" x14ac:dyDescent="0.4">
      <c r="A36" s="65"/>
      <c r="B36" s="65"/>
      <c r="C36" s="66"/>
      <c r="D36" s="66"/>
      <c r="E36" s="67"/>
      <c r="F36" s="68"/>
      <c r="G36" s="68"/>
      <c r="H36" s="66"/>
      <c r="I36" s="67"/>
      <c r="J36" s="67"/>
      <c r="K36" s="67"/>
      <c r="L36" s="66"/>
      <c r="M36" s="68"/>
      <c r="N36" s="66"/>
      <c r="O36" s="69"/>
      <c r="P36" s="67"/>
      <c r="Q36" s="66"/>
      <c r="R36" s="68"/>
      <c r="S36" s="68"/>
    </row>
    <row r="37" spans="1:20" ht="27" x14ac:dyDescent="0.4">
      <c r="A37" s="65"/>
      <c r="B37" s="65"/>
      <c r="C37" s="66"/>
      <c r="D37" s="66"/>
      <c r="E37" s="67"/>
      <c r="F37" s="68"/>
      <c r="G37" s="68"/>
      <c r="H37" s="66"/>
      <c r="I37" s="67"/>
      <c r="J37" s="67"/>
      <c r="K37" s="67"/>
      <c r="L37" s="66"/>
      <c r="M37" s="68"/>
      <c r="N37" s="66"/>
      <c r="O37" s="69"/>
      <c r="P37" s="67"/>
      <c r="Q37" s="66"/>
      <c r="R37" s="68"/>
      <c r="S37" s="68"/>
      <c r="T37" s="17"/>
    </row>
    <row r="38" spans="1:20" ht="27" x14ac:dyDescent="0.4">
      <c r="A38" s="65"/>
      <c r="B38" s="65"/>
      <c r="C38" s="66"/>
      <c r="D38" s="66"/>
      <c r="E38" s="67"/>
      <c r="F38" s="68"/>
      <c r="G38" s="68"/>
      <c r="H38" s="66"/>
      <c r="I38" s="67"/>
      <c r="J38" s="67"/>
      <c r="K38" s="67"/>
      <c r="L38" s="66"/>
      <c r="M38" s="68"/>
      <c r="N38" s="66"/>
      <c r="O38" s="69"/>
      <c r="P38" s="67"/>
      <c r="Q38" s="66"/>
      <c r="R38" s="68"/>
      <c r="S38" s="68"/>
    </row>
    <row r="39" spans="1:20" ht="27" x14ac:dyDescent="0.4">
      <c r="A39" s="65"/>
      <c r="B39" s="65"/>
      <c r="C39" s="66"/>
      <c r="D39" s="66"/>
      <c r="E39" s="67"/>
      <c r="F39" s="68"/>
      <c r="G39" s="68"/>
      <c r="H39" s="66"/>
      <c r="I39" s="67"/>
      <c r="J39" s="67"/>
      <c r="K39" s="67"/>
      <c r="L39" s="66"/>
      <c r="M39" s="68"/>
      <c r="N39" s="66"/>
      <c r="O39" s="69"/>
      <c r="P39" s="67"/>
      <c r="Q39" s="66"/>
      <c r="R39" s="68"/>
      <c r="S39" s="68"/>
    </row>
    <row r="40" spans="1:20" ht="27" x14ac:dyDescent="0.4">
      <c r="A40" s="65"/>
      <c r="B40" s="65"/>
      <c r="C40" s="66"/>
      <c r="D40" s="66"/>
      <c r="E40" s="67"/>
      <c r="F40" s="68"/>
      <c r="G40" s="68"/>
      <c r="H40" s="66"/>
      <c r="I40" s="67"/>
      <c r="J40" s="67"/>
      <c r="K40" s="67"/>
      <c r="L40" s="66"/>
      <c r="M40" s="68"/>
      <c r="N40" s="66"/>
      <c r="O40" s="69"/>
      <c r="P40" s="67"/>
      <c r="Q40" s="66"/>
      <c r="R40" s="68"/>
      <c r="S40" s="68"/>
    </row>
    <row r="41" spans="1:20" ht="27" x14ac:dyDescent="0.4">
      <c r="A41" s="65"/>
      <c r="B41" s="65"/>
      <c r="C41" s="66"/>
      <c r="D41" s="66"/>
      <c r="E41" s="67"/>
      <c r="F41" s="73"/>
      <c r="G41" s="68"/>
      <c r="H41" s="66"/>
      <c r="I41" s="67"/>
      <c r="J41" s="67"/>
      <c r="K41" s="67"/>
      <c r="L41" s="66"/>
      <c r="M41" s="68"/>
      <c r="N41" s="66"/>
      <c r="O41" s="69"/>
      <c r="P41" s="67"/>
      <c r="Q41" s="66"/>
      <c r="R41" s="68"/>
      <c r="S41" s="68"/>
    </row>
    <row r="42" spans="1:20" ht="27" x14ac:dyDescent="0.4">
      <c r="A42" s="65"/>
      <c r="B42" s="65"/>
      <c r="C42" s="66"/>
      <c r="D42" s="66"/>
      <c r="E42" s="67"/>
      <c r="F42" s="68"/>
      <c r="G42" s="68"/>
      <c r="H42" s="66"/>
      <c r="I42" s="67"/>
      <c r="J42" s="67"/>
      <c r="K42" s="67"/>
      <c r="L42" s="66"/>
      <c r="M42" s="68"/>
      <c r="N42" s="66"/>
      <c r="O42" s="69"/>
      <c r="P42" s="67"/>
      <c r="Q42" s="66"/>
      <c r="R42" s="68"/>
      <c r="S42" s="68"/>
    </row>
    <row r="43" spans="1:20" ht="27" x14ac:dyDescent="0.4">
      <c r="A43" s="65"/>
      <c r="B43" s="65"/>
      <c r="C43" s="66"/>
      <c r="D43" s="66"/>
      <c r="E43" s="67"/>
      <c r="F43" s="68"/>
      <c r="G43" s="68"/>
      <c r="H43" s="66"/>
      <c r="I43" s="67"/>
      <c r="J43" s="67"/>
      <c r="K43" s="67"/>
      <c r="L43" s="66"/>
      <c r="M43" s="68"/>
      <c r="N43" s="66"/>
      <c r="O43" s="69"/>
      <c r="P43" s="67"/>
      <c r="Q43" s="66"/>
      <c r="R43" s="68"/>
      <c r="S43" s="68"/>
    </row>
    <row r="44" spans="1:20" ht="27" x14ac:dyDescent="0.4">
      <c r="A44" s="65"/>
      <c r="B44" s="65"/>
      <c r="C44" s="66"/>
      <c r="D44" s="66"/>
      <c r="E44" s="67"/>
      <c r="F44" s="68"/>
      <c r="G44" s="68"/>
      <c r="H44" s="66"/>
      <c r="I44" s="67"/>
      <c r="J44" s="67"/>
      <c r="K44" s="67"/>
      <c r="L44" s="66"/>
      <c r="M44" s="68"/>
      <c r="N44" s="66"/>
      <c r="O44" s="69"/>
      <c r="P44" s="67"/>
      <c r="Q44" s="66"/>
      <c r="R44" s="68"/>
      <c r="S44" s="68"/>
    </row>
    <row r="45" spans="1:20" ht="27" x14ac:dyDescent="0.4">
      <c r="A45" s="65"/>
      <c r="B45" s="65"/>
      <c r="C45" s="66"/>
      <c r="D45" s="66"/>
      <c r="E45" s="67"/>
      <c r="F45" s="68"/>
      <c r="G45" s="68"/>
      <c r="H45" s="66"/>
      <c r="I45" s="67"/>
      <c r="J45" s="67"/>
      <c r="K45" s="67"/>
      <c r="L45" s="66"/>
      <c r="M45" s="68"/>
      <c r="N45" s="66"/>
      <c r="O45" s="69"/>
      <c r="P45" s="67"/>
      <c r="Q45" s="66"/>
      <c r="R45" s="68"/>
      <c r="S45" s="68"/>
    </row>
    <row r="46" spans="1:20" ht="27" x14ac:dyDescent="0.4">
      <c r="A46" s="65"/>
      <c r="B46" s="65"/>
      <c r="C46" s="66"/>
      <c r="D46" s="66"/>
      <c r="E46" s="67"/>
      <c r="F46" s="68"/>
      <c r="G46" s="68"/>
      <c r="H46" s="66"/>
      <c r="I46" s="67"/>
      <c r="J46" s="67"/>
      <c r="K46" s="67"/>
      <c r="L46" s="66"/>
      <c r="M46" s="68"/>
      <c r="N46" s="66"/>
      <c r="O46" s="69"/>
      <c r="P46" s="67"/>
      <c r="Q46" s="66"/>
      <c r="R46" s="68"/>
      <c r="S46" s="68"/>
    </row>
    <row r="47" spans="1:20" ht="27" x14ac:dyDescent="0.4">
      <c r="A47" s="65"/>
      <c r="B47" s="65"/>
      <c r="C47" s="66"/>
      <c r="D47" s="66"/>
      <c r="E47" s="67"/>
      <c r="F47" s="68"/>
      <c r="G47" s="68"/>
      <c r="H47" s="66"/>
      <c r="I47" s="67"/>
      <c r="J47" s="67"/>
      <c r="K47" s="67"/>
      <c r="L47" s="66"/>
      <c r="M47" s="68"/>
      <c r="N47" s="66"/>
      <c r="O47" s="69"/>
      <c r="P47" s="67"/>
      <c r="Q47" s="66"/>
      <c r="R47" s="68"/>
      <c r="S47" s="68"/>
    </row>
    <row r="48" spans="1:20" ht="27" x14ac:dyDescent="0.4">
      <c r="A48" s="65"/>
      <c r="B48" s="65"/>
      <c r="C48" s="66"/>
      <c r="D48" s="66"/>
      <c r="E48" s="67"/>
      <c r="F48" s="68"/>
      <c r="G48" s="68"/>
      <c r="H48" s="66"/>
      <c r="I48" s="67"/>
      <c r="J48" s="67"/>
      <c r="K48" s="67"/>
      <c r="L48" s="66"/>
      <c r="M48" s="72"/>
      <c r="N48" s="66"/>
      <c r="O48" s="69"/>
      <c r="P48" s="67"/>
      <c r="Q48" s="66"/>
      <c r="R48" s="68"/>
      <c r="S48" s="68"/>
    </row>
    <row r="49" spans="1:19" ht="27" x14ac:dyDescent="0.4">
      <c r="A49" s="65"/>
      <c r="B49" s="65"/>
      <c r="C49" s="66"/>
      <c r="D49" s="66"/>
      <c r="E49" s="67"/>
      <c r="F49" s="68"/>
      <c r="G49" s="68"/>
      <c r="H49" s="66"/>
      <c r="I49" s="67"/>
      <c r="J49" s="67"/>
      <c r="K49" s="67"/>
      <c r="L49" s="66"/>
      <c r="M49" s="68"/>
      <c r="N49" s="66"/>
      <c r="O49" s="69"/>
      <c r="P49" s="67"/>
      <c r="Q49" s="66"/>
      <c r="R49" s="68"/>
      <c r="S49" s="68"/>
    </row>
    <row r="50" spans="1:19" ht="27" x14ac:dyDescent="0.4">
      <c r="A50" s="65"/>
      <c r="B50" s="65"/>
      <c r="C50" s="66"/>
      <c r="D50" s="66"/>
      <c r="E50" s="67"/>
      <c r="F50" s="68"/>
      <c r="G50" s="68"/>
      <c r="H50" s="66"/>
      <c r="I50" s="67"/>
      <c r="J50" s="67"/>
      <c r="K50" s="67"/>
      <c r="L50" s="66"/>
      <c r="M50" s="68"/>
      <c r="N50" s="66"/>
      <c r="O50" s="69"/>
      <c r="P50" s="67"/>
      <c r="Q50" s="66"/>
      <c r="R50" s="68"/>
      <c r="S50" s="68"/>
    </row>
    <row r="51" spans="1:19" ht="27" x14ac:dyDescent="0.4">
      <c r="A51" s="65"/>
      <c r="B51" s="65"/>
      <c r="C51" s="66"/>
      <c r="D51" s="66"/>
      <c r="E51" s="67"/>
      <c r="F51" s="68"/>
      <c r="G51" s="68"/>
      <c r="H51" s="66"/>
      <c r="I51" s="67"/>
      <c r="J51" s="67"/>
      <c r="K51" s="67"/>
      <c r="L51" s="66"/>
      <c r="M51" s="68"/>
      <c r="N51" s="66"/>
      <c r="O51" s="69"/>
      <c r="P51" s="67"/>
      <c r="Q51" s="66"/>
      <c r="R51" s="68"/>
      <c r="S51" s="68"/>
    </row>
    <row r="52" spans="1:19" ht="27" x14ac:dyDescent="0.4">
      <c r="A52" s="65"/>
      <c r="B52" s="65"/>
      <c r="C52" s="66"/>
      <c r="D52" s="66"/>
      <c r="E52" s="67"/>
      <c r="F52" s="68"/>
      <c r="G52" s="68"/>
      <c r="H52" s="66"/>
      <c r="I52" s="67"/>
      <c r="J52" s="67"/>
      <c r="K52" s="67"/>
      <c r="L52" s="66"/>
      <c r="M52" s="68"/>
      <c r="N52" s="66"/>
      <c r="O52" s="69"/>
      <c r="P52" s="67"/>
      <c r="Q52" s="66"/>
      <c r="R52" s="68"/>
      <c r="S52" s="68"/>
    </row>
    <row r="53" spans="1:19" ht="27" x14ac:dyDescent="0.4">
      <c r="A53" s="65"/>
      <c r="B53" s="65"/>
      <c r="C53" s="66"/>
      <c r="D53" s="66"/>
      <c r="E53" s="67"/>
      <c r="F53" s="68"/>
      <c r="G53" s="68"/>
      <c r="H53" s="66"/>
      <c r="I53" s="67"/>
      <c r="J53" s="67"/>
      <c r="K53" s="67"/>
      <c r="L53" s="66"/>
      <c r="M53" s="72"/>
      <c r="N53" s="66"/>
      <c r="O53" s="69"/>
      <c r="P53" s="67"/>
      <c r="Q53" s="66"/>
      <c r="R53" s="68"/>
      <c r="S53" s="68"/>
    </row>
    <row r="54" spans="1:19" ht="27" x14ac:dyDescent="0.4">
      <c r="A54" s="65"/>
      <c r="B54" s="65"/>
      <c r="C54" s="66"/>
      <c r="D54" s="66"/>
      <c r="E54" s="67"/>
      <c r="F54" s="68"/>
      <c r="G54" s="68"/>
      <c r="H54" s="66"/>
      <c r="I54" s="67"/>
      <c r="J54" s="67"/>
      <c r="K54" s="67"/>
      <c r="L54" s="66"/>
      <c r="M54" s="68"/>
      <c r="N54" s="66"/>
      <c r="O54" s="69"/>
      <c r="P54" s="67"/>
      <c r="Q54" s="66"/>
      <c r="R54" s="68"/>
      <c r="S54" s="68"/>
    </row>
    <row r="55" spans="1:19" ht="27" x14ac:dyDescent="0.4">
      <c r="A55" s="65"/>
      <c r="B55" s="65"/>
      <c r="C55" s="66"/>
      <c r="D55" s="66"/>
      <c r="E55" s="67"/>
      <c r="F55" s="68"/>
      <c r="G55" s="68"/>
      <c r="H55" s="66"/>
      <c r="I55" s="67"/>
      <c r="J55" s="67"/>
      <c r="K55" s="67"/>
      <c r="L55" s="66"/>
      <c r="M55" s="68"/>
      <c r="N55" s="66"/>
      <c r="O55" s="69"/>
      <c r="P55" s="67"/>
      <c r="Q55" s="66"/>
      <c r="R55" s="68"/>
      <c r="S55" s="68"/>
    </row>
    <row r="56" spans="1:19" ht="27" x14ac:dyDescent="0.4">
      <c r="A56" s="65"/>
      <c r="B56" s="65"/>
      <c r="C56" s="66"/>
      <c r="D56" s="66"/>
      <c r="E56" s="67"/>
      <c r="F56" s="68"/>
      <c r="G56" s="68"/>
      <c r="H56" s="66"/>
      <c r="I56" s="67"/>
      <c r="J56" s="67"/>
      <c r="K56" s="67"/>
      <c r="L56" s="66"/>
      <c r="M56" s="68"/>
      <c r="N56" s="66"/>
      <c r="O56" s="69"/>
      <c r="P56" s="67"/>
      <c r="Q56" s="66"/>
      <c r="R56" s="65"/>
      <c r="S56" s="68"/>
    </row>
    <row r="57" spans="1:19" ht="27" x14ac:dyDescent="0.4">
      <c r="A57" s="65"/>
      <c r="B57" s="65"/>
      <c r="C57" s="66"/>
      <c r="D57" s="66"/>
      <c r="E57" s="67"/>
      <c r="F57" s="68"/>
      <c r="G57" s="73"/>
      <c r="H57" s="66"/>
      <c r="I57" s="67"/>
      <c r="J57" s="67"/>
      <c r="K57" s="67"/>
      <c r="L57" s="66"/>
      <c r="M57" s="68"/>
      <c r="N57" s="66"/>
      <c r="O57" s="69"/>
      <c r="P57" s="67"/>
      <c r="Q57" s="66"/>
      <c r="R57" s="65"/>
      <c r="S57" s="68"/>
    </row>
    <row r="58" spans="1:19" ht="27" x14ac:dyDescent="0.4">
      <c r="A58" s="65"/>
      <c r="B58" s="65"/>
      <c r="C58" s="66"/>
      <c r="D58" s="66"/>
      <c r="E58" s="67"/>
      <c r="F58" s="68"/>
      <c r="G58" s="68"/>
      <c r="H58" s="66"/>
      <c r="I58" s="67"/>
      <c r="J58" s="67"/>
      <c r="K58" s="67"/>
      <c r="L58" s="66"/>
      <c r="M58" s="68"/>
      <c r="N58" s="66"/>
      <c r="O58" s="69"/>
      <c r="P58" s="67"/>
      <c r="Q58" s="66"/>
      <c r="R58" s="65"/>
      <c r="S58" s="68"/>
    </row>
    <row r="59" spans="1:19" ht="27" x14ac:dyDescent="0.4">
      <c r="A59" s="65"/>
      <c r="B59" s="65"/>
      <c r="C59" s="66"/>
      <c r="D59" s="66"/>
      <c r="E59" s="67"/>
      <c r="F59" s="68"/>
      <c r="G59" s="68"/>
      <c r="H59" s="66"/>
      <c r="I59" s="67"/>
      <c r="J59" s="67"/>
      <c r="K59" s="67"/>
      <c r="L59" s="66"/>
      <c r="M59" s="68"/>
      <c r="N59" s="66"/>
      <c r="O59" s="69"/>
      <c r="P59" s="67"/>
      <c r="Q59" s="66"/>
      <c r="R59" s="65"/>
      <c r="S59" s="68"/>
    </row>
    <row r="60" spans="1:19" ht="27" x14ac:dyDescent="0.4">
      <c r="A60" s="65"/>
      <c r="B60" s="65"/>
      <c r="C60" s="66"/>
      <c r="D60" s="66"/>
      <c r="E60" s="67"/>
      <c r="F60" s="68"/>
      <c r="G60" s="68"/>
      <c r="H60" s="66"/>
      <c r="I60" s="67"/>
      <c r="J60" s="67"/>
      <c r="K60" s="67"/>
      <c r="L60" s="66"/>
      <c r="M60" s="68"/>
      <c r="N60" s="66"/>
      <c r="O60" s="69"/>
      <c r="P60" s="67"/>
      <c r="Q60" s="66"/>
      <c r="R60" s="65"/>
      <c r="S60" s="68"/>
    </row>
    <row r="61" spans="1:19" ht="27" x14ac:dyDescent="0.4">
      <c r="A61" s="65"/>
      <c r="B61" s="65"/>
      <c r="C61" s="66"/>
      <c r="D61" s="66"/>
      <c r="E61" s="67"/>
      <c r="F61" s="68"/>
      <c r="G61" s="68"/>
      <c r="H61" s="66"/>
      <c r="I61" s="67"/>
      <c r="J61" s="67"/>
      <c r="K61" s="67"/>
      <c r="L61" s="66"/>
      <c r="M61" s="68"/>
      <c r="N61" s="66"/>
      <c r="O61" s="69"/>
      <c r="P61" s="67"/>
      <c r="Q61" s="66"/>
      <c r="R61" s="65"/>
      <c r="S61" s="68"/>
    </row>
    <row r="62" spans="1:19" ht="27" x14ac:dyDescent="0.4">
      <c r="A62" s="65"/>
      <c r="B62" s="65"/>
      <c r="C62" s="66"/>
      <c r="D62" s="66"/>
      <c r="E62" s="67"/>
      <c r="F62" s="68"/>
      <c r="G62" s="68"/>
      <c r="H62" s="66"/>
      <c r="I62" s="67"/>
      <c r="J62" s="67"/>
      <c r="K62" s="67"/>
      <c r="L62" s="66"/>
      <c r="M62" s="68"/>
      <c r="N62" s="66"/>
      <c r="O62" s="69"/>
      <c r="P62" s="67"/>
      <c r="Q62" s="66"/>
      <c r="R62" s="65"/>
      <c r="S62" s="68"/>
    </row>
    <row r="63" spans="1:19" ht="27" x14ac:dyDescent="0.4">
      <c r="A63" s="65"/>
      <c r="B63" s="65"/>
      <c r="C63" s="66"/>
      <c r="D63" s="66"/>
      <c r="E63" s="67"/>
      <c r="F63" s="68"/>
      <c r="G63" s="68"/>
      <c r="H63" s="66"/>
      <c r="I63" s="67"/>
      <c r="J63" s="67"/>
      <c r="K63" s="67"/>
      <c r="L63" s="66"/>
      <c r="M63" s="68"/>
      <c r="N63" s="66"/>
      <c r="O63" s="69"/>
      <c r="P63" s="67"/>
      <c r="Q63" s="66"/>
      <c r="R63" s="65"/>
      <c r="S63" s="68"/>
    </row>
    <row r="64" spans="1:19" ht="27" x14ac:dyDescent="0.4">
      <c r="A64" s="65"/>
      <c r="B64" s="65"/>
      <c r="C64" s="66"/>
      <c r="D64" s="66"/>
      <c r="E64" s="67"/>
      <c r="F64" s="68"/>
      <c r="G64" s="68"/>
      <c r="H64" s="66"/>
      <c r="I64" s="67"/>
      <c r="J64" s="67"/>
      <c r="K64" s="67"/>
      <c r="L64" s="66"/>
      <c r="M64" s="68"/>
      <c r="N64" s="66"/>
      <c r="O64" s="69"/>
      <c r="P64" s="67"/>
      <c r="Q64" s="66"/>
      <c r="R64" s="65"/>
      <c r="S64" s="68"/>
    </row>
    <row r="65" spans="1:19" ht="27" x14ac:dyDescent="0.4">
      <c r="A65" s="65"/>
      <c r="B65" s="65"/>
      <c r="C65" s="66"/>
      <c r="D65" s="66"/>
      <c r="E65" s="67"/>
      <c r="F65" s="68"/>
      <c r="G65" s="68"/>
      <c r="H65" s="66"/>
      <c r="I65" s="67"/>
      <c r="J65" s="67"/>
      <c r="K65" s="67"/>
      <c r="L65" s="66"/>
      <c r="M65" s="68"/>
      <c r="N65" s="66"/>
      <c r="O65" s="69"/>
      <c r="P65" s="67"/>
      <c r="Q65" s="66"/>
      <c r="R65" s="65"/>
      <c r="S65" s="68"/>
    </row>
    <row r="66" spans="1:19" ht="27" x14ac:dyDescent="0.4">
      <c r="A66" s="65"/>
      <c r="B66" s="65"/>
      <c r="C66" s="66"/>
      <c r="D66" s="66"/>
      <c r="E66" s="67"/>
      <c r="F66" s="68"/>
      <c r="G66" s="68"/>
      <c r="H66" s="66"/>
      <c r="I66" s="67"/>
      <c r="J66" s="67"/>
      <c r="K66" s="67"/>
      <c r="L66" s="66"/>
      <c r="M66" s="68"/>
      <c r="N66" s="66"/>
      <c r="O66" s="69"/>
      <c r="P66" s="67"/>
      <c r="Q66" s="66"/>
      <c r="R66" s="65"/>
      <c r="S66" s="68"/>
    </row>
    <row r="67" spans="1:19" ht="27" x14ac:dyDescent="0.4">
      <c r="A67" s="65"/>
      <c r="B67" s="65"/>
      <c r="C67" s="66"/>
      <c r="D67" s="66"/>
      <c r="E67" s="67"/>
      <c r="F67" s="68"/>
      <c r="G67" s="68"/>
      <c r="H67" s="66"/>
      <c r="I67" s="67"/>
      <c r="J67" s="67"/>
      <c r="K67" s="67"/>
      <c r="L67" s="66"/>
      <c r="M67" s="68"/>
      <c r="N67" s="66"/>
      <c r="O67" s="69"/>
      <c r="P67" s="67"/>
      <c r="Q67" s="66"/>
      <c r="R67" s="65"/>
      <c r="S67" s="68"/>
    </row>
    <row r="68" spans="1:19" ht="27" x14ac:dyDescent="0.4">
      <c r="A68" s="65"/>
      <c r="B68" s="65"/>
      <c r="C68" s="66"/>
      <c r="D68" s="66"/>
      <c r="E68" s="67"/>
      <c r="F68" s="68"/>
      <c r="G68" s="68"/>
      <c r="H68" s="66"/>
      <c r="I68" s="67"/>
      <c r="J68" s="67"/>
      <c r="K68" s="67"/>
      <c r="L68" s="66"/>
      <c r="M68" s="68"/>
      <c r="N68" s="66"/>
      <c r="O68" s="69"/>
      <c r="P68" s="67"/>
      <c r="Q68" s="66"/>
      <c r="R68" s="65"/>
      <c r="S68" s="68"/>
    </row>
    <row r="69" spans="1:19" ht="27" x14ac:dyDescent="0.4">
      <c r="A69" s="65"/>
      <c r="B69" s="65"/>
      <c r="C69" s="66"/>
      <c r="D69" s="66"/>
      <c r="E69" s="67"/>
      <c r="F69" s="68"/>
      <c r="G69" s="68"/>
      <c r="H69" s="66"/>
      <c r="I69" s="67"/>
      <c r="J69" s="67"/>
      <c r="K69" s="67"/>
      <c r="L69" s="66"/>
      <c r="M69" s="68"/>
      <c r="N69" s="66"/>
      <c r="O69" s="69"/>
      <c r="P69" s="67"/>
      <c r="Q69" s="66"/>
      <c r="R69" s="65"/>
      <c r="S69" s="68"/>
    </row>
    <row r="70" spans="1:19" ht="27" x14ac:dyDescent="0.4">
      <c r="A70" s="65"/>
      <c r="B70" s="65"/>
      <c r="C70" s="66"/>
      <c r="D70" s="66"/>
      <c r="E70" s="67"/>
      <c r="F70" s="68"/>
      <c r="G70" s="68"/>
      <c r="H70" s="66"/>
      <c r="I70" s="67"/>
      <c r="J70" s="67"/>
      <c r="K70" s="67"/>
      <c r="L70" s="66"/>
      <c r="M70" s="68"/>
      <c r="N70" s="66"/>
      <c r="O70" s="69"/>
      <c r="P70" s="67"/>
      <c r="Q70" s="66"/>
      <c r="R70" s="65"/>
      <c r="S70" s="68"/>
    </row>
    <row r="71" spans="1:19" ht="27" x14ac:dyDescent="0.4">
      <c r="A71" s="65"/>
      <c r="B71" s="65"/>
      <c r="C71" s="66"/>
      <c r="D71" s="66"/>
      <c r="E71" s="67"/>
      <c r="F71" s="68"/>
      <c r="G71" s="68"/>
      <c r="H71" s="66"/>
      <c r="I71" s="67"/>
      <c r="J71" s="67"/>
      <c r="K71" s="67"/>
      <c r="L71" s="66"/>
      <c r="M71" s="68"/>
      <c r="N71" s="66"/>
      <c r="O71" s="69"/>
      <c r="P71" s="67"/>
      <c r="Q71" s="66"/>
      <c r="R71" s="65"/>
      <c r="S71" s="68"/>
    </row>
    <row r="72" spans="1:19" ht="27" x14ac:dyDescent="0.4">
      <c r="A72" s="65"/>
      <c r="B72" s="65"/>
      <c r="C72" s="66"/>
      <c r="D72" s="66"/>
      <c r="E72" s="67"/>
      <c r="F72" s="68"/>
      <c r="G72" s="68"/>
      <c r="H72" s="66"/>
      <c r="I72" s="67"/>
      <c r="J72" s="67"/>
      <c r="K72" s="67"/>
      <c r="L72" s="66"/>
      <c r="M72" s="68"/>
      <c r="N72" s="66"/>
      <c r="O72" s="69"/>
      <c r="P72" s="67"/>
      <c r="Q72" s="66"/>
      <c r="R72" s="65"/>
      <c r="S72" s="68"/>
    </row>
    <row r="73" spans="1:19" ht="27" x14ac:dyDescent="0.4">
      <c r="A73" s="65"/>
      <c r="B73" s="65"/>
      <c r="C73" s="66"/>
      <c r="D73" s="66"/>
      <c r="E73" s="67"/>
      <c r="F73" s="68"/>
      <c r="G73" s="68"/>
      <c r="H73" s="66"/>
      <c r="I73" s="67"/>
      <c r="J73" s="67"/>
      <c r="K73" s="67"/>
      <c r="L73" s="66"/>
      <c r="M73" s="68"/>
      <c r="N73" s="66"/>
      <c r="O73" s="69"/>
      <c r="P73" s="67"/>
      <c r="Q73" s="66"/>
      <c r="R73" s="65"/>
      <c r="S73" s="68"/>
    </row>
    <row r="74" spans="1:19" ht="27" x14ac:dyDescent="0.4">
      <c r="A74" s="65"/>
      <c r="B74" s="65"/>
      <c r="C74" s="66"/>
      <c r="D74" s="66"/>
      <c r="E74" s="67"/>
      <c r="F74" s="68"/>
      <c r="G74" s="68"/>
      <c r="H74" s="66"/>
      <c r="I74" s="67"/>
      <c r="J74" s="67"/>
      <c r="K74" s="67"/>
      <c r="L74" s="66"/>
      <c r="M74" s="68"/>
      <c r="N74" s="66"/>
      <c r="O74" s="69"/>
      <c r="P74" s="67"/>
      <c r="Q74" s="66"/>
      <c r="R74" s="65"/>
      <c r="S74" s="68"/>
    </row>
    <row r="75" spans="1:19" ht="27" x14ac:dyDescent="0.4">
      <c r="A75" s="65"/>
      <c r="B75" s="65"/>
      <c r="C75" s="66"/>
      <c r="D75" s="66"/>
      <c r="E75" s="67"/>
      <c r="F75" s="68"/>
      <c r="G75" s="68"/>
      <c r="H75" s="66"/>
      <c r="I75" s="67"/>
      <c r="J75" s="67"/>
      <c r="K75" s="67"/>
      <c r="L75" s="66"/>
      <c r="M75" s="68"/>
      <c r="N75" s="66"/>
      <c r="O75" s="69"/>
      <c r="P75" s="67"/>
      <c r="Q75" s="66"/>
      <c r="R75" s="65"/>
      <c r="S75" s="68"/>
    </row>
    <row r="76" spans="1:19" ht="27" x14ac:dyDescent="0.4">
      <c r="A76" s="65"/>
      <c r="B76" s="65"/>
      <c r="C76" s="66"/>
      <c r="D76" s="66"/>
      <c r="E76" s="67"/>
      <c r="F76" s="68"/>
      <c r="G76" s="68"/>
      <c r="H76" s="66"/>
      <c r="I76" s="67"/>
      <c r="J76" s="67"/>
      <c r="K76" s="67"/>
      <c r="L76" s="66"/>
      <c r="M76" s="68"/>
      <c r="N76" s="66"/>
      <c r="O76" s="69"/>
      <c r="P76" s="67"/>
      <c r="Q76" s="66"/>
      <c r="R76" s="65"/>
      <c r="S76" s="68"/>
    </row>
    <row r="77" spans="1:19" ht="27" x14ac:dyDescent="0.4">
      <c r="A77" s="65"/>
      <c r="B77" s="65"/>
      <c r="C77" s="66"/>
      <c r="D77" s="66"/>
      <c r="E77" s="67"/>
      <c r="F77" s="68"/>
      <c r="G77" s="68"/>
      <c r="H77" s="66"/>
      <c r="I77" s="67"/>
      <c r="J77" s="67"/>
      <c r="K77" s="67"/>
      <c r="L77" s="66"/>
      <c r="M77" s="68"/>
      <c r="N77" s="66"/>
      <c r="O77" s="69"/>
      <c r="P77" s="67"/>
      <c r="Q77" s="66"/>
      <c r="R77" s="65"/>
      <c r="S77" s="68"/>
    </row>
    <row r="78" spans="1:19" ht="27" x14ac:dyDescent="0.4">
      <c r="A78" s="65"/>
      <c r="B78" s="65"/>
      <c r="C78" s="66"/>
      <c r="D78" s="66"/>
      <c r="E78" s="67"/>
      <c r="F78" s="68"/>
      <c r="G78" s="68"/>
      <c r="H78" s="66"/>
      <c r="I78" s="67"/>
      <c r="J78" s="67"/>
      <c r="K78" s="67"/>
      <c r="L78" s="66"/>
      <c r="M78" s="68"/>
      <c r="N78" s="66"/>
      <c r="O78" s="69"/>
      <c r="P78" s="67"/>
      <c r="Q78" s="66"/>
      <c r="R78" s="65"/>
      <c r="S78" s="68"/>
    </row>
    <row r="79" spans="1:19" ht="27" x14ac:dyDescent="0.4">
      <c r="A79" s="65"/>
      <c r="B79" s="65"/>
      <c r="C79" s="66"/>
      <c r="D79" s="66"/>
      <c r="E79" s="67"/>
      <c r="F79" s="68"/>
      <c r="G79" s="68"/>
      <c r="H79" s="66"/>
      <c r="I79" s="67"/>
      <c r="J79" s="67"/>
      <c r="K79" s="67"/>
      <c r="L79" s="66"/>
      <c r="M79" s="68"/>
      <c r="N79" s="66"/>
      <c r="O79" s="69"/>
      <c r="P79" s="67"/>
      <c r="Q79" s="66"/>
      <c r="R79" s="65"/>
      <c r="S79" s="68"/>
    </row>
    <row r="80" spans="1:19" ht="27" x14ac:dyDescent="0.4">
      <c r="A80" s="65"/>
      <c r="B80" s="65"/>
      <c r="C80" s="66"/>
      <c r="D80" s="66"/>
      <c r="E80" s="67"/>
      <c r="F80" s="68"/>
      <c r="G80" s="68"/>
      <c r="H80" s="66"/>
      <c r="I80" s="67"/>
      <c r="J80" s="67"/>
      <c r="K80" s="67"/>
      <c r="L80" s="66"/>
      <c r="M80" s="68"/>
      <c r="N80" s="66"/>
      <c r="O80" s="69"/>
      <c r="P80" s="67"/>
      <c r="Q80" s="66"/>
      <c r="R80" s="65"/>
      <c r="S80" s="65"/>
    </row>
    <row r="81" spans="1:16383" ht="27" x14ac:dyDescent="0.4">
      <c r="A81" s="65"/>
      <c r="B81" s="65"/>
      <c r="C81" s="66"/>
      <c r="D81" s="66"/>
      <c r="E81" s="67"/>
      <c r="F81" s="68"/>
      <c r="G81" s="68"/>
      <c r="H81" s="66"/>
      <c r="I81" s="67"/>
      <c r="J81" s="67"/>
      <c r="K81" s="67"/>
      <c r="L81" s="66"/>
      <c r="M81" s="68"/>
      <c r="N81" s="66"/>
      <c r="O81" s="69"/>
      <c r="P81" s="67"/>
      <c r="Q81" s="66"/>
      <c r="R81" s="65"/>
      <c r="S81" s="65"/>
    </row>
    <row r="82" spans="1:16383" ht="27" x14ac:dyDescent="0.4">
      <c r="A82" s="65"/>
      <c r="B82" s="65"/>
      <c r="C82" s="66"/>
      <c r="D82" s="66"/>
      <c r="E82" s="67"/>
      <c r="F82" s="68"/>
      <c r="G82" s="68"/>
      <c r="H82" s="66"/>
      <c r="I82" s="67"/>
      <c r="J82" s="67"/>
      <c r="K82" s="67"/>
      <c r="L82" s="66"/>
      <c r="M82" s="68"/>
      <c r="N82" s="66"/>
      <c r="O82" s="69"/>
      <c r="P82" s="67"/>
      <c r="Q82" s="66"/>
      <c r="R82" s="65"/>
      <c r="S82" s="65"/>
    </row>
    <row r="83" spans="1:16383" ht="27" x14ac:dyDescent="0.4">
      <c r="A83" s="65"/>
      <c r="B83" s="65"/>
      <c r="C83" s="66"/>
      <c r="D83" s="66"/>
      <c r="E83" s="67"/>
      <c r="F83" s="68"/>
      <c r="G83" s="68"/>
      <c r="H83" s="66"/>
      <c r="I83" s="67"/>
      <c r="J83" s="67"/>
      <c r="K83" s="67"/>
      <c r="L83" s="66"/>
      <c r="M83" s="68"/>
      <c r="N83" s="66"/>
      <c r="O83" s="69"/>
      <c r="P83" s="67"/>
      <c r="Q83" s="66"/>
      <c r="R83" s="65"/>
      <c r="S83" s="65"/>
    </row>
    <row r="84" spans="1:16383" ht="27" x14ac:dyDescent="0.4">
      <c r="A84" s="65"/>
      <c r="B84" s="65"/>
      <c r="C84" s="66"/>
      <c r="D84" s="66"/>
      <c r="E84" s="67"/>
      <c r="F84" s="68"/>
      <c r="G84" s="68"/>
      <c r="H84" s="66"/>
      <c r="I84" s="67"/>
      <c r="J84" s="67"/>
      <c r="K84" s="67"/>
      <c r="L84" s="66"/>
      <c r="M84" s="68"/>
      <c r="N84" s="66"/>
      <c r="O84" s="69"/>
      <c r="P84" s="67"/>
      <c r="Q84" s="66"/>
      <c r="R84" s="65"/>
      <c r="S84" s="70"/>
    </row>
    <row r="85" spans="1:16383" ht="27" x14ac:dyDescent="0.4">
      <c r="A85" s="65"/>
      <c r="B85" s="65"/>
      <c r="C85" s="66"/>
      <c r="D85" s="66"/>
      <c r="E85" s="67"/>
      <c r="F85" s="68"/>
      <c r="G85" s="68"/>
      <c r="H85" s="66"/>
      <c r="I85" s="67"/>
      <c r="J85" s="67"/>
      <c r="K85" s="67"/>
      <c r="L85" s="66"/>
      <c r="M85" s="68"/>
      <c r="N85" s="66"/>
      <c r="O85" s="69"/>
      <c r="P85" s="67"/>
      <c r="Q85" s="66"/>
      <c r="R85" s="65"/>
      <c r="S85" s="70"/>
    </row>
    <row r="86" spans="1:16383" ht="27" x14ac:dyDescent="0.4">
      <c r="A86" s="65"/>
      <c r="B86" s="65"/>
      <c r="C86" s="66"/>
      <c r="D86" s="66"/>
      <c r="E86" s="67"/>
      <c r="F86" s="68"/>
      <c r="G86" s="68"/>
      <c r="H86" s="66"/>
      <c r="I86" s="67"/>
      <c r="J86" s="67"/>
      <c r="K86" s="67"/>
      <c r="L86" s="66"/>
      <c r="M86" s="68"/>
      <c r="N86" s="66"/>
      <c r="O86" s="69"/>
      <c r="P86" s="67"/>
      <c r="Q86" s="66"/>
      <c r="R86" s="65"/>
      <c r="S86" s="70"/>
    </row>
    <row r="87" spans="1:16383" ht="27" x14ac:dyDescent="0.4">
      <c r="A87" s="65"/>
      <c r="B87" s="65"/>
      <c r="C87" s="66"/>
      <c r="D87" s="66"/>
      <c r="E87" s="67"/>
      <c r="F87" s="68"/>
      <c r="G87" s="68"/>
      <c r="H87" s="66"/>
      <c r="I87" s="67"/>
      <c r="J87" s="67"/>
      <c r="K87" s="67"/>
      <c r="L87" s="66"/>
      <c r="M87" s="68"/>
      <c r="N87" s="66"/>
      <c r="O87" s="69"/>
      <c r="P87" s="67"/>
      <c r="Q87" s="66"/>
      <c r="R87" s="65"/>
      <c r="S87" s="70"/>
    </row>
    <row r="88" spans="1:16383" ht="27" x14ac:dyDescent="0.4">
      <c r="A88" s="65"/>
      <c r="B88" s="65"/>
      <c r="C88" s="66"/>
      <c r="D88" s="66"/>
      <c r="E88" s="67"/>
      <c r="F88" s="68"/>
      <c r="G88" s="68"/>
      <c r="H88" s="66"/>
      <c r="I88" s="67"/>
      <c r="J88" s="67"/>
      <c r="K88" s="67"/>
      <c r="L88" s="66"/>
      <c r="M88" s="68"/>
      <c r="N88" s="66"/>
      <c r="O88" s="69"/>
      <c r="P88" s="67"/>
      <c r="Q88" s="66"/>
      <c r="R88" s="65"/>
      <c r="S88" s="70"/>
    </row>
    <row r="89" spans="1:16383" ht="27" x14ac:dyDescent="0.4">
      <c r="A89" s="65"/>
      <c r="B89" s="65"/>
      <c r="C89" s="66"/>
      <c r="D89" s="66"/>
      <c r="E89" s="67"/>
      <c r="F89" s="68"/>
      <c r="G89" s="68"/>
      <c r="H89" s="66"/>
      <c r="I89" s="67"/>
      <c r="J89" s="67"/>
      <c r="K89" s="67"/>
      <c r="L89" s="66"/>
      <c r="M89" s="68"/>
      <c r="N89" s="66"/>
      <c r="O89" s="69"/>
      <c r="P89" s="67"/>
      <c r="Q89" s="66"/>
      <c r="R89" s="65"/>
      <c r="S89" s="70"/>
    </row>
    <row r="90" spans="1:16383" ht="27" x14ac:dyDescent="0.4">
      <c r="A90" s="65"/>
      <c r="B90" s="65"/>
      <c r="C90" s="66"/>
      <c r="D90" s="66"/>
      <c r="E90" s="67"/>
      <c r="F90" s="68"/>
      <c r="G90" s="68"/>
      <c r="H90" s="66"/>
      <c r="I90" s="67"/>
      <c r="J90" s="67"/>
      <c r="K90" s="67"/>
      <c r="L90" s="66"/>
      <c r="M90" s="68"/>
      <c r="N90" s="66"/>
      <c r="O90" s="69"/>
      <c r="P90" s="67"/>
      <c r="Q90" s="66"/>
      <c r="R90" s="65"/>
      <c r="S90" s="70"/>
    </row>
    <row r="91" spans="1:16383" s="17" customFormat="1" ht="41.25" customHeight="1" x14ac:dyDescent="0.25">
      <c r="A91" s="65"/>
      <c r="B91" s="65"/>
      <c r="C91" s="66"/>
      <c r="D91" s="66"/>
      <c r="E91" s="67"/>
      <c r="F91" s="68"/>
      <c r="G91" s="68"/>
      <c r="H91" s="66"/>
      <c r="I91" s="67"/>
      <c r="J91" s="67"/>
      <c r="K91" s="67"/>
      <c r="L91" s="66"/>
      <c r="M91" s="68"/>
      <c r="N91" s="66"/>
      <c r="O91" s="69"/>
      <c r="P91" s="67"/>
      <c r="Q91" s="66"/>
      <c r="R91" s="65"/>
      <c r="S91" s="70"/>
      <c r="T91" s="74"/>
      <c r="U91" s="74"/>
      <c r="V91" s="75"/>
      <c r="W91" s="76"/>
      <c r="X91" s="76"/>
      <c r="Y91" s="76"/>
      <c r="Z91" s="77"/>
      <c r="AA91" s="74"/>
      <c r="AB91" s="75"/>
      <c r="AC91" s="78"/>
      <c r="AD91" s="76"/>
      <c r="AE91" s="77"/>
      <c r="AF91" s="79"/>
      <c r="AG91" s="75"/>
      <c r="AH91" s="80"/>
      <c r="AI91" s="81"/>
      <c r="AJ91" s="74"/>
      <c r="AK91" s="74"/>
      <c r="AL91" s="75"/>
      <c r="AM91" s="76"/>
      <c r="AN91" s="76"/>
      <c r="AO91" s="76"/>
      <c r="AP91" s="77"/>
      <c r="AQ91" s="74"/>
      <c r="AR91" s="75"/>
      <c r="AS91" s="78"/>
      <c r="AT91" s="76"/>
      <c r="AU91" s="77"/>
      <c r="AV91" s="79"/>
      <c r="AW91" s="75"/>
      <c r="AX91" s="80"/>
      <c r="AY91" s="81"/>
      <c r="AZ91" s="74"/>
      <c r="BA91" s="74"/>
      <c r="BB91" s="75"/>
      <c r="BC91" s="76"/>
      <c r="BD91" s="76"/>
      <c r="BE91" s="76"/>
      <c r="BF91" s="77"/>
      <c r="BG91" s="74"/>
      <c r="BH91" s="75"/>
      <c r="BI91" s="78"/>
      <c r="BJ91" s="76"/>
      <c r="BK91" s="77"/>
      <c r="BL91" s="79"/>
      <c r="BM91" s="75"/>
      <c r="BN91" s="80"/>
      <c r="BO91" s="81"/>
      <c r="BP91" s="74"/>
      <c r="BQ91" s="74"/>
      <c r="BR91" s="75"/>
      <c r="BS91" s="76"/>
      <c r="BT91" s="76"/>
      <c r="BU91" s="76"/>
      <c r="BV91" s="77"/>
      <c r="BW91" s="74"/>
      <c r="BX91" s="75"/>
      <c r="BY91" s="78"/>
      <c r="BZ91" s="76"/>
      <c r="CA91" s="77"/>
      <c r="CB91" s="79"/>
      <c r="CC91" s="75"/>
      <c r="CD91" s="80"/>
      <c r="CE91" s="81"/>
      <c r="CF91" s="74"/>
      <c r="CG91" s="74"/>
      <c r="CH91" s="75"/>
      <c r="CI91" s="76"/>
      <c r="CJ91" s="76"/>
      <c r="CK91" s="76"/>
      <c r="CL91" s="77"/>
      <c r="CM91" s="74"/>
      <c r="CN91" s="75"/>
      <c r="CO91" s="78"/>
      <c r="CP91" s="76"/>
      <c r="CQ91" s="77"/>
      <c r="CR91" s="79"/>
      <c r="CS91" s="75"/>
      <c r="CT91" s="80"/>
      <c r="CU91" s="81"/>
      <c r="CV91" s="74"/>
      <c r="CW91" s="74"/>
      <c r="CX91" s="75"/>
      <c r="CY91" s="76"/>
      <c r="CZ91" s="76"/>
      <c r="DA91" s="76"/>
      <c r="DB91" s="77"/>
      <c r="DC91" s="74"/>
      <c r="DD91" s="75"/>
      <c r="DE91" s="78"/>
      <c r="DF91" s="76"/>
      <c r="DG91" s="77"/>
      <c r="DH91" s="79"/>
      <c r="DI91" s="75"/>
      <c r="DJ91" s="80"/>
      <c r="DK91" s="81"/>
      <c r="DL91" s="74"/>
      <c r="DM91" s="74"/>
      <c r="DN91" s="75"/>
      <c r="DO91" s="76"/>
      <c r="DP91" s="76"/>
      <c r="DQ91" s="76"/>
      <c r="DR91" s="77"/>
      <c r="DS91" s="74"/>
      <c r="DT91" s="75"/>
      <c r="DU91" s="78"/>
      <c r="DV91" s="76"/>
      <c r="DW91" s="77"/>
      <c r="DX91" s="79"/>
      <c r="DY91" s="75"/>
      <c r="DZ91" s="80"/>
      <c r="EA91" s="81"/>
      <c r="EB91" s="74"/>
      <c r="EC91" s="74"/>
      <c r="ED91" s="75"/>
      <c r="EE91" s="76"/>
      <c r="EF91" s="76"/>
      <c r="EG91" s="76"/>
      <c r="EH91" s="77"/>
      <c r="EI91" s="74"/>
      <c r="EJ91" s="75"/>
      <c r="EK91" s="78"/>
      <c r="EL91" s="76"/>
      <c r="EM91" s="77"/>
      <c r="EN91" s="79"/>
      <c r="EO91" s="75"/>
      <c r="EP91" s="80"/>
      <c r="EQ91" s="81"/>
      <c r="ER91" s="74"/>
      <c r="ES91" s="74"/>
      <c r="ET91" s="75"/>
      <c r="EU91" s="76"/>
      <c r="EV91" s="76"/>
      <c r="EW91" s="76"/>
      <c r="EX91" s="77"/>
      <c r="EY91" s="74"/>
      <c r="EZ91" s="75"/>
      <c r="FA91" s="78"/>
      <c r="FB91" s="76"/>
      <c r="FC91" s="77"/>
      <c r="FD91" s="79"/>
      <c r="FE91" s="75"/>
      <c r="FF91" s="80"/>
      <c r="FG91" s="81"/>
      <c r="FH91" s="74"/>
      <c r="FI91" s="74"/>
      <c r="FJ91" s="75"/>
      <c r="FK91" s="76"/>
      <c r="FL91" s="76"/>
      <c r="FM91" s="76"/>
      <c r="FN91" s="77"/>
      <c r="FO91" s="74"/>
      <c r="FP91" s="75"/>
      <c r="FQ91" s="78"/>
      <c r="FR91" s="76"/>
      <c r="FS91" s="77"/>
      <c r="FT91" s="79"/>
      <c r="FU91" s="75"/>
      <c r="FV91" s="80"/>
      <c r="FW91" s="81"/>
      <c r="FX91" s="74"/>
      <c r="FY91" s="74"/>
      <c r="FZ91" s="75"/>
      <c r="GA91" s="76"/>
      <c r="GB91" s="76"/>
      <c r="GC91" s="76"/>
      <c r="GD91" s="77"/>
      <c r="GE91" s="74"/>
      <c r="GF91" s="75"/>
      <c r="GG91" s="78"/>
      <c r="GH91" s="76"/>
      <c r="GI91" s="77"/>
      <c r="GJ91" s="79"/>
      <c r="GK91" s="75"/>
      <c r="GL91" s="80"/>
      <c r="GM91" s="81"/>
      <c r="GN91" s="74"/>
      <c r="GO91" s="74"/>
      <c r="GP91" s="75"/>
      <c r="GQ91" s="76"/>
      <c r="GR91" s="76"/>
      <c r="GS91" s="76"/>
      <c r="GT91" s="77"/>
      <c r="GU91" s="74"/>
      <c r="GV91" s="75"/>
      <c r="GW91" s="78"/>
      <c r="GX91" s="76"/>
      <c r="GY91" s="77"/>
      <c r="GZ91" s="79"/>
      <c r="HA91" s="75"/>
      <c r="HB91" s="80"/>
      <c r="HC91" s="81"/>
      <c r="HD91" s="74"/>
      <c r="HE91" s="74"/>
      <c r="HF91" s="75"/>
      <c r="HG91" s="76"/>
      <c r="HH91" s="76"/>
      <c r="HI91" s="76"/>
      <c r="HJ91" s="77"/>
      <c r="HK91" s="74"/>
      <c r="HL91" s="75"/>
      <c r="HM91" s="78"/>
      <c r="HN91" s="76"/>
      <c r="HO91" s="77"/>
      <c r="HP91" s="79"/>
      <c r="HQ91" s="75"/>
      <c r="HR91" s="80"/>
      <c r="HS91" s="81"/>
      <c r="HT91" s="74"/>
      <c r="HU91" s="74"/>
      <c r="HV91" s="75"/>
      <c r="HW91" s="76"/>
      <c r="HX91" s="76"/>
      <c r="HY91" s="76"/>
      <c r="HZ91" s="77"/>
      <c r="IA91" s="74"/>
      <c r="IB91" s="75"/>
      <c r="IC91" s="78"/>
      <c r="ID91" s="76"/>
      <c r="IE91" s="77"/>
      <c r="IF91" s="79"/>
      <c r="IG91" s="75"/>
      <c r="IH91" s="80"/>
      <c r="II91" s="81"/>
      <c r="IJ91" s="74"/>
      <c r="IK91" s="74"/>
      <c r="IL91" s="75"/>
      <c r="IM91" s="76"/>
      <c r="IN91" s="76"/>
      <c r="IO91" s="76"/>
      <c r="IP91" s="77"/>
      <c r="IQ91" s="74"/>
      <c r="IR91" s="75"/>
      <c r="IS91" s="78"/>
      <c r="IT91" s="76"/>
      <c r="IU91" s="77"/>
      <c r="IV91" s="79"/>
      <c r="IW91" s="75"/>
      <c r="IX91" s="80"/>
      <c r="IY91" s="81"/>
      <c r="IZ91" s="74"/>
      <c r="JA91" s="74"/>
      <c r="JB91" s="75"/>
      <c r="JC91" s="76"/>
      <c r="JD91" s="76"/>
      <c r="JE91" s="76"/>
      <c r="JF91" s="77"/>
      <c r="JG91" s="74"/>
      <c r="JH91" s="75"/>
      <c r="JI91" s="78"/>
      <c r="JJ91" s="76"/>
      <c r="JK91" s="77"/>
      <c r="JL91" s="79"/>
      <c r="JM91" s="75"/>
      <c r="JN91" s="80"/>
      <c r="JO91" s="81"/>
      <c r="JP91" s="74"/>
      <c r="JQ91" s="74"/>
      <c r="JR91" s="75"/>
      <c r="JS91" s="76"/>
      <c r="JT91" s="76"/>
      <c r="JU91" s="76"/>
      <c r="JV91" s="77"/>
      <c r="JW91" s="74"/>
      <c r="JX91" s="75"/>
      <c r="JY91" s="78"/>
      <c r="JZ91" s="76"/>
      <c r="KA91" s="77"/>
      <c r="KB91" s="79"/>
      <c r="KC91" s="75"/>
      <c r="KD91" s="80"/>
      <c r="KE91" s="81"/>
      <c r="KF91" s="74"/>
      <c r="KG91" s="74"/>
      <c r="KH91" s="75"/>
      <c r="KI91" s="76"/>
      <c r="KJ91" s="76"/>
      <c r="KK91" s="76"/>
      <c r="KL91" s="77"/>
      <c r="KM91" s="74"/>
      <c r="KN91" s="75"/>
      <c r="KO91" s="78"/>
      <c r="KP91" s="76"/>
      <c r="KQ91" s="77"/>
      <c r="KR91" s="79"/>
      <c r="KS91" s="75"/>
      <c r="KT91" s="80"/>
      <c r="KU91" s="81"/>
      <c r="KV91" s="74"/>
      <c r="KW91" s="74"/>
      <c r="KX91" s="75"/>
      <c r="KY91" s="76"/>
      <c r="KZ91" s="76"/>
      <c r="LA91" s="76"/>
      <c r="LB91" s="77"/>
      <c r="LC91" s="74"/>
      <c r="LD91" s="75"/>
      <c r="LE91" s="78" t="str">
        <f>IFERROR(VLOOKUP(LD91,'[1]List KPI'!$M$3:$N$8,2,0),"")</f>
        <v/>
      </c>
      <c r="LF91" s="76">
        <v>0.89444444444444449</v>
      </c>
      <c r="LG91" s="77" t="str">
        <f t="shared" ref="LG91" si="0">IF(LF91="","",IF(LF91&gt;LK91,"O","P"))</f>
        <v>O</v>
      </c>
      <c r="LH91" s="79">
        <v>5</v>
      </c>
      <c r="LI91" s="75">
        <v>1276006</v>
      </c>
      <c r="LJ91" s="80"/>
      <c r="LK91" s="81">
        <v>0.86944444444444446</v>
      </c>
      <c r="LL91" s="74" t="s">
        <v>27</v>
      </c>
      <c r="LM91" s="74" t="s">
        <v>24</v>
      </c>
      <c r="LN91" s="75" t="s">
        <v>25</v>
      </c>
      <c r="LO91" s="76">
        <f>IFERROR(VLOOKUP(LN91,'[1]List KPI'!$A$103:$F$118,6,0),"")</f>
        <v>1.0416666666666666E-2</v>
      </c>
      <c r="LP91" s="76">
        <v>0.86944444444444446</v>
      </c>
      <c r="LQ91" s="76">
        <v>0.86944444444444446</v>
      </c>
      <c r="LR91" s="77" t="str">
        <f t="shared" ref="LR91:NN91" si="1">IF(LQ91="","",IF(LQ91&gt;LZ91,"O","P"))</f>
        <v>O</v>
      </c>
      <c r="LS91" s="74" t="s">
        <v>28</v>
      </c>
      <c r="LT91" s="75" t="s">
        <v>23</v>
      </c>
      <c r="LU91" s="78">
        <f>IFERROR(VLOOKUP(LT91,'[1]List KPI'!$M$3:$N$8,2,0),"")</f>
        <v>2.0833333333333332E-2</v>
      </c>
      <c r="LV91" s="76">
        <v>0.89444444444444449</v>
      </c>
      <c r="LW91" s="77" t="str">
        <f t="shared" ref="LW91:NS91" si="2">IF(LV91="","",IF(LV91&gt;MA91,"O","P"))</f>
        <v>O</v>
      </c>
      <c r="LX91" s="79">
        <v>5</v>
      </c>
      <c r="LY91" s="75">
        <v>1276006</v>
      </c>
      <c r="LZ91" s="80"/>
      <c r="MA91" s="81">
        <v>0.86944444444444446</v>
      </c>
      <c r="MB91" s="74" t="s">
        <v>27</v>
      </c>
      <c r="MC91" s="74" t="s">
        <v>24</v>
      </c>
      <c r="MD91" s="75" t="s">
        <v>25</v>
      </c>
      <c r="ME91" s="76">
        <f>IFERROR(VLOOKUP(MD91,'[1]List KPI'!$A$103:$F$118,6,0),"")</f>
        <v>1.0416666666666666E-2</v>
      </c>
      <c r="MF91" s="76">
        <v>0.86944444444444446</v>
      </c>
      <c r="MG91" s="76">
        <v>0.86944444444444446</v>
      </c>
      <c r="MH91" s="77" t="str">
        <f t="shared" si="1"/>
        <v>O</v>
      </c>
      <c r="MI91" s="74" t="s">
        <v>28</v>
      </c>
      <c r="MJ91" s="75" t="s">
        <v>23</v>
      </c>
      <c r="MK91" s="78">
        <f>IFERROR(VLOOKUP(MJ91,'[1]List KPI'!$M$3:$N$8,2,0),"")</f>
        <v>2.0833333333333332E-2</v>
      </c>
      <c r="ML91" s="76">
        <v>0.89444444444444449</v>
      </c>
      <c r="MM91" s="77" t="str">
        <f t="shared" si="2"/>
        <v>O</v>
      </c>
      <c r="MN91" s="79">
        <v>5</v>
      </c>
      <c r="MO91" s="75">
        <v>1276006</v>
      </c>
      <c r="MP91" s="80"/>
      <c r="MQ91" s="81">
        <v>0.86944444444444446</v>
      </c>
      <c r="MR91" s="74" t="s">
        <v>27</v>
      </c>
      <c r="MS91" s="74" t="s">
        <v>24</v>
      </c>
      <c r="MT91" s="75" t="s">
        <v>25</v>
      </c>
      <c r="MU91" s="76">
        <f>IFERROR(VLOOKUP(MT91,'[1]List KPI'!$A$103:$F$118,6,0),"")</f>
        <v>1.0416666666666666E-2</v>
      </c>
      <c r="MV91" s="76">
        <v>0.86944444444444446</v>
      </c>
      <c r="MW91" s="76">
        <v>0.86944444444444446</v>
      </c>
      <c r="MX91" s="77" t="str">
        <f t="shared" si="1"/>
        <v>O</v>
      </c>
      <c r="MY91" s="74" t="s">
        <v>28</v>
      </c>
      <c r="MZ91" s="75" t="s">
        <v>23</v>
      </c>
      <c r="NA91" s="78">
        <f>IFERROR(VLOOKUP(MZ91,'[1]List KPI'!$M$3:$N$8,2,0),"")</f>
        <v>2.0833333333333332E-2</v>
      </c>
      <c r="NB91" s="76">
        <v>0.89444444444444449</v>
      </c>
      <c r="NC91" s="77" t="str">
        <f t="shared" si="2"/>
        <v>O</v>
      </c>
      <c r="ND91" s="79">
        <v>5</v>
      </c>
      <c r="NE91" s="75">
        <v>1276006</v>
      </c>
      <c r="NF91" s="80"/>
      <c r="NG91" s="81">
        <v>0.86944444444444446</v>
      </c>
      <c r="NH91" s="74" t="s">
        <v>27</v>
      </c>
      <c r="NI91" s="74" t="s">
        <v>24</v>
      </c>
      <c r="NJ91" s="75" t="s">
        <v>25</v>
      </c>
      <c r="NK91" s="76">
        <f>IFERROR(VLOOKUP(NJ91,'[1]List KPI'!$A$103:$F$118,6,0),"")</f>
        <v>1.0416666666666666E-2</v>
      </c>
      <c r="NL91" s="76">
        <v>0.86944444444444446</v>
      </c>
      <c r="NM91" s="76">
        <v>0.86944444444444446</v>
      </c>
      <c r="NN91" s="77" t="str">
        <f t="shared" si="1"/>
        <v>O</v>
      </c>
      <c r="NO91" s="74" t="s">
        <v>28</v>
      </c>
      <c r="NP91" s="75" t="s">
        <v>23</v>
      </c>
      <c r="NQ91" s="78">
        <f>IFERROR(VLOOKUP(NP91,'[1]List KPI'!$M$3:$N$8,2,0),"")</f>
        <v>2.0833333333333332E-2</v>
      </c>
      <c r="NR91" s="76">
        <v>0.89444444444444449</v>
      </c>
      <c r="NS91" s="77" t="str">
        <f t="shared" si="2"/>
        <v>O</v>
      </c>
      <c r="NT91" s="79">
        <v>5</v>
      </c>
      <c r="NU91" s="75">
        <v>1276006</v>
      </c>
      <c r="NV91" s="80"/>
      <c r="NW91" s="81">
        <v>0.86944444444444446</v>
      </c>
      <c r="NX91" s="74" t="s">
        <v>27</v>
      </c>
      <c r="NY91" s="74" t="s">
        <v>24</v>
      </c>
      <c r="NZ91" s="75" t="s">
        <v>25</v>
      </c>
      <c r="OA91" s="76">
        <f>IFERROR(VLOOKUP(NZ91,'[1]List KPI'!$A$103:$F$118,6,0),"")</f>
        <v>1.0416666666666666E-2</v>
      </c>
      <c r="OB91" s="76">
        <v>0.86944444444444446</v>
      </c>
      <c r="OC91" s="76">
        <v>0.86944444444444446</v>
      </c>
      <c r="OD91" s="77" t="str">
        <f t="shared" ref="OD91:PZ91" si="3">IF(OC91="","",IF(OC91&gt;OL91,"O","P"))</f>
        <v>O</v>
      </c>
      <c r="OE91" s="74" t="s">
        <v>28</v>
      </c>
      <c r="OF91" s="75" t="s">
        <v>23</v>
      </c>
      <c r="OG91" s="78">
        <f>IFERROR(VLOOKUP(OF91,'[1]List KPI'!$M$3:$N$8,2,0),"")</f>
        <v>2.0833333333333332E-2</v>
      </c>
      <c r="OH91" s="76">
        <v>0.89444444444444449</v>
      </c>
      <c r="OI91" s="77" t="str">
        <f t="shared" ref="OI91:QE91" si="4">IF(OH91="","",IF(OH91&gt;OM91,"O","P"))</f>
        <v>O</v>
      </c>
      <c r="OJ91" s="79">
        <v>5</v>
      </c>
      <c r="OK91" s="75">
        <v>1276006</v>
      </c>
      <c r="OL91" s="80"/>
      <c r="OM91" s="81">
        <v>0.86944444444444446</v>
      </c>
      <c r="ON91" s="74" t="s">
        <v>27</v>
      </c>
      <c r="OO91" s="74" t="s">
        <v>24</v>
      </c>
      <c r="OP91" s="75" t="s">
        <v>25</v>
      </c>
      <c r="OQ91" s="76">
        <f>IFERROR(VLOOKUP(OP91,'[1]List KPI'!$A$103:$F$118,6,0),"")</f>
        <v>1.0416666666666666E-2</v>
      </c>
      <c r="OR91" s="76">
        <v>0.86944444444444446</v>
      </c>
      <c r="OS91" s="76">
        <v>0.86944444444444446</v>
      </c>
      <c r="OT91" s="77" t="str">
        <f t="shared" si="3"/>
        <v>O</v>
      </c>
      <c r="OU91" s="74" t="s">
        <v>28</v>
      </c>
      <c r="OV91" s="75" t="s">
        <v>23</v>
      </c>
      <c r="OW91" s="78">
        <f>IFERROR(VLOOKUP(OV91,'[1]List KPI'!$M$3:$N$8,2,0),"")</f>
        <v>2.0833333333333332E-2</v>
      </c>
      <c r="OX91" s="76">
        <v>0.89444444444444449</v>
      </c>
      <c r="OY91" s="77" t="str">
        <f t="shared" si="4"/>
        <v>O</v>
      </c>
      <c r="OZ91" s="79">
        <v>5</v>
      </c>
      <c r="PA91" s="75">
        <v>1276006</v>
      </c>
      <c r="PB91" s="80"/>
      <c r="PC91" s="81">
        <v>0.86944444444444446</v>
      </c>
      <c r="PD91" s="74" t="s">
        <v>27</v>
      </c>
      <c r="PE91" s="74" t="s">
        <v>24</v>
      </c>
      <c r="PF91" s="75" t="s">
        <v>25</v>
      </c>
      <c r="PG91" s="76">
        <f>IFERROR(VLOOKUP(PF91,'[1]List KPI'!$A$103:$F$118,6,0),"")</f>
        <v>1.0416666666666666E-2</v>
      </c>
      <c r="PH91" s="76">
        <v>0.86944444444444446</v>
      </c>
      <c r="PI91" s="76">
        <v>0.86944444444444446</v>
      </c>
      <c r="PJ91" s="77" t="str">
        <f t="shared" si="3"/>
        <v>O</v>
      </c>
      <c r="PK91" s="74" t="s">
        <v>28</v>
      </c>
      <c r="PL91" s="75" t="s">
        <v>23</v>
      </c>
      <c r="PM91" s="78">
        <f>IFERROR(VLOOKUP(PL91,'[1]List KPI'!$M$3:$N$8,2,0),"")</f>
        <v>2.0833333333333332E-2</v>
      </c>
      <c r="PN91" s="76">
        <v>0.89444444444444449</v>
      </c>
      <c r="PO91" s="77" t="str">
        <f t="shared" si="4"/>
        <v>O</v>
      </c>
      <c r="PP91" s="79">
        <v>5</v>
      </c>
      <c r="PQ91" s="75">
        <v>1276006</v>
      </c>
      <c r="PR91" s="80"/>
      <c r="PS91" s="81">
        <v>0.86944444444444446</v>
      </c>
      <c r="PT91" s="74" t="s">
        <v>27</v>
      </c>
      <c r="PU91" s="74" t="s">
        <v>24</v>
      </c>
      <c r="PV91" s="75" t="s">
        <v>25</v>
      </c>
      <c r="PW91" s="76">
        <f>IFERROR(VLOOKUP(PV91,'[1]List KPI'!$A$103:$F$118,6,0),"")</f>
        <v>1.0416666666666666E-2</v>
      </c>
      <c r="PX91" s="76">
        <v>0.86944444444444446</v>
      </c>
      <c r="PY91" s="76">
        <v>0.86944444444444446</v>
      </c>
      <c r="PZ91" s="77" t="str">
        <f t="shared" si="3"/>
        <v>O</v>
      </c>
      <c r="QA91" s="74" t="s">
        <v>28</v>
      </c>
      <c r="QB91" s="75" t="s">
        <v>23</v>
      </c>
      <c r="QC91" s="78">
        <f>IFERROR(VLOOKUP(QB91,'[1]List KPI'!$M$3:$N$8,2,0),"")</f>
        <v>2.0833333333333332E-2</v>
      </c>
      <c r="QD91" s="76">
        <v>0.89444444444444449</v>
      </c>
      <c r="QE91" s="77" t="str">
        <f t="shared" si="4"/>
        <v>O</v>
      </c>
      <c r="QF91" s="79">
        <v>5</v>
      </c>
      <c r="QG91" s="75">
        <v>1276006</v>
      </c>
      <c r="QH91" s="80"/>
      <c r="QI91" s="81">
        <v>0.86944444444444446</v>
      </c>
      <c r="QJ91" s="74" t="s">
        <v>27</v>
      </c>
      <c r="QK91" s="74" t="s">
        <v>24</v>
      </c>
      <c r="QL91" s="75" t="s">
        <v>25</v>
      </c>
      <c r="QM91" s="76">
        <f>IFERROR(VLOOKUP(QL91,'[1]List KPI'!$A$103:$F$118,6,0),"")</f>
        <v>1.0416666666666666E-2</v>
      </c>
      <c r="QN91" s="76">
        <v>0.86944444444444446</v>
      </c>
      <c r="QO91" s="76">
        <v>0.86944444444444446</v>
      </c>
      <c r="QP91" s="77" t="str">
        <f t="shared" ref="QP91:SL91" si="5">IF(QO91="","",IF(QO91&gt;QX91,"O","P"))</f>
        <v>O</v>
      </c>
      <c r="QQ91" s="74" t="s">
        <v>28</v>
      </c>
      <c r="QR91" s="75" t="s">
        <v>23</v>
      </c>
      <c r="QS91" s="78">
        <f>IFERROR(VLOOKUP(QR91,'[1]List KPI'!$M$3:$N$8,2,0),"")</f>
        <v>2.0833333333333332E-2</v>
      </c>
      <c r="QT91" s="76">
        <v>0.89444444444444449</v>
      </c>
      <c r="QU91" s="77" t="str">
        <f t="shared" ref="QU91:SQ91" si="6">IF(QT91="","",IF(QT91&gt;QY91,"O","P"))</f>
        <v>O</v>
      </c>
      <c r="QV91" s="79">
        <v>5</v>
      </c>
      <c r="QW91" s="75">
        <v>1276006</v>
      </c>
      <c r="QX91" s="80"/>
      <c r="QY91" s="81">
        <v>0.86944444444444446</v>
      </c>
      <c r="QZ91" s="74" t="s">
        <v>27</v>
      </c>
      <c r="RA91" s="74" t="s">
        <v>24</v>
      </c>
      <c r="RB91" s="75" t="s">
        <v>25</v>
      </c>
      <c r="RC91" s="76">
        <f>IFERROR(VLOOKUP(RB91,'[1]List KPI'!$A$103:$F$118,6,0),"")</f>
        <v>1.0416666666666666E-2</v>
      </c>
      <c r="RD91" s="76">
        <v>0.86944444444444446</v>
      </c>
      <c r="RE91" s="76">
        <v>0.86944444444444446</v>
      </c>
      <c r="RF91" s="77" t="str">
        <f t="shared" si="5"/>
        <v>O</v>
      </c>
      <c r="RG91" s="74" t="s">
        <v>28</v>
      </c>
      <c r="RH91" s="75" t="s">
        <v>23</v>
      </c>
      <c r="RI91" s="78">
        <f>IFERROR(VLOOKUP(RH91,'[1]List KPI'!$M$3:$N$8,2,0),"")</f>
        <v>2.0833333333333332E-2</v>
      </c>
      <c r="RJ91" s="76">
        <v>0.89444444444444449</v>
      </c>
      <c r="RK91" s="77" t="str">
        <f t="shared" si="6"/>
        <v>O</v>
      </c>
      <c r="RL91" s="79">
        <v>5</v>
      </c>
      <c r="RM91" s="75">
        <v>1276006</v>
      </c>
      <c r="RN91" s="80"/>
      <c r="RO91" s="81">
        <v>0.86944444444444446</v>
      </c>
      <c r="RP91" s="74" t="s">
        <v>27</v>
      </c>
      <c r="RQ91" s="74" t="s">
        <v>24</v>
      </c>
      <c r="RR91" s="75" t="s">
        <v>25</v>
      </c>
      <c r="RS91" s="76">
        <f>IFERROR(VLOOKUP(RR91,'[1]List KPI'!$A$103:$F$118,6,0),"")</f>
        <v>1.0416666666666666E-2</v>
      </c>
      <c r="RT91" s="76">
        <v>0.86944444444444446</v>
      </c>
      <c r="RU91" s="76">
        <v>0.86944444444444446</v>
      </c>
      <c r="RV91" s="77" t="str">
        <f t="shared" si="5"/>
        <v>O</v>
      </c>
      <c r="RW91" s="74" t="s">
        <v>28</v>
      </c>
      <c r="RX91" s="75" t="s">
        <v>23</v>
      </c>
      <c r="RY91" s="78">
        <f>IFERROR(VLOOKUP(RX91,'[1]List KPI'!$M$3:$N$8,2,0),"")</f>
        <v>2.0833333333333332E-2</v>
      </c>
      <c r="RZ91" s="76">
        <v>0.89444444444444449</v>
      </c>
      <c r="SA91" s="77" t="str">
        <f t="shared" si="6"/>
        <v>O</v>
      </c>
      <c r="SB91" s="79">
        <v>5</v>
      </c>
      <c r="SC91" s="75">
        <v>1276006</v>
      </c>
      <c r="SD91" s="80"/>
      <c r="SE91" s="81">
        <v>0.86944444444444446</v>
      </c>
      <c r="SF91" s="74" t="s">
        <v>27</v>
      </c>
      <c r="SG91" s="74" t="s">
        <v>24</v>
      </c>
      <c r="SH91" s="75" t="s">
        <v>25</v>
      </c>
      <c r="SI91" s="76">
        <f>IFERROR(VLOOKUP(SH91,'[1]List KPI'!$A$103:$F$118,6,0),"")</f>
        <v>1.0416666666666666E-2</v>
      </c>
      <c r="SJ91" s="76">
        <v>0.86944444444444446</v>
      </c>
      <c r="SK91" s="76">
        <v>0.86944444444444446</v>
      </c>
      <c r="SL91" s="77" t="str">
        <f t="shared" si="5"/>
        <v>O</v>
      </c>
      <c r="SM91" s="74" t="s">
        <v>28</v>
      </c>
      <c r="SN91" s="75" t="s">
        <v>23</v>
      </c>
      <c r="SO91" s="78">
        <f>IFERROR(VLOOKUP(SN91,'[1]List KPI'!$M$3:$N$8,2,0),"")</f>
        <v>2.0833333333333332E-2</v>
      </c>
      <c r="SP91" s="76">
        <v>0.89444444444444449</v>
      </c>
      <c r="SQ91" s="77" t="str">
        <f t="shared" si="6"/>
        <v>O</v>
      </c>
      <c r="SR91" s="79">
        <v>5</v>
      </c>
      <c r="SS91" s="75">
        <v>1276006</v>
      </c>
      <c r="ST91" s="80"/>
      <c r="SU91" s="81">
        <v>0.86944444444444446</v>
      </c>
      <c r="SV91" s="74" t="s">
        <v>27</v>
      </c>
      <c r="SW91" s="74" t="s">
        <v>24</v>
      </c>
      <c r="SX91" s="75" t="s">
        <v>25</v>
      </c>
      <c r="SY91" s="76">
        <f>IFERROR(VLOOKUP(SX91,'[1]List KPI'!$A$103:$F$118,6,0),"")</f>
        <v>1.0416666666666666E-2</v>
      </c>
      <c r="SZ91" s="76">
        <v>0.86944444444444446</v>
      </c>
      <c r="TA91" s="76">
        <v>0.86944444444444446</v>
      </c>
      <c r="TB91" s="77" t="str">
        <f t="shared" ref="TB91:UX91" si="7">IF(TA91="","",IF(TA91&gt;TJ91,"O","P"))</f>
        <v>O</v>
      </c>
      <c r="TC91" s="74" t="s">
        <v>28</v>
      </c>
      <c r="TD91" s="75" t="s">
        <v>23</v>
      </c>
      <c r="TE91" s="78">
        <f>IFERROR(VLOOKUP(TD91,'[1]List KPI'!$M$3:$N$8,2,0),"")</f>
        <v>2.0833333333333332E-2</v>
      </c>
      <c r="TF91" s="76">
        <v>0.89444444444444449</v>
      </c>
      <c r="TG91" s="77" t="str">
        <f t="shared" ref="TG91:VC91" si="8">IF(TF91="","",IF(TF91&gt;TK91,"O","P"))</f>
        <v>O</v>
      </c>
      <c r="TH91" s="79">
        <v>5</v>
      </c>
      <c r="TI91" s="75">
        <v>1276006</v>
      </c>
      <c r="TJ91" s="80"/>
      <c r="TK91" s="81">
        <v>0.86944444444444446</v>
      </c>
      <c r="TL91" s="74" t="s">
        <v>27</v>
      </c>
      <c r="TM91" s="74" t="s">
        <v>24</v>
      </c>
      <c r="TN91" s="75" t="s">
        <v>25</v>
      </c>
      <c r="TO91" s="76">
        <f>IFERROR(VLOOKUP(TN91,'[1]List KPI'!$A$103:$F$118,6,0),"")</f>
        <v>1.0416666666666666E-2</v>
      </c>
      <c r="TP91" s="76">
        <v>0.86944444444444446</v>
      </c>
      <c r="TQ91" s="76">
        <v>0.86944444444444446</v>
      </c>
      <c r="TR91" s="77" t="str">
        <f t="shared" si="7"/>
        <v>O</v>
      </c>
      <c r="TS91" s="74" t="s">
        <v>28</v>
      </c>
      <c r="TT91" s="75" t="s">
        <v>23</v>
      </c>
      <c r="TU91" s="78">
        <f>IFERROR(VLOOKUP(TT91,'[1]List KPI'!$M$3:$N$8,2,0),"")</f>
        <v>2.0833333333333332E-2</v>
      </c>
      <c r="TV91" s="76">
        <v>0.89444444444444449</v>
      </c>
      <c r="TW91" s="77" t="str">
        <f t="shared" si="8"/>
        <v>O</v>
      </c>
      <c r="TX91" s="79">
        <v>5</v>
      </c>
      <c r="TY91" s="75">
        <v>1276006</v>
      </c>
      <c r="TZ91" s="80"/>
      <c r="UA91" s="81">
        <v>0.86944444444444446</v>
      </c>
      <c r="UB91" s="74" t="s">
        <v>27</v>
      </c>
      <c r="UC91" s="74" t="s">
        <v>24</v>
      </c>
      <c r="UD91" s="75" t="s">
        <v>25</v>
      </c>
      <c r="UE91" s="76">
        <f>IFERROR(VLOOKUP(UD91,'[1]List KPI'!$A$103:$F$118,6,0),"")</f>
        <v>1.0416666666666666E-2</v>
      </c>
      <c r="UF91" s="76">
        <v>0.86944444444444446</v>
      </c>
      <c r="UG91" s="76">
        <v>0.86944444444444446</v>
      </c>
      <c r="UH91" s="77" t="str">
        <f t="shared" si="7"/>
        <v>O</v>
      </c>
      <c r="UI91" s="74" t="s">
        <v>28</v>
      </c>
      <c r="UJ91" s="75" t="s">
        <v>23</v>
      </c>
      <c r="UK91" s="78">
        <f>IFERROR(VLOOKUP(UJ91,'[1]List KPI'!$M$3:$N$8,2,0),"")</f>
        <v>2.0833333333333332E-2</v>
      </c>
      <c r="UL91" s="76">
        <v>0.89444444444444449</v>
      </c>
      <c r="UM91" s="77" t="str">
        <f t="shared" si="8"/>
        <v>O</v>
      </c>
      <c r="UN91" s="79">
        <v>5</v>
      </c>
      <c r="UO91" s="75">
        <v>1276006</v>
      </c>
      <c r="UP91" s="80"/>
      <c r="UQ91" s="81">
        <v>0.86944444444444446</v>
      </c>
      <c r="UR91" s="74" t="s">
        <v>27</v>
      </c>
      <c r="US91" s="74" t="s">
        <v>24</v>
      </c>
      <c r="UT91" s="75" t="s">
        <v>25</v>
      </c>
      <c r="UU91" s="76">
        <f>IFERROR(VLOOKUP(UT91,'[1]List KPI'!$A$103:$F$118,6,0),"")</f>
        <v>1.0416666666666666E-2</v>
      </c>
      <c r="UV91" s="76">
        <v>0.86944444444444446</v>
      </c>
      <c r="UW91" s="76">
        <v>0.86944444444444446</v>
      </c>
      <c r="UX91" s="77" t="str">
        <f t="shared" si="7"/>
        <v>O</v>
      </c>
      <c r="UY91" s="74" t="s">
        <v>28</v>
      </c>
      <c r="UZ91" s="75" t="s">
        <v>23</v>
      </c>
      <c r="VA91" s="78">
        <f>IFERROR(VLOOKUP(UZ91,'[1]List KPI'!$M$3:$N$8,2,0),"")</f>
        <v>2.0833333333333332E-2</v>
      </c>
      <c r="VB91" s="76">
        <v>0.89444444444444449</v>
      </c>
      <c r="VC91" s="77" t="str">
        <f t="shared" si="8"/>
        <v>O</v>
      </c>
      <c r="VD91" s="79">
        <v>5</v>
      </c>
      <c r="VE91" s="75">
        <v>1276006</v>
      </c>
      <c r="VF91" s="80"/>
      <c r="VG91" s="81">
        <v>0.86944444444444446</v>
      </c>
      <c r="VH91" s="74" t="s">
        <v>27</v>
      </c>
      <c r="VI91" s="74" t="s">
        <v>24</v>
      </c>
      <c r="VJ91" s="75" t="s">
        <v>25</v>
      </c>
      <c r="VK91" s="76">
        <f>IFERROR(VLOOKUP(VJ91,'[1]List KPI'!$A$103:$F$118,6,0),"")</f>
        <v>1.0416666666666666E-2</v>
      </c>
      <c r="VL91" s="76">
        <v>0.86944444444444446</v>
      </c>
      <c r="VM91" s="76">
        <v>0.86944444444444446</v>
      </c>
      <c r="VN91" s="77" t="str">
        <f t="shared" ref="VN91:XJ91" si="9">IF(VM91="","",IF(VM91&gt;VV91,"O","P"))</f>
        <v>O</v>
      </c>
      <c r="VO91" s="74" t="s">
        <v>28</v>
      </c>
      <c r="VP91" s="75" t="s">
        <v>23</v>
      </c>
      <c r="VQ91" s="78">
        <f>IFERROR(VLOOKUP(VP91,'[1]List KPI'!$M$3:$N$8,2,0),"")</f>
        <v>2.0833333333333332E-2</v>
      </c>
      <c r="VR91" s="76">
        <v>0.89444444444444449</v>
      </c>
      <c r="VS91" s="77" t="str">
        <f t="shared" ref="VS91:XO91" si="10">IF(VR91="","",IF(VR91&gt;VW91,"O","P"))</f>
        <v>O</v>
      </c>
      <c r="VT91" s="79">
        <v>5</v>
      </c>
      <c r="VU91" s="75">
        <v>1276006</v>
      </c>
      <c r="VV91" s="80"/>
      <c r="VW91" s="81">
        <v>0.86944444444444446</v>
      </c>
      <c r="VX91" s="74" t="s">
        <v>27</v>
      </c>
      <c r="VY91" s="74" t="s">
        <v>24</v>
      </c>
      <c r="VZ91" s="75" t="s">
        <v>25</v>
      </c>
      <c r="WA91" s="76">
        <f>IFERROR(VLOOKUP(VZ91,'[1]List KPI'!$A$103:$F$118,6,0),"")</f>
        <v>1.0416666666666666E-2</v>
      </c>
      <c r="WB91" s="76">
        <v>0.86944444444444446</v>
      </c>
      <c r="WC91" s="76">
        <v>0.86944444444444446</v>
      </c>
      <c r="WD91" s="77" t="str">
        <f t="shared" si="9"/>
        <v>O</v>
      </c>
      <c r="WE91" s="74" t="s">
        <v>28</v>
      </c>
      <c r="WF91" s="75" t="s">
        <v>23</v>
      </c>
      <c r="WG91" s="78">
        <f>IFERROR(VLOOKUP(WF91,'[1]List KPI'!$M$3:$N$8,2,0),"")</f>
        <v>2.0833333333333332E-2</v>
      </c>
      <c r="WH91" s="76">
        <v>0.89444444444444449</v>
      </c>
      <c r="WI91" s="77" t="str">
        <f t="shared" si="10"/>
        <v>O</v>
      </c>
      <c r="WJ91" s="79">
        <v>5</v>
      </c>
      <c r="WK91" s="75">
        <v>1276006</v>
      </c>
      <c r="WL91" s="80"/>
      <c r="WM91" s="81">
        <v>0.86944444444444446</v>
      </c>
      <c r="WN91" s="74" t="s">
        <v>27</v>
      </c>
      <c r="WO91" s="74" t="s">
        <v>24</v>
      </c>
      <c r="WP91" s="75" t="s">
        <v>25</v>
      </c>
      <c r="WQ91" s="76">
        <f>IFERROR(VLOOKUP(WP91,'[1]List KPI'!$A$103:$F$118,6,0),"")</f>
        <v>1.0416666666666666E-2</v>
      </c>
      <c r="WR91" s="76">
        <v>0.86944444444444446</v>
      </c>
      <c r="WS91" s="76">
        <v>0.86944444444444446</v>
      </c>
      <c r="WT91" s="77" t="str">
        <f t="shared" si="9"/>
        <v>O</v>
      </c>
      <c r="WU91" s="74" t="s">
        <v>28</v>
      </c>
      <c r="WV91" s="75" t="s">
        <v>23</v>
      </c>
      <c r="WW91" s="78">
        <f>IFERROR(VLOOKUP(WV91,'[1]List KPI'!$M$3:$N$8,2,0),"")</f>
        <v>2.0833333333333332E-2</v>
      </c>
      <c r="WX91" s="76">
        <v>0.89444444444444449</v>
      </c>
      <c r="WY91" s="77" t="str">
        <f t="shared" si="10"/>
        <v>O</v>
      </c>
      <c r="WZ91" s="79">
        <v>5</v>
      </c>
      <c r="XA91" s="75">
        <v>1276006</v>
      </c>
      <c r="XB91" s="80"/>
      <c r="XC91" s="81">
        <v>0.86944444444444446</v>
      </c>
      <c r="XD91" s="74" t="s">
        <v>27</v>
      </c>
      <c r="XE91" s="74" t="s">
        <v>24</v>
      </c>
      <c r="XF91" s="75" t="s">
        <v>25</v>
      </c>
      <c r="XG91" s="76">
        <f>IFERROR(VLOOKUP(XF91,'[1]List KPI'!$A$103:$F$118,6,0),"")</f>
        <v>1.0416666666666666E-2</v>
      </c>
      <c r="XH91" s="76">
        <v>0.86944444444444446</v>
      </c>
      <c r="XI91" s="76">
        <v>0.86944444444444446</v>
      </c>
      <c r="XJ91" s="77" t="str">
        <f t="shared" si="9"/>
        <v>O</v>
      </c>
      <c r="XK91" s="74" t="s">
        <v>28</v>
      </c>
      <c r="XL91" s="75" t="s">
        <v>23</v>
      </c>
      <c r="XM91" s="78">
        <f>IFERROR(VLOOKUP(XL91,'[1]List KPI'!$M$3:$N$8,2,0),"")</f>
        <v>2.0833333333333332E-2</v>
      </c>
      <c r="XN91" s="76">
        <v>0.89444444444444449</v>
      </c>
      <c r="XO91" s="77" t="str">
        <f t="shared" si="10"/>
        <v>O</v>
      </c>
      <c r="XP91" s="79">
        <v>5</v>
      </c>
      <c r="XQ91" s="75">
        <v>1276006</v>
      </c>
      <c r="XR91" s="80"/>
      <c r="XS91" s="81">
        <v>0.86944444444444446</v>
      </c>
      <c r="XT91" s="74" t="s">
        <v>27</v>
      </c>
      <c r="XU91" s="74" t="s">
        <v>24</v>
      </c>
      <c r="XV91" s="75" t="s">
        <v>25</v>
      </c>
      <c r="XW91" s="76">
        <f>IFERROR(VLOOKUP(XV91,'[1]List KPI'!$A$103:$F$118,6,0),"")</f>
        <v>1.0416666666666666E-2</v>
      </c>
      <c r="XX91" s="76">
        <v>0.86944444444444446</v>
      </c>
      <c r="XY91" s="76">
        <v>0.86944444444444446</v>
      </c>
      <c r="XZ91" s="77" t="str">
        <f t="shared" ref="XZ91:ZV91" si="11">IF(XY91="","",IF(XY91&gt;YH91,"O","P"))</f>
        <v>O</v>
      </c>
      <c r="YA91" s="74" t="s">
        <v>28</v>
      </c>
      <c r="YB91" s="75" t="s">
        <v>23</v>
      </c>
      <c r="YC91" s="78">
        <f>IFERROR(VLOOKUP(YB91,'[1]List KPI'!$M$3:$N$8,2,0),"")</f>
        <v>2.0833333333333332E-2</v>
      </c>
      <c r="YD91" s="76">
        <v>0.89444444444444449</v>
      </c>
      <c r="YE91" s="77" t="str">
        <f t="shared" ref="YE91:AAA91" si="12">IF(YD91="","",IF(YD91&gt;YI91,"O","P"))</f>
        <v>O</v>
      </c>
      <c r="YF91" s="79">
        <v>5</v>
      </c>
      <c r="YG91" s="75">
        <v>1276006</v>
      </c>
      <c r="YH91" s="80"/>
      <c r="YI91" s="81">
        <v>0.86944444444444446</v>
      </c>
      <c r="YJ91" s="74" t="s">
        <v>27</v>
      </c>
      <c r="YK91" s="74" t="s">
        <v>24</v>
      </c>
      <c r="YL91" s="75" t="s">
        <v>25</v>
      </c>
      <c r="YM91" s="76">
        <f>IFERROR(VLOOKUP(YL91,'[1]List KPI'!$A$103:$F$118,6,0),"")</f>
        <v>1.0416666666666666E-2</v>
      </c>
      <c r="YN91" s="76">
        <v>0.86944444444444446</v>
      </c>
      <c r="YO91" s="76">
        <v>0.86944444444444446</v>
      </c>
      <c r="YP91" s="77" t="str">
        <f t="shared" si="11"/>
        <v>O</v>
      </c>
      <c r="YQ91" s="74" t="s">
        <v>28</v>
      </c>
      <c r="YR91" s="75" t="s">
        <v>23</v>
      </c>
      <c r="YS91" s="78">
        <f>IFERROR(VLOOKUP(YR91,'[1]List KPI'!$M$3:$N$8,2,0),"")</f>
        <v>2.0833333333333332E-2</v>
      </c>
      <c r="YT91" s="76">
        <v>0.89444444444444449</v>
      </c>
      <c r="YU91" s="77" t="str">
        <f t="shared" si="12"/>
        <v>O</v>
      </c>
      <c r="YV91" s="79">
        <v>5</v>
      </c>
      <c r="YW91" s="75">
        <v>1276006</v>
      </c>
      <c r="YX91" s="80"/>
      <c r="YY91" s="81">
        <v>0.86944444444444446</v>
      </c>
      <c r="YZ91" s="74" t="s">
        <v>27</v>
      </c>
      <c r="ZA91" s="74" t="s">
        <v>24</v>
      </c>
      <c r="ZB91" s="75" t="s">
        <v>25</v>
      </c>
      <c r="ZC91" s="76">
        <f>IFERROR(VLOOKUP(ZB91,'[1]List KPI'!$A$103:$F$118,6,0),"")</f>
        <v>1.0416666666666666E-2</v>
      </c>
      <c r="ZD91" s="76">
        <v>0.86944444444444446</v>
      </c>
      <c r="ZE91" s="76">
        <v>0.86944444444444446</v>
      </c>
      <c r="ZF91" s="77" t="str">
        <f t="shared" si="11"/>
        <v>O</v>
      </c>
      <c r="ZG91" s="74" t="s">
        <v>28</v>
      </c>
      <c r="ZH91" s="75" t="s">
        <v>23</v>
      </c>
      <c r="ZI91" s="78">
        <f>IFERROR(VLOOKUP(ZH91,'[1]List KPI'!$M$3:$N$8,2,0),"")</f>
        <v>2.0833333333333332E-2</v>
      </c>
      <c r="ZJ91" s="76">
        <v>0.89444444444444449</v>
      </c>
      <c r="ZK91" s="77" t="str">
        <f t="shared" si="12"/>
        <v>O</v>
      </c>
      <c r="ZL91" s="79">
        <v>5</v>
      </c>
      <c r="ZM91" s="75">
        <v>1276006</v>
      </c>
      <c r="ZN91" s="80"/>
      <c r="ZO91" s="81">
        <v>0.86944444444444446</v>
      </c>
      <c r="ZP91" s="74" t="s">
        <v>27</v>
      </c>
      <c r="ZQ91" s="74" t="s">
        <v>24</v>
      </c>
      <c r="ZR91" s="75" t="s">
        <v>25</v>
      </c>
      <c r="ZS91" s="76">
        <f>IFERROR(VLOOKUP(ZR91,'[1]List KPI'!$A$103:$F$118,6,0),"")</f>
        <v>1.0416666666666666E-2</v>
      </c>
      <c r="ZT91" s="76">
        <v>0.86944444444444446</v>
      </c>
      <c r="ZU91" s="76">
        <v>0.86944444444444446</v>
      </c>
      <c r="ZV91" s="77" t="str">
        <f t="shared" si="11"/>
        <v>O</v>
      </c>
      <c r="ZW91" s="74" t="s">
        <v>28</v>
      </c>
      <c r="ZX91" s="75" t="s">
        <v>23</v>
      </c>
      <c r="ZY91" s="78">
        <f>IFERROR(VLOOKUP(ZX91,'[1]List KPI'!$M$3:$N$8,2,0),"")</f>
        <v>2.0833333333333332E-2</v>
      </c>
      <c r="ZZ91" s="76">
        <v>0.89444444444444449</v>
      </c>
      <c r="AAA91" s="77" t="str">
        <f t="shared" si="12"/>
        <v>O</v>
      </c>
      <c r="AAB91" s="79">
        <v>5</v>
      </c>
      <c r="AAC91" s="75">
        <v>1276006</v>
      </c>
      <c r="AAD91" s="80"/>
      <c r="AAE91" s="81">
        <v>0.86944444444444446</v>
      </c>
      <c r="AAF91" s="74" t="s">
        <v>27</v>
      </c>
      <c r="AAG91" s="74" t="s">
        <v>24</v>
      </c>
      <c r="AAH91" s="75" t="s">
        <v>25</v>
      </c>
      <c r="AAI91" s="76">
        <f>IFERROR(VLOOKUP(AAH91,'[1]List KPI'!$A$103:$F$118,6,0),"")</f>
        <v>1.0416666666666666E-2</v>
      </c>
      <c r="AAJ91" s="76">
        <v>0.86944444444444446</v>
      </c>
      <c r="AAK91" s="76">
        <v>0.86944444444444446</v>
      </c>
      <c r="AAL91" s="77" t="str">
        <f t="shared" ref="AAL91:ACH91" si="13">IF(AAK91="","",IF(AAK91&gt;AAT91,"O","P"))</f>
        <v>O</v>
      </c>
      <c r="AAM91" s="74" t="s">
        <v>28</v>
      </c>
      <c r="AAN91" s="75" t="s">
        <v>23</v>
      </c>
      <c r="AAO91" s="78">
        <f>IFERROR(VLOOKUP(AAN91,'[1]List KPI'!$M$3:$N$8,2,0),"")</f>
        <v>2.0833333333333332E-2</v>
      </c>
      <c r="AAP91" s="76">
        <v>0.89444444444444449</v>
      </c>
      <c r="AAQ91" s="77" t="str">
        <f t="shared" ref="AAQ91:ACM91" si="14">IF(AAP91="","",IF(AAP91&gt;AAU91,"O","P"))</f>
        <v>O</v>
      </c>
      <c r="AAR91" s="79">
        <v>5</v>
      </c>
      <c r="AAS91" s="75">
        <v>1276006</v>
      </c>
      <c r="AAT91" s="80"/>
      <c r="AAU91" s="81">
        <v>0.86944444444444446</v>
      </c>
      <c r="AAV91" s="74" t="s">
        <v>27</v>
      </c>
      <c r="AAW91" s="74" t="s">
        <v>24</v>
      </c>
      <c r="AAX91" s="75" t="s">
        <v>25</v>
      </c>
      <c r="AAY91" s="76">
        <f>IFERROR(VLOOKUP(AAX91,'[1]List KPI'!$A$103:$F$118,6,0),"")</f>
        <v>1.0416666666666666E-2</v>
      </c>
      <c r="AAZ91" s="76">
        <v>0.86944444444444446</v>
      </c>
      <c r="ABA91" s="76">
        <v>0.86944444444444446</v>
      </c>
      <c r="ABB91" s="77" t="str">
        <f t="shared" si="13"/>
        <v>O</v>
      </c>
      <c r="ABC91" s="74" t="s">
        <v>28</v>
      </c>
      <c r="ABD91" s="75" t="s">
        <v>23</v>
      </c>
      <c r="ABE91" s="78">
        <f>IFERROR(VLOOKUP(ABD91,'[1]List KPI'!$M$3:$N$8,2,0),"")</f>
        <v>2.0833333333333332E-2</v>
      </c>
      <c r="ABF91" s="76">
        <v>0.89444444444444449</v>
      </c>
      <c r="ABG91" s="77" t="str">
        <f t="shared" si="14"/>
        <v>O</v>
      </c>
      <c r="ABH91" s="79">
        <v>5</v>
      </c>
      <c r="ABI91" s="75">
        <v>1276006</v>
      </c>
      <c r="ABJ91" s="80"/>
      <c r="ABK91" s="81">
        <v>0.86944444444444446</v>
      </c>
      <c r="ABL91" s="74" t="s">
        <v>27</v>
      </c>
      <c r="ABM91" s="74" t="s">
        <v>24</v>
      </c>
      <c r="ABN91" s="75" t="s">
        <v>25</v>
      </c>
      <c r="ABO91" s="76">
        <f>IFERROR(VLOOKUP(ABN91,'[1]List KPI'!$A$103:$F$118,6,0),"")</f>
        <v>1.0416666666666666E-2</v>
      </c>
      <c r="ABP91" s="76">
        <v>0.86944444444444446</v>
      </c>
      <c r="ABQ91" s="76">
        <v>0.86944444444444446</v>
      </c>
      <c r="ABR91" s="77" t="str">
        <f t="shared" si="13"/>
        <v>O</v>
      </c>
      <c r="ABS91" s="74" t="s">
        <v>28</v>
      </c>
      <c r="ABT91" s="75" t="s">
        <v>23</v>
      </c>
      <c r="ABU91" s="78">
        <f>IFERROR(VLOOKUP(ABT91,'[1]List KPI'!$M$3:$N$8,2,0),"")</f>
        <v>2.0833333333333332E-2</v>
      </c>
      <c r="ABV91" s="76">
        <v>0.89444444444444449</v>
      </c>
      <c r="ABW91" s="77" t="str">
        <f t="shared" si="14"/>
        <v>O</v>
      </c>
      <c r="ABX91" s="79">
        <v>5</v>
      </c>
      <c r="ABY91" s="75">
        <v>1276006</v>
      </c>
      <c r="ABZ91" s="80"/>
      <c r="ACA91" s="81">
        <v>0.86944444444444446</v>
      </c>
      <c r="ACB91" s="74" t="s">
        <v>27</v>
      </c>
      <c r="ACC91" s="74" t="s">
        <v>24</v>
      </c>
      <c r="ACD91" s="75" t="s">
        <v>25</v>
      </c>
      <c r="ACE91" s="76">
        <f>IFERROR(VLOOKUP(ACD91,'[1]List KPI'!$A$103:$F$118,6,0),"")</f>
        <v>1.0416666666666666E-2</v>
      </c>
      <c r="ACF91" s="76">
        <v>0.86944444444444446</v>
      </c>
      <c r="ACG91" s="76">
        <v>0.86944444444444446</v>
      </c>
      <c r="ACH91" s="77" t="str">
        <f t="shared" si="13"/>
        <v>O</v>
      </c>
      <c r="ACI91" s="74" t="s">
        <v>28</v>
      </c>
      <c r="ACJ91" s="75" t="s">
        <v>23</v>
      </c>
      <c r="ACK91" s="78">
        <f>IFERROR(VLOOKUP(ACJ91,'[1]List KPI'!$M$3:$N$8,2,0),"")</f>
        <v>2.0833333333333332E-2</v>
      </c>
      <c r="ACL91" s="76">
        <v>0.89444444444444449</v>
      </c>
      <c r="ACM91" s="77" t="str">
        <f t="shared" si="14"/>
        <v>O</v>
      </c>
      <c r="ACN91" s="79">
        <v>5</v>
      </c>
      <c r="ACO91" s="75">
        <v>1276006</v>
      </c>
      <c r="ACP91" s="80"/>
      <c r="ACQ91" s="81">
        <v>0.86944444444444446</v>
      </c>
      <c r="ACR91" s="74" t="s">
        <v>27</v>
      </c>
      <c r="ACS91" s="74" t="s">
        <v>24</v>
      </c>
      <c r="ACT91" s="75" t="s">
        <v>25</v>
      </c>
      <c r="ACU91" s="76">
        <f>IFERROR(VLOOKUP(ACT91,'[1]List KPI'!$A$103:$F$118,6,0),"")</f>
        <v>1.0416666666666666E-2</v>
      </c>
      <c r="ACV91" s="76">
        <v>0.86944444444444446</v>
      </c>
      <c r="ACW91" s="76">
        <v>0.86944444444444446</v>
      </c>
      <c r="ACX91" s="77" t="str">
        <f t="shared" ref="ACX91:AET91" si="15">IF(ACW91="","",IF(ACW91&gt;ADF91,"O","P"))</f>
        <v>O</v>
      </c>
      <c r="ACY91" s="74" t="s">
        <v>28</v>
      </c>
      <c r="ACZ91" s="75" t="s">
        <v>23</v>
      </c>
      <c r="ADA91" s="78">
        <f>IFERROR(VLOOKUP(ACZ91,'[1]List KPI'!$M$3:$N$8,2,0),"")</f>
        <v>2.0833333333333332E-2</v>
      </c>
      <c r="ADB91" s="76">
        <v>0.89444444444444449</v>
      </c>
      <c r="ADC91" s="77" t="str">
        <f t="shared" ref="ADC91:AEY91" si="16">IF(ADB91="","",IF(ADB91&gt;ADG91,"O","P"))</f>
        <v>O</v>
      </c>
      <c r="ADD91" s="79">
        <v>5</v>
      </c>
      <c r="ADE91" s="75">
        <v>1276006</v>
      </c>
      <c r="ADF91" s="80"/>
      <c r="ADG91" s="81">
        <v>0.86944444444444446</v>
      </c>
      <c r="ADH91" s="74" t="s">
        <v>27</v>
      </c>
      <c r="ADI91" s="74" t="s">
        <v>24</v>
      </c>
      <c r="ADJ91" s="75" t="s">
        <v>25</v>
      </c>
      <c r="ADK91" s="76">
        <f>IFERROR(VLOOKUP(ADJ91,'[1]List KPI'!$A$103:$F$118,6,0),"")</f>
        <v>1.0416666666666666E-2</v>
      </c>
      <c r="ADL91" s="76">
        <v>0.86944444444444446</v>
      </c>
      <c r="ADM91" s="76">
        <v>0.86944444444444446</v>
      </c>
      <c r="ADN91" s="77" t="str">
        <f t="shared" si="15"/>
        <v>O</v>
      </c>
      <c r="ADO91" s="74" t="s">
        <v>28</v>
      </c>
      <c r="ADP91" s="75" t="s">
        <v>23</v>
      </c>
      <c r="ADQ91" s="78">
        <f>IFERROR(VLOOKUP(ADP91,'[1]List KPI'!$M$3:$N$8,2,0),"")</f>
        <v>2.0833333333333332E-2</v>
      </c>
      <c r="ADR91" s="76">
        <v>0.89444444444444449</v>
      </c>
      <c r="ADS91" s="77" t="str">
        <f t="shared" si="16"/>
        <v>O</v>
      </c>
      <c r="ADT91" s="79">
        <v>5</v>
      </c>
      <c r="ADU91" s="75">
        <v>1276006</v>
      </c>
      <c r="ADV91" s="80"/>
      <c r="ADW91" s="81">
        <v>0.86944444444444446</v>
      </c>
      <c r="ADX91" s="74" t="s">
        <v>27</v>
      </c>
      <c r="ADY91" s="74" t="s">
        <v>24</v>
      </c>
      <c r="ADZ91" s="75" t="s">
        <v>25</v>
      </c>
      <c r="AEA91" s="76">
        <f>IFERROR(VLOOKUP(ADZ91,'[1]List KPI'!$A$103:$F$118,6,0),"")</f>
        <v>1.0416666666666666E-2</v>
      </c>
      <c r="AEB91" s="76">
        <v>0.86944444444444446</v>
      </c>
      <c r="AEC91" s="76">
        <v>0.86944444444444446</v>
      </c>
      <c r="AED91" s="77" t="str">
        <f t="shared" si="15"/>
        <v>O</v>
      </c>
      <c r="AEE91" s="74" t="s">
        <v>28</v>
      </c>
      <c r="AEF91" s="75" t="s">
        <v>23</v>
      </c>
      <c r="AEG91" s="78">
        <f>IFERROR(VLOOKUP(AEF91,'[1]List KPI'!$M$3:$N$8,2,0),"")</f>
        <v>2.0833333333333332E-2</v>
      </c>
      <c r="AEH91" s="76">
        <v>0.89444444444444449</v>
      </c>
      <c r="AEI91" s="77" t="str">
        <f t="shared" si="16"/>
        <v>O</v>
      </c>
      <c r="AEJ91" s="79">
        <v>5</v>
      </c>
      <c r="AEK91" s="75">
        <v>1276006</v>
      </c>
      <c r="AEL91" s="80"/>
      <c r="AEM91" s="81">
        <v>0.86944444444444446</v>
      </c>
      <c r="AEN91" s="74" t="s">
        <v>27</v>
      </c>
      <c r="AEO91" s="74" t="s">
        <v>24</v>
      </c>
      <c r="AEP91" s="75" t="s">
        <v>25</v>
      </c>
      <c r="AEQ91" s="76">
        <f>IFERROR(VLOOKUP(AEP91,'[1]List KPI'!$A$103:$F$118,6,0),"")</f>
        <v>1.0416666666666666E-2</v>
      </c>
      <c r="AER91" s="76">
        <v>0.86944444444444446</v>
      </c>
      <c r="AES91" s="76">
        <v>0.86944444444444446</v>
      </c>
      <c r="AET91" s="77" t="str">
        <f t="shared" si="15"/>
        <v>O</v>
      </c>
      <c r="AEU91" s="74" t="s">
        <v>28</v>
      </c>
      <c r="AEV91" s="75" t="s">
        <v>23</v>
      </c>
      <c r="AEW91" s="78">
        <f>IFERROR(VLOOKUP(AEV91,'[1]List KPI'!$M$3:$N$8,2,0),"")</f>
        <v>2.0833333333333332E-2</v>
      </c>
      <c r="AEX91" s="76">
        <v>0.89444444444444449</v>
      </c>
      <c r="AEY91" s="77" t="str">
        <f t="shared" si="16"/>
        <v>O</v>
      </c>
      <c r="AEZ91" s="79">
        <v>5</v>
      </c>
      <c r="AFA91" s="75">
        <v>1276006</v>
      </c>
      <c r="AFB91" s="80"/>
      <c r="AFC91" s="81">
        <v>0.86944444444444446</v>
      </c>
      <c r="AFD91" s="74" t="s">
        <v>27</v>
      </c>
      <c r="AFE91" s="74" t="s">
        <v>24</v>
      </c>
      <c r="AFF91" s="75" t="s">
        <v>25</v>
      </c>
      <c r="AFG91" s="76">
        <f>IFERROR(VLOOKUP(AFF91,'[1]List KPI'!$A$103:$F$118,6,0),"")</f>
        <v>1.0416666666666666E-2</v>
      </c>
      <c r="AFH91" s="76">
        <v>0.86944444444444446</v>
      </c>
      <c r="AFI91" s="76">
        <v>0.86944444444444446</v>
      </c>
      <c r="AFJ91" s="77" t="str">
        <f t="shared" ref="AFJ91:AHF91" si="17">IF(AFI91="","",IF(AFI91&gt;AFR91,"O","P"))</f>
        <v>O</v>
      </c>
      <c r="AFK91" s="74" t="s">
        <v>28</v>
      </c>
      <c r="AFL91" s="75" t="s">
        <v>23</v>
      </c>
      <c r="AFM91" s="78">
        <f>IFERROR(VLOOKUP(AFL91,'[1]List KPI'!$M$3:$N$8,2,0),"")</f>
        <v>2.0833333333333332E-2</v>
      </c>
      <c r="AFN91" s="76">
        <v>0.89444444444444449</v>
      </c>
      <c r="AFO91" s="77" t="str">
        <f t="shared" ref="AFO91:AHK91" si="18">IF(AFN91="","",IF(AFN91&gt;AFS91,"O","P"))</f>
        <v>O</v>
      </c>
      <c r="AFP91" s="79">
        <v>5</v>
      </c>
      <c r="AFQ91" s="75">
        <v>1276006</v>
      </c>
      <c r="AFR91" s="80"/>
      <c r="AFS91" s="81">
        <v>0.86944444444444446</v>
      </c>
      <c r="AFT91" s="74" t="s">
        <v>27</v>
      </c>
      <c r="AFU91" s="74" t="s">
        <v>24</v>
      </c>
      <c r="AFV91" s="75" t="s">
        <v>25</v>
      </c>
      <c r="AFW91" s="76">
        <f>IFERROR(VLOOKUP(AFV91,'[1]List KPI'!$A$103:$F$118,6,0),"")</f>
        <v>1.0416666666666666E-2</v>
      </c>
      <c r="AFX91" s="76">
        <v>0.86944444444444446</v>
      </c>
      <c r="AFY91" s="76">
        <v>0.86944444444444446</v>
      </c>
      <c r="AFZ91" s="77" t="str">
        <f t="shared" si="17"/>
        <v>O</v>
      </c>
      <c r="AGA91" s="74" t="s">
        <v>28</v>
      </c>
      <c r="AGB91" s="75" t="s">
        <v>23</v>
      </c>
      <c r="AGC91" s="78">
        <f>IFERROR(VLOOKUP(AGB91,'[1]List KPI'!$M$3:$N$8,2,0),"")</f>
        <v>2.0833333333333332E-2</v>
      </c>
      <c r="AGD91" s="76">
        <v>0.89444444444444449</v>
      </c>
      <c r="AGE91" s="77" t="str">
        <f t="shared" si="18"/>
        <v>O</v>
      </c>
      <c r="AGF91" s="79">
        <v>5</v>
      </c>
      <c r="AGG91" s="75">
        <v>1276006</v>
      </c>
      <c r="AGH91" s="80"/>
      <c r="AGI91" s="81">
        <v>0.86944444444444446</v>
      </c>
      <c r="AGJ91" s="74" t="s">
        <v>27</v>
      </c>
      <c r="AGK91" s="74" t="s">
        <v>24</v>
      </c>
      <c r="AGL91" s="75" t="s">
        <v>25</v>
      </c>
      <c r="AGM91" s="76">
        <f>IFERROR(VLOOKUP(AGL91,'[1]List KPI'!$A$103:$F$118,6,0),"")</f>
        <v>1.0416666666666666E-2</v>
      </c>
      <c r="AGN91" s="76">
        <v>0.86944444444444446</v>
      </c>
      <c r="AGO91" s="76">
        <v>0.86944444444444446</v>
      </c>
      <c r="AGP91" s="77" t="str">
        <f t="shared" si="17"/>
        <v>O</v>
      </c>
      <c r="AGQ91" s="74" t="s">
        <v>28</v>
      </c>
      <c r="AGR91" s="75" t="s">
        <v>23</v>
      </c>
      <c r="AGS91" s="78">
        <f>IFERROR(VLOOKUP(AGR91,'[1]List KPI'!$M$3:$N$8,2,0),"")</f>
        <v>2.0833333333333332E-2</v>
      </c>
      <c r="AGT91" s="76">
        <v>0.89444444444444449</v>
      </c>
      <c r="AGU91" s="77" t="str">
        <f t="shared" si="18"/>
        <v>O</v>
      </c>
      <c r="AGV91" s="79">
        <v>5</v>
      </c>
      <c r="AGW91" s="75">
        <v>1276006</v>
      </c>
      <c r="AGX91" s="80"/>
      <c r="AGY91" s="81">
        <v>0.86944444444444446</v>
      </c>
      <c r="AGZ91" s="74" t="s">
        <v>27</v>
      </c>
      <c r="AHA91" s="74" t="s">
        <v>24</v>
      </c>
      <c r="AHB91" s="75" t="s">
        <v>25</v>
      </c>
      <c r="AHC91" s="76">
        <f>IFERROR(VLOOKUP(AHB91,'[1]List KPI'!$A$103:$F$118,6,0),"")</f>
        <v>1.0416666666666666E-2</v>
      </c>
      <c r="AHD91" s="76">
        <v>0.86944444444444446</v>
      </c>
      <c r="AHE91" s="76">
        <v>0.86944444444444446</v>
      </c>
      <c r="AHF91" s="77" t="str">
        <f t="shared" si="17"/>
        <v>O</v>
      </c>
      <c r="AHG91" s="74" t="s">
        <v>28</v>
      </c>
      <c r="AHH91" s="75" t="s">
        <v>23</v>
      </c>
      <c r="AHI91" s="78">
        <f>IFERROR(VLOOKUP(AHH91,'[1]List KPI'!$M$3:$N$8,2,0),"")</f>
        <v>2.0833333333333332E-2</v>
      </c>
      <c r="AHJ91" s="76">
        <v>0.89444444444444449</v>
      </c>
      <c r="AHK91" s="77" t="str">
        <f t="shared" si="18"/>
        <v>O</v>
      </c>
      <c r="AHL91" s="79">
        <v>5</v>
      </c>
      <c r="AHM91" s="75">
        <v>1276006</v>
      </c>
      <c r="AHN91" s="80"/>
      <c r="AHO91" s="81">
        <v>0.86944444444444446</v>
      </c>
      <c r="AHP91" s="74" t="s">
        <v>27</v>
      </c>
      <c r="AHQ91" s="74" t="s">
        <v>24</v>
      </c>
      <c r="AHR91" s="75" t="s">
        <v>25</v>
      </c>
      <c r="AHS91" s="76">
        <f>IFERROR(VLOOKUP(AHR91,'[1]List KPI'!$A$103:$F$118,6,0),"")</f>
        <v>1.0416666666666666E-2</v>
      </c>
      <c r="AHT91" s="76">
        <v>0.86944444444444446</v>
      </c>
      <c r="AHU91" s="76">
        <v>0.86944444444444446</v>
      </c>
      <c r="AHV91" s="77" t="str">
        <f t="shared" ref="AHV91:AJR91" si="19">IF(AHU91="","",IF(AHU91&gt;AID91,"O","P"))</f>
        <v>O</v>
      </c>
      <c r="AHW91" s="74" t="s">
        <v>28</v>
      </c>
      <c r="AHX91" s="75" t="s">
        <v>23</v>
      </c>
      <c r="AHY91" s="78">
        <f>IFERROR(VLOOKUP(AHX91,'[1]List KPI'!$M$3:$N$8,2,0),"")</f>
        <v>2.0833333333333332E-2</v>
      </c>
      <c r="AHZ91" s="76">
        <v>0.89444444444444449</v>
      </c>
      <c r="AIA91" s="77" t="str">
        <f t="shared" ref="AIA91:AJW91" si="20">IF(AHZ91="","",IF(AHZ91&gt;AIE91,"O","P"))</f>
        <v>O</v>
      </c>
      <c r="AIB91" s="79">
        <v>5</v>
      </c>
      <c r="AIC91" s="75">
        <v>1276006</v>
      </c>
      <c r="AID91" s="80"/>
      <c r="AIE91" s="81">
        <v>0.86944444444444446</v>
      </c>
      <c r="AIF91" s="74" t="s">
        <v>27</v>
      </c>
      <c r="AIG91" s="74" t="s">
        <v>24</v>
      </c>
      <c r="AIH91" s="75" t="s">
        <v>25</v>
      </c>
      <c r="AII91" s="76">
        <f>IFERROR(VLOOKUP(AIH91,'[1]List KPI'!$A$103:$F$118,6,0),"")</f>
        <v>1.0416666666666666E-2</v>
      </c>
      <c r="AIJ91" s="76">
        <v>0.86944444444444446</v>
      </c>
      <c r="AIK91" s="76">
        <v>0.86944444444444446</v>
      </c>
      <c r="AIL91" s="77" t="str">
        <f t="shared" si="19"/>
        <v>O</v>
      </c>
      <c r="AIM91" s="74" t="s">
        <v>28</v>
      </c>
      <c r="AIN91" s="75" t="s">
        <v>23</v>
      </c>
      <c r="AIO91" s="78">
        <f>IFERROR(VLOOKUP(AIN91,'[1]List KPI'!$M$3:$N$8,2,0),"")</f>
        <v>2.0833333333333332E-2</v>
      </c>
      <c r="AIP91" s="76">
        <v>0.89444444444444449</v>
      </c>
      <c r="AIQ91" s="77" t="str">
        <f t="shared" si="20"/>
        <v>O</v>
      </c>
      <c r="AIR91" s="79">
        <v>5</v>
      </c>
      <c r="AIS91" s="75">
        <v>1276006</v>
      </c>
      <c r="AIT91" s="80"/>
      <c r="AIU91" s="81">
        <v>0.86944444444444446</v>
      </c>
      <c r="AIV91" s="74" t="s">
        <v>27</v>
      </c>
      <c r="AIW91" s="74" t="s">
        <v>24</v>
      </c>
      <c r="AIX91" s="75" t="s">
        <v>25</v>
      </c>
      <c r="AIY91" s="76">
        <f>IFERROR(VLOOKUP(AIX91,'[1]List KPI'!$A$103:$F$118,6,0),"")</f>
        <v>1.0416666666666666E-2</v>
      </c>
      <c r="AIZ91" s="76">
        <v>0.86944444444444446</v>
      </c>
      <c r="AJA91" s="76">
        <v>0.86944444444444446</v>
      </c>
      <c r="AJB91" s="77" t="str">
        <f t="shared" si="19"/>
        <v>O</v>
      </c>
      <c r="AJC91" s="74" t="s">
        <v>28</v>
      </c>
      <c r="AJD91" s="75" t="s">
        <v>23</v>
      </c>
      <c r="AJE91" s="78">
        <f>IFERROR(VLOOKUP(AJD91,'[1]List KPI'!$M$3:$N$8,2,0),"")</f>
        <v>2.0833333333333332E-2</v>
      </c>
      <c r="AJF91" s="76">
        <v>0.89444444444444449</v>
      </c>
      <c r="AJG91" s="77" t="str">
        <f t="shared" si="20"/>
        <v>O</v>
      </c>
      <c r="AJH91" s="79">
        <v>5</v>
      </c>
      <c r="AJI91" s="75">
        <v>1276006</v>
      </c>
      <c r="AJJ91" s="80"/>
      <c r="AJK91" s="81">
        <v>0.86944444444444446</v>
      </c>
      <c r="AJL91" s="74" t="s">
        <v>27</v>
      </c>
      <c r="AJM91" s="74" t="s">
        <v>24</v>
      </c>
      <c r="AJN91" s="75" t="s">
        <v>25</v>
      </c>
      <c r="AJO91" s="76">
        <f>IFERROR(VLOOKUP(AJN91,'[1]List KPI'!$A$103:$F$118,6,0),"")</f>
        <v>1.0416666666666666E-2</v>
      </c>
      <c r="AJP91" s="76">
        <v>0.86944444444444446</v>
      </c>
      <c r="AJQ91" s="76">
        <v>0.86944444444444446</v>
      </c>
      <c r="AJR91" s="77" t="str">
        <f t="shared" si="19"/>
        <v>O</v>
      </c>
      <c r="AJS91" s="74" t="s">
        <v>28</v>
      </c>
      <c r="AJT91" s="75" t="s">
        <v>23</v>
      </c>
      <c r="AJU91" s="78">
        <f>IFERROR(VLOOKUP(AJT91,'[1]List KPI'!$M$3:$N$8,2,0),"")</f>
        <v>2.0833333333333332E-2</v>
      </c>
      <c r="AJV91" s="76">
        <v>0.89444444444444449</v>
      </c>
      <c r="AJW91" s="77" t="str">
        <f t="shared" si="20"/>
        <v>O</v>
      </c>
      <c r="AJX91" s="79">
        <v>5</v>
      </c>
      <c r="AJY91" s="75">
        <v>1276006</v>
      </c>
      <c r="AJZ91" s="80"/>
      <c r="AKA91" s="81">
        <v>0.86944444444444446</v>
      </c>
      <c r="AKB91" s="74" t="s">
        <v>27</v>
      </c>
      <c r="AKC91" s="74" t="s">
        <v>24</v>
      </c>
      <c r="AKD91" s="75" t="s">
        <v>25</v>
      </c>
      <c r="AKE91" s="76">
        <f>IFERROR(VLOOKUP(AKD91,'[1]List KPI'!$A$103:$F$118,6,0),"")</f>
        <v>1.0416666666666666E-2</v>
      </c>
      <c r="AKF91" s="76">
        <v>0.86944444444444446</v>
      </c>
      <c r="AKG91" s="76">
        <v>0.86944444444444446</v>
      </c>
      <c r="AKH91" s="77" t="str">
        <f t="shared" ref="AKH91:AMD91" si="21">IF(AKG91="","",IF(AKG91&gt;AKP91,"O","P"))</f>
        <v>O</v>
      </c>
      <c r="AKI91" s="74" t="s">
        <v>28</v>
      </c>
      <c r="AKJ91" s="75" t="s">
        <v>23</v>
      </c>
      <c r="AKK91" s="78">
        <f>IFERROR(VLOOKUP(AKJ91,'[1]List KPI'!$M$3:$N$8,2,0),"")</f>
        <v>2.0833333333333332E-2</v>
      </c>
      <c r="AKL91" s="76">
        <v>0.89444444444444449</v>
      </c>
      <c r="AKM91" s="77" t="str">
        <f t="shared" ref="AKM91:AMI91" si="22">IF(AKL91="","",IF(AKL91&gt;AKQ91,"O","P"))</f>
        <v>O</v>
      </c>
      <c r="AKN91" s="79">
        <v>5</v>
      </c>
      <c r="AKO91" s="75">
        <v>1276006</v>
      </c>
      <c r="AKP91" s="80"/>
      <c r="AKQ91" s="81">
        <v>0.86944444444444446</v>
      </c>
      <c r="AKR91" s="74" t="s">
        <v>27</v>
      </c>
      <c r="AKS91" s="74" t="s">
        <v>24</v>
      </c>
      <c r="AKT91" s="75" t="s">
        <v>25</v>
      </c>
      <c r="AKU91" s="76">
        <f>IFERROR(VLOOKUP(AKT91,'[1]List KPI'!$A$103:$F$118,6,0),"")</f>
        <v>1.0416666666666666E-2</v>
      </c>
      <c r="AKV91" s="76">
        <v>0.86944444444444446</v>
      </c>
      <c r="AKW91" s="76">
        <v>0.86944444444444446</v>
      </c>
      <c r="AKX91" s="77" t="str">
        <f t="shared" si="21"/>
        <v>O</v>
      </c>
      <c r="AKY91" s="74" t="s">
        <v>28</v>
      </c>
      <c r="AKZ91" s="75" t="s">
        <v>23</v>
      </c>
      <c r="ALA91" s="78">
        <f>IFERROR(VLOOKUP(AKZ91,'[1]List KPI'!$M$3:$N$8,2,0),"")</f>
        <v>2.0833333333333332E-2</v>
      </c>
      <c r="ALB91" s="76">
        <v>0.89444444444444449</v>
      </c>
      <c r="ALC91" s="77" t="str">
        <f t="shared" si="22"/>
        <v>O</v>
      </c>
      <c r="ALD91" s="79">
        <v>5</v>
      </c>
      <c r="ALE91" s="75">
        <v>1276006</v>
      </c>
      <c r="ALF91" s="80"/>
      <c r="ALG91" s="81">
        <v>0.86944444444444446</v>
      </c>
      <c r="ALH91" s="74" t="s">
        <v>27</v>
      </c>
      <c r="ALI91" s="74" t="s">
        <v>24</v>
      </c>
      <c r="ALJ91" s="75" t="s">
        <v>25</v>
      </c>
      <c r="ALK91" s="76">
        <f>IFERROR(VLOOKUP(ALJ91,'[1]List KPI'!$A$103:$F$118,6,0),"")</f>
        <v>1.0416666666666666E-2</v>
      </c>
      <c r="ALL91" s="76">
        <v>0.86944444444444446</v>
      </c>
      <c r="ALM91" s="76">
        <v>0.86944444444444446</v>
      </c>
      <c r="ALN91" s="77" t="str">
        <f t="shared" si="21"/>
        <v>O</v>
      </c>
      <c r="ALO91" s="74" t="s">
        <v>28</v>
      </c>
      <c r="ALP91" s="75" t="s">
        <v>23</v>
      </c>
      <c r="ALQ91" s="78">
        <f>IFERROR(VLOOKUP(ALP91,'[1]List KPI'!$M$3:$N$8,2,0),"")</f>
        <v>2.0833333333333332E-2</v>
      </c>
      <c r="ALR91" s="76">
        <v>0.89444444444444449</v>
      </c>
      <c r="ALS91" s="77" t="str">
        <f t="shared" si="22"/>
        <v>O</v>
      </c>
      <c r="ALT91" s="79">
        <v>5</v>
      </c>
      <c r="ALU91" s="75">
        <v>1276006</v>
      </c>
      <c r="ALV91" s="80"/>
      <c r="ALW91" s="81">
        <v>0.86944444444444446</v>
      </c>
      <c r="ALX91" s="74" t="s">
        <v>27</v>
      </c>
      <c r="ALY91" s="74" t="s">
        <v>24</v>
      </c>
      <c r="ALZ91" s="75" t="s">
        <v>25</v>
      </c>
      <c r="AMA91" s="76">
        <f>IFERROR(VLOOKUP(ALZ91,'[1]List KPI'!$A$103:$F$118,6,0),"")</f>
        <v>1.0416666666666666E-2</v>
      </c>
      <c r="AMB91" s="76">
        <v>0.86944444444444446</v>
      </c>
      <c r="AMC91" s="76">
        <v>0.86944444444444446</v>
      </c>
      <c r="AMD91" s="77" t="str">
        <f t="shared" si="21"/>
        <v>O</v>
      </c>
      <c r="AME91" s="74" t="s">
        <v>28</v>
      </c>
      <c r="AMF91" s="75" t="s">
        <v>23</v>
      </c>
      <c r="AMG91" s="78">
        <f>IFERROR(VLOOKUP(AMF91,'[1]List KPI'!$M$3:$N$8,2,0),"")</f>
        <v>2.0833333333333332E-2</v>
      </c>
      <c r="AMH91" s="76">
        <v>0.89444444444444449</v>
      </c>
      <c r="AMI91" s="77" t="str">
        <f t="shared" si="22"/>
        <v>O</v>
      </c>
      <c r="AMJ91" s="79">
        <v>5</v>
      </c>
      <c r="AMK91" s="75">
        <v>1276006</v>
      </c>
      <c r="AML91" s="80"/>
      <c r="AMM91" s="81">
        <v>0.86944444444444446</v>
      </c>
      <c r="AMN91" s="74" t="s">
        <v>27</v>
      </c>
      <c r="AMO91" s="74" t="s">
        <v>24</v>
      </c>
      <c r="AMP91" s="75" t="s">
        <v>25</v>
      </c>
      <c r="AMQ91" s="76">
        <f>IFERROR(VLOOKUP(AMP91,'[1]List KPI'!$A$103:$F$118,6,0),"")</f>
        <v>1.0416666666666666E-2</v>
      </c>
      <c r="AMR91" s="76">
        <v>0.86944444444444446</v>
      </c>
      <c r="AMS91" s="76">
        <v>0.86944444444444446</v>
      </c>
      <c r="AMT91" s="77" t="str">
        <f t="shared" ref="AMT91:AOP91" si="23">IF(AMS91="","",IF(AMS91&gt;ANB91,"O","P"))</f>
        <v>O</v>
      </c>
      <c r="AMU91" s="74" t="s">
        <v>28</v>
      </c>
      <c r="AMV91" s="75" t="s">
        <v>23</v>
      </c>
      <c r="AMW91" s="78">
        <f>IFERROR(VLOOKUP(AMV91,'[1]List KPI'!$M$3:$N$8,2,0),"")</f>
        <v>2.0833333333333332E-2</v>
      </c>
      <c r="AMX91" s="76">
        <v>0.89444444444444449</v>
      </c>
      <c r="AMY91" s="77" t="str">
        <f t="shared" ref="AMY91:AOU91" si="24">IF(AMX91="","",IF(AMX91&gt;ANC91,"O","P"))</f>
        <v>O</v>
      </c>
      <c r="AMZ91" s="79">
        <v>5</v>
      </c>
      <c r="ANA91" s="75">
        <v>1276006</v>
      </c>
      <c r="ANB91" s="80"/>
      <c r="ANC91" s="81">
        <v>0.86944444444444446</v>
      </c>
      <c r="AND91" s="74" t="s">
        <v>27</v>
      </c>
      <c r="ANE91" s="74" t="s">
        <v>24</v>
      </c>
      <c r="ANF91" s="75" t="s">
        <v>25</v>
      </c>
      <c r="ANG91" s="76">
        <f>IFERROR(VLOOKUP(ANF91,'[1]List KPI'!$A$103:$F$118,6,0),"")</f>
        <v>1.0416666666666666E-2</v>
      </c>
      <c r="ANH91" s="76">
        <v>0.86944444444444446</v>
      </c>
      <c r="ANI91" s="76">
        <v>0.86944444444444446</v>
      </c>
      <c r="ANJ91" s="77" t="str">
        <f t="shared" si="23"/>
        <v>O</v>
      </c>
      <c r="ANK91" s="74" t="s">
        <v>28</v>
      </c>
      <c r="ANL91" s="75" t="s">
        <v>23</v>
      </c>
      <c r="ANM91" s="78">
        <f>IFERROR(VLOOKUP(ANL91,'[1]List KPI'!$M$3:$N$8,2,0),"")</f>
        <v>2.0833333333333332E-2</v>
      </c>
      <c r="ANN91" s="76">
        <v>0.89444444444444449</v>
      </c>
      <c r="ANO91" s="77" t="str">
        <f t="shared" si="24"/>
        <v>O</v>
      </c>
      <c r="ANP91" s="79">
        <v>5</v>
      </c>
      <c r="ANQ91" s="75">
        <v>1276006</v>
      </c>
      <c r="ANR91" s="80"/>
      <c r="ANS91" s="81">
        <v>0.86944444444444446</v>
      </c>
      <c r="ANT91" s="74" t="s">
        <v>27</v>
      </c>
      <c r="ANU91" s="74" t="s">
        <v>24</v>
      </c>
      <c r="ANV91" s="75" t="s">
        <v>25</v>
      </c>
      <c r="ANW91" s="76">
        <f>IFERROR(VLOOKUP(ANV91,'[1]List KPI'!$A$103:$F$118,6,0),"")</f>
        <v>1.0416666666666666E-2</v>
      </c>
      <c r="ANX91" s="76">
        <v>0.86944444444444446</v>
      </c>
      <c r="ANY91" s="76">
        <v>0.86944444444444446</v>
      </c>
      <c r="ANZ91" s="77" t="str">
        <f t="shared" si="23"/>
        <v>O</v>
      </c>
      <c r="AOA91" s="74" t="s">
        <v>28</v>
      </c>
      <c r="AOB91" s="75" t="s">
        <v>23</v>
      </c>
      <c r="AOC91" s="78">
        <f>IFERROR(VLOOKUP(AOB91,'[1]List KPI'!$M$3:$N$8,2,0),"")</f>
        <v>2.0833333333333332E-2</v>
      </c>
      <c r="AOD91" s="76">
        <v>0.89444444444444449</v>
      </c>
      <c r="AOE91" s="77" t="str">
        <f t="shared" si="24"/>
        <v>O</v>
      </c>
      <c r="AOF91" s="79">
        <v>5</v>
      </c>
      <c r="AOG91" s="75">
        <v>1276006</v>
      </c>
      <c r="AOH91" s="80"/>
      <c r="AOI91" s="81">
        <v>0.86944444444444446</v>
      </c>
      <c r="AOJ91" s="74" t="s">
        <v>27</v>
      </c>
      <c r="AOK91" s="74" t="s">
        <v>24</v>
      </c>
      <c r="AOL91" s="75" t="s">
        <v>25</v>
      </c>
      <c r="AOM91" s="76">
        <f>IFERROR(VLOOKUP(AOL91,'[1]List KPI'!$A$103:$F$118,6,0),"")</f>
        <v>1.0416666666666666E-2</v>
      </c>
      <c r="AON91" s="76">
        <v>0.86944444444444446</v>
      </c>
      <c r="AOO91" s="76">
        <v>0.86944444444444446</v>
      </c>
      <c r="AOP91" s="77" t="str">
        <f t="shared" si="23"/>
        <v>O</v>
      </c>
      <c r="AOQ91" s="74" t="s">
        <v>28</v>
      </c>
      <c r="AOR91" s="75" t="s">
        <v>23</v>
      </c>
      <c r="AOS91" s="78">
        <f>IFERROR(VLOOKUP(AOR91,'[1]List KPI'!$M$3:$N$8,2,0),"")</f>
        <v>2.0833333333333332E-2</v>
      </c>
      <c r="AOT91" s="76">
        <v>0.89444444444444449</v>
      </c>
      <c r="AOU91" s="77" t="str">
        <f t="shared" si="24"/>
        <v>O</v>
      </c>
      <c r="AOV91" s="79">
        <v>5</v>
      </c>
      <c r="AOW91" s="75">
        <v>1276006</v>
      </c>
      <c r="AOX91" s="80"/>
      <c r="AOY91" s="81">
        <v>0.86944444444444446</v>
      </c>
      <c r="AOZ91" s="74" t="s">
        <v>27</v>
      </c>
      <c r="APA91" s="74" t="s">
        <v>24</v>
      </c>
      <c r="APB91" s="75" t="s">
        <v>25</v>
      </c>
      <c r="APC91" s="76">
        <f>IFERROR(VLOOKUP(APB91,'[1]List KPI'!$A$103:$F$118,6,0),"")</f>
        <v>1.0416666666666666E-2</v>
      </c>
      <c r="APD91" s="76">
        <v>0.86944444444444446</v>
      </c>
      <c r="APE91" s="76">
        <v>0.86944444444444446</v>
      </c>
      <c r="APF91" s="77" t="str">
        <f t="shared" ref="APF91:ARB91" si="25">IF(APE91="","",IF(APE91&gt;APN91,"O","P"))</f>
        <v>O</v>
      </c>
      <c r="APG91" s="74" t="s">
        <v>28</v>
      </c>
      <c r="APH91" s="75" t="s">
        <v>23</v>
      </c>
      <c r="API91" s="78">
        <f>IFERROR(VLOOKUP(APH91,'[1]List KPI'!$M$3:$N$8,2,0),"")</f>
        <v>2.0833333333333332E-2</v>
      </c>
      <c r="APJ91" s="76">
        <v>0.89444444444444449</v>
      </c>
      <c r="APK91" s="77" t="str">
        <f t="shared" ref="APK91:ARG91" si="26">IF(APJ91="","",IF(APJ91&gt;APO91,"O","P"))</f>
        <v>O</v>
      </c>
      <c r="APL91" s="79">
        <v>5</v>
      </c>
      <c r="APM91" s="75">
        <v>1276006</v>
      </c>
      <c r="APN91" s="80"/>
      <c r="APO91" s="81">
        <v>0.86944444444444446</v>
      </c>
      <c r="APP91" s="74" t="s">
        <v>27</v>
      </c>
      <c r="APQ91" s="74" t="s">
        <v>24</v>
      </c>
      <c r="APR91" s="75" t="s">
        <v>25</v>
      </c>
      <c r="APS91" s="76">
        <f>IFERROR(VLOOKUP(APR91,'[1]List KPI'!$A$103:$F$118,6,0),"")</f>
        <v>1.0416666666666666E-2</v>
      </c>
      <c r="APT91" s="76">
        <v>0.86944444444444446</v>
      </c>
      <c r="APU91" s="76">
        <v>0.86944444444444446</v>
      </c>
      <c r="APV91" s="77" t="str">
        <f t="shared" si="25"/>
        <v>O</v>
      </c>
      <c r="APW91" s="74" t="s">
        <v>28</v>
      </c>
      <c r="APX91" s="75" t="s">
        <v>23</v>
      </c>
      <c r="APY91" s="78">
        <f>IFERROR(VLOOKUP(APX91,'[1]List KPI'!$M$3:$N$8,2,0),"")</f>
        <v>2.0833333333333332E-2</v>
      </c>
      <c r="APZ91" s="76">
        <v>0.89444444444444449</v>
      </c>
      <c r="AQA91" s="77" t="str">
        <f t="shared" si="26"/>
        <v>O</v>
      </c>
      <c r="AQB91" s="79">
        <v>5</v>
      </c>
      <c r="AQC91" s="75">
        <v>1276006</v>
      </c>
      <c r="AQD91" s="80"/>
      <c r="AQE91" s="81">
        <v>0.86944444444444446</v>
      </c>
      <c r="AQF91" s="74" t="s">
        <v>27</v>
      </c>
      <c r="AQG91" s="74" t="s">
        <v>24</v>
      </c>
      <c r="AQH91" s="75" t="s">
        <v>25</v>
      </c>
      <c r="AQI91" s="76">
        <f>IFERROR(VLOOKUP(AQH91,'[1]List KPI'!$A$103:$F$118,6,0),"")</f>
        <v>1.0416666666666666E-2</v>
      </c>
      <c r="AQJ91" s="76">
        <v>0.86944444444444446</v>
      </c>
      <c r="AQK91" s="76">
        <v>0.86944444444444446</v>
      </c>
      <c r="AQL91" s="77" t="str">
        <f t="shared" si="25"/>
        <v>O</v>
      </c>
      <c r="AQM91" s="74" t="s">
        <v>28</v>
      </c>
      <c r="AQN91" s="75" t="s">
        <v>23</v>
      </c>
      <c r="AQO91" s="78">
        <f>IFERROR(VLOOKUP(AQN91,'[1]List KPI'!$M$3:$N$8,2,0),"")</f>
        <v>2.0833333333333332E-2</v>
      </c>
      <c r="AQP91" s="76">
        <v>0.89444444444444449</v>
      </c>
      <c r="AQQ91" s="77" t="str">
        <f t="shared" si="26"/>
        <v>O</v>
      </c>
      <c r="AQR91" s="79">
        <v>5</v>
      </c>
      <c r="AQS91" s="75">
        <v>1276006</v>
      </c>
      <c r="AQT91" s="80"/>
      <c r="AQU91" s="81">
        <v>0.86944444444444446</v>
      </c>
      <c r="AQV91" s="74" t="s">
        <v>27</v>
      </c>
      <c r="AQW91" s="74" t="s">
        <v>24</v>
      </c>
      <c r="AQX91" s="75" t="s">
        <v>25</v>
      </c>
      <c r="AQY91" s="76">
        <f>IFERROR(VLOOKUP(AQX91,'[1]List KPI'!$A$103:$F$118,6,0),"")</f>
        <v>1.0416666666666666E-2</v>
      </c>
      <c r="AQZ91" s="76">
        <v>0.86944444444444446</v>
      </c>
      <c r="ARA91" s="76">
        <v>0.86944444444444446</v>
      </c>
      <c r="ARB91" s="77" t="str">
        <f t="shared" si="25"/>
        <v>O</v>
      </c>
      <c r="ARC91" s="74" t="s">
        <v>28</v>
      </c>
      <c r="ARD91" s="75" t="s">
        <v>23</v>
      </c>
      <c r="ARE91" s="78">
        <f>IFERROR(VLOOKUP(ARD91,'[1]List KPI'!$M$3:$N$8,2,0),"")</f>
        <v>2.0833333333333332E-2</v>
      </c>
      <c r="ARF91" s="76">
        <v>0.89444444444444449</v>
      </c>
      <c r="ARG91" s="77" t="str">
        <f t="shared" si="26"/>
        <v>O</v>
      </c>
      <c r="ARH91" s="79">
        <v>5</v>
      </c>
      <c r="ARI91" s="75">
        <v>1276006</v>
      </c>
      <c r="ARJ91" s="80"/>
      <c r="ARK91" s="81">
        <v>0.86944444444444446</v>
      </c>
      <c r="ARL91" s="74" t="s">
        <v>27</v>
      </c>
      <c r="ARM91" s="74" t="s">
        <v>24</v>
      </c>
      <c r="ARN91" s="75" t="s">
        <v>25</v>
      </c>
      <c r="ARO91" s="76">
        <f>IFERROR(VLOOKUP(ARN91,'[1]List KPI'!$A$103:$F$118,6,0),"")</f>
        <v>1.0416666666666666E-2</v>
      </c>
      <c r="ARP91" s="76">
        <v>0.86944444444444446</v>
      </c>
      <c r="ARQ91" s="76">
        <v>0.86944444444444446</v>
      </c>
      <c r="ARR91" s="77" t="str">
        <f t="shared" ref="ARR91:ATN91" si="27">IF(ARQ91="","",IF(ARQ91&gt;ARZ91,"O","P"))</f>
        <v>O</v>
      </c>
      <c r="ARS91" s="74" t="s">
        <v>28</v>
      </c>
      <c r="ART91" s="75" t="s">
        <v>23</v>
      </c>
      <c r="ARU91" s="78">
        <f>IFERROR(VLOOKUP(ART91,'[1]List KPI'!$M$3:$N$8,2,0),"")</f>
        <v>2.0833333333333332E-2</v>
      </c>
      <c r="ARV91" s="76">
        <v>0.89444444444444449</v>
      </c>
      <c r="ARW91" s="77" t="str">
        <f t="shared" ref="ARW91:ATS91" si="28">IF(ARV91="","",IF(ARV91&gt;ASA91,"O","P"))</f>
        <v>O</v>
      </c>
      <c r="ARX91" s="79">
        <v>5</v>
      </c>
      <c r="ARY91" s="75">
        <v>1276006</v>
      </c>
      <c r="ARZ91" s="80"/>
      <c r="ASA91" s="81">
        <v>0.86944444444444446</v>
      </c>
      <c r="ASB91" s="74" t="s">
        <v>27</v>
      </c>
      <c r="ASC91" s="74" t="s">
        <v>24</v>
      </c>
      <c r="ASD91" s="75" t="s">
        <v>25</v>
      </c>
      <c r="ASE91" s="76">
        <f>IFERROR(VLOOKUP(ASD91,'[1]List KPI'!$A$103:$F$118,6,0),"")</f>
        <v>1.0416666666666666E-2</v>
      </c>
      <c r="ASF91" s="76">
        <v>0.86944444444444446</v>
      </c>
      <c r="ASG91" s="76">
        <v>0.86944444444444446</v>
      </c>
      <c r="ASH91" s="77" t="str">
        <f t="shared" si="27"/>
        <v>O</v>
      </c>
      <c r="ASI91" s="74" t="s">
        <v>28</v>
      </c>
      <c r="ASJ91" s="75" t="s">
        <v>23</v>
      </c>
      <c r="ASK91" s="78">
        <f>IFERROR(VLOOKUP(ASJ91,'[1]List KPI'!$M$3:$N$8,2,0),"")</f>
        <v>2.0833333333333332E-2</v>
      </c>
      <c r="ASL91" s="76">
        <v>0.89444444444444449</v>
      </c>
      <c r="ASM91" s="77" t="str">
        <f t="shared" si="28"/>
        <v>O</v>
      </c>
      <c r="ASN91" s="79">
        <v>5</v>
      </c>
      <c r="ASO91" s="75">
        <v>1276006</v>
      </c>
      <c r="ASP91" s="80"/>
      <c r="ASQ91" s="81">
        <v>0.86944444444444446</v>
      </c>
      <c r="ASR91" s="74" t="s">
        <v>27</v>
      </c>
      <c r="ASS91" s="74" t="s">
        <v>24</v>
      </c>
      <c r="AST91" s="75" t="s">
        <v>25</v>
      </c>
      <c r="ASU91" s="76">
        <f>IFERROR(VLOOKUP(AST91,'[1]List KPI'!$A$103:$F$118,6,0),"")</f>
        <v>1.0416666666666666E-2</v>
      </c>
      <c r="ASV91" s="76">
        <v>0.86944444444444446</v>
      </c>
      <c r="ASW91" s="76">
        <v>0.86944444444444446</v>
      </c>
      <c r="ASX91" s="77" t="str">
        <f t="shared" si="27"/>
        <v>O</v>
      </c>
      <c r="ASY91" s="74" t="s">
        <v>28</v>
      </c>
      <c r="ASZ91" s="75" t="s">
        <v>23</v>
      </c>
      <c r="ATA91" s="78">
        <f>IFERROR(VLOOKUP(ASZ91,'[1]List KPI'!$M$3:$N$8,2,0),"")</f>
        <v>2.0833333333333332E-2</v>
      </c>
      <c r="ATB91" s="76">
        <v>0.89444444444444449</v>
      </c>
      <c r="ATC91" s="77" t="str">
        <f t="shared" si="28"/>
        <v>O</v>
      </c>
      <c r="ATD91" s="79">
        <v>5</v>
      </c>
      <c r="ATE91" s="75">
        <v>1276006</v>
      </c>
      <c r="ATF91" s="80"/>
      <c r="ATG91" s="81">
        <v>0.86944444444444446</v>
      </c>
      <c r="ATH91" s="74" t="s">
        <v>27</v>
      </c>
      <c r="ATI91" s="74" t="s">
        <v>24</v>
      </c>
      <c r="ATJ91" s="75" t="s">
        <v>25</v>
      </c>
      <c r="ATK91" s="76">
        <f>IFERROR(VLOOKUP(ATJ91,'[1]List KPI'!$A$103:$F$118,6,0),"")</f>
        <v>1.0416666666666666E-2</v>
      </c>
      <c r="ATL91" s="76">
        <v>0.86944444444444446</v>
      </c>
      <c r="ATM91" s="76">
        <v>0.86944444444444446</v>
      </c>
      <c r="ATN91" s="77" t="str">
        <f t="shared" si="27"/>
        <v>O</v>
      </c>
      <c r="ATO91" s="74" t="s">
        <v>28</v>
      </c>
      <c r="ATP91" s="75" t="s">
        <v>23</v>
      </c>
      <c r="ATQ91" s="78">
        <f>IFERROR(VLOOKUP(ATP91,'[1]List KPI'!$M$3:$N$8,2,0),"")</f>
        <v>2.0833333333333332E-2</v>
      </c>
      <c r="ATR91" s="76">
        <v>0.89444444444444449</v>
      </c>
      <c r="ATS91" s="77" t="str">
        <f t="shared" si="28"/>
        <v>O</v>
      </c>
      <c r="ATT91" s="79">
        <v>5</v>
      </c>
      <c r="ATU91" s="75">
        <v>1276006</v>
      </c>
      <c r="ATV91" s="80"/>
      <c r="ATW91" s="81">
        <v>0.86944444444444446</v>
      </c>
      <c r="ATX91" s="74" t="s">
        <v>27</v>
      </c>
      <c r="ATY91" s="74" t="s">
        <v>24</v>
      </c>
      <c r="ATZ91" s="75" t="s">
        <v>25</v>
      </c>
      <c r="AUA91" s="76">
        <f>IFERROR(VLOOKUP(ATZ91,'[1]List KPI'!$A$103:$F$118,6,0),"")</f>
        <v>1.0416666666666666E-2</v>
      </c>
      <c r="AUB91" s="76">
        <v>0.86944444444444446</v>
      </c>
      <c r="AUC91" s="76">
        <v>0.86944444444444446</v>
      </c>
      <c r="AUD91" s="77" t="str">
        <f t="shared" ref="AUD91:AVZ91" si="29">IF(AUC91="","",IF(AUC91&gt;AUL91,"O","P"))</f>
        <v>O</v>
      </c>
      <c r="AUE91" s="74" t="s">
        <v>28</v>
      </c>
      <c r="AUF91" s="75" t="s">
        <v>23</v>
      </c>
      <c r="AUG91" s="78">
        <f>IFERROR(VLOOKUP(AUF91,'[1]List KPI'!$M$3:$N$8,2,0),"")</f>
        <v>2.0833333333333332E-2</v>
      </c>
      <c r="AUH91" s="76">
        <v>0.89444444444444449</v>
      </c>
      <c r="AUI91" s="77" t="str">
        <f t="shared" ref="AUI91:AWE91" si="30">IF(AUH91="","",IF(AUH91&gt;AUM91,"O","P"))</f>
        <v>O</v>
      </c>
      <c r="AUJ91" s="79">
        <v>5</v>
      </c>
      <c r="AUK91" s="75">
        <v>1276006</v>
      </c>
      <c r="AUL91" s="80"/>
      <c r="AUM91" s="81">
        <v>0.86944444444444446</v>
      </c>
      <c r="AUN91" s="74" t="s">
        <v>27</v>
      </c>
      <c r="AUO91" s="74" t="s">
        <v>24</v>
      </c>
      <c r="AUP91" s="75" t="s">
        <v>25</v>
      </c>
      <c r="AUQ91" s="76">
        <f>IFERROR(VLOOKUP(AUP91,'[1]List KPI'!$A$103:$F$118,6,0),"")</f>
        <v>1.0416666666666666E-2</v>
      </c>
      <c r="AUR91" s="76">
        <v>0.86944444444444446</v>
      </c>
      <c r="AUS91" s="76">
        <v>0.86944444444444446</v>
      </c>
      <c r="AUT91" s="77" t="str">
        <f t="shared" si="29"/>
        <v>O</v>
      </c>
      <c r="AUU91" s="74" t="s">
        <v>28</v>
      </c>
      <c r="AUV91" s="75" t="s">
        <v>23</v>
      </c>
      <c r="AUW91" s="78">
        <f>IFERROR(VLOOKUP(AUV91,'[1]List KPI'!$M$3:$N$8,2,0),"")</f>
        <v>2.0833333333333332E-2</v>
      </c>
      <c r="AUX91" s="76">
        <v>0.89444444444444449</v>
      </c>
      <c r="AUY91" s="77" t="str">
        <f t="shared" si="30"/>
        <v>O</v>
      </c>
      <c r="AUZ91" s="79">
        <v>5</v>
      </c>
      <c r="AVA91" s="75">
        <v>1276006</v>
      </c>
      <c r="AVB91" s="80"/>
      <c r="AVC91" s="81">
        <v>0.86944444444444446</v>
      </c>
      <c r="AVD91" s="74" t="s">
        <v>27</v>
      </c>
      <c r="AVE91" s="74" t="s">
        <v>24</v>
      </c>
      <c r="AVF91" s="75" t="s">
        <v>25</v>
      </c>
      <c r="AVG91" s="76">
        <f>IFERROR(VLOOKUP(AVF91,'[1]List KPI'!$A$103:$F$118,6,0),"")</f>
        <v>1.0416666666666666E-2</v>
      </c>
      <c r="AVH91" s="76">
        <v>0.86944444444444446</v>
      </c>
      <c r="AVI91" s="76">
        <v>0.86944444444444446</v>
      </c>
      <c r="AVJ91" s="77" t="str">
        <f t="shared" si="29"/>
        <v>O</v>
      </c>
      <c r="AVK91" s="74" t="s">
        <v>28</v>
      </c>
      <c r="AVL91" s="75" t="s">
        <v>23</v>
      </c>
      <c r="AVM91" s="78">
        <f>IFERROR(VLOOKUP(AVL91,'[1]List KPI'!$M$3:$N$8,2,0),"")</f>
        <v>2.0833333333333332E-2</v>
      </c>
      <c r="AVN91" s="76">
        <v>0.89444444444444449</v>
      </c>
      <c r="AVO91" s="77" t="str">
        <f t="shared" si="30"/>
        <v>O</v>
      </c>
      <c r="AVP91" s="79">
        <v>5</v>
      </c>
      <c r="AVQ91" s="75">
        <v>1276006</v>
      </c>
      <c r="AVR91" s="80"/>
      <c r="AVS91" s="81">
        <v>0.86944444444444446</v>
      </c>
      <c r="AVT91" s="74" t="s">
        <v>27</v>
      </c>
      <c r="AVU91" s="74" t="s">
        <v>24</v>
      </c>
      <c r="AVV91" s="75" t="s">
        <v>25</v>
      </c>
      <c r="AVW91" s="76">
        <f>IFERROR(VLOOKUP(AVV91,'[1]List KPI'!$A$103:$F$118,6,0),"")</f>
        <v>1.0416666666666666E-2</v>
      </c>
      <c r="AVX91" s="76">
        <v>0.86944444444444446</v>
      </c>
      <c r="AVY91" s="76">
        <v>0.86944444444444446</v>
      </c>
      <c r="AVZ91" s="77" t="str">
        <f t="shared" si="29"/>
        <v>O</v>
      </c>
      <c r="AWA91" s="74" t="s">
        <v>28</v>
      </c>
      <c r="AWB91" s="75" t="s">
        <v>23</v>
      </c>
      <c r="AWC91" s="78">
        <f>IFERROR(VLOOKUP(AWB91,'[1]List KPI'!$M$3:$N$8,2,0),"")</f>
        <v>2.0833333333333332E-2</v>
      </c>
      <c r="AWD91" s="76">
        <v>0.89444444444444449</v>
      </c>
      <c r="AWE91" s="77" t="str">
        <f t="shared" si="30"/>
        <v>O</v>
      </c>
      <c r="AWF91" s="79">
        <v>5</v>
      </c>
      <c r="AWG91" s="75">
        <v>1276006</v>
      </c>
      <c r="AWH91" s="80"/>
      <c r="AWI91" s="81">
        <v>0.86944444444444446</v>
      </c>
      <c r="AWJ91" s="74" t="s">
        <v>27</v>
      </c>
      <c r="AWK91" s="74" t="s">
        <v>24</v>
      </c>
      <c r="AWL91" s="75" t="s">
        <v>25</v>
      </c>
      <c r="AWM91" s="76">
        <f>IFERROR(VLOOKUP(AWL91,'[1]List KPI'!$A$103:$F$118,6,0),"")</f>
        <v>1.0416666666666666E-2</v>
      </c>
      <c r="AWN91" s="76">
        <v>0.86944444444444446</v>
      </c>
      <c r="AWO91" s="76">
        <v>0.86944444444444446</v>
      </c>
      <c r="AWP91" s="77" t="str">
        <f t="shared" ref="AWP91:AYL91" si="31">IF(AWO91="","",IF(AWO91&gt;AWX91,"O","P"))</f>
        <v>O</v>
      </c>
      <c r="AWQ91" s="74" t="s">
        <v>28</v>
      </c>
      <c r="AWR91" s="75" t="s">
        <v>23</v>
      </c>
      <c r="AWS91" s="78">
        <f>IFERROR(VLOOKUP(AWR91,'[1]List KPI'!$M$3:$N$8,2,0),"")</f>
        <v>2.0833333333333332E-2</v>
      </c>
      <c r="AWT91" s="76">
        <v>0.89444444444444449</v>
      </c>
      <c r="AWU91" s="77" t="str">
        <f t="shared" ref="AWU91:AYQ91" si="32">IF(AWT91="","",IF(AWT91&gt;AWY91,"O","P"))</f>
        <v>O</v>
      </c>
      <c r="AWV91" s="79">
        <v>5</v>
      </c>
      <c r="AWW91" s="75">
        <v>1276006</v>
      </c>
      <c r="AWX91" s="80"/>
      <c r="AWY91" s="81">
        <v>0.86944444444444446</v>
      </c>
      <c r="AWZ91" s="74" t="s">
        <v>27</v>
      </c>
      <c r="AXA91" s="74" t="s">
        <v>24</v>
      </c>
      <c r="AXB91" s="75" t="s">
        <v>25</v>
      </c>
      <c r="AXC91" s="76">
        <f>IFERROR(VLOOKUP(AXB91,'[1]List KPI'!$A$103:$F$118,6,0),"")</f>
        <v>1.0416666666666666E-2</v>
      </c>
      <c r="AXD91" s="76">
        <v>0.86944444444444446</v>
      </c>
      <c r="AXE91" s="76">
        <v>0.86944444444444446</v>
      </c>
      <c r="AXF91" s="77" t="str">
        <f t="shared" si="31"/>
        <v>O</v>
      </c>
      <c r="AXG91" s="74" t="s">
        <v>28</v>
      </c>
      <c r="AXH91" s="75" t="s">
        <v>23</v>
      </c>
      <c r="AXI91" s="78">
        <f>IFERROR(VLOOKUP(AXH91,'[1]List KPI'!$M$3:$N$8,2,0),"")</f>
        <v>2.0833333333333332E-2</v>
      </c>
      <c r="AXJ91" s="76">
        <v>0.89444444444444449</v>
      </c>
      <c r="AXK91" s="77" t="str">
        <f t="shared" si="32"/>
        <v>O</v>
      </c>
      <c r="AXL91" s="79">
        <v>5</v>
      </c>
      <c r="AXM91" s="75">
        <v>1276006</v>
      </c>
      <c r="AXN91" s="80"/>
      <c r="AXO91" s="81">
        <v>0.86944444444444446</v>
      </c>
      <c r="AXP91" s="74" t="s">
        <v>27</v>
      </c>
      <c r="AXQ91" s="74" t="s">
        <v>24</v>
      </c>
      <c r="AXR91" s="75" t="s">
        <v>25</v>
      </c>
      <c r="AXS91" s="76">
        <f>IFERROR(VLOOKUP(AXR91,'[1]List KPI'!$A$103:$F$118,6,0),"")</f>
        <v>1.0416666666666666E-2</v>
      </c>
      <c r="AXT91" s="76">
        <v>0.86944444444444446</v>
      </c>
      <c r="AXU91" s="76">
        <v>0.86944444444444446</v>
      </c>
      <c r="AXV91" s="77" t="str">
        <f t="shared" si="31"/>
        <v>O</v>
      </c>
      <c r="AXW91" s="74" t="s">
        <v>28</v>
      </c>
      <c r="AXX91" s="75" t="s">
        <v>23</v>
      </c>
      <c r="AXY91" s="78">
        <f>IFERROR(VLOOKUP(AXX91,'[1]List KPI'!$M$3:$N$8,2,0),"")</f>
        <v>2.0833333333333332E-2</v>
      </c>
      <c r="AXZ91" s="76">
        <v>0.89444444444444449</v>
      </c>
      <c r="AYA91" s="77" t="str">
        <f t="shared" si="32"/>
        <v>O</v>
      </c>
      <c r="AYB91" s="79">
        <v>5</v>
      </c>
      <c r="AYC91" s="75">
        <v>1276006</v>
      </c>
      <c r="AYD91" s="80"/>
      <c r="AYE91" s="81">
        <v>0.86944444444444446</v>
      </c>
      <c r="AYF91" s="74" t="s">
        <v>27</v>
      </c>
      <c r="AYG91" s="74" t="s">
        <v>24</v>
      </c>
      <c r="AYH91" s="75" t="s">
        <v>25</v>
      </c>
      <c r="AYI91" s="76">
        <f>IFERROR(VLOOKUP(AYH91,'[1]List KPI'!$A$103:$F$118,6,0),"")</f>
        <v>1.0416666666666666E-2</v>
      </c>
      <c r="AYJ91" s="76">
        <v>0.86944444444444446</v>
      </c>
      <c r="AYK91" s="76">
        <v>0.86944444444444446</v>
      </c>
      <c r="AYL91" s="77" t="str">
        <f t="shared" si="31"/>
        <v>O</v>
      </c>
      <c r="AYM91" s="74" t="s">
        <v>28</v>
      </c>
      <c r="AYN91" s="75" t="s">
        <v>23</v>
      </c>
      <c r="AYO91" s="78">
        <f>IFERROR(VLOOKUP(AYN91,'[1]List KPI'!$M$3:$N$8,2,0),"")</f>
        <v>2.0833333333333332E-2</v>
      </c>
      <c r="AYP91" s="76">
        <v>0.89444444444444449</v>
      </c>
      <c r="AYQ91" s="77" t="str">
        <f t="shared" si="32"/>
        <v>O</v>
      </c>
      <c r="AYR91" s="79">
        <v>5</v>
      </c>
      <c r="AYS91" s="75">
        <v>1276006</v>
      </c>
      <c r="AYT91" s="80"/>
      <c r="AYU91" s="81">
        <v>0.86944444444444446</v>
      </c>
      <c r="AYV91" s="74" t="s">
        <v>27</v>
      </c>
      <c r="AYW91" s="74" t="s">
        <v>24</v>
      </c>
      <c r="AYX91" s="75" t="s">
        <v>25</v>
      </c>
      <c r="AYY91" s="76">
        <f>IFERROR(VLOOKUP(AYX91,'[1]List KPI'!$A$103:$F$118,6,0),"")</f>
        <v>1.0416666666666666E-2</v>
      </c>
      <c r="AYZ91" s="76">
        <v>0.86944444444444446</v>
      </c>
      <c r="AZA91" s="76">
        <v>0.86944444444444446</v>
      </c>
      <c r="AZB91" s="77" t="str">
        <f t="shared" ref="AZB91:BAX91" si="33">IF(AZA91="","",IF(AZA91&gt;AZJ91,"O","P"))</f>
        <v>O</v>
      </c>
      <c r="AZC91" s="74" t="s">
        <v>28</v>
      </c>
      <c r="AZD91" s="75" t="s">
        <v>23</v>
      </c>
      <c r="AZE91" s="78">
        <f>IFERROR(VLOOKUP(AZD91,'[1]List KPI'!$M$3:$N$8,2,0),"")</f>
        <v>2.0833333333333332E-2</v>
      </c>
      <c r="AZF91" s="76">
        <v>0.89444444444444449</v>
      </c>
      <c r="AZG91" s="77" t="str">
        <f t="shared" ref="AZG91:BBC91" si="34">IF(AZF91="","",IF(AZF91&gt;AZK91,"O","P"))</f>
        <v>O</v>
      </c>
      <c r="AZH91" s="79">
        <v>5</v>
      </c>
      <c r="AZI91" s="75">
        <v>1276006</v>
      </c>
      <c r="AZJ91" s="80"/>
      <c r="AZK91" s="81">
        <v>0.86944444444444446</v>
      </c>
      <c r="AZL91" s="74" t="s">
        <v>27</v>
      </c>
      <c r="AZM91" s="74" t="s">
        <v>24</v>
      </c>
      <c r="AZN91" s="75" t="s">
        <v>25</v>
      </c>
      <c r="AZO91" s="76">
        <f>IFERROR(VLOOKUP(AZN91,'[1]List KPI'!$A$103:$F$118,6,0),"")</f>
        <v>1.0416666666666666E-2</v>
      </c>
      <c r="AZP91" s="76">
        <v>0.86944444444444446</v>
      </c>
      <c r="AZQ91" s="76">
        <v>0.86944444444444446</v>
      </c>
      <c r="AZR91" s="77" t="str">
        <f t="shared" si="33"/>
        <v>O</v>
      </c>
      <c r="AZS91" s="74" t="s">
        <v>28</v>
      </c>
      <c r="AZT91" s="75" t="s">
        <v>23</v>
      </c>
      <c r="AZU91" s="78">
        <f>IFERROR(VLOOKUP(AZT91,'[1]List KPI'!$M$3:$N$8,2,0),"")</f>
        <v>2.0833333333333332E-2</v>
      </c>
      <c r="AZV91" s="76">
        <v>0.89444444444444449</v>
      </c>
      <c r="AZW91" s="77" t="str">
        <f t="shared" si="34"/>
        <v>O</v>
      </c>
      <c r="AZX91" s="79">
        <v>5</v>
      </c>
      <c r="AZY91" s="75">
        <v>1276006</v>
      </c>
      <c r="AZZ91" s="80"/>
      <c r="BAA91" s="81">
        <v>0.86944444444444446</v>
      </c>
      <c r="BAB91" s="74" t="s">
        <v>27</v>
      </c>
      <c r="BAC91" s="74" t="s">
        <v>24</v>
      </c>
      <c r="BAD91" s="75" t="s">
        <v>25</v>
      </c>
      <c r="BAE91" s="76">
        <f>IFERROR(VLOOKUP(BAD91,'[1]List KPI'!$A$103:$F$118,6,0),"")</f>
        <v>1.0416666666666666E-2</v>
      </c>
      <c r="BAF91" s="76">
        <v>0.86944444444444446</v>
      </c>
      <c r="BAG91" s="76">
        <v>0.86944444444444446</v>
      </c>
      <c r="BAH91" s="77" t="str">
        <f t="shared" si="33"/>
        <v>O</v>
      </c>
      <c r="BAI91" s="74" t="s">
        <v>28</v>
      </c>
      <c r="BAJ91" s="75" t="s">
        <v>23</v>
      </c>
      <c r="BAK91" s="78">
        <f>IFERROR(VLOOKUP(BAJ91,'[1]List KPI'!$M$3:$N$8,2,0),"")</f>
        <v>2.0833333333333332E-2</v>
      </c>
      <c r="BAL91" s="76">
        <v>0.89444444444444449</v>
      </c>
      <c r="BAM91" s="77" t="str">
        <f t="shared" si="34"/>
        <v>O</v>
      </c>
      <c r="BAN91" s="79">
        <v>5</v>
      </c>
      <c r="BAO91" s="75">
        <v>1276006</v>
      </c>
      <c r="BAP91" s="80"/>
      <c r="BAQ91" s="81">
        <v>0.86944444444444446</v>
      </c>
      <c r="BAR91" s="74" t="s">
        <v>27</v>
      </c>
      <c r="BAS91" s="74" t="s">
        <v>24</v>
      </c>
      <c r="BAT91" s="75" t="s">
        <v>25</v>
      </c>
      <c r="BAU91" s="76">
        <f>IFERROR(VLOOKUP(BAT91,'[1]List KPI'!$A$103:$F$118,6,0),"")</f>
        <v>1.0416666666666666E-2</v>
      </c>
      <c r="BAV91" s="76">
        <v>0.86944444444444446</v>
      </c>
      <c r="BAW91" s="76">
        <v>0.86944444444444446</v>
      </c>
      <c r="BAX91" s="77" t="str">
        <f t="shared" si="33"/>
        <v>O</v>
      </c>
      <c r="BAY91" s="74" t="s">
        <v>28</v>
      </c>
      <c r="BAZ91" s="75" t="s">
        <v>23</v>
      </c>
      <c r="BBA91" s="78">
        <f>IFERROR(VLOOKUP(BAZ91,'[1]List KPI'!$M$3:$N$8,2,0),"")</f>
        <v>2.0833333333333332E-2</v>
      </c>
      <c r="BBB91" s="76">
        <v>0.89444444444444449</v>
      </c>
      <c r="BBC91" s="77" t="str">
        <f t="shared" si="34"/>
        <v>O</v>
      </c>
      <c r="BBD91" s="79">
        <v>5</v>
      </c>
      <c r="BBE91" s="75">
        <v>1276006</v>
      </c>
      <c r="BBF91" s="80"/>
      <c r="BBG91" s="81">
        <v>0.86944444444444446</v>
      </c>
      <c r="BBH91" s="74" t="s">
        <v>27</v>
      </c>
      <c r="BBI91" s="74" t="s">
        <v>24</v>
      </c>
      <c r="BBJ91" s="75" t="s">
        <v>25</v>
      </c>
      <c r="BBK91" s="76">
        <f>IFERROR(VLOOKUP(BBJ91,'[1]List KPI'!$A$103:$F$118,6,0),"")</f>
        <v>1.0416666666666666E-2</v>
      </c>
      <c r="BBL91" s="76">
        <v>0.86944444444444446</v>
      </c>
      <c r="BBM91" s="76">
        <v>0.86944444444444446</v>
      </c>
      <c r="BBN91" s="77" t="str">
        <f t="shared" ref="BBN91:BDJ91" si="35">IF(BBM91="","",IF(BBM91&gt;BBV91,"O","P"))</f>
        <v>O</v>
      </c>
      <c r="BBO91" s="74" t="s">
        <v>28</v>
      </c>
      <c r="BBP91" s="75" t="s">
        <v>23</v>
      </c>
      <c r="BBQ91" s="78">
        <f>IFERROR(VLOOKUP(BBP91,'[1]List KPI'!$M$3:$N$8,2,0),"")</f>
        <v>2.0833333333333332E-2</v>
      </c>
      <c r="BBR91" s="76">
        <v>0.89444444444444449</v>
      </c>
      <c r="BBS91" s="77" t="str">
        <f t="shared" ref="BBS91:BDO91" si="36">IF(BBR91="","",IF(BBR91&gt;BBW91,"O","P"))</f>
        <v>O</v>
      </c>
      <c r="BBT91" s="79">
        <v>5</v>
      </c>
      <c r="BBU91" s="75">
        <v>1276006</v>
      </c>
      <c r="BBV91" s="80"/>
      <c r="BBW91" s="81">
        <v>0.86944444444444446</v>
      </c>
      <c r="BBX91" s="74" t="s">
        <v>27</v>
      </c>
      <c r="BBY91" s="74" t="s">
        <v>24</v>
      </c>
      <c r="BBZ91" s="75" t="s">
        <v>25</v>
      </c>
      <c r="BCA91" s="76">
        <f>IFERROR(VLOOKUP(BBZ91,'[1]List KPI'!$A$103:$F$118,6,0),"")</f>
        <v>1.0416666666666666E-2</v>
      </c>
      <c r="BCB91" s="76">
        <v>0.86944444444444446</v>
      </c>
      <c r="BCC91" s="76">
        <v>0.86944444444444446</v>
      </c>
      <c r="BCD91" s="77" t="str">
        <f t="shared" si="35"/>
        <v>O</v>
      </c>
      <c r="BCE91" s="74" t="s">
        <v>28</v>
      </c>
      <c r="BCF91" s="75" t="s">
        <v>23</v>
      </c>
      <c r="BCG91" s="78">
        <f>IFERROR(VLOOKUP(BCF91,'[1]List KPI'!$M$3:$N$8,2,0),"")</f>
        <v>2.0833333333333332E-2</v>
      </c>
      <c r="BCH91" s="76">
        <v>0.89444444444444449</v>
      </c>
      <c r="BCI91" s="77" t="str">
        <f t="shared" si="36"/>
        <v>O</v>
      </c>
      <c r="BCJ91" s="79">
        <v>5</v>
      </c>
      <c r="BCK91" s="75">
        <v>1276006</v>
      </c>
      <c r="BCL91" s="80"/>
      <c r="BCM91" s="81">
        <v>0.86944444444444446</v>
      </c>
      <c r="BCN91" s="74" t="s">
        <v>27</v>
      </c>
      <c r="BCO91" s="74" t="s">
        <v>24</v>
      </c>
      <c r="BCP91" s="75" t="s">
        <v>25</v>
      </c>
      <c r="BCQ91" s="76">
        <f>IFERROR(VLOOKUP(BCP91,'[1]List KPI'!$A$103:$F$118,6,0),"")</f>
        <v>1.0416666666666666E-2</v>
      </c>
      <c r="BCR91" s="76">
        <v>0.86944444444444446</v>
      </c>
      <c r="BCS91" s="76">
        <v>0.86944444444444446</v>
      </c>
      <c r="BCT91" s="77" t="str">
        <f t="shared" si="35"/>
        <v>O</v>
      </c>
      <c r="BCU91" s="74" t="s">
        <v>28</v>
      </c>
      <c r="BCV91" s="75" t="s">
        <v>23</v>
      </c>
      <c r="BCW91" s="78">
        <f>IFERROR(VLOOKUP(BCV91,'[1]List KPI'!$M$3:$N$8,2,0),"")</f>
        <v>2.0833333333333332E-2</v>
      </c>
      <c r="BCX91" s="76">
        <v>0.89444444444444449</v>
      </c>
      <c r="BCY91" s="77" t="str">
        <f t="shared" si="36"/>
        <v>O</v>
      </c>
      <c r="BCZ91" s="79">
        <v>5</v>
      </c>
      <c r="BDA91" s="75">
        <v>1276006</v>
      </c>
      <c r="BDB91" s="80"/>
      <c r="BDC91" s="81">
        <v>0.86944444444444446</v>
      </c>
      <c r="BDD91" s="74" t="s">
        <v>27</v>
      </c>
      <c r="BDE91" s="74" t="s">
        <v>24</v>
      </c>
      <c r="BDF91" s="75" t="s">
        <v>25</v>
      </c>
      <c r="BDG91" s="76">
        <f>IFERROR(VLOOKUP(BDF91,'[1]List KPI'!$A$103:$F$118,6,0),"")</f>
        <v>1.0416666666666666E-2</v>
      </c>
      <c r="BDH91" s="76">
        <v>0.86944444444444446</v>
      </c>
      <c r="BDI91" s="76">
        <v>0.86944444444444446</v>
      </c>
      <c r="BDJ91" s="77" t="str">
        <f t="shared" si="35"/>
        <v>O</v>
      </c>
      <c r="BDK91" s="74" t="s">
        <v>28</v>
      </c>
      <c r="BDL91" s="75" t="s">
        <v>23</v>
      </c>
      <c r="BDM91" s="78">
        <f>IFERROR(VLOOKUP(BDL91,'[1]List KPI'!$M$3:$N$8,2,0),"")</f>
        <v>2.0833333333333332E-2</v>
      </c>
      <c r="BDN91" s="76">
        <v>0.89444444444444449</v>
      </c>
      <c r="BDO91" s="77" t="str">
        <f t="shared" si="36"/>
        <v>O</v>
      </c>
      <c r="BDP91" s="79">
        <v>5</v>
      </c>
      <c r="BDQ91" s="75">
        <v>1276006</v>
      </c>
      <c r="BDR91" s="80"/>
      <c r="BDS91" s="81">
        <v>0.86944444444444446</v>
      </c>
      <c r="BDT91" s="74" t="s">
        <v>27</v>
      </c>
      <c r="BDU91" s="74" t="s">
        <v>24</v>
      </c>
      <c r="BDV91" s="75" t="s">
        <v>25</v>
      </c>
      <c r="BDW91" s="76">
        <f>IFERROR(VLOOKUP(BDV91,'[1]List KPI'!$A$103:$F$118,6,0),"")</f>
        <v>1.0416666666666666E-2</v>
      </c>
      <c r="BDX91" s="76">
        <v>0.86944444444444446</v>
      </c>
      <c r="BDY91" s="76">
        <v>0.86944444444444446</v>
      </c>
      <c r="BDZ91" s="77" t="str">
        <f t="shared" ref="BDZ91:BFV91" si="37">IF(BDY91="","",IF(BDY91&gt;BEH91,"O","P"))</f>
        <v>O</v>
      </c>
      <c r="BEA91" s="74" t="s">
        <v>28</v>
      </c>
      <c r="BEB91" s="75" t="s">
        <v>23</v>
      </c>
      <c r="BEC91" s="78">
        <f>IFERROR(VLOOKUP(BEB91,'[1]List KPI'!$M$3:$N$8,2,0),"")</f>
        <v>2.0833333333333332E-2</v>
      </c>
      <c r="BED91" s="76">
        <v>0.89444444444444449</v>
      </c>
      <c r="BEE91" s="77" t="str">
        <f t="shared" ref="BEE91:BGA91" si="38">IF(BED91="","",IF(BED91&gt;BEI91,"O","P"))</f>
        <v>O</v>
      </c>
      <c r="BEF91" s="79">
        <v>5</v>
      </c>
      <c r="BEG91" s="75">
        <v>1276006</v>
      </c>
      <c r="BEH91" s="80"/>
      <c r="BEI91" s="81">
        <v>0.86944444444444446</v>
      </c>
      <c r="BEJ91" s="74" t="s">
        <v>27</v>
      </c>
      <c r="BEK91" s="74" t="s">
        <v>24</v>
      </c>
      <c r="BEL91" s="75" t="s">
        <v>25</v>
      </c>
      <c r="BEM91" s="76">
        <f>IFERROR(VLOOKUP(BEL91,'[1]List KPI'!$A$103:$F$118,6,0),"")</f>
        <v>1.0416666666666666E-2</v>
      </c>
      <c r="BEN91" s="76">
        <v>0.86944444444444446</v>
      </c>
      <c r="BEO91" s="76">
        <v>0.86944444444444446</v>
      </c>
      <c r="BEP91" s="77" t="str">
        <f t="shared" si="37"/>
        <v>O</v>
      </c>
      <c r="BEQ91" s="74" t="s">
        <v>28</v>
      </c>
      <c r="BER91" s="75" t="s">
        <v>23</v>
      </c>
      <c r="BES91" s="78">
        <f>IFERROR(VLOOKUP(BER91,'[1]List KPI'!$M$3:$N$8,2,0),"")</f>
        <v>2.0833333333333332E-2</v>
      </c>
      <c r="BET91" s="76">
        <v>0.89444444444444449</v>
      </c>
      <c r="BEU91" s="77" t="str">
        <f t="shared" si="38"/>
        <v>O</v>
      </c>
      <c r="BEV91" s="79">
        <v>5</v>
      </c>
      <c r="BEW91" s="75">
        <v>1276006</v>
      </c>
      <c r="BEX91" s="80"/>
      <c r="BEY91" s="81">
        <v>0.86944444444444446</v>
      </c>
      <c r="BEZ91" s="74" t="s">
        <v>27</v>
      </c>
      <c r="BFA91" s="74" t="s">
        <v>24</v>
      </c>
      <c r="BFB91" s="75" t="s">
        <v>25</v>
      </c>
      <c r="BFC91" s="76">
        <f>IFERROR(VLOOKUP(BFB91,'[1]List KPI'!$A$103:$F$118,6,0),"")</f>
        <v>1.0416666666666666E-2</v>
      </c>
      <c r="BFD91" s="76">
        <v>0.86944444444444446</v>
      </c>
      <c r="BFE91" s="76">
        <v>0.86944444444444446</v>
      </c>
      <c r="BFF91" s="77" t="str">
        <f t="shared" si="37"/>
        <v>O</v>
      </c>
      <c r="BFG91" s="74" t="s">
        <v>28</v>
      </c>
      <c r="BFH91" s="75" t="s">
        <v>23</v>
      </c>
      <c r="BFI91" s="78">
        <f>IFERROR(VLOOKUP(BFH91,'[1]List KPI'!$M$3:$N$8,2,0),"")</f>
        <v>2.0833333333333332E-2</v>
      </c>
      <c r="BFJ91" s="76">
        <v>0.89444444444444449</v>
      </c>
      <c r="BFK91" s="77" t="str">
        <f t="shared" si="38"/>
        <v>O</v>
      </c>
      <c r="BFL91" s="79">
        <v>5</v>
      </c>
      <c r="BFM91" s="75">
        <v>1276006</v>
      </c>
      <c r="BFN91" s="80"/>
      <c r="BFO91" s="81">
        <v>0.86944444444444446</v>
      </c>
      <c r="BFP91" s="74" t="s">
        <v>27</v>
      </c>
      <c r="BFQ91" s="74" t="s">
        <v>24</v>
      </c>
      <c r="BFR91" s="75" t="s">
        <v>25</v>
      </c>
      <c r="BFS91" s="76">
        <f>IFERROR(VLOOKUP(BFR91,'[1]List KPI'!$A$103:$F$118,6,0),"")</f>
        <v>1.0416666666666666E-2</v>
      </c>
      <c r="BFT91" s="76">
        <v>0.86944444444444446</v>
      </c>
      <c r="BFU91" s="76">
        <v>0.86944444444444446</v>
      </c>
      <c r="BFV91" s="77" t="str">
        <f t="shared" si="37"/>
        <v>O</v>
      </c>
      <c r="BFW91" s="74" t="s">
        <v>28</v>
      </c>
      <c r="BFX91" s="75" t="s">
        <v>23</v>
      </c>
      <c r="BFY91" s="78">
        <f>IFERROR(VLOOKUP(BFX91,'[1]List KPI'!$M$3:$N$8,2,0),"")</f>
        <v>2.0833333333333332E-2</v>
      </c>
      <c r="BFZ91" s="76">
        <v>0.89444444444444449</v>
      </c>
      <c r="BGA91" s="77" t="str">
        <f t="shared" si="38"/>
        <v>O</v>
      </c>
      <c r="BGB91" s="79">
        <v>5</v>
      </c>
      <c r="BGC91" s="75">
        <v>1276006</v>
      </c>
      <c r="BGD91" s="80"/>
      <c r="BGE91" s="81">
        <v>0.86944444444444446</v>
      </c>
      <c r="BGF91" s="74" t="s">
        <v>27</v>
      </c>
      <c r="BGG91" s="74" t="s">
        <v>24</v>
      </c>
      <c r="BGH91" s="75" t="s">
        <v>25</v>
      </c>
      <c r="BGI91" s="76">
        <f>IFERROR(VLOOKUP(BGH91,'[1]List KPI'!$A$103:$F$118,6,0),"")</f>
        <v>1.0416666666666666E-2</v>
      </c>
      <c r="BGJ91" s="76">
        <v>0.86944444444444446</v>
      </c>
      <c r="BGK91" s="76">
        <v>0.86944444444444446</v>
      </c>
      <c r="BGL91" s="77" t="str">
        <f t="shared" ref="BGL91:BIH91" si="39">IF(BGK91="","",IF(BGK91&gt;BGT91,"O","P"))</f>
        <v>O</v>
      </c>
      <c r="BGM91" s="74" t="s">
        <v>28</v>
      </c>
      <c r="BGN91" s="75" t="s">
        <v>23</v>
      </c>
      <c r="BGO91" s="78">
        <f>IFERROR(VLOOKUP(BGN91,'[1]List KPI'!$M$3:$N$8,2,0),"")</f>
        <v>2.0833333333333332E-2</v>
      </c>
      <c r="BGP91" s="76">
        <v>0.89444444444444449</v>
      </c>
      <c r="BGQ91" s="77" t="str">
        <f t="shared" ref="BGQ91:BIM91" si="40">IF(BGP91="","",IF(BGP91&gt;BGU91,"O","P"))</f>
        <v>O</v>
      </c>
      <c r="BGR91" s="79">
        <v>5</v>
      </c>
      <c r="BGS91" s="75">
        <v>1276006</v>
      </c>
      <c r="BGT91" s="80"/>
      <c r="BGU91" s="81">
        <v>0.86944444444444446</v>
      </c>
      <c r="BGV91" s="74" t="s">
        <v>27</v>
      </c>
      <c r="BGW91" s="74" t="s">
        <v>24</v>
      </c>
      <c r="BGX91" s="75" t="s">
        <v>25</v>
      </c>
      <c r="BGY91" s="76">
        <f>IFERROR(VLOOKUP(BGX91,'[1]List KPI'!$A$103:$F$118,6,0),"")</f>
        <v>1.0416666666666666E-2</v>
      </c>
      <c r="BGZ91" s="76">
        <v>0.86944444444444446</v>
      </c>
      <c r="BHA91" s="76">
        <v>0.86944444444444446</v>
      </c>
      <c r="BHB91" s="77" t="str">
        <f t="shared" si="39"/>
        <v>O</v>
      </c>
      <c r="BHC91" s="74" t="s">
        <v>28</v>
      </c>
      <c r="BHD91" s="75" t="s">
        <v>23</v>
      </c>
      <c r="BHE91" s="78">
        <f>IFERROR(VLOOKUP(BHD91,'[1]List KPI'!$M$3:$N$8,2,0),"")</f>
        <v>2.0833333333333332E-2</v>
      </c>
      <c r="BHF91" s="76">
        <v>0.89444444444444449</v>
      </c>
      <c r="BHG91" s="77" t="str">
        <f t="shared" si="40"/>
        <v>O</v>
      </c>
      <c r="BHH91" s="79">
        <v>5</v>
      </c>
      <c r="BHI91" s="75">
        <v>1276006</v>
      </c>
      <c r="BHJ91" s="80"/>
      <c r="BHK91" s="81">
        <v>0.86944444444444446</v>
      </c>
      <c r="BHL91" s="74" t="s">
        <v>27</v>
      </c>
      <c r="BHM91" s="74" t="s">
        <v>24</v>
      </c>
      <c r="BHN91" s="75" t="s">
        <v>25</v>
      </c>
      <c r="BHO91" s="76">
        <f>IFERROR(VLOOKUP(BHN91,'[1]List KPI'!$A$103:$F$118,6,0),"")</f>
        <v>1.0416666666666666E-2</v>
      </c>
      <c r="BHP91" s="76">
        <v>0.86944444444444446</v>
      </c>
      <c r="BHQ91" s="76">
        <v>0.86944444444444446</v>
      </c>
      <c r="BHR91" s="77" t="str">
        <f t="shared" si="39"/>
        <v>O</v>
      </c>
      <c r="BHS91" s="74" t="s">
        <v>28</v>
      </c>
      <c r="BHT91" s="75" t="s">
        <v>23</v>
      </c>
      <c r="BHU91" s="78">
        <f>IFERROR(VLOOKUP(BHT91,'[1]List KPI'!$M$3:$N$8,2,0),"")</f>
        <v>2.0833333333333332E-2</v>
      </c>
      <c r="BHV91" s="76">
        <v>0.89444444444444449</v>
      </c>
      <c r="BHW91" s="77" t="str">
        <f t="shared" si="40"/>
        <v>O</v>
      </c>
      <c r="BHX91" s="79">
        <v>5</v>
      </c>
      <c r="BHY91" s="75">
        <v>1276006</v>
      </c>
      <c r="BHZ91" s="80"/>
      <c r="BIA91" s="81">
        <v>0.86944444444444446</v>
      </c>
      <c r="BIB91" s="74" t="s">
        <v>27</v>
      </c>
      <c r="BIC91" s="74" t="s">
        <v>24</v>
      </c>
      <c r="BID91" s="75" t="s">
        <v>25</v>
      </c>
      <c r="BIE91" s="76">
        <f>IFERROR(VLOOKUP(BID91,'[1]List KPI'!$A$103:$F$118,6,0),"")</f>
        <v>1.0416666666666666E-2</v>
      </c>
      <c r="BIF91" s="76">
        <v>0.86944444444444446</v>
      </c>
      <c r="BIG91" s="76">
        <v>0.86944444444444446</v>
      </c>
      <c r="BIH91" s="77" t="str">
        <f t="shared" si="39"/>
        <v>O</v>
      </c>
      <c r="BII91" s="74" t="s">
        <v>28</v>
      </c>
      <c r="BIJ91" s="75" t="s">
        <v>23</v>
      </c>
      <c r="BIK91" s="78">
        <f>IFERROR(VLOOKUP(BIJ91,'[1]List KPI'!$M$3:$N$8,2,0),"")</f>
        <v>2.0833333333333332E-2</v>
      </c>
      <c r="BIL91" s="76">
        <v>0.89444444444444449</v>
      </c>
      <c r="BIM91" s="77" t="str">
        <f t="shared" si="40"/>
        <v>O</v>
      </c>
      <c r="BIN91" s="79">
        <v>5</v>
      </c>
      <c r="BIO91" s="75">
        <v>1276006</v>
      </c>
      <c r="BIP91" s="80"/>
      <c r="BIQ91" s="81">
        <v>0.86944444444444446</v>
      </c>
      <c r="BIR91" s="74" t="s">
        <v>27</v>
      </c>
      <c r="BIS91" s="74" t="s">
        <v>24</v>
      </c>
      <c r="BIT91" s="75" t="s">
        <v>25</v>
      </c>
      <c r="BIU91" s="76">
        <f>IFERROR(VLOOKUP(BIT91,'[1]List KPI'!$A$103:$F$118,6,0),"")</f>
        <v>1.0416666666666666E-2</v>
      </c>
      <c r="BIV91" s="76">
        <v>0.86944444444444446</v>
      </c>
      <c r="BIW91" s="76">
        <v>0.86944444444444446</v>
      </c>
      <c r="BIX91" s="77" t="str">
        <f t="shared" ref="BIX91:BKT91" si="41">IF(BIW91="","",IF(BIW91&gt;BJF91,"O","P"))</f>
        <v>O</v>
      </c>
      <c r="BIY91" s="74" t="s">
        <v>28</v>
      </c>
      <c r="BIZ91" s="75" t="s">
        <v>23</v>
      </c>
      <c r="BJA91" s="78">
        <f>IFERROR(VLOOKUP(BIZ91,'[1]List KPI'!$M$3:$N$8,2,0),"")</f>
        <v>2.0833333333333332E-2</v>
      </c>
      <c r="BJB91" s="76">
        <v>0.89444444444444449</v>
      </c>
      <c r="BJC91" s="77" t="str">
        <f t="shared" ref="BJC91:BKY91" si="42">IF(BJB91="","",IF(BJB91&gt;BJG91,"O","P"))</f>
        <v>O</v>
      </c>
      <c r="BJD91" s="79">
        <v>5</v>
      </c>
      <c r="BJE91" s="75">
        <v>1276006</v>
      </c>
      <c r="BJF91" s="80"/>
      <c r="BJG91" s="81">
        <v>0.86944444444444446</v>
      </c>
      <c r="BJH91" s="74" t="s">
        <v>27</v>
      </c>
      <c r="BJI91" s="74" t="s">
        <v>24</v>
      </c>
      <c r="BJJ91" s="75" t="s">
        <v>25</v>
      </c>
      <c r="BJK91" s="76">
        <f>IFERROR(VLOOKUP(BJJ91,'[1]List KPI'!$A$103:$F$118,6,0),"")</f>
        <v>1.0416666666666666E-2</v>
      </c>
      <c r="BJL91" s="76">
        <v>0.86944444444444446</v>
      </c>
      <c r="BJM91" s="76">
        <v>0.86944444444444446</v>
      </c>
      <c r="BJN91" s="77" t="str">
        <f t="shared" si="41"/>
        <v>O</v>
      </c>
      <c r="BJO91" s="74" t="s">
        <v>28</v>
      </c>
      <c r="BJP91" s="75" t="s">
        <v>23</v>
      </c>
      <c r="BJQ91" s="78">
        <f>IFERROR(VLOOKUP(BJP91,'[1]List KPI'!$M$3:$N$8,2,0),"")</f>
        <v>2.0833333333333332E-2</v>
      </c>
      <c r="BJR91" s="76">
        <v>0.89444444444444449</v>
      </c>
      <c r="BJS91" s="77" t="str">
        <f t="shared" si="42"/>
        <v>O</v>
      </c>
      <c r="BJT91" s="79">
        <v>5</v>
      </c>
      <c r="BJU91" s="75">
        <v>1276006</v>
      </c>
      <c r="BJV91" s="80"/>
      <c r="BJW91" s="81">
        <v>0.86944444444444446</v>
      </c>
      <c r="BJX91" s="74" t="s">
        <v>27</v>
      </c>
      <c r="BJY91" s="74" t="s">
        <v>24</v>
      </c>
      <c r="BJZ91" s="75" t="s">
        <v>25</v>
      </c>
      <c r="BKA91" s="76">
        <f>IFERROR(VLOOKUP(BJZ91,'[1]List KPI'!$A$103:$F$118,6,0),"")</f>
        <v>1.0416666666666666E-2</v>
      </c>
      <c r="BKB91" s="76">
        <v>0.86944444444444446</v>
      </c>
      <c r="BKC91" s="76">
        <v>0.86944444444444446</v>
      </c>
      <c r="BKD91" s="77" t="str">
        <f t="shared" si="41"/>
        <v>O</v>
      </c>
      <c r="BKE91" s="74" t="s">
        <v>28</v>
      </c>
      <c r="BKF91" s="75" t="s">
        <v>23</v>
      </c>
      <c r="BKG91" s="78">
        <f>IFERROR(VLOOKUP(BKF91,'[1]List KPI'!$M$3:$N$8,2,0),"")</f>
        <v>2.0833333333333332E-2</v>
      </c>
      <c r="BKH91" s="76">
        <v>0.89444444444444449</v>
      </c>
      <c r="BKI91" s="77" t="str">
        <f t="shared" si="42"/>
        <v>O</v>
      </c>
      <c r="BKJ91" s="79">
        <v>5</v>
      </c>
      <c r="BKK91" s="75">
        <v>1276006</v>
      </c>
      <c r="BKL91" s="80"/>
      <c r="BKM91" s="81">
        <v>0.86944444444444446</v>
      </c>
      <c r="BKN91" s="74" t="s">
        <v>27</v>
      </c>
      <c r="BKO91" s="74" t="s">
        <v>24</v>
      </c>
      <c r="BKP91" s="75" t="s">
        <v>25</v>
      </c>
      <c r="BKQ91" s="76">
        <f>IFERROR(VLOOKUP(BKP91,'[1]List KPI'!$A$103:$F$118,6,0),"")</f>
        <v>1.0416666666666666E-2</v>
      </c>
      <c r="BKR91" s="76">
        <v>0.86944444444444446</v>
      </c>
      <c r="BKS91" s="76">
        <v>0.86944444444444446</v>
      </c>
      <c r="BKT91" s="77" t="str">
        <f t="shared" si="41"/>
        <v>O</v>
      </c>
      <c r="BKU91" s="74" t="s">
        <v>28</v>
      </c>
      <c r="BKV91" s="75" t="s">
        <v>23</v>
      </c>
      <c r="BKW91" s="78">
        <f>IFERROR(VLOOKUP(BKV91,'[1]List KPI'!$M$3:$N$8,2,0),"")</f>
        <v>2.0833333333333332E-2</v>
      </c>
      <c r="BKX91" s="76">
        <v>0.89444444444444449</v>
      </c>
      <c r="BKY91" s="77" t="str">
        <f t="shared" si="42"/>
        <v>O</v>
      </c>
      <c r="BKZ91" s="79">
        <v>5</v>
      </c>
      <c r="BLA91" s="75">
        <v>1276006</v>
      </c>
      <c r="BLB91" s="80"/>
      <c r="BLC91" s="81">
        <v>0.86944444444444446</v>
      </c>
      <c r="BLD91" s="74" t="s">
        <v>27</v>
      </c>
      <c r="BLE91" s="74" t="s">
        <v>24</v>
      </c>
      <c r="BLF91" s="75" t="s">
        <v>25</v>
      </c>
      <c r="BLG91" s="76">
        <f>IFERROR(VLOOKUP(BLF91,'[1]List KPI'!$A$103:$F$118,6,0),"")</f>
        <v>1.0416666666666666E-2</v>
      </c>
      <c r="BLH91" s="76">
        <v>0.86944444444444446</v>
      </c>
      <c r="BLI91" s="76">
        <v>0.86944444444444446</v>
      </c>
      <c r="BLJ91" s="77" t="str">
        <f t="shared" ref="BLJ91:BNF91" si="43">IF(BLI91="","",IF(BLI91&gt;BLR91,"O","P"))</f>
        <v>O</v>
      </c>
      <c r="BLK91" s="74" t="s">
        <v>28</v>
      </c>
      <c r="BLL91" s="75" t="s">
        <v>23</v>
      </c>
      <c r="BLM91" s="78">
        <f>IFERROR(VLOOKUP(BLL91,'[1]List KPI'!$M$3:$N$8,2,0),"")</f>
        <v>2.0833333333333332E-2</v>
      </c>
      <c r="BLN91" s="76">
        <v>0.89444444444444449</v>
      </c>
      <c r="BLO91" s="77" t="str">
        <f t="shared" ref="BLO91:BNK91" si="44">IF(BLN91="","",IF(BLN91&gt;BLS91,"O","P"))</f>
        <v>O</v>
      </c>
      <c r="BLP91" s="79">
        <v>5</v>
      </c>
      <c r="BLQ91" s="75">
        <v>1276006</v>
      </c>
      <c r="BLR91" s="80"/>
      <c r="BLS91" s="81">
        <v>0.86944444444444446</v>
      </c>
      <c r="BLT91" s="74" t="s">
        <v>27</v>
      </c>
      <c r="BLU91" s="74" t="s">
        <v>24</v>
      </c>
      <c r="BLV91" s="75" t="s">
        <v>25</v>
      </c>
      <c r="BLW91" s="76">
        <f>IFERROR(VLOOKUP(BLV91,'[1]List KPI'!$A$103:$F$118,6,0),"")</f>
        <v>1.0416666666666666E-2</v>
      </c>
      <c r="BLX91" s="76">
        <v>0.86944444444444446</v>
      </c>
      <c r="BLY91" s="76">
        <v>0.86944444444444446</v>
      </c>
      <c r="BLZ91" s="77" t="str">
        <f t="shared" si="43"/>
        <v>O</v>
      </c>
      <c r="BMA91" s="74" t="s">
        <v>28</v>
      </c>
      <c r="BMB91" s="75" t="s">
        <v>23</v>
      </c>
      <c r="BMC91" s="78">
        <f>IFERROR(VLOOKUP(BMB91,'[1]List KPI'!$M$3:$N$8,2,0),"")</f>
        <v>2.0833333333333332E-2</v>
      </c>
      <c r="BMD91" s="76">
        <v>0.89444444444444449</v>
      </c>
      <c r="BME91" s="77" t="str">
        <f t="shared" si="44"/>
        <v>O</v>
      </c>
      <c r="BMF91" s="79">
        <v>5</v>
      </c>
      <c r="BMG91" s="75">
        <v>1276006</v>
      </c>
      <c r="BMH91" s="80"/>
      <c r="BMI91" s="81">
        <v>0.86944444444444446</v>
      </c>
      <c r="BMJ91" s="74" t="s">
        <v>27</v>
      </c>
      <c r="BMK91" s="74" t="s">
        <v>24</v>
      </c>
      <c r="BML91" s="75" t="s">
        <v>25</v>
      </c>
      <c r="BMM91" s="76">
        <f>IFERROR(VLOOKUP(BML91,'[1]List KPI'!$A$103:$F$118,6,0),"")</f>
        <v>1.0416666666666666E-2</v>
      </c>
      <c r="BMN91" s="76">
        <v>0.86944444444444446</v>
      </c>
      <c r="BMO91" s="76">
        <v>0.86944444444444446</v>
      </c>
      <c r="BMP91" s="77" t="str">
        <f t="shared" si="43"/>
        <v>O</v>
      </c>
      <c r="BMQ91" s="74" t="s">
        <v>28</v>
      </c>
      <c r="BMR91" s="75" t="s">
        <v>23</v>
      </c>
      <c r="BMS91" s="78">
        <f>IFERROR(VLOOKUP(BMR91,'[1]List KPI'!$M$3:$N$8,2,0),"")</f>
        <v>2.0833333333333332E-2</v>
      </c>
      <c r="BMT91" s="76">
        <v>0.89444444444444449</v>
      </c>
      <c r="BMU91" s="77" t="str">
        <f t="shared" si="44"/>
        <v>O</v>
      </c>
      <c r="BMV91" s="79">
        <v>5</v>
      </c>
      <c r="BMW91" s="75">
        <v>1276006</v>
      </c>
      <c r="BMX91" s="80"/>
      <c r="BMY91" s="81">
        <v>0.86944444444444446</v>
      </c>
      <c r="BMZ91" s="74" t="s">
        <v>27</v>
      </c>
      <c r="BNA91" s="74" t="s">
        <v>24</v>
      </c>
      <c r="BNB91" s="75" t="s">
        <v>25</v>
      </c>
      <c r="BNC91" s="76">
        <f>IFERROR(VLOOKUP(BNB91,'[1]List KPI'!$A$103:$F$118,6,0),"")</f>
        <v>1.0416666666666666E-2</v>
      </c>
      <c r="BND91" s="76">
        <v>0.86944444444444446</v>
      </c>
      <c r="BNE91" s="76">
        <v>0.86944444444444446</v>
      </c>
      <c r="BNF91" s="77" t="str">
        <f t="shared" si="43"/>
        <v>O</v>
      </c>
      <c r="BNG91" s="74" t="s">
        <v>28</v>
      </c>
      <c r="BNH91" s="75" t="s">
        <v>23</v>
      </c>
      <c r="BNI91" s="78">
        <f>IFERROR(VLOOKUP(BNH91,'[1]List KPI'!$M$3:$N$8,2,0),"")</f>
        <v>2.0833333333333332E-2</v>
      </c>
      <c r="BNJ91" s="76">
        <v>0.89444444444444449</v>
      </c>
      <c r="BNK91" s="77" t="str">
        <f t="shared" si="44"/>
        <v>O</v>
      </c>
      <c r="BNL91" s="79">
        <v>5</v>
      </c>
      <c r="BNM91" s="75">
        <v>1276006</v>
      </c>
      <c r="BNN91" s="80"/>
      <c r="BNO91" s="81">
        <v>0.86944444444444446</v>
      </c>
      <c r="BNP91" s="74" t="s">
        <v>27</v>
      </c>
      <c r="BNQ91" s="74" t="s">
        <v>24</v>
      </c>
      <c r="BNR91" s="75" t="s">
        <v>25</v>
      </c>
      <c r="BNS91" s="76">
        <f>IFERROR(VLOOKUP(BNR91,'[1]List KPI'!$A$103:$F$118,6,0),"")</f>
        <v>1.0416666666666666E-2</v>
      </c>
      <c r="BNT91" s="76">
        <v>0.86944444444444446</v>
      </c>
      <c r="BNU91" s="76">
        <v>0.86944444444444446</v>
      </c>
      <c r="BNV91" s="77" t="str">
        <f t="shared" ref="BNV91:BPR91" si="45">IF(BNU91="","",IF(BNU91&gt;BOD91,"O","P"))</f>
        <v>O</v>
      </c>
      <c r="BNW91" s="74" t="s">
        <v>28</v>
      </c>
      <c r="BNX91" s="75" t="s">
        <v>23</v>
      </c>
      <c r="BNY91" s="78">
        <f>IFERROR(VLOOKUP(BNX91,'[1]List KPI'!$M$3:$N$8,2,0),"")</f>
        <v>2.0833333333333332E-2</v>
      </c>
      <c r="BNZ91" s="76">
        <v>0.89444444444444449</v>
      </c>
      <c r="BOA91" s="77" t="str">
        <f t="shared" ref="BOA91:BPW91" si="46">IF(BNZ91="","",IF(BNZ91&gt;BOE91,"O","P"))</f>
        <v>O</v>
      </c>
      <c r="BOB91" s="79">
        <v>5</v>
      </c>
      <c r="BOC91" s="75">
        <v>1276006</v>
      </c>
      <c r="BOD91" s="80"/>
      <c r="BOE91" s="81">
        <v>0.86944444444444446</v>
      </c>
      <c r="BOF91" s="74" t="s">
        <v>27</v>
      </c>
      <c r="BOG91" s="74" t="s">
        <v>24</v>
      </c>
      <c r="BOH91" s="75" t="s">
        <v>25</v>
      </c>
      <c r="BOI91" s="76">
        <f>IFERROR(VLOOKUP(BOH91,'[1]List KPI'!$A$103:$F$118,6,0),"")</f>
        <v>1.0416666666666666E-2</v>
      </c>
      <c r="BOJ91" s="76">
        <v>0.86944444444444446</v>
      </c>
      <c r="BOK91" s="76">
        <v>0.86944444444444446</v>
      </c>
      <c r="BOL91" s="77" t="str">
        <f t="shared" si="45"/>
        <v>O</v>
      </c>
      <c r="BOM91" s="74" t="s">
        <v>28</v>
      </c>
      <c r="BON91" s="75" t="s">
        <v>23</v>
      </c>
      <c r="BOO91" s="78">
        <f>IFERROR(VLOOKUP(BON91,'[1]List KPI'!$M$3:$N$8,2,0),"")</f>
        <v>2.0833333333333332E-2</v>
      </c>
      <c r="BOP91" s="76">
        <v>0.89444444444444449</v>
      </c>
      <c r="BOQ91" s="77" t="str">
        <f t="shared" si="46"/>
        <v>O</v>
      </c>
      <c r="BOR91" s="79">
        <v>5</v>
      </c>
      <c r="BOS91" s="75">
        <v>1276006</v>
      </c>
      <c r="BOT91" s="80"/>
      <c r="BOU91" s="81">
        <v>0.86944444444444446</v>
      </c>
      <c r="BOV91" s="74" t="s">
        <v>27</v>
      </c>
      <c r="BOW91" s="74" t="s">
        <v>24</v>
      </c>
      <c r="BOX91" s="75" t="s">
        <v>25</v>
      </c>
      <c r="BOY91" s="76">
        <f>IFERROR(VLOOKUP(BOX91,'[1]List KPI'!$A$103:$F$118,6,0),"")</f>
        <v>1.0416666666666666E-2</v>
      </c>
      <c r="BOZ91" s="76">
        <v>0.86944444444444446</v>
      </c>
      <c r="BPA91" s="76">
        <v>0.86944444444444446</v>
      </c>
      <c r="BPB91" s="77" t="str">
        <f t="shared" si="45"/>
        <v>O</v>
      </c>
      <c r="BPC91" s="74" t="s">
        <v>28</v>
      </c>
      <c r="BPD91" s="75" t="s">
        <v>23</v>
      </c>
      <c r="BPE91" s="78">
        <f>IFERROR(VLOOKUP(BPD91,'[1]List KPI'!$M$3:$N$8,2,0),"")</f>
        <v>2.0833333333333332E-2</v>
      </c>
      <c r="BPF91" s="76">
        <v>0.89444444444444449</v>
      </c>
      <c r="BPG91" s="77" t="str">
        <f t="shared" si="46"/>
        <v>O</v>
      </c>
      <c r="BPH91" s="79">
        <v>5</v>
      </c>
      <c r="BPI91" s="75">
        <v>1276006</v>
      </c>
      <c r="BPJ91" s="80"/>
      <c r="BPK91" s="81">
        <v>0.86944444444444446</v>
      </c>
      <c r="BPL91" s="74" t="s">
        <v>27</v>
      </c>
      <c r="BPM91" s="74" t="s">
        <v>24</v>
      </c>
      <c r="BPN91" s="75" t="s">
        <v>25</v>
      </c>
      <c r="BPO91" s="76">
        <f>IFERROR(VLOOKUP(BPN91,'[1]List KPI'!$A$103:$F$118,6,0),"")</f>
        <v>1.0416666666666666E-2</v>
      </c>
      <c r="BPP91" s="76">
        <v>0.86944444444444446</v>
      </c>
      <c r="BPQ91" s="76">
        <v>0.86944444444444446</v>
      </c>
      <c r="BPR91" s="77" t="str">
        <f t="shared" si="45"/>
        <v>O</v>
      </c>
      <c r="BPS91" s="74" t="s">
        <v>28</v>
      </c>
      <c r="BPT91" s="75" t="s">
        <v>23</v>
      </c>
      <c r="BPU91" s="78">
        <f>IFERROR(VLOOKUP(BPT91,'[1]List KPI'!$M$3:$N$8,2,0),"")</f>
        <v>2.0833333333333332E-2</v>
      </c>
      <c r="BPV91" s="76">
        <v>0.89444444444444449</v>
      </c>
      <c r="BPW91" s="77" t="str">
        <f t="shared" si="46"/>
        <v>O</v>
      </c>
      <c r="BPX91" s="79">
        <v>5</v>
      </c>
      <c r="BPY91" s="75">
        <v>1276006</v>
      </c>
      <c r="BPZ91" s="80"/>
      <c r="BQA91" s="81">
        <v>0.86944444444444446</v>
      </c>
      <c r="BQB91" s="74" t="s">
        <v>27</v>
      </c>
      <c r="BQC91" s="74" t="s">
        <v>24</v>
      </c>
      <c r="BQD91" s="75" t="s">
        <v>25</v>
      </c>
      <c r="BQE91" s="76">
        <f>IFERROR(VLOOKUP(BQD91,'[1]List KPI'!$A$103:$F$118,6,0),"")</f>
        <v>1.0416666666666666E-2</v>
      </c>
      <c r="BQF91" s="76">
        <v>0.86944444444444446</v>
      </c>
      <c r="BQG91" s="76">
        <v>0.86944444444444446</v>
      </c>
      <c r="BQH91" s="77" t="str">
        <f t="shared" ref="BQH91:BSD91" si="47">IF(BQG91="","",IF(BQG91&gt;BQP91,"O","P"))</f>
        <v>O</v>
      </c>
      <c r="BQI91" s="74" t="s">
        <v>28</v>
      </c>
      <c r="BQJ91" s="75" t="s">
        <v>23</v>
      </c>
      <c r="BQK91" s="78">
        <f>IFERROR(VLOOKUP(BQJ91,'[1]List KPI'!$M$3:$N$8,2,0),"")</f>
        <v>2.0833333333333332E-2</v>
      </c>
      <c r="BQL91" s="76">
        <v>0.89444444444444449</v>
      </c>
      <c r="BQM91" s="77" t="str">
        <f t="shared" ref="BQM91:BSI91" si="48">IF(BQL91="","",IF(BQL91&gt;BQQ91,"O","P"))</f>
        <v>O</v>
      </c>
      <c r="BQN91" s="79">
        <v>5</v>
      </c>
      <c r="BQO91" s="75">
        <v>1276006</v>
      </c>
      <c r="BQP91" s="80"/>
      <c r="BQQ91" s="81">
        <v>0.86944444444444446</v>
      </c>
      <c r="BQR91" s="74" t="s">
        <v>27</v>
      </c>
      <c r="BQS91" s="74" t="s">
        <v>24</v>
      </c>
      <c r="BQT91" s="75" t="s">
        <v>25</v>
      </c>
      <c r="BQU91" s="76">
        <f>IFERROR(VLOOKUP(BQT91,'[1]List KPI'!$A$103:$F$118,6,0),"")</f>
        <v>1.0416666666666666E-2</v>
      </c>
      <c r="BQV91" s="76">
        <v>0.86944444444444446</v>
      </c>
      <c r="BQW91" s="76">
        <v>0.86944444444444446</v>
      </c>
      <c r="BQX91" s="77" t="str">
        <f t="shared" si="47"/>
        <v>O</v>
      </c>
      <c r="BQY91" s="74" t="s">
        <v>28</v>
      </c>
      <c r="BQZ91" s="75" t="s">
        <v>23</v>
      </c>
      <c r="BRA91" s="78">
        <f>IFERROR(VLOOKUP(BQZ91,'[1]List KPI'!$M$3:$N$8,2,0),"")</f>
        <v>2.0833333333333332E-2</v>
      </c>
      <c r="BRB91" s="76">
        <v>0.89444444444444449</v>
      </c>
      <c r="BRC91" s="77" t="str">
        <f t="shared" si="48"/>
        <v>O</v>
      </c>
      <c r="BRD91" s="79">
        <v>5</v>
      </c>
      <c r="BRE91" s="75">
        <v>1276006</v>
      </c>
      <c r="BRF91" s="80"/>
      <c r="BRG91" s="81">
        <v>0.86944444444444446</v>
      </c>
      <c r="BRH91" s="74" t="s">
        <v>27</v>
      </c>
      <c r="BRI91" s="74" t="s">
        <v>24</v>
      </c>
      <c r="BRJ91" s="75" t="s">
        <v>25</v>
      </c>
      <c r="BRK91" s="76">
        <f>IFERROR(VLOOKUP(BRJ91,'[1]List KPI'!$A$103:$F$118,6,0),"")</f>
        <v>1.0416666666666666E-2</v>
      </c>
      <c r="BRL91" s="76">
        <v>0.86944444444444446</v>
      </c>
      <c r="BRM91" s="76">
        <v>0.86944444444444446</v>
      </c>
      <c r="BRN91" s="77" t="str">
        <f t="shared" si="47"/>
        <v>O</v>
      </c>
      <c r="BRO91" s="74" t="s">
        <v>28</v>
      </c>
      <c r="BRP91" s="75" t="s">
        <v>23</v>
      </c>
      <c r="BRQ91" s="78">
        <f>IFERROR(VLOOKUP(BRP91,'[1]List KPI'!$M$3:$N$8,2,0),"")</f>
        <v>2.0833333333333332E-2</v>
      </c>
      <c r="BRR91" s="76">
        <v>0.89444444444444449</v>
      </c>
      <c r="BRS91" s="77" t="str">
        <f t="shared" si="48"/>
        <v>O</v>
      </c>
      <c r="BRT91" s="79">
        <v>5</v>
      </c>
      <c r="BRU91" s="75">
        <v>1276006</v>
      </c>
      <c r="BRV91" s="80"/>
      <c r="BRW91" s="81">
        <v>0.86944444444444446</v>
      </c>
      <c r="BRX91" s="74" t="s">
        <v>27</v>
      </c>
      <c r="BRY91" s="74" t="s">
        <v>24</v>
      </c>
      <c r="BRZ91" s="75" t="s">
        <v>25</v>
      </c>
      <c r="BSA91" s="76">
        <f>IFERROR(VLOOKUP(BRZ91,'[1]List KPI'!$A$103:$F$118,6,0),"")</f>
        <v>1.0416666666666666E-2</v>
      </c>
      <c r="BSB91" s="76">
        <v>0.86944444444444446</v>
      </c>
      <c r="BSC91" s="76">
        <v>0.86944444444444446</v>
      </c>
      <c r="BSD91" s="77" t="str">
        <f t="shared" si="47"/>
        <v>O</v>
      </c>
      <c r="BSE91" s="74" t="s">
        <v>28</v>
      </c>
      <c r="BSF91" s="75" t="s">
        <v>23</v>
      </c>
      <c r="BSG91" s="78">
        <f>IFERROR(VLOOKUP(BSF91,'[1]List KPI'!$M$3:$N$8,2,0),"")</f>
        <v>2.0833333333333332E-2</v>
      </c>
      <c r="BSH91" s="76">
        <v>0.89444444444444449</v>
      </c>
      <c r="BSI91" s="77" t="str">
        <f t="shared" si="48"/>
        <v>O</v>
      </c>
      <c r="BSJ91" s="79">
        <v>5</v>
      </c>
      <c r="BSK91" s="75">
        <v>1276006</v>
      </c>
      <c r="BSL91" s="80"/>
      <c r="BSM91" s="81">
        <v>0.86944444444444446</v>
      </c>
      <c r="BSN91" s="74" t="s">
        <v>27</v>
      </c>
      <c r="BSO91" s="74" t="s">
        <v>24</v>
      </c>
      <c r="BSP91" s="75" t="s">
        <v>25</v>
      </c>
      <c r="BSQ91" s="76">
        <f>IFERROR(VLOOKUP(BSP91,'[1]List KPI'!$A$103:$F$118,6,0),"")</f>
        <v>1.0416666666666666E-2</v>
      </c>
      <c r="BSR91" s="76">
        <v>0.86944444444444446</v>
      </c>
      <c r="BSS91" s="76">
        <v>0.86944444444444446</v>
      </c>
      <c r="BST91" s="77" t="str">
        <f t="shared" ref="BST91:BUP91" si="49">IF(BSS91="","",IF(BSS91&gt;BTB91,"O","P"))</f>
        <v>O</v>
      </c>
      <c r="BSU91" s="74" t="s">
        <v>28</v>
      </c>
      <c r="BSV91" s="75" t="s">
        <v>23</v>
      </c>
      <c r="BSW91" s="78">
        <f>IFERROR(VLOOKUP(BSV91,'[1]List KPI'!$M$3:$N$8,2,0),"")</f>
        <v>2.0833333333333332E-2</v>
      </c>
      <c r="BSX91" s="76">
        <v>0.89444444444444449</v>
      </c>
      <c r="BSY91" s="77" t="str">
        <f t="shared" ref="BSY91:BUU91" si="50">IF(BSX91="","",IF(BSX91&gt;BTC91,"O","P"))</f>
        <v>O</v>
      </c>
      <c r="BSZ91" s="79">
        <v>5</v>
      </c>
      <c r="BTA91" s="75">
        <v>1276006</v>
      </c>
      <c r="BTB91" s="80"/>
      <c r="BTC91" s="81">
        <v>0.86944444444444446</v>
      </c>
      <c r="BTD91" s="74" t="s">
        <v>27</v>
      </c>
      <c r="BTE91" s="74" t="s">
        <v>24</v>
      </c>
      <c r="BTF91" s="75" t="s">
        <v>25</v>
      </c>
      <c r="BTG91" s="76">
        <f>IFERROR(VLOOKUP(BTF91,'[1]List KPI'!$A$103:$F$118,6,0),"")</f>
        <v>1.0416666666666666E-2</v>
      </c>
      <c r="BTH91" s="76">
        <v>0.86944444444444446</v>
      </c>
      <c r="BTI91" s="76">
        <v>0.86944444444444446</v>
      </c>
      <c r="BTJ91" s="77" t="str">
        <f t="shared" si="49"/>
        <v>O</v>
      </c>
      <c r="BTK91" s="74" t="s">
        <v>28</v>
      </c>
      <c r="BTL91" s="75" t="s">
        <v>23</v>
      </c>
      <c r="BTM91" s="78">
        <f>IFERROR(VLOOKUP(BTL91,'[1]List KPI'!$M$3:$N$8,2,0),"")</f>
        <v>2.0833333333333332E-2</v>
      </c>
      <c r="BTN91" s="76">
        <v>0.89444444444444449</v>
      </c>
      <c r="BTO91" s="77" t="str">
        <f t="shared" si="50"/>
        <v>O</v>
      </c>
      <c r="BTP91" s="79">
        <v>5</v>
      </c>
      <c r="BTQ91" s="75">
        <v>1276006</v>
      </c>
      <c r="BTR91" s="80"/>
      <c r="BTS91" s="81">
        <v>0.86944444444444446</v>
      </c>
      <c r="BTT91" s="74" t="s">
        <v>27</v>
      </c>
      <c r="BTU91" s="74" t="s">
        <v>24</v>
      </c>
      <c r="BTV91" s="75" t="s">
        <v>25</v>
      </c>
      <c r="BTW91" s="76">
        <f>IFERROR(VLOOKUP(BTV91,'[1]List KPI'!$A$103:$F$118,6,0),"")</f>
        <v>1.0416666666666666E-2</v>
      </c>
      <c r="BTX91" s="76">
        <v>0.86944444444444446</v>
      </c>
      <c r="BTY91" s="76">
        <v>0.86944444444444446</v>
      </c>
      <c r="BTZ91" s="77" t="str">
        <f t="shared" si="49"/>
        <v>O</v>
      </c>
      <c r="BUA91" s="74" t="s">
        <v>28</v>
      </c>
      <c r="BUB91" s="75" t="s">
        <v>23</v>
      </c>
      <c r="BUC91" s="78">
        <f>IFERROR(VLOOKUP(BUB91,'[1]List KPI'!$M$3:$N$8,2,0),"")</f>
        <v>2.0833333333333332E-2</v>
      </c>
      <c r="BUD91" s="76">
        <v>0.89444444444444449</v>
      </c>
      <c r="BUE91" s="77" t="str">
        <f t="shared" si="50"/>
        <v>O</v>
      </c>
      <c r="BUF91" s="79">
        <v>5</v>
      </c>
      <c r="BUG91" s="75">
        <v>1276006</v>
      </c>
      <c r="BUH91" s="80"/>
      <c r="BUI91" s="81">
        <v>0.86944444444444446</v>
      </c>
      <c r="BUJ91" s="74" t="s">
        <v>27</v>
      </c>
      <c r="BUK91" s="74" t="s">
        <v>24</v>
      </c>
      <c r="BUL91" s="75" t="s">
        <v>25</v>
      </c>
      <c r="BUM91" s="76">
        <f>IFERROR(VLOOKUP(BUL91,'[1]List KPI'!$A$103:$F$118,6,0),"")</f>
        <v>1.0416666666666666E-2</v>
      </c>
      <c r="BUN91" s="76">
        <v>0.86944444444444446</v>
      </c>
      <c r="BUO91" s="76">
        <v>0.86944444444444446</v>
      </c>
      <c r="BUP91" s="77" t="str">
        <f t="shared" si="49"/>
        <v>O</v>
      </c>
      <c r="BUQ91" s="74" t="s">
        <v>28</v>
      </c>
      <c r="BUR91" s="75" t="s">
        <v>23</v>
      </c>
      <c r="BUS91" s="78">
        <f>IFERROR(VLOOKUP(BUR91,'[1]List KPI'!$M$3:$N$8,2,0),"")</f>
        <v>2.0833333333333332E-2</v>
      </c>
      <c r="BUT91" s="76">
        <v>0.89444444444444449</v>
      </c>
      <c r="BUU91" s="77" t="str">
        <f t="shared" si="50"/>
        <v>O</v>
      </c>
      <c r="BUV91" s="79">
        <v>5</v>
      </c>
      <c r="BUW91" s="75">
        <v>1276006</v>
      </c>
      <c r="BUX91" s="80"/>
      <c r="BUY91" s="81">
        <v>0.86944444444444446</v>
      </c>
      <c r="BUZ91" s="74" t="s">
        <v>27</v>
      </c>
      <c r="BVA91" s="74" t="s">
        <v>24</v>
      </c>
      <c r="BVB91" s="75" t="s">
        <v>25</v>
      </c>
      <c r="BVC91" s="76">
        <f>IFERROR(VLOOKUP(BVB91,'[1]List KPI'!$A$103:$F$118,6,0),"")</f>
        <v>1.0416666666666666E-2</v>
      </c>
      <c r="BVD91" s="76">
        <v>0.86944444444444446</v>
      </c>
      <c r="BVE91" s="76">
        <v>0.86944444444444446</v>
      </c>
      <c r="BVF91" s="77" t="str">
        <f t="shared" ref="BVF91:BXB91" si="51">IF(BVE91="","",IF(BVE91&gt;BVN91,"O","P"))</f>
        <v>O</v>
      </c>
      <c r="BVG91" s="74" t="s">
        <v>28</v>
      </c>
      <c r="BVH91" s="75" t="s">
        <v>23</v>
      </c>
      <c r="BVI91" s="78">
        <f>IFERROR(VLOOKUP(BVH91,'[1]List KPI'!$M$3:$N$8,2,0),"")</f>
        <v>2.0833333333333332E-2</v>
      </c>
      <c r="BVJ91" s="76">
        <v>0.89444444444444449</v>
      </c>
      <c r="BVK91" s="77" t="str">
        <f t="shared" ref="BVK91:BXG91" si="52">IF(BVJ91="","",IF(BVJ91&gt;BVO91,"O","P"))</f>
        <v>O</v>
      </c>
      <c r="BVL91" s="79">
        <v>5</v>
      </c>
      <c r="BVM91" s="75">
        <v>1276006</v>
      </c>
      <c r="BVN91" s="80"/>
      <c r="BVO91" s="81">
        <v>0.86944444444444446</v>
      </c>
      <c r="BVP91" s="74" t="s">
        <v>27</v>
      </c>
      <c r="BVQ91" s="74" t="s">
        <v>24</v>
      </c>
      <c r="BVR91" s="75" t="s">
        <v>25</v>
      </c>
      <c r="BVS91" s="76">
        <f>IFERROR(VLOOKUP(BVR91,'[1]List KPI'!$A$103:$F$118,6,0),"")</f>
        <v>1.0416666666666666E-2</v>
      </c>
      <c r="BVT91" s="76">
        <v>0.86944444444444446</v>
      </c>
      <c r="BVU91" s="76">
        <v>0.86944444444444446</v>
      </c>
      <c r="BVV91" s="77" t="str">
        <f t="shared" si="51"/>
        <v>O</v>
      </c>
      <c r="BVW91" s="74" t="s">
        <v>28</v>
      </c>
      <c r="BVX91" s="75" t="s">
        <v>23</v>
      </c>
      <c r="BVY91" s="78">
        <f>IFERROR(VLOOKUP(BVX91,'[1]List KPI'!$M$3:$N$8,2,0),"")</f>
        <v>2.0833333333333332E-2</v>
      </c>
      <c r="BVZ91" s="76">
        <v>0.89444444444444449</v>
      </c>
      <c r="BWA91" s="77" t="str">
        <f t="shared" si="52"/>
        <v>O</v>
      </c>
      <c r="BWB91" s="79">
        <v>5</v>
      </c>
      <c r="BWC91" s="75">
        <v>1276006</v>
      </c>
      <c r="BWD91" s="80"/>
      <c r="BWE91" s="81">
        <v>0.86944444444444446</v>
      </c>
      <c r="BWF91" s="74" t="s">
        <v>27</v>
      </c>
      <c r="BWG91" s="74" t="s">
        <v>24</v>
      </c>
      <c r="BWH91" s="75" t="s">
        <v>25</v>
      </c>
      <c r="BWI91" s="76">
        <f>IFERROR(VLOOKUP(BWH91,'[1]List KPI'!$A$103:$F$118,6,0),"")</f>
        <v>1.0416666666666666E-2</v>
      </c>
      <c r="BWJ91" s="76">
        <v>0.86944444444444446</v>
      </c>
      <c r="BWK91" s="76">
        <v>0.86944444444444446</v>
      </c>
      <c r="BWL91" s="77" t="str">
        <f t="shared" si="51"/>
        <v>O</v>
      </c>
      <c r="BWM91" s="74" t="s">
        <v>28</v>
      </c>
      <c r="BWN91" s="75" t="s">
        <v>23</v>
      </c>
      <c r="BWO91" s="78">
        <f>IFERROR(VLOOKUP(BWN91,'[1]List KPI'!$M$3:$N$8,2,0),"")</f>
        <v>2.0833333333333332E-2</v>
      </c>
      <c r="BWP91" s="76">
        <v>0.89444444444444449</v>
      </c>
      <c r="BWQ91" s="77" t="str">
        <f t="shared" si="52"/>
        <v>O</v>
      </c>
      <c r="BWR91" s="79">
        <v>5</v>
      </c>
      <c r="BWS91" s="75">
        <v>1276006</v>
      </c>
      <c r="BWT91" s="80"/>
      <c r="BWU91" s="81">
        <v>0.86944444444444446</v>
      </c>
      <c r="BWV91" s="74" t="s">
        <v>27</v>
      </c>
      <c r="BWW91" s="74" t="s">
        <v>24</v>
      </c>
      <c r="BWX91" s="75" t="s">
        <v>25</v>
      </c>
      <c r="BWY91" s="76">
        <f>IFERROR(VLOOKUP(BWX91,'[1]List KPI'!$A$103:$F$118,6,0),"")</f>
        <v>1.0416666666666666E-2</v>
      </c>
      <c r="BWZ91" s="76">
        <v>0.86944444444444446</v>
      </c>
      <c r="BXA91" s="76">
        <v>0.86944444444444446</v>
      </c>
      <c r="BXB91" s="77" t="str">
        <f t="shared" si="51"/>
        <v>O</v>
      </c>
      <c r="BXC91" s="74" t="s">
        <v>28</v>
      </c>
      <c r="BXD91" s="75" t="s">
        <v>23</v>
      </c>
      <c r="BXE91" s="78">
        <f>IFERROR(VLOOKUP(BXD91,'[1]List KPI'!$M$3:$N$8,2,0),"")</f>
        <v>2.0833333333333332E-2</v>
      </c>
      <c r="BXF91" s="76">
        <v>0.89444444444444449</v>
      </c>
      <c r="BXG91" s="77" t="str">
        <f t="shared" si="52"/>
        <v>O</v>
      </c>
      <c r="BXH91" s="79">
        <v>5</v>
      </c>
      <c r="BXI91" s="75">
        <v>1276006</v>
      </c>
      <c r="BXJ91" s="80"/>
      <c r="BXK91" s="81">
        <v>0.86944444444444446</v>
      </c>
      <c r="BXL91" s="74" t="s">
        <v>27</v>
      </c>
      <c r="BXM91" s="74" t="s">
        <v>24</v>
      </c>
      <c r="BXN91" s="75" t="s">
        <v>25</v>
      </c>
      <c r="BXO91" s="76">
        <f>IFERROR(VLOOKUP(BXN91,'[1]List KPI'!$A$103:$F$118,6,0),"")</f>
        <v>1.0416666666666666E-2</v>
      </c>
      <c r="BXP91" s="76">
        <v>0.86944444444444446</v>
      </c>
      <c r="BXQ91" s="76">
        <v>0.86944444444444446</v>
      </c>
      <c r="BXR91" s="77" t="str">
        <f t="shared" ref="BXR91:BZN91" si="53">IF(BXQ91="","",IF(BXQ91&gt;BXZ91,"O","P"))</f>
        <v>O</v>
      </c>
      <c r="BXS91" s="74" t="s">
        <v>28</v>
      </c>
      <c r="BXT91" s="75" t="s">
        <v>23</v>
      </c>
      <c r="BXU91" s="78">
        <f>IFERROR(VLOOKUP(BXT91,'[1]List KPI'!$M$3:$N$8,2,0),"")</f>
        <v>2.0833333333333332E-2</v>
      </c>
      <c r="BXV91" s="76">
        <v>0.89444444444444449</v>
      </c>
      <c r="BXW91" s="77" t="str">
        <f t="shared" ref="BXW91:BZS91" si="54">IF(BXV91="","",IF(BXV91&gt;BYA91,"O","P"))</f>
        <v>O</v>
      </c>
      <c r="BXX91" s="79">
        <v>5</v>
      </c>
      <c r="BXY91" s="75">
        <v>1276006</v>
      </c>
      <c r="BXZ91" s="80"/>
      <c r="BYA91" s="81">
        <v>0.86944444444444446</v>
      </c>
      <c r="BYB91" s="74" t="s">
        <v>27</v>
      </c>
      <c r="BYC91" s="74" t="s">
        <v>24</v>
      </c>
      <c r="BYD91" s="75" t="s">
        <v>25</v>
      </c>
      <c r="BYE91" s="76">
        <f>IFERROR(VLOOKUP(BYD91,'[1]List KPI'!$A$103:$F$118,6,0),"")</f>
        <v>1.0416666666666666E-2</v>
      </c>
      <c r="BYF91" s="76">
        <v>0.86944444444444446</v>
      </c>
      <c r="BYG91" s="76">
        <v>0.86944444444444446</v>
      </c>
      <c r="BYH91" s="77" t="str">
        <f t="shared" si="53"/>
        <v>O</v>
      </c>
      <c r="BYI91" s="74" t="s">
        <v>28</v>
      </c>
      <c r="BYJ91" s="75" t="s">
        <v>23</v>
      </c>
      <c r="BYK91" s="78">
        <f>IFERROR(VLOOKUP(BYJ91,'[1]List KPI'!$M$3:$N$8,2,0),"")</f>
        <v>2.0833333333333332E-2</v>
      </c>
      <c r="BYL91" s="76">
        <v>0.89444444444444449</v>
      </c>
      <c r="BYM91" s="77" t="str">
        <f t="shared" si="54"/>
        <v>O</v>
      </c>
      <c r="BYN91" s="79">
        <v>5</v>
      </c>
      <c r="BYO91" s="75">
        <v>1276006</v>
      </c>
      <c r="BYP91" s="80"/>
      <c r="BYQ91" s="81">
        <v>0.86944444444444446</v>
      </c>
      <c r="BYR91" s="74" t="s">
        <v>27</v>
      </c>
      <c r="BYS91" s="74" t="s">
        <v>24</v>
      </c>
      <c r="BYT91" s="75" t="s">
        <v>25</v>
      </c>
      <c r="BYU91" s="76">
        <f>IFERROR(VLOOKUP(BYT91,'[1]List KPI'!$A$103:$F$118,6,0),"")</f>
        <v>1.0416666666666666E-2</v>
      </c>
      <c r="BYV91" s="76">
        <v>0.86944444444444446</v>
      </c>
      <c r="BYW91" s="76">
        <v>0.86944444444444446</v>
      </c>
      <c r="BYX91" s="77" t="str">
        <f t="shared" si="53"/>
        <v>O</v>
      </c>
      <c r="BYY91" s="74" t="s">
        <v>28</v>
      </c>
      <c r="BYZ91" s="75" t="s">
        <v>23</v>
      </c>
      <c r="BZA91" s="78">
        <f>IFERROR(VLOOKUP(BYZ91,'[1]List KPI'!$M$3:$N$8,2,0),"")</f>
        <v>2.0833333333333332E-2</v>
      </c>
      <c r="BZB91" s="76">
        <v>0.89444444444444449</v>
      </c>
      <c r="BZC91" s="77" t="str">
        <f t="shared" si="54"/>
        <v>O</v>
      </c>
      <c r="BZD91" s="79">
        <v>5</v>
      </c>
      <c r="BZE91" s="75">
        <v>1276006</v>
      </c>
      <c r="BZF91" s="80"/>
      <c r="BZG91" s="81">
        <v>0.86944444444444446</v>
      </c>
      <c r="BZH91" s="74" t="s">
        <v>27</v>
      </c>
      <c r="BZI91" s="74" t="s">
        <v>24</v>
      </c>
      <c r="BZJ91" s="75" t="s">
        <v>25</v>
      </c>
      <c r="BZK91" s="76">
        <f>IFERROR(VLOOKUP(BZJ91,'[1]List KPI'!$A$103:$F$118,6,0),"")</f>
        <v>1.0416666666666666E-2</v>
      </c>
      <c r="BZL91" s="76">
        <v>0.86944444444444446</v>
      </c>
      <c r="BZM91" s="76">
        <v>0.86944444444444446</v>
      </c>
      <c r="BZN91" s="77" t="str">
        <f t="shared" si="53"/>
        <v>O</v>
      </c>
      <c r="BZO91" s="74" t="s">
        <v>28</v>
      </c>
      <c r="BZP91" s="75" t="s">
        <v>23</v>
      </c>
      <c r="BZQ91" s="78">
        <f>IFERROR(VLOOKUP(BZP91,'[1]List KPI'!$M$3:$N$8,2,0),"")</f>
        <v>2.0833333333333332E-2</v>
      </c>
      <c r="BZR91" s="76">
        <v>0.89444444444444449</v>
      </c>
      <c r="BZS91" s="77" t="str">
        <f t="shared" si="54"/>
        <v>O</v>
      </c>
      <c r="BZT91" s="79">
        <v>5</v>
      </c>
      <c r="BZU91" s="75">
        <v>1276006</v>
      </c>
      <c r="BZV91" s="80"/>
      <c r="BZW91" s="81">
        <v>0.86944444444444446</v>
      </c>
      <c r="BZX91" s="74" t="s">
        <v>27</v>
      </c>
      <c r="BZY91" s="74" t="s">
        <v>24</v>
      </c>
      <c r="BZZ91" s="75" t="s">
        <v>25</v>
      </c>
      <c r="CAA91" s="76">
        <f>IFERROR(VLOOKUP(BZZ91,'[1]List KPI'!$A$103:$F$118,6,0),"")</f>
        <v>1.0416666666666666E-2</v>
      </c>
      <c r="CAB91" s="76">
        <v>0.86944444444444446</v>
      </c>
      <c r="CAC91" s="76">
        <v>0.86944444444444446</v>
      </c>
      <c r="CAD91" s="77" t="str">
        <f t="shared" ref="CAD91:CBZ91" si="55">IF(CAC91="","",IF(CAC91&gt;CAL91,"O","P"))</f>
        <v>O</v>
      </c>
      <c r="CAE91" s="74" t="s">
        <v>28</v>
      </c>
      <c r="CAF91" s="75" t="s">
        <v>23</v>
      </c>
      <c r="CAG91" s="78">
        <f>IFERROR(VLOOKUP(CAF91,'[1]List KPI'!$M$3:$N$8,2,0),"")</f>
        <v>2.0833333333333332E-2</v>
      </c>
      <c r="CAH91" s="76">
        <v>0.89444444444444449</v>
      </c>
      <c r="CAI91" s="77" t="str">
        <f t="shared" ref="CAI91:CCE91" si="56">IF(CAH91="","",IF(CAH91&gt;CAM91,"O","P"))</f>
        <v>O</v>
      </c>
      <c r="CAJ91" s="79">
        <v>5</v>
      </c>
      <c r="CAK91" s="75">
        <v>1276006</v>
      </c>
      <c r="CAL91" s="80"/>
      <c r="CAM91" s="81">
        <v>0.86944444444444446</v>
      </c>
      <c r="CAN91" s="74" t="s">
        <v>27</v>
      </c>
      <c r="CAO91" s="74" t="s">
        <v>24</v>
      </c>
      <c r="CAP91" s="75" t="s">
        <v>25</v>
      </c>
      <c r="CAQ91" s="76">
        <f>IFERROR(VLOOKUP(CAP91,'[1]List KPI'!$A$103:$F$118,6,0),"")</f>
        <v>1.0416666666666666E-2</v>
      </c>
      <c r="CAR91" s="76">
        <v>0.86944444444444446</v>
      </c>
      <c r="CAS91" s="76">
        <v>0.86944444444444446</v>
      </c>
      <c r="CAT91" s="77" t="str">
        <f t="shared" si="55"/>
        <v>O</v>
      </c>
      <c r="CAU91" s="74" t="s">
        <v>28</v>
      </c>
      <c r="CAV91" s="75" t="s">
        <v>23</v>
      </c>
      <c r="CAW91" s="78">
        <f>IFERROR(VLOOKUP(CAV91,'[1]List KPI'!$M$3:$N$8,2,0),"")</f>
        <v>2.0833333333333332E-2</v>
      </c>
      <c r="CAX91" s="76">
        <v>0.89444444444444449</v>
      </c>
      <c r="CAY91" s="77" t="str">
        <f t="shared" si="56"/>
        <v>O</v>
      </c>
      <c r="CAZ91" s="79">
        <v>5</v>
      </c>
      <c r="CBA91" s="75">
        <v>1276006</v>
      </c>
      <c r="CBB91" s="80"/>
      <c r="CBC91" s="81">
        <v>0.86944444444444446</v>
      </c>
      <c r="CBD91" s="74" t="s">
        <v>27</v>
      </c>
      <c r="CBE91" s="74" t="s">
        <v>24</v>
      </c>
      <c r="CBF91" s="75" t="s">
        <v>25</v>
      </c>
      <c r="CBG91" s="76">
        <f>IFERROR(VLOOKUP(CBF91,'[1]List KPI'!$A$103:$F$118,6,0),"")</f>
        <v>1.0416666666666666E-2</v>
      </c>
      <c r="CBH91" s="76">
        <v>0.86944444444444446</v>
      </c>
      <c r="CBI91" s="76">
        <v>0.86944444444444446</v>
      </c>
      <c r="CBJ91" s="77" t="str">
        <f t="shared" si="55"/>
        <v>O</v>
      </c>
      <c r="CBK91" s="74" t="s">
        <v>28</v>
      </c>
      <c r="CBL91" s="75" t="s">
        <v>23</v>
      </c>
      <c r="CBM91" s="78">
        <f>IFERROR(VLOOKUP(CBL91,'[1]List KPI'!$M$3:$N$8,2,0),"")</f>
        <v>2.0833333333333332E-2</v>
      </c>
      <c r="CBN91" s="76">
        <v>0.89444444444444449</v>
      </c>
      <c r="CBO91" s="77" t="str">
        <f t="shared" si="56"/>
        <v>O</v>
      </c>
      <c r="CBP91" s="79">
        <v>5</v>
      </c>
      <c r="CBQ91" s="75">
        <v>1276006</v>
      </c>
      <c r="CBR91" s="80"/>
      <c r="CBS91" s="81">
        <v>0.86944444444444446</v>
      </c>
      <c r="CBT91" s="74" t="s">
        <v>27</v>
      </c>
      <c r="CBU91" s="74" t="s">
        <v>24</v>
      </c>
      <c r="CBV91" s="75" t="s">
        <v>25</v>
      </c>
      <c r="CBW91" s="76">
        <f>IFERROR(VLOOKUP(CBV91,'[1]List KPI'!$A$103:$F$118,6,0),"")</f>
        <v>1.0416666666666666E-2</v>
      </c>
      <c r="CBX91" s="76">
        <v>0.86944444444444446</v>
      </c>
      <c r="CBY91" s="76">
        <v>0.86944444444444446</v>
      </c>
      <c r="CBZ91" s="77" t="str">
        <f t="shared" si="55"/>
        <v>O</v>
      </c>
      <c r="CCA91" s="74" t="s">
        <v>28</v>
      </c>
      <c r="CCB91" s="75" t="s">
        <v>23</v>
      </c>
      <c r="CCC91" s="78">
        <f>IFERROR(VLOOKUP(CCB91,'[1]List KPI'!$M$3:$N$8,2,0),"")</f>
        <v>2.0833333333333332E-2</v>
      </c>
      <c r="CCD91" s="76">
        <v>0.89444444444444449</v>
      </c>
      <c r="CCE91" s="77" t="str">
        <f t="shared" si="56"/>
        <v>O</v>
      </c>
      <c r="CCF91" s="79">
        <v>5</v>
      </c>
      <c r="CCG91" s="75">
        <v>1276006</v>
      </c>
      <c r="CCH91" s="80"/>
      <c r="CCI91" s="81">
        <v>0.86944444444444446</v>
      </c>
      <c r="CCJ91" s="74" t="s">
        <v>27</v>
      </c>
      <c r="CCK91" s="74" t="s">
        <v>24</v>
      </c>
      <c r="CCL91" s="75" t="s">
        <v>25</v>
      </c>
      <c r="CCM91" s="76">
        <f>IFERROR(VLOOKUP(CCL91,'[1]List KPI'!$A$103:$F$118,6,0),"")</f>
        <v>1.0416666666666666E-2</v>
      </c>
      <c r="CCN91" s="76">
        <v>0.86944444444444446</v>
      </c>
      <c r="CCO91" s="76">
        <v>0.86944444444444446</v>
      </c>
      <c r="CCP91" s="77" t="str">
        <f t="shared" ref="CCP91:CEL91" si="57">IF(CCO91="","",IF(CCO91&gt;CCX91,"O","P"))</f>
        <v>O</v>
      </c>
      <c r="CCQ91" s="74" t="s">
        <v>28</v>
      </c>
      <c r="CCR91" s="75" t="s">
        <v>23</v>
      </c>
      <c r="CCS91" s="78">
        <f>IFERROR(VLOOKUP(CCR91,'[1]List KPI'!$M$3:$N$8,2,0),"")</f>
        <v>2.0833333333333332E-2</v>
      </c>
      <c r="CCT91" s="76">
        <v>0.89444444444444449</v>
      </c>
      <c r="CCU91" s="77" t="str">
        <f t="shared" ref="CCU91:CEQ91" si="58">IF(CCT91="","",IF(CCT91&gt;CCY91,"O","P"))</f>
        <v>O</v>
      </c>
      <c r="CCV91" s="79">
        <v>5</v>
      </c>
      <c r="CCW91" s="75">
        <v>1276006</v>
      </c>
      <c r="CCX91" s="80"/>
      <c r="CCY91" s="81">
        <v>0.86944444444444446</v>
      </c>
      <c r="CCZ91" s="74" t="s">
        <v>27</v>
      </c>
      <c r="CDA91" s="74" t="s">
        <v>24</v>
      </c>
      <c r="CDB91" s="75" t="s">
        <v>25</v>
      </c>
      <c r="CDC91" s="76">
        <f>IFERROR(VLOOKUP(CDB91,'[1]List KPI'!$A$103:$F$118,6,0),"")</f>
        <v>1.0416666666666666E-2</v>
      </c>
      <c r="CDD91" s="76">
        <v>0.86944444444444446</v>
      </c>
      <c r="CDE91" s="76">
        <v>0.86944444444444446</v>
      </c>
      <c r="CDF91" s="77" t="str">
        <f t="shared" si="57"/>
        <v>O</v>
      </c>
      <c r="CDG91" s="74" t="s">
        <v>28</v>
      </c>
      <c r="CDH91" s="75" t="s">
        <v>23</v>
      </c>
      <c r="CDI91" s="78">
        <f>IFERROR(VLOOKUP(CDH91,'[1]List KPI'!$M$3:$N$8,2,0),"")</f>
        <v>2.0833333333333332E-2</v>
      </c>
      <c r="CDJ91" s="76">
        <v>0.89444444444444449</v>
      </c>
      <c r="CDK91" s="77" t="str">
        <f t="shared" si="58"/>
        <v>O</v>
      </c>
      <c r="CDL91" s="79">
        <v>5</v>
      </c>
      <c r="CDM91" s="75">
        <v>1276006</v>
      </c>
      <c r="CDN91" s="80"/>
      <c r="CDO91" s="81">
        <v>0.86944444444444446</v>
      </c>
      <c r="CDP91" s="74" t="s">
        <v>27</v>
      </c>
      <c r="CDQ91" s="74" t="s">
        <v>24</v>
      </c>
      <c r="CDR91" s="75" t="s">
        <v>25</v>
      </c>
      <c r="CDS91" s="76">
        <f>IFERROR(VLOOKUP(CDR91,'[1]List KPI'!$A$103:$F$118,6,0),"")</f>
        <v>1.0416666666666666E-2</v>
      </c>
      <c r="CDT91" s="76">
        <v>0.86944444444444446</v>
      </c>
      <c r="CDU91" s="76">
        <v>0.86944444444444446</v>
      </c>
      <c r="CDV91" s="77" t="str">
        <f t="shared" si="57"/>
        <v>O</v>
      </c>
      <c r="CDW91" s="74" t="s">
        <v>28</v>
      </c>
      <c r="CDX91" s="75" t="s">
        <v>23</v>
      </c>
      <c r="CDY91" s="78">
        <f>IFERROR(VLOOKUP(CDX91,'[1]List KPI'!$M$3:$N$8,2,0),"")</f>
        <v>2.0833333333333332E-2</v>
      </c>
      <c r="CDZ91" s="76">
        <v>0.89444444444444449</v>
      </c>
      <c r="CEA91" s="77" t="str">
        <f t="shared" si="58"/>
        <v>O</v>
      </c>
      <c r="CEB91" s="79">
        <v>5</v>
      </c>
      <c r="CEC91" s="75">
        <v>1276006</v>
      </c>
      <c r="CED91" s="80"/>
      <c r="CEE91" s="81">
        <v>0.86944444444444446</v>
      </c>
      <c r="CEF91" s="74" t="s">
        <v>27</v>
      </c>
      <c r="CEG91" s="74" t="s">
        <v>24</v>
      </c>
      <c r="CEH91" s="75" t="s">
        <v>25</v>
      </c>
      <c r="CEI91" s="76">
        <f>IFERROR(VLOOKUP(CEH91,'[1]List KPI'!$A$103:$F$118,6,0),"")</f>
        <v>1.0416666666666666E-2</v>
      </c>
      <c r="CEJ91" s="76">
        <v>0.86944444444444446</v>
      </c>
      <c r="CEK91" s="76">
        <v>0.86944444444444446</v>
      </c>
      <c r="CEL91" s="77" t="str">
        <f t="shared" si="57"/>
        <v>O</v>
      </c>
      <c r="CEM91" s="74" t="s">
        <v>28</v>
      </c>
      <c r="CEN91" s="75" t="s">
        <v>23</v>
      </c>
      <c r="CEO91" s="78">
        <f>IFERROR(VLOOKUP(CEN91,'[1]List KPI'!$M$3:$N$8,2,0),"")</f>
        <v>2.0833333333333332E-2</v>
      </c>
      <c r="CEP91" s="76">
        <v>0.89444444444444449</v>
      </c>
      <c r="CEQ91" s="77" t="str">
        <f t="shared" si="58"/>
        <v>O</v>
      </c>
      <c r="CER91" s="79">
        <v>5</v>
      </c>
      <c r="CES91" s="75">
        <v>1276006</v>
      </c>
      <c r="CET91" s="80"/>
      <c r="CEU91" s="81">
        <v>0.86944444444444446</v>
      </c>
      <c r="CEV91" s="74" t="s">
        <v>27</v>
      </c>
      <c r="CEW91" s="74" t="s">
        <v>24</v>
      </c>
      <c r="CEX91" s="75" t="s">
        <v>25</v>
      </c>
      <c r="CEY91" s="76">
        <f>IFERROR(VLOOKUP(CEX91,'[1]List KPI'!$A$103:$F$118,6,0),"")</f>
        <v>1.0416666666666666E-2</v>
      </c>
      <c r="CEZ91" s="76">
        <v>0.86944444444444446</v>
      </c>
      <c r="CFA91" s="76">
        <v>0.86944444444444446</v>
      </c>
      <c r="CFB91" s="77" t="str">
        <f t="shared" ref="CFB91:CGX91" si="59">IF(CFA91="","",IF(CFA91&gt;CFJ91,"O","P"))</f>
        <v>O</v>
      </c>
      <c r="CFC91" s="74" t="s">
        <v>28</v>
      </c>
      <c r="CFD91" s="75" t="s">
        <v>23</v>
      </c>
      <c r="CFE91" s="78">
        <f>IFERROR(VLOOKUP(CFD91,'[1]List KPI'!$M$3:$N$8,2,0),"")</f>
        <v>2.0833333333333332E-2</v>
      </c>
      <c r="CFF91" s="76">
        <v>0.89444444444444449</v>
      </c>
      <c r="CFG91" s="77" t="str">
        <f t="shared" ref="CFG91:CHC91" si="60">IF(CFF91="","",IF(CFF91&gt;CFK91,"O","P"))</f>
        <v>O</v>
      </c>
      <c r="CFH91" s="79">
        <v>5</v>
      </c>
      <c r="CFI91" s="75">
        <v>1276006</v>
      </c>
      <c r="CFJ91" s="80"/>
      <c r="CFK91" s="81">
        <v>0.86944444444444446</v>
      </c>
      <c r="CFL91" s="74" t="s">
        <v>27</v>
      </c>
      <c r="CFM91" s="74" t="s">
        <v>24</v>
      </c>
      <c r="CFN91" s="75" t="s">
        <v>25</v>
      </c>
      <c r="CFO91" s="76">
        <f>IFERROR(VLOOKUP(CFN91,'[1]List KPI'!$A$103:$F$118,6,0),"")</f>
        <v>1.0416666666666666E-2</v>
      </c>
      <c r="CFP91" s="76">
        <v>0.86944444444444446</v>
      </c>
      <c r="CFQ91" s="76">
        <v>0.86944444444444446</v>
      </c>
      <c r="CFR91" s="77" t="str">
        <f t="shared" si="59"/>
        <v>O</v>
      </c>
      <c r="CFS91" s="74" t="s">
        <v>28</v>
      </c>
      <c r="CFT91" s="75" t="s">
        <v>23</v>
      </c>
      <c r="CFU91" s="78">
        <f>IFERROR(VLOOKUP(CFT91,'[1]List KPI'!$M$3:$N$8,2,0),"")</f>
        <v>2.0833333333333332E-2</v>
      </c>
      <c r="CFV91" s="76">
        <v>0.89444444444444449</v>
      </c>
      <c r="CFW91" s="77" t="str">
        <f t="shared" si="60"/>
        <v>O</v>
      </c>
      <c r="CFX91" s="79">
        <v>5</v>
      </c>
      <c r="CFY91" s="75">
        <v>1276006</v>
      </c>
      <c r="CFZ91" s="80"/>
      <c r="CGA91" s="81">
        <v>0.86944444444444446</v>
      </c>
      <c r="CGB91" s="74" t="s">
        <v>27</v>
      </c>
      <c r="CGC91" s="74" t="s">
        <v>24</v>
      </c>
      <c r="CGD91" s="75" t="s">
        <v>25</v>
      </c>
      <c r="CGE91" s="76">
        <f>IFERROR(VLOOKUP(CGD91,'[1]List KPI'!$A$103:$F$118,6,0),"")</f>
        <v>1.0416666666666666E-2</v>
      </c>
      <c r="CGF91" s="76">
        <v>0.86944444444444446</v>
      </c>
      <c r="CGG91" s="76">
        <v>0.86944444444444446</v>
      </c>
      <c r="CGH91" s="77" t="str">
        <f t="shared" si="59"/>
        <v>O</v>
      </c>
      <c r="CGI91" s="74" t="s">
        <v>28</v>
      </c>
      <c r="CGJ91" s="75" t="s">
        <v>23</v>
      </c>
      <c r="CGK91" s="78">
        <f>IFERROR(VLOOKUP(CGJ91,'[1]List KPI'!$M$3:$N$8,2,0),"")</f>
        <v>2.0833333333333332E-2</v>
      </c>
      <c r="CGL91" s="76">
        <v>0.89444444444444449</v>
      </c>
      <c r="CGM91" s="77" t="str">
        <f t="shared" si="60"/>
        <v>O</v>
      </c>
      <c r="CGN91" s="79">
        <v>5</v>
      </c>
      <c r="CGO91" s="75">
        <v>1276006</v>
      </c>
      <c r="CGP91" s="80"/>
      <c r="CGQ91" s="81">
        <v>0.86944444444444446</v>
      </c>
      <c r="CGR91" s="74" t="s">
        <v>27</v>
      </c>
      <c r="CGS91" s="74" t="s">
        <v>24</v>
      </c>
      <c r="CGT91" s="75" t="s">
        <v>25</v>
      </c>
      <c r="CGU91" s="76">
        <f>IFERROR(VLOOKUP(CGT91,'[1]List KPI'!$A$103:$F$118,6,0),"")</f>
        <v>1.0416666666666666E-2</v>
      </c>
      <c r="CGV91" s="76">
        <v>0.86944444444444446</v>
      </c>
      <c r="CGW91" s="76">
        <v>0.86944444444444446</v>
      </c>
      <c r="CGX91" s="77" t="str">
        <f t="shared" si="59"/>
        <v>O</v>
      </c>
      <c r="CGY91" s="74" t="s">
        <v>28</v>
      </c>
      <c r="CGZ91" s="75" t="s">
        <v>23</v>
      </c>
      <c r="CHA91" s="78">
        <f>IFERROR(VLOOKUP(CGZ91,'[1]List KPI'!$M$3:$N$8,2,0),"")</f>
        <v>2.0833333333333332E-2</v>
      </c>
      <c r="CHB91" s="76">
        <v>0.89444444444444449</v>
      </c>
      <c r="CHC91" s="77" t="str">
        <f t="shared" si="60"/>
        <v>O</v>
      </c>
      <c r="CHD91" s="79">
        <v>5</v>
      </c>
      <c r="CHE91" s="75">
        <v>1276006</v>
      </c>
      <c r="CHF91" s="80"/>
      <c r="CHG91" s="81">
        <v>0.86944444444444446</v>
      </c>
      <c r="CHH91" s="74" t="s">
        <v>27</v>
      </c>
      <c r="CHI91" s="74" t="s">
        <v>24</v>
      </c>
      <c r="CHJ91" s="75" t="s">
        <v>25</v>
      </c>
      <c r="CHK91" s="76">
        <f>IFERROR(VLOOKUP(CHJ91,'[1]List KPI'!$A$103:$F$118,6,0),"")</f>
        <v>1.0416666666666666E-2</v>
      </c>
      <c r="CHL91" s="76">
        <v>0.86944444444444446</v>
      </c>
      <c r="CHM91" s="76">
        <v>0.86944444444444446</v>
      </c>
      <c r="CHN91" s="77" t="str">
        <f t="shared" ref="CHN91:CJJ91" si="61">IF(CHM91="","",IF(CHM91&gt;CHV91,"O","P"))</f>
        <v>O</v>
      </c>
      <c r="CHO91" s="74" t="s">
        <v>28</v>
      </c>
      <c r="CHP91" s="75" t="s">
        <v>23</v>
      </c>
      <c r="CHQ91" s="78">
        <f>IFERROR(VLOOKUP(CHP91,'[1]List KPI'!$M$3:$N$8,2,0),"")</f>
        <v>2.0833333333333332E-2</v>
      </c>
      <c r="CHR91" s="76">
        <v>0.89444444444444449</v>
      </c>
      <c r="CHS91" s="77" t="str">
        <f t="shared" ref="CHS91:CJO91" si="62">IF(CHR91="","",IF(CHR91&gt;CHW91,"O","P"))</f>
        <v>O</v>
      </c>
      <c r="CHT91" s="79">
        <v>5</v>
      </c>
      <c r="CHU91" s="75">
        <v>1276006</v>
      </c>
      <c r="CHV91" s="80"/>
      <c r="CHW91" s="81">
        <v>0.86944444444444446</v>
      </c>
      <c r="CHX91" s="74" t="s">
        <v>27</v>
      </c>
      <c r="CHY91" s="74" t="s">
        <v>24</v>
      </c>
      <c r="CHZ91" s="75" t="s">
        <v>25</v>
      </c>
      <c r="CIA91" s="76">
        <f>IFERROR(VLOOKUP(CHZ91,'[1]List KPI'!$A$103:$F$118,6,0),"")</f>
        <v>1.0416666666666666E-2</v>
      </c>
      <c r="CIB91" s="76">
        <v>0.86944444444444446</v>
      </c>
      <c r="CIC91" s="76">
        <v>0.86944444444444446</v>
      </c>
      <c r="CID91" s="77" t="str">
        <f t="shared" si="61"/>
        <v>O</v>
      </c>
      <c r="CIE91" s="74" t="s">
        <v>28</v>
      </c>
      <c r="CIF91" s="75" t="s">
        <v>23</v>
      </c>
      <c r="CIG91" s="78">
        <f>IFERROR(VLOOKUP(CIF91,'[1]List KPI'!$M$3:$N$8,2,0),"")</f>
        <v>2.0833333333333332E-2</v>
      </c>
      <c r="CIH91" s="76">
        <v>0.89444444444444449</v>
      </c>
      <c r="CII91" s="77" t="str">
        <f t="shared" si="62"/>
        <v>O</v>
      </c>
      <c r="CIJ91" s="79">
        <v>5</v>
      </c>
      <c r="CIK91" s="75">
        <v>1276006</v>
      </c>
      <c r="CIL91" s="80"/>
      <c r="CIM91" s="81">
        <v>0.86944444444444446</v>
      </c>
      <c r="CIN91" s="74" t="s">
        <v>27</v>
      </c>
      <c r="CIO91" s="74" t="s">
        <v>24</v>
      </c>
      <c r="CIP91" s="75" t="s">
        <v>25</v>
      </c>
      <c r="CIQ91" s="76">
        <f>IFERROR(VLOOKUP(CIP91,'[1]List KPI'!$A$103:$F$118,6,0),"")</f>
        <v>1.0416666666666666E-2</v>
      </c>
      <c r="CIR91" s="76">
        <v>0.86944444444444446</v>
      </c>
      <c r="CIS91" s="76">
        <v>0.86944444444444446</v>
      </c>
      <c r="CIT91" s="77" t="str">
        <f t="shared" si="61"/>
        <v>O</v>
      </c>
      <c r="CIU91" s="74" t="s">
        <v>28</v>
      </c>
      <c r="CIV91" s="75" t="s">
        <v>23</v>
      </c>
      <c r="CIW91" s="78">
        <f>IFERROR(VLOOKUP(CIV91,'[1]List KPI'!$M$3:$N$8,2,0),"")</f>
        <v>2.0833333333333332E-2</v>
      </c>
      <c r="CIX91" s="76">
        <v>0.89444444444444449</v>
      </c>
      <c r="CIY91" s="77" t="str">
        <f t="shared" si="62"/>
        <v>O</v>
      </c>
      <c r="CIZ91" s="79">
        <v>5</v>
      </c>
      <c r="CJA91" s="75">
        <v>1276006</v>
      </c>
      <c r="CJB91" s="80"/>
      <c r="CJC91" s="81">
        <v>0.86944444444444446</v>
      </c>
      <c r="CJD91" s="74" t="s">
        <v>27</v>
      </c>
      <c r="CJE91" s="74" t="s">
        <v>24</v>
      </c>
      <c r="CJF91" s="75" t="s">
        <v>25</v>
      </c>
      <c r="CJG91" s="76">
        <f>IFERROR(VLOOKUP(CJF91,'[1]List KPI'!$A$103:$F$118,6,0),"")</f>
        <v>1.0416666666666666E-2</v>
      </c>
      <c r="CJH91" s="76">
        <v>0.86944444444444446</v>
      </c>
      <c r="CJI91" s="76">
        <v>0.86944444444444446</v>
      </c>
      <c r="CJJ91" s="77" t="str">
        <f t="shared" si="61"/>
        <v>O</v>
      </c>
      <c r="CJK91" s="74" t="s">
        <v>28</v>
      </c>
      <c r="CJL91" s="75" t="s">
        <v>23</v>
      </c>
      <c r="CJM91" s="78">
        <f>IFERROR(VLOOKUP(CJL91,'[1]List KPI'!$M$3:$N$8,2,0),"")</f>
        <v>2.0833333333333332E-2</v>
      </c>
      <c r="CJN91" s="76">
        <v>0.89444444444444449</v>
      </c>
      <c r="CJO91" s="77" t="str">
        <f t="shared" si="62"/>
        <v>O</v>
      </c>
      <c r="CJP91" s="79">
        <v>5</v>
      </c>
      <c r="CJQ91" s="75">
        <v>1276006</v>
      </c>
      <c r="CJR91" s="80"/>
      <c r="CJS91" s="81">
        <v>0.86944444444444446</v>
      </c>
      <c r="CJT91" s="74" t="s">
        <v>27</v>
      </c>
      <c r="CJU91" s="74" t="s">
        <v>24</v>
      </c>
      <c r="CJV91" s="75" t="s">
        <v>25</v>
      </c>
      <c r="CJW91" s="76">
        <f>IFERROR(VLOOKUP(CJV91,'[1]List KPI'!$A$103:$F$118,6,0),"")</f>
        <v>1.0416666666666666E-2</v>
      </c>
      <c r="CJX91" s="76">
        <v>0.86944444444444446</v>
      </c>
      <c r="CJY91" s="76">
        <v>0.86944444444444446</v>
      </c>
      <c r="CJZ91" s="77" t="str">
        <f t="shared" ref="CJZ91:CLV91" si="63">IF(CJY91="","",IF(CJY91&gt;CKH91,"O","P"))</f>
        <v>O</v>
      </c>
      <c r="CKA91" s="74" t="s">
        <v>28</v>
      </c>
      <c r="CKB91" s="75" t="s">
        <v>23</v>
      </c>
      <c r="CKC91" s="78">
        <f>IFERROR(VLOOKUP(CKB91,'[1]List KPI'!$M$3:$N$8,2,0),"")</f>
        <v>2.0833333333333332E-2</v>
      </c>
      <c r="CKD91" s="76">
        <v>0.89444444444444449</v>
      </c>
      <c r="CKE91" s="77" t="str">
        <f t="shared" ref="CKE91:CMA91" si="64">IF(CKD91="","",IF(CKD91&gt;CKI91,"O","P"))</f>
        <v>O</v>
      </c>
      <c r="CKF91" s="79">
        <v>5</v>
      </c>
      <c r="CKG91" s="75">
        <v>1276006</v>
      </c>
      <c r="CKH91" s="80"/>
      <c r="CKI91" s="81">
        <v>0.86944444444444446</v>
      </c>
      <c r="CKJ91" s="74" t="s">
        <v>27</v>
      </c>
      <c r="CKK91" s="74" t="s">
        <v>24</v>
      </c>
      <c r="CKL91" s="75" t="s">
        <v>25</v>
      </c>
      <c r="CKM91" s="76">
        <f>IFERROR(VLOOKUP(CKL91,'[1]List KPI'!$A$103:$F$118,6,0),"")</f>
        <v>1.0416666666666666E-2</v>
      </c>
      <c r="CKN91" s="76">
        <v>0.86944444444444446</v>
      </c>
      <c r="CKO91" s="76">
        <v>0.86944444444444446</v>
      </c>
      <c r="CKP91" s="77" t="str">
        <f t="shared" si="63"/>
        <v>O</v>
      </c>
      <c r="CKQ91" s="74" t="s">
        <v>28</v>
      </c>
      <c r="CKR91" s="75" t="s">
        <v>23</v>
      </c>
      <c r="CKS91" s="78">
        <f>IFERROR(VLOOKUP(CKR91,'[1]List KPI'!$M$3:$N$8,2,0),"")</f>
        <v>2.0833333333333332E-2</v>
      </c>
      <c r="CKT91" s="76">
        <v>0.89444444444444449</v>
      </c>
      <c r="CKU91" s="77" t="str">
        <f t="shared" si="64"/>
        <v>O</v>
      </c>
      <c r="CKV91" s="79">
        <v>5</v>
      </c>
      <c r="CKW91" s="75">
        <v>1276006</v>
      </c>
      <c r="CKX91" s="80"/>
      <c r="CKY91" s="81">
        <v>0.86944444444444446</v>
      </c>
      <c r="CKZ91" s="74" t="s">
        <v>27</v>
      </c>
      <c r="CLA91" s="74" t="s">
        <v>24</v>
      </c>
      <c r="CLB91" s="75" t="s">
        <v>25</v>
      </c>
      <c r="CLC91" s="76">
        <f>IFERROR(VLOOKUP(CLB91,'[1]List KPI'!$A$103:$F$118,6,0),"")</f>
        <v>1.0416666666666666E-2</v>
      </c>
      <c r="CLD91" s="76">
        <v>0.86944444444444446</v>
      </c>
      <c r="CLE91" s="76">
        <v>0.86944444444444446</v>
      </c>
      <c r="CLF91" s="77" t="str">
        <f t="shared" si="63"/>
        <v>O</v>
      </c>
      <c r="CLG91" s="74" t="s">
        <v>28</v>
      </c>
      <c r="CLH91" s="75" t="s">
        <v>23</v>
      </c>
      <c r="CLI91" s="78">
        <f>IFERROR(VLOOKUP(CLH91,'[1]List KPI'!$M$3:$N$8,2,0),"")</f>
        <v>2.0833333333333332E-2</v>
      </c>
      <c r="CLJ91" s="76">
        <v>0.89444444444444449</v>
      </c>
      <c r="CLK91" s="77" t="str">
        <f t="shared" si="64"/>
        <v>O</v>
      </c>
      <c r="CLL91" s="79">
        <v>5</v>
      </c>
      <c r="CLM91" s="75">
        <v>1276006</v>
      </c>
      <c r="CLN91" s="80"/>
      <c r="CLO91" s="81">
        <v>0.86944444444444446</v>
      </c>
      <c r="CLP91" s="74" t="s">
        <v>27</v>
      </c>
      <c r="CLQ91" s="74" t="s">
        <v>24</v>
      </c>
      <c r="CLR91" s="75" t="s">
        <v>25</v>
      </c>
      <c r="CLS91" s="76">
        <f>IFERROR(VLOOKUP(CLR91,'[1]List KPI'!$A$103:$F$118,6,0),"")</f>
        <v>1.0416666666666666E-2</v>
      </c>
      <c r="CLT91" s="76">
        <v>0.86944444444444446</v>
      </c>
      <c r="CLU91" s="76">
        <v>0.86944444444444446</v>
      </c>
      <c r="CLV91" s="77" t="str">
        <f t="shared" si="63"/>
        <v>O</v>
      </c>
      <c r="CLW91" s="74" t="s">
        <v>28</v>
      </c>
      <c r="CLX91" s="75" t="s">
        <v>23</v>
      </c>
      <c r="CLY91" s="78">
        <f>IFERROR(VLOOKUP(CLX91,'[1]List KPI'!$M$3:$N$8,2,0),"")</f>
        <v>2.0833333333333332E-2</v>
      </c>
      <c r="CLZ91" s="76">
        <v>0.89444444444444449</v>
      </c>
      <c r="CMA91" s="77" t="str">
        <f t="shared" si="64"/>
        <v>O</v>
      </c>
      <c r="CMB91" s="79">
        <v>5</v>
      </c>
      <c r="CMC91" s="75">
        <v>1276006</v>
      </c>
      <c r="CMD91" s="80"/>
      <c r="CME91" s="81">
        <v>0.86944444444444446</v>
      </c>
      <c r="CMF91" s="74" t="s">
        <v>27</v>
      </c>
      <c r="CMG91" s="74" t="s">
        <v>24</v>
      </c>
      <c r="CMH91" s="75" t="s">
        <v>25</v>
      </c>
      <c r="CMI91" s="76">
        <f>IFERROR(VLOOKUP(CMH91,'[1]List KPI'!$A$103:$F$118,6,0),"")</f>
        <v>1.0416666666666666E-2</v>
      </c>
      <c r="CMJ91" s="76">
        <v>0.86944444444444446</v>
      </c>
      <c r="CMK91" s="76">
        <v>0.86944444444444446</v>
      </c>
      <c r="CML91" s="77" t="str">
        <f t="shared" ref="CML91:COH91" si="65">IF(CMK91="","",IF(CMK91&gt;CMT91,"O","P"))</f>
        <v>O</v>
      </c>
      <c r="CMM91" s="74" t="s">
        <v>28</v>
      </c>
      <c r="CMN91" s="75" t="s">
        <v>23</v>
      </c>
      <c r="CMO91" s="78">
        <f>IFERROR(VLOOKUP(CMN91,'[1]List KPI'!$M$3:$N$8,2,0),"")</f>
        <v>2.0833333333333332E-2</v>
      </c>
      <c r="CMP91" s="76">
        <v>0.89444444444444449</v>
      </c>
      <c r="CMQ91" s="77" t="str">
        <f t="shared" ref="CMQ91:COM91" si="66">IF(CMP91="","",IF(CMP91&gt;CMU91,"O","P"))</f>
        <v>O</v>
      </c>
      <c r="CMR91" s="79">
        <v>5</v>
      </c>
      <c r="CMS91" s="75">
        <v>1276006</v>
      </c>
      <c r="CMT91" s="80"/>
      <c r="CMU91" s="81">
        <v>0.86944444444444446</v>
      </c>
      <c r="CMV91" s="74" t="s">
        <v>27</v>
      </c>
      <c r="CMW91" s="74" t="s">
        <v>24</v>
      </c>
      <c r="CMX91" s="75" t="s">
        <v>25</v>
      </c>
      <c r="CMY91" s="76">
        <f>IFERROR(VLOOKUP(CMX91,'[1]List KPI'!$A$103:$F$118,6,0),"")</f>
        <v>1.0416666666666666E-2</v>
      </c>
      <c r="CMZ91" s="76">
        <v>0.86944444444444446</v>
      </c>
      <c r="CNA91" s="76">
        <v>0.86944444444444446</v>
      </c>
      <c r="CNB91" s="77" t="str">
        <f t="shared" si="65"/>
        <v>O</v>
      </c>
      <c r="CNC91" s="74" t="s">
        <v>28</v>
      </c>
      <c r="CND91" s="75" t="s">
        <v>23</v>
      </c>
      <c r="CNE91" s="78">
        <f>IFERROR(VLOOKUP(CND91,'[1]List KPI'!$M$3:$N$8,2,0),"")</f>
        <v>2.0833333333333332E-2</v>
      </c>
      <c r="CNF91" s="76">
        <v>0.89444444444444449</v>
      </c>
      <c r="CNG91" s="77" t="str">
        <f t="shared" si="66"/>
        <v>O</v>
      </c>
      <c r="CNH91" s="79">
        <v>5</v>
      </c>
      <c r="CNI91" s="75">
        <v>1276006</v>
      </c>
      <c r="CNJ91" s="80"/>
      <c r="CNK91" s="81">
        <v>0.86944444444444446</v>
      </c>
      <c r="CNL91" s="74" t="s">
        <v>27</v>
      </c>
      <c r="CNM91" s="74" t="s">
        <v>24</v>
      </c>
      <c r="CNN91" s="75" t="s">
        <v>25</v>
      </c>
      <c r="CNO91" s="76">
        <f>IFERROR(VLOOKUP(CNN91,'[1]List KPI'!$A$103:$F$118,6,0),"")</f>
        <v>1.0416666666666666E-2</v>
      </c>
      <c r="CNP91" s="76">
        <v>0.86944444444444446</v>
      </c>
      <c r="CNQ91" s="76">
        <v>0.86944444444444446</v>
      </c>
      <c r="CNR91" s="77" t="str">
        <f t="shared" si="65"/>
        <v>O</v>
      </c>
      <c r="CNS91" s="74" t="s">
        <v>28</v>
      </c>
      <c r="CNT91" s="75" t="s">
        <v>23</v>
      </c>
      <c r="CNU91" s="78">
        <f>IFERROR(VLOOKUP(CNT91,'[1]List KPI'!$M$3:$N$8,2,0),"")</f>
        <v>2.0833333333333332E-2</v>
      </c>
      <c r="CNV91" s="76">
        <v>0.89444444444444449</v>
      </c>
      <c r="CNW91" s="77" t="str">
        <f t="shared" si="66"/>
        <v>O</v>
      </c>
      <c r="CNX91" s="79">
        <v>5</v>
      </c>
      <c r="CNY91" s="75">
        <v>1276006</v>
      </c>
      <c r="CNZ91" s="80"/>
      <c r="COA91" s="81">
        <v>0.86944444444444446</v>
      </c>
      <c r="COB91" s="74" t="s">
        <v>27</v>
      </c>
      <c r="COC91" s="74" t="s">
        <v>24</v>
      </c>
      <c r="COD91" s="75" t="s">
        <v>25</v>
      </c>
      <c r="COE91" s="76">
        <f>IFERROR(VLOOKUP(COD91,'[1]List KPI'!$A$103:$F$118,6,0),"")</f>
        <v>1.0416666666666666E-2</v>
      </c>
      <c r="COF91" s="76">
        <v>0.86944444444444446</v>
      </c>
      <c r="COG91" s="76">
        <v>0.86944444444444446</v>
      </c>
      <c r="COH91" s="77" t="str">
        <f t="shared" si="65"/>
        <v>O</v>
      </c>
      <c r="COI91" s="74" t="s">
        <v>28</v>
      </c>
      <c r="COJ91" s="75" t="s">
        <v>23</v>
      </c>
      <c r="COK91" s="78">
        <f>IFERROR(VLOOKUP(COJ91,'[1]List KPI'!$M$3:$N$8,2,0),"")</f>
        <v>2.0833333333333332E-2</v>
      </c>
      <c r="COL91" s="76">
        <v>0.89444444444444449</v>
      </c>
      <c r="COM91" s="77" t="str">
        <f t="shared" si="66"/>
        <v>O</v>
      </c>
      <c r="CON91" s="79">
        <v>5</v>
      </c>
      <c r="COO91" s="75">
        <v>1276006</v>
      </c>
      <c r="COP91" s="80"/>
      <c r="COQ91" s="81">
        <v>0.86944444444444446</v>
      </c>
      <c r="COR91" s="74" t="s">
        <v>27</v>
      </c>
      <c r="COS91" s="74" t="s">
        <v>24</v>
      </c>
      <c r="COT91" s="75" t="s">
        <v>25</v>
      </c>
      <c r="COU91" s="76">
        <f>IFERROR(VLOOKUP(COT91,'[1]List KPI'!$A$103:$F$118,6,0),"")</f>
        <v>1.0416666666666666E-2</v>
      </c>
      <c r="COV91" s="76">
        <v>0.86944444444444446</v>
      </c>
      <c r="COW91" s="76">
        <v>0.86944444444444446</v>
      </c>
      <c r="COX91" s="77" t="str">
        <f t="shared" ref="COX91:CQT91" si="67">IF(COW91="","",IF(COW91&gt;CPF91,"O","P"))</f>
        <v>O</v>
      </c>
      <c r="COY91" s="74" t="s">
        <v>28</v>
      </c>
      <c r="COZ91" s="75" t="s">
        <v>23</v>
      </c>
      <c r="CPA91" s="78">
        <f>IFERROR(VLOOKUP(COZ91,'[1]List KPI'!$M$3:$N$8,2,0),"")</f>
        <v>2.0833333333333332E-2</v>
      </c>
      <c r="CPB91" s="76">
        <v>0.89444444444444449</v>
      </c>
      <c r="CPC91" s="77" t="str">
        <f t="shared" ref="CPC91:CQY91" si="68">IF(CPB91="","",IF(CPB91&gt;CPG91,"O","P"))</f>
        <v>O</v>
      </c>
      <c r="CPD91" s="79">
        <v>5</v>
      </c>
      <c r="CPE91" s="75">
        <v>1276006</v>
      </c>
      <c r="CPF91" s="80"/>
      <c r="CPG91" s="81">
        <v>0.86944444444444446</v>
      </c>
      <c r="CPH91" s="74" t="s">
        <v>27</v>
      </c>
      <c r="CPI91" s="74" t="s">
        <v>24</v>
      </c>
      <c r="CPJ91" s="75" t="s">
        <v>25</v>
      </c>
      <c r="CPK91" s="76">
        <f>IFERROR(VLOOKUP(CPJ91,'[1]List KPI'!$A$103:$F$118,6,0),"")</f>
        <v>1.0416666666666666E-2</v>
      </c>
      <c r="CPL91" s="76">
        <v>0.86944444444444446</v>
      </c>
      <c r="CPM91" s="76">
        <v>0.86944444444444446</v>
      </c>
      <c r="CPN91" s="77" t="str">
        <f t="shared" si="67"/>
        <v>O</v>
      </c>
      <c r="CPO91" s="74" t="s">
        <v>28</v>
      </c>
      <c r="CPP91" s="75" t="s">
        <v>23</v>
      </c>
      <c r="CPQ91" s="78">
        <f>IFERROR(VLOOKUP(CPP91,'[1]List KPI'!$M$3:$N$8,2,0),"")</f>
        <v>2.0833333333333332E-2</v>
      </c>
      <c r="CPR91" s="76">
        <v>0.89444444444444449</v>
      </c>
      <c r="CPS91" s="77" t="str">
        <f t="shared" si="68"/>
        <v>O</v>
      </c>
      <c r="CPT91" s="79">
        <v>5</v>
      </c>
      <c r="CPU91" s="75">
        <v>1276006</v>
      </c>
      <c r="CPV91" s="80"/>
      <c r="CPW91" s="81">
        <v>0.86944444444444446</v>
      </c>
      <c r="CPX91" s="74" t="s">
        <v>27</v>
      </c>
      <c r="CPY91" s="74" t="s">
        <v>24</v>
      </c>
      <c r="CPZ91" s="75" t="s">
        <v>25</v>
      </c>
      <c r="CQA91" s="76">
        <f>IFERROR(VLOOKUP(CPZ91,'[1]List KPI'!$A$103:$F$118,6,0),"")</f>
        <v>1.0416666666666666E-2</v>
      </c>
      <c r="CQB91" s="76">
        <v>0.86944444444444446</v>
      </c>
      <c r="CQC91" s="76">
        <v>0.86944444444444446</v>
      </c>
      <c r="CQD91" s="77" t="str">
        <f t="shared" si="67"/>
        <v>O</v>
      </c>
      <c r="CQE91" s="74" t="s">
        <v>28</v>
      </c>
      <c r="CQF91" s="75" t="s">
        <v>23</v>
      </c>
      <c r="CQG91" s="78">
        <f>IFERROR(VLOOKUP(CQF91,'[1]List KPI'!$M$3:$N$8,2,0),"")</f>
        <v>2.0833333333333332E-2</v>
      </c>
      <c r="CQH91" s="76">
        <v>0.89444444444444449</v>
      </c>
      <c r="CQI91" s="77" t="str">
        <f t="shared" si="68"/>
        <v>O</v>
      </c>
      <c r="CQJ91" s="79">
        <v>5</v>
      </c>
      <c r="CQK91" s="75">
        <v>1276006</v>
      </c>
      <c r="CQL91" s="80"/>
      <c r="CQM91" s="81">
        <v>0.86944444444444446</v>
      </c>
      <c r="CQN91" s="74" t="s">
        <v>27</v>
      </c>
      <c r="CQO91" s="74" t="s">
        <v>24</v>
      </c>
      <c r="CQP91" s="75" t="s">
        <v>25</v>
      </c>
      <c r="CQQ91" s="76">
        <f>IFERROR(VLOOKUP(CQP91,'[1]List KPI'!$A$103:$F$118,6,0),"")</f>
        <v>1.0416666666666666E-2</v>
      </c>
      <c r="CQR91" s="76">
        <v>0.86944444444444446</v>
      </c>
      <c r="CQS91" s="76">
        <v>0.86944444444444446</v>
      </c>
      <c r="CQT91" s="77" t="str">
        <f t="shared" si="67"/>
        <v>O</v>
      </c>
      <c r="CQU91" s="74" t="s">
        <v>28</v>
      </c>
      <c r="CQV91" s="75" t="s">
        <v>23</v>
      </c>
      <c r="CQW91" s="78">
        <f>IFERROR(VLOOKUP(CQV91,'[1]List KPI'!$M$3:$N$8,2,0),"")</f>
        <v>2.0833333333333332E-2</v>
      </c>
      <c r="CQX91" s="76">
        <v>0.89444444444444449</v>
      </c>
      <c r="CQY91" s="77" t="str">
        <f t="shared" si="68"/>
        <v>O</v>
      </c>
      <c r="CQZ91" s="79">
        <v>5</v>
      </c>
      <c r="CRA91" s="75">
        <v>1276006</v>
      </c>
      <c r="CRB91" s="80"/>
      <c r="CRC91" s="81">
        <v>0.86944444444444446</v>
      </c>
      <c r="CRD91" s="74" t="s">
        <v>27</v>
      </c>
      <c r="CRE91" s="74" t="s">
        <v>24</v>
      </c>
      <c r="CRF91" s="75" t="s">
        <v>25</v>
      </c>
      <c r="CRG91" s="76">
        <f>IFERROR(VLOOKUP(CRF91,'[1]List KPI'!$A$103:$F$118,6,0),"")</f>
        <v>1.0416666666666666E-2</v>
      </c>
      <c r="CRH91" s="76">
        <v>0.86944444444444446</v>
      </c>
      <c r="CRI91" s="76">
        <v>0.86944444444444446</v>
      </c>
      <c r="CRJ91" s="77" t="str">
        <f t="shared" ref="CRJ91:CTF91" si="69">IF(CRI91="","",IF(CRI91&gt;CRR91,"O","P"))</f>
        <v>O</v>
      </c>
      <c r="CRK91" s="74" t="s">
        <v>28</v>
      </c>
      <c r="CRL91" s="75" t="s">
        <v>23</v>
      </c>
      <c r="CRM91" s="78">
        <f>IFERROR(VLOOKUP(CRL91,'[1]List KPI'!$M$3:$N$8,2,0),"")</f>
        <v>2.0833333333333332E-2</v>
      </c>
      <c r="CRN91" s="76">
        <v>0.89444444444444449</v>
      </c>
      <c r="CRO91" s="77" t="str">
        <f t="shared" ref="CRO91:CTK91" si="70">IF(CRN91="","",IF(CRN91&gt;CRS91,"O","P"))</f>
        <v>O</v>
      </c>
      <c r="CRP91" s="79">
        <v>5</v>
      </c>
      <c r="CRQ91" s="75">
        <v>1276006</v>
      </c>
      <c r="CRR91" s="80"/>
      <c r="CRS91" s="81">
        <v>0.86944444444444446</v>
      </c>
      <c r="CRT91" s="74" t="s">
        <v>27</v>
      </c>
      <c r="CRU91" s="74" t="s">
        <v>24</v>
      </c>
      <c r="CRV91" s="75" t="s">
        <v>25</v>
      </c>
      <c r="CRW91" s="76">
        <f>IFERROR(VLOOKUP(CRV91,'[1]List KPI'!$A$103:$F$118,6,0),"")</f>
        <v>1.0416666666666666E-2</v>
      </c>
      <c r="CRX91" s="76">
        <v>0.86944444444444446</v>
      </c>
      <c r="CRY91" s="76">
        <v>0.86944444444444446</v>
      </c>
      <c r="CRZ91" s="77" t="str">
        <f t="shared" si="69"/>
        <v>O</v>
      </c>
      <c r="CSA91" s="74" t="s">
        <v>28</v>
      </c>
      <c r="CSB91" s="75" t="s">
        <v>23</v>
      </c>
      <c r="CSC91" s="78">
        <f>IFERROR(VLOOKUP(CSB91,'[1]List KPI'!$M$3:$N$8,2,0),"")</f>
        <v>2.0833333333333332E-2</v>
      </c>
      <c r="CSD91" s="76">
        <v>0.89444444444444449</v>
      </c>
      <c r="CSE91" s="77" t="str">
        <f t="shared" si="70"/>
        <v>O</v>
      </c>
      <c r="CSF91" s="79">
        <v>5</v>
      </c>
      <c r="CSG91" s="75">
        <v>1276006</v>
      </c>
      <c r="CSH91" s="80"/>
      <c r="CSI91" s="81">
        <v>0.86944444444444446</v>
      </c>
      <c r="CSJ91" s="74" t="s">
        <v>27</v>
      </c>
      <c r="CSK91" s="74" t="s">
        <v>24</v>
      </c>
      <c r="CSL91" s="75" t="s">
        <v>25</v>
      </c>
      <c r="CSM91" s="76">
        <f>IFERROR(VLOOKUP(CSL91,'[1]List KPI'!$A$103:$F$118,6,0),"")</f>
        <v>1.0416666666666666E-2</v>
      </c>
      <c r="CSN91" s="76">
        <v>0.86944444444444446</v>
      </c>
      <c r="CSO91" s="76">
        <v>0.86944444444444446</v>
      </c>
      <c r="CSP91" s="77" t="str">
        <f t="shared" si="69"/>
        <v>O</v>
      </c>
      <c r="CSQ91" s="74" t="s">
        <v>28</v>
      </c>
      <c r="CSR91" s="75" t="s">
        <v>23</v>
      </c>
      <c r="CSS91" s="78">
        <f>IFERROR(VLOOKUP(CSR91,'[1]List KPI'!$M$3:$N$8,2,0),"")</f>
        <v>2.0833333333333332E-2</v>
      </c>
      <c r="CST91" s="76">
        <v>0.89444444444444449</v>
      </c>
      <c r="CSU91" s="77" t="str">
        <f t="shared" si="70"/>
        <v>O</v>
      </c>
      <c r="CSV91" s="79">
        <v>5</v>
      </c>
      <c r="CSW91" s="75">
        <v>1276006</v>
      </c>
      <c r="CSX91" s="80"/>
      <c r="CSY91" s="81">
        <v>0.86944444444444446</v>
      </c>
      <c r="CSZ91" s="74" t="s">
        <v>27</v>
      </c>
      <c r="CTA91" s="74" t="s">
        <v>24</v>
      </c>
      <c r="CTB91" s="75" t="s">
        <v>25</v>
      </c>
      <c r="CTC91" s="76">
        <f>IFERROR(VLOOKUP(CTB91,'[1]List KPI'!$A$103:$F$118,6,0),"")</f>
        <v>1.0416666666666666E-2</v>
      </c>
      <c r="CTD91" s="76">
        <v>0.86944444444444446</v>
      </c>
      <c r="CTE91" s="76">
        <v>0.86944444444444446</v>
      </c>
      <c r="CTF91" s="77" t="str">
        <f t="shared" si="69"/>
        <v>O</v>
      </c>
      <c r="CTG91" s="74" t="s">
        <v>28</v>
      </c>
      <c r="CTH91" s="75" t="s">
        <v>23</v>
      </c>
      <c r="CTI91" s="78">
        <f>IFERROR(VLOOKUP(CTH91,'[1]List KPI'!$M$3:$N$8,2,0),"")</f>
        <v>2.0833333333333332E-2</v>
      </c>
      <c r="CTJ91" s="76">
        <v>0.89444444444444449</v>
      </c>
      <c r="CTK91" s="77" t="str">
        <f t="shared" si="70"/>
        <v>O</v>
      </c>
      <c r="CTL91" s="79">
        <v>5</v>
      </c>
      <c r="CTM91" s="75">
        <v>1276006</v>
      </c>
      <c r="CTN91" s="80"/>
      <c r="CTO91" s="81">
        <v>0.86944444444444446</v>
      </c>
      <c r="CTP91" s="74" t="s">
        <v>27</v>
      </c>
      <c r="CTQ91" s="74" t="s">
        <v>24</v>
      </c>
      <c r="CTR91" s="75" t="s">
        <v>25</v>
      </c>
      <c r="CTS91" s="76">
        <f>IFERROR(VLOOKUP(CTR91,'[1]List KPI'!$A$103:$F$118,6,0),"")</f>
        <v>1.0416666666666666E-2</v>
      </c>
      <c r="CTT91" s="76">
        <v>0.86944444444444446</v>
      </c>
      <c r="CTU91" s="76">
        <v>0.86944444444444446</v>
      </c>
      <c r="CTV91" s="77" t="str">
        <f t="shared" ref="CTV91:CVR91" si="71">IF(CTU91="","",IF(CTU91&gt;CUD91,"O","P"))</f>
        <v>O</v>
      </c>
      <c r="CTW91" s="74" t="s">
        <v>28</v>
      </c>
      <c r="CTX91" s="75" t="s">
        <v>23</v>
      </c>
      <c r="CTY91" s="78">
        <f>IFERROR(VLOOKUP(CTX91,'[1]List KPI'!$M$3:$N$8,2,0),"")</f>
        <v>2.0833333333333332E-2</v>
      </c>
      <c r="CTZ91" s="76">
        <v>0.89444444444444449</v>
      </c>
      <c r="CUA91" s="77" t="str">
        <f t="shared" ref="CUA91:CVW91" si="72">IF(CTZ91="","",IF(CTZ91&gt;CUE91,"O","P"))</f>
        <v>O</v>
      </c>
      <c r="CUB91" s="79">
        <v>5</v>
      </c>
      <c r="CUC91" s="75">
        <v>1276006</v>
      </c>
      <c r="CUD91" s="80"/>
      <c r="CUE91" s="81">
        <v>0.86944444444444446</v>
      </c>
      <c r="CUF91" s="74" t="s">
        <v>27</v>
      </c>
      <c r="CUG91" s="74" t="s">
        <v>24</v>
      </c>
      <c r="CUH91" s="75" t="s">
        <v>25</v>
      </c>
      <c r="CUI91" s="76">
        <f>IFERROR(VLOOKUP(CUH91,'[1]List KPI'!$A$103:$F$118,6,0),"")</f>
        <v>1.0416666666666666E-2</v>
      </c>
      <c r="CUJ91" s="76">
        <v>0.86944444444444446</v>
      </c>
      <c r="CUK91" s="76">
        <v>0.86944444444444446</v>
      </c>
      <c r="CUL91" s="77" t="str">
        <f t="shared" si="71"/>
        <v>O</v>
      </c>
      <c r="CUM91" s="74" t="s">
        <v>28</v>
      </c>
      <c r="CUN91" s="75" t="s">
        <v>23</v>
      </c>
      <c r="CUO91" s="78">
        <f>IFERROR(VLOOKUP(CUN91,'[1]List KPI'!$M$3:$N$8,2,0),"")</f>
        <v>2.0833333333333332E-2</v>
      </c>
      <c r="CUP91" s="76">
        <v>0.89444444444444449</v>
      </c>
      <c r="CUQ91" s="77" t="str">
        <f t="shared" si="72"/>
        <v>O</v>
      </c>
      <c r="CUR91" s="79">
        <v>5</v>
      </c>
      <c r="CUS91" s="75">
        <v>1276006</v>
      </c>
      <c r="CUT91" s="80"/>
      <c r="CUU91" s="81">
        <v>0.86944444444444446</v>
      </c>
      <c r="CUV91" s="74" t="s">
        <v>27</v>
      </c>
      <c r="CUW91" s="74" t="s">
        <v>24</v>
      </c>
      <c r="CUX91" s="75" t="s">
        <v>25</v>
      </c>
      <c r="CUY91" s="76">
        <f>IFERROR(VLOOKUP(CUX91,'[1]List KPI'!$A$103:$F$118,6,0),"")</f>
        <v>1.0416666666666666E-2</v>
      </c>
      <c r="CUZ91" s="76">
        <v>0.86944444444444446</v>
      </c>
      <c r="CVA91" s="76">
        <v>0.86944444444444446</v>
      </c>
      <c r="CVB91" s="77" t="str">
        <f t="shared" si="71"/>
        <v>O</v>
      </c>
      <c r="CVC91" s="74" t="s">
        <v>28</v>
      </c>
      <c r="CVD91" s="75" t="s">
        <v>23</v>
      </c>
      <c r="CVE91" s="78">
        <f>IFERROR(VLOOKUP(CVD91,'[1]List KPI'!$M$3:$N$8,2,0),"")</f>
        <v>2.0833333333333332E-2</v>
      </c>
      <c r="CVF91" s="76">
        <v>0.89444444444444449</v>
      </c>
      <c r="CVG91" s="77" t="str">
        <f t="shared" si="72"/>
        <v>O</v>
      </c>
      <c r="CVH91" s="79">
        <v>5</v>
      </c>
      <c r="CVI91" s="75">
        <v>1276006</v>
      </c>
      <c r="CVJ91" s="80"/>
      <c r="CVK91" s="81">
        <v>0.86944444444444446</v>
      </c>
      <c r="CVL91" s="74" t="s">
        <v>27</v>
      </c>
      <c r="CVM91" s="74" t="s">
        <v>24</v>
      </c>
      <c r="CVN91" s="75" t="s">
        <v>25</v>
      </c>
      <c r="CVO91" s="76">
        <f>IFERROR(VLOOKUP(CVN91,'[1]List KPI'!$A$103:$F$118,6,0),"")</f>
        <v>1.0416666666666666E-2</v>
      </c>
      <c r="CVP91" s="76">
        <v>0.86944444444444446</v>
      </c>
      <c r="CVQ91" s="76">
        <v>0.86944444444444446</v>
      </c>
      <c r="CVR91" s="77" t="str">
        <f t="shared" si="71"/>
        <v>O</v>
      </c>
      <c r="CVS91" s="74" t="s">
        <v>28</v>
      </c>
      <c r="CVT91" s="75" t="s">
        <v>23</v>
      </c>
      <c r="CVU91" s="78">
        <f>IFERROR(VLOOKUP(CVT91,'[1]List KPI'!$M$3:$N$8,2,0),"")</f>
        <v>2.0833333333333332E-2</v>
      </c>
      <c r="CVV91" s="76">
        <v>0.89444444444444449</v>
      </c>
      <c r="CVW91" s="77" t="str">
        <f t="shared" si="72"/>
        <v>O</v>
      </c>
      <c r="CVX91" s="79">
        <v>5</v>
      </c>
      <c r="CVY91" s="75">
        <v>1276006</v>
      </c>
      <c r="CVZ91" s="80"/>
      <c r="CWA91" s="81">
        <v>0.86944444444444446</v>
      </c>
      <c r="CWB91" s="74" t="s">
        <v>27</v>
      </c>
      <c r="CWC91" s="74" t="s">
        <v>24</v>
      </c>
      <c r="CWD91" s="75" t="s">
        <v>25</v>
      </c>
      <c r="CWE91" s="76">
        <f>IFERROR(VLOOKUP(CWD91,'[1]List KPI'!$A$103:$F$118,6,0),"")</f>
        <v>1.0416666666666666E-2</v>
      </c>
      <c r="CWF91" s="76">
        <v>0.86944444444444446</v>
      </c>
      <c r="CWG91" s="76">
        <v>0.86944444444444446</v>
      </c>
      <c r="CWH91" s="77" t="str">
        <f t="shared" ref="CWH91:CYD91" si="73">IF(CWG91="","",IF(CWG91&gt;CWP91,"O","P"))</f>
        <v>O</v>
      </c>
      <c r="CWI91" s="74" t="s">
        <v>28</v>
      </c>
      <c r="CWJ91" s="75" t="s">
        <v>23</v>
      </c>
      <c r="CWK91" s="78">
        <f>IFERROR(VLOOKUP(CWJ91,'[1]List KPI'!$M$3:$N$8,2,0),"")</f>
        <v>2.0833333333333332E-2</v>
      </c>
      <c r="CWL91" s="76">
        <v>0.89444444444444449</v>
      </c>
      <c r="CWM91" s="77" t="str">
        <f t="shared" ref="CWM91:CYI91" si="74">IF(CWL91="","",IF(CWL91&gt;CWQ91,"O","P"))</f>
        <v>O</v>
      </c>
      <c r="CWN91" s="79">
        <v>5</v>
      </c>
      <c r="CWO91" s="75">
        <v>1276006</v>
      </c>
      <c r="CWP91" s="80"/>
      <c r="CWQ91" s="81">
        <v>0.86944444444444446</v>
      </c>
      <c r="CWR91" s="74" t="s">
        <v>27</v>
      </c>
      <c r="CWS91" s="74" t="s">
        <v>24</v>
      </c>
      <c r="CWT91" s="75" t="s">
        <v>25</v>
      </c>
      <c r="CWU91" s="76">
        <f>IFERROR(VLOOKUP(CWT91,'[1]List KPI'!$A$103:$F$118,6,0),"")</f>
        <v>1.0416666666666666E-2</v>
      </c>
      <c r="CWV91" s="76">
        <v>0.86944444444444446</v>
      </c>
      <c r="CWW91" s="76">
        <v>0.86944444444444446</v>
      </c>
      <c r="CWX91" s="77" t="str">
        <f t="shared" si="73"/>
        <v>O</v>
      </c>
      <c r="CWY91" s="74" t="s">
        <v>28</v>
      </c>
      <c r="CWZ91" s="75" t="s">
        <v>23</v>
      </c>
      <c r="CXA91" s="78">
        <f>IFERROR(VLOOKUP(CWZ91,'[1]List KPI'!$M$3:$N$8,2,0),"")</f>
        <v>2.0833333333333332E-2</v>
      </c>
      <c r="CXB91" s="76">
        <v>0.89444444444444449</v>
      </c>
      <c r="CXC91" s="77" t="str">
        <f t="shared" si="74"/>
        <v>O</v>
      </c>
      <c r="CXD91" s="79">
        <v>5</v>
      </c>
      <c r="CXE91" s="75">
        <v>1276006</v>
      </c>
      <c r="CXF91" s="80"/>
      <c r="CXG91" s="81">
        <v>0.86944444444444446</v>
      </c>
      <c r="CXH91" s="74" t="s">
        <v>27</v>
      </c>
      <c r="CXI91" s="74" t="s">
        <v>24</v>
      </c>
      <c r="CXJ91" s="75" t="s">
        <v>25</v>
      </c>
      <c r="CXK91" s="76">
        <f>IFERROR(VLOOKUP(CXJ91,'[1]List KPI'!$A$103:$F$118,6,0),"")</f>
        <v>1.0416666666666666E-2</v>
      </c>
      <c r="CXL91" s="76">
        <v>0.86944444444444446</v>
      </c>
      <c r="CXM91" s="76">
        <v>0.86944444444444446</v>
      </c>
      <c r="CXN91" s="77" t="str">
        <f t="shared" si="73"/>
        <v>O</v>
      </c>
      <c r="CXO91" s="74" t="s">
        <v>28</v>
      </c>
      <c r="CXP91" s="75" t="s">
        <v>23</v>
      </c>
      <c r="CXQ91" s="78">
        <f>IFERROR(VLOOKUP(CXP91,'[1]List KPI'!$M$3:$N$8,2,0),"")</f>
        <v>2.0833333333333332E-2</v>
      </c>
      <c r="CXR91" s="76">
        <v>0.89444444444444449</v>
      </c>
      <c r="CXS91" s="77" t="str">
        <f t="shared" si="74"/>
        <v>O</v>
      </c>
      <c r="CXT91" s="79">
        <v>5</v>
      </c>
      <c r="CXU91" s="75">
        <v>1276006</v>
      </c>
      <c r="CXV91" s="80"/>
      <c r="CXW91" s="81">
        <v>0.86944444444444446</v>
      </c>
      <c r="CXX91" s="74" t="s">
        <v>27</v>
      </c>
      <c r="CXY91" s="74" t="s">
        <v>24</v>
      </c>
      <c r="CXZ91" s="75" t="s">
        <v>25</v>
      </c>
      <c r="CYA91" s="76">
        <f>IFERROR(VLOOKUP(CXZ91,'[1]List KPI'!$A$103:$F$118,6,0),"")</f>
        <v>1.0416666666666666E-2</v>
      </c>
      <c r="CYB91" s="76">
        <v>0.86944444444444446</v>
      </c>
      <c r="CYC91" s="76">
        <v>0.86944444444444446</v>
      </c>
      <c r="CYD91" s="77" t="str">
        <f t="shared" si="73"/>
        <v>O</v>
      </c>
      <c r="CYE91" s="74" t="s">
        <v>28</v>
      </c>
      <c r="CYF91" s="75" t="s">
        <v>23</v>
      </c>
      <c r="CYG91" s="78">
        <f>IFERROR(VLOOKUP(CYF91,'[1]List KPI'!$M$3:$N$8,2,0),"")</f>
        <v>2.0833333333333332E-2</v>
      </c>
      <c r="CYH91" s="76">
        <v>0.89444444444444449</v>
      </c>
      <c r="CYI91" s="77" t="str">
        <f t="shared" si="74"/>
        <v>O</v>
      </c>
      <c r="CYJ91" s="79">
        <v>5</v>
      </c>
      <c r="CYK91" s="75">
        <v>1276006</v>
      </c>
      <c r="CYL91" s="80"/>
      <c r="CYM91" s="81">
        <v>0.86944444444444446</v>
      </c>
      <c r="CYN91" s="74" t="s">
        <v>27</v>
      </c>
      <c r="CYO91" s="74" t="s">
        <v>24</v>
      </c>
      <c r="CYP91" s="75" t="s">
        <v>25</v>
      </c>
      <c r="CYQ91" s="76">
        <f>IFERROR(VLOOKUP(CYP91,'[1]List KPI'!$A$103:$F$118,6,0),"")</f>
        <v>1.0416666666666666E-2</v>
      </c>
      <c r="CYR91" s="76">
        <v>0.86944444444444446</v>
      </c>
      <c r="CYS91" s="76">
        <v>0.86944444444444446</v>
      </c>
      <c r="CYT91" s="77" t="str">
        <f t="shared" ref="CYT91:DAP91" si="75">IF(CYS91="","",IF(CYS91&gt;CZB91,"O","P"))</f>
        <v>O</v>
      </c>
      <c r="CYU91" s="74" t="s">
        <v>28</v>
      </c>
      <c r="CYV91" s="75" t="s">
        <v>23</v>
      </c>
      <c r="CYW91" s="78">
        <f>IFERROR(VLOOKUP(CYV91,'[1]List KPI'!$M$3:$N$8,2,0),"")</f>
        <v>2.0833333333333332E-2</v>
      </c>
      <c r="CYX91" s="76">
        <v>0.89444444444444449</v>
      </c>
      <c r="CYY91" s="77" t="str">
        <f t="shared" ref="CYY91:DAU91" si="76">IF(CYX91="","",IF(CYX91&gt;CZC91,"O","P"))</f>
        <v>O</v>
      </c>
      <c r="CYZ91" s="79">
        <v>5</v>
      </c>
      <c r="CZA91" s="75">
        <v>1276006</v>
      </c>
      <c r="CZB91" s="80"/>
      <c r="CZC91" s="81">
        <v>0.86944444444444446</v>
      </c>
      <c r="CZD91" s="74" t="s">
        <v>27</v>
      </c>
      <c r="CZE91" s="74" t="s">
        <v>24</v>
      </c>
      <c r="CZF91" s="75" t="s">
        <v>25</v>
      </c>
      <c r="CZG91" s="76">
        <f>IFERROR(VLOOKUP(CZF91,'[1]List KPI'!$A$103:$F$118,6,0),"")</f>
        <v>1.0416666666666666E-2</v>
      </c>
      <c r="CZH91" s="76">
        <v>0.86944444444444446</v>
      </c>
      <c r="CZI91" s="76">
        <v>0.86944444444444446</v>
      </c>
      <c r="CZJ91" s="77" t="str">
        <f t="shared" si="75"/>
        <v>O</v>
      </c>
      <c r="CZK91" s="74" t="s">
        <v>28</v>
      </c>
      <c r="CZL91" s="75" t="s">
        <v>23</v>
      </c>
      <c r="CZM91" s="78">
        <f>IFERROR(VLOOKUP(CZL91,'[1]List KPI'!$M$3:$N$8,2,0),"")</f>
        <v>2.0833333333333332E-2</v>
      </c>
      <c r="CZN91" s="76">
        <v>0.89444444444444449</v>
      </c>
      <c r="CZO91" s="77" t="str">
        <f t="shared" si="76"/>
        <v>O</v>
      </c>
      <c r="CZP91" s="79">
        <v>5</v>
      </c>
      <c r="CZQ91" s="75">
        <v>1276006</v>
      </c>
      <c r="CZR91" s="80"/>
      <c r="CZS91" s="81">
        <v>0.86944444444444446</v>
      </c>
      <c r="CZT91" s="74" t="s">
        <v>27</v>
      </c>
      <c r="CZU91" s="74" t="s">
        <v>24</v>
      </c>
      <c r="CZV91" s="75" t="s">
        <v>25</v>
      </c>
      <c r="CZW91" s="76">
        <f>IFERROR(VLOOKUP(CZV91,'[1]List KPI'!$A$103:$F$118,6,0),"")</f>
        <v>1.0416666666666666E-2</v>
      </c>
      <c r="CZX91" s="76">
        <v>0.86944444444444446</v>
      </c>
      <c r="CZY91" s="76">
        <v>0.86944444444444446</v>
      </c>
      <c r="CZZ91" s="77" t="str">
        <f t="shared" si="75"/>
        <v>O</v>
      </c>
      <c r="DAA91" s="74" t="s">
        <v>28</v>
      </c>
      <c r="DAB91" s="75" t="s">
        <v>23</v>
      </c>
      <c r="DAC91" s="78">
        <f>IFERROR(VLOOKUP(DAB91,'[1]List KPI'!$M$3:$N$8,2,0),"")</f>
        <v>2.0833333333333332E-2</v>
      </c>
      <c r="DAD91" s="76">
        <v>0.89444444444444449</v>
      </c>
      <c r="DAE91" s="77" t="str">
        <f t="shared" si="76"/>
        <v>O</v>
      </c>
      <c r="DAF91" s="79">
        <v>5</v>
      </c>
      <c r="DAG91" s="75">
        <v>1276006</v>
      </c>
      <c r="DAH91" s="80"/>
      <c r="DAI91" s="81">
        <v>0.86944444444444446</v>
      </c>
      <c r="DAJ91" s="74" t="s">
        <v>27</v>
      </c>
      <c r="DAK91" s="74" t="s">
        <v>24</v>
      </c>
      <c r="DAL91" s="75" t="s">
        <v>25</v>
      </c>
      <c r="DAM91" s="76">
        <f>IFERROR(VLOOKUP(DAL91,'[1]List KPI'!$A$103:$F$118,6,0),"")</f>
        <v>1.0416666666666666E-2</v>
      </c>
      <c r="DAN91" s="76">
        <v>0.86944444444444446</v>
      </c>
      <c r="DAO91" s="76">
        <v>0.86944444444444446</v>
      </c>
      <c r="DAP91" s="77" t="str">
        <f t="shared" si="75"/>
        <v>O</v>
      </c>
      <c r="DAQ91" s="74" t="s">
        <v>28</v>
      </c>
      <c r="DAR91" s="75" t="s">
        <v>23</v>
      </c>
      <c r="DAS91" s="78">
        <f>IFERROR(VLOOKUP(DAR91,'[1]List KPI'!$M$3:$N$8,2,0),"")</f>
        <v>2.0833333333333332E-2</v>
      </c>
      <c r="DAT91" s="76">
        <v>0.89444444444444449</v>
      </c>
      <c r="DAU91" s="77" t="str">
        <f t="shared" si="76"/>
        <v>O</v>
      </c>
      <c r="DAV91" s="79">
        <v>5</v>
      </c>
      <c r="DAW91" s="75">
        <v>1276006</v>
      </c>
      <c r="DAX91" s="80"/>
      <c r="DAY91" s="81">
        <v>0.86944444444444446</v>
      </c>
      <c r="DAZ91" s="74" t="s">
        <v>27</v>
      </c>
      <c r="DBA91" s="74" t="s">
        <v>24</v>
      </c>
      <c r="DBB91" s="75" t="s">
        <v>25</v>
      </c>
      <c r="DBC91" s="76">
        <f>IFERROR(VLOOKUP(DBB91,'[1]List KPI'!$A$103:$F$118,6,0),"")</f>
        <v>1.0416666666666666E-2</v>
      </c>
      <c r="DBD91" s="76">
        <v>0.86944444444444446</v>
      </c>
      <c r="DBE91" s="76">
        <v>0.86944444444444446</v>
      </c>
      <c r="DBF91" s="77" t="str">
        <f t="shared" ref="DBF91:DDB91" si="77">IF(DBE91="","",IF(DBE91&gt;DBN91,"O","P"))</f>
        <v>O</v>
      </c>
      <c r="DBG91" s="74" t="s">
        <v>28</v>
      </c>
      <c r="DBH91" s="75" t="s">
        <v>23</v>
      </c>
      <c r="DBI91" s="78">
        <f>IFERROR(VLOOKUP(DBH91,'[1]List KPI'!$M$3:$N$8,2,0),"")</f>
        <v>2.0833333333333332E-2</v>
      </c>
      <c r="DBJ91" s="76">
        <v>0.89444444444444449</v>
      </c>
      <c r="DBK91" s="77" t="str">
        <f t="shared" ref="DBK91:DDG91" si="78">IF(DBJ91="","",IF(DBJ91&gt;DBO91,"O","P"))</f>
        <v>O</v>
      </c>
      <c r="DBL91" s="79">
        <v>5</v>
      </c>
      <c r="DBM91" s="75">
        <v>1276006</v>
      </c>
      <c r="DBN91" s="80"/>
      <c r="DBO91" s="81">
        <v>0.86944444444444446</v>
      </c>
      <c r="DBP91" s="74" t="s">
        <v>27</v>
      </c>
      <c r="DBQ91" s="74" t="s">
        <v>24</v>
      </c>
      <c r="DBR91" s="75" t="s">
        <v>25</v>
      </c>
      <c r="DBS91" s="76">
        <f>IFERROR(VLOOKUP(DBR91,'[1]List KPI'!$A$103:$F$118,6,0),"")</f>
        <v>1.0416666666666666E-2</v>
      </c>
      <c r="DBT91" s="76">
        <v>0.86944444444444446</v>
      </c>
      <c r="DBU91" s="76">
        <v>0.86944444444444446</v>
      </c>
      <c r="DBV91" s="77" t="str">
        <f t="shared" si="77"/>
        <v>O</v>
      </c>
      <c r="DBW91" s="74" t="s">
        <v>28</v>
      </c>
      <c r="DBX91" s="75" t="s">
        <v>23</v>
      </c>
      <c r="DBY91" s="78">
        <f>IFERROR(VLOOKUP(DBX91,'[1]List KPI'!$M$3:$N$8,2,0),"")</f>
        <v>2.0833333333333332E-2</v>
      </c>
      <c r="DBZ91" s="76">
        <v>0.89444444444444449</v>
      </c>
      <c r="DCA91" s="77" t="str">
        <f t="shared" si="78"/>
        <v>O</v>
      </c>
      <c r="DCB91" s="79">
        <v>5</v>
      </c>
      <c r="DCC91" s="75">
        <v>1276006</v>
      </c>
      <c r="DCD91" s="80"/>
      <c r="DCE91" s="81">
        <v>0.86944444444444446</v>
      </c>
      <c r="DCF91" s="74" t="s">
        <v>27</v>
      </c>
      <c r="DCG91" s="74" t="s">
        <v>24</v>
      </c>
      <c r="DCH91" s="75" t="s">
        <v>25</v>
      </c>
      <c r="DCI91" s="76">
        <f>IFERROR(VLOOKUP(DCH91,'[1]List KPI'!$A$103:$F$118,6,0),"")</f>
        <v>1.0416666666666666E-2</v>
      </c>
      <c r="DCJ91" s="76">
        <v>0.86944444444444446</v>
      </c>
      <c r="DCK91" s="76">
        <v>0.86944444444444446</v>
      </c>
      <c r="DCL91" s="77" t="str">
        <f t="shared" si="77"/>
        <v>O</v>
      </c>
      <c r="DCM91" s="74" t="s">
        <v>28</v>
      </c>
      <c r="DCN91" s="75" t="s">
        <v>23</v>
      </c>
      <c r="DCO91" s="78">
        <f>IFERROR(VLOOKUP(DCN91,'[1]List KPI'!$M$3:$N$8,2,0),"")</f>
        <v>2.0833333333333332E-2</v>
      </c>
      <c r="DCP91" s="76">
        <v>0.89444444444444449</v>
      </c>
      <c r="DCQ91" s="77" t="str">
        <f t="shared" si="78"/>
        <v>O</v>
      </c>
      <c r="DCR91" s="79">
        <v>5</v>
      </c>
      <c r="DCS91" s="75">
        <v>1276006</v>
      </c>
      <c r="DCT91" s="80"/>
      <c r="DCU91" s="81">
        <v>0.86944444444444446</v>
      </c>
      <c r="DCV91" s="74" t="s">
        <v>27</v>
      </c>
      <c r="DCW91" s="74" t="s">
        <v>24</v>
      </c>
      <c r="DCX91" s="75" t="s">
        <v>25</v>
      </c>
      <c r="DCY91" s="76">
        <f>IFERROR(VLOOKUP(DCX91,'[1]List KPI'!$A$103:$F$118,6,0),"")</f>
        <v>1.0416666666666666E-2</v>
      </c>
      <c r="DCZ91" s="76">
        <v>0.86944444444444446</v>
      </c>
      <c r="DDA91" s="76">
        <v>0.86944444444444446</v>
      </c>
      <c r="DDB91" s="77" t="str">
        <f t="shared" si="77"/>
        <v>O</v>
      </c>
      <c r="DDC91" s="74" t="s">
        <v>28</v>
      </c>
      <c r="DDD91" s="75" t="s">
        <v>23</v>
      </c>
      <c r="DDE91" s="78">
        <f>IFERROR(VLOOKUP(DDD91,'[1]List KPI'!$M$3:$N$8,2,0),"")</f>
        <v>2.0833333333333332E-2</v>
      </c>
      <c r="DDF91" s="76">
        <v>0.89444444444444449</v>
      </c>
      <c r="DDG91" s="77" t="str">
        <f t="shared" si="78"/>
        <v>O</v>
      </c>
      <c r="DDH91" s="79">
        <v>5</v>
      </c>
      <c r="DDI91" s="75">
        <v>1276006</v>
      </c>
      <c r="DDJ91" s="80"/>
      <c r="DDK91" s="81">
        <v>0.86944444444444446</v>
      </c>
      <c r="DDL91" s="74" t="s">
        <v>27</v>
      </c>
      <c r="DDM91" s="74" t="s">
        <v>24</v>
      </c>
      <c r="DDN91" s="75" t="s">
        <v>25</v>
      </c>
      <c r="DDO91" s="76">
        <f>IFERROR(VLOOKUP(DDN91,'[1]List KPI'!$A$103:$F$118,6,0),"")</f>
        <v>1.0416666666666666E-2</v>
      </c>
      <c r="DDP91" s="76">
        <v>0.86944444444444446</v>
      </c>
      <c r="DDQ91" s="76">
        <v>0.86944444444444446</v>
      </c>
      <c r="DDR91" s="77" t="str">
        <f t="shared" ref="DDR91:DFN91" si="79">IF(DDQ91="","",IF(DDQ91&gt;DDZ91,"O","P"))</f>
        <v>O</v>
      </c>
      <c r="DDS91" s="74" t="s">
        <v>28</v>
      </c>
      <c r="DDT91" s="75" t="s">
        <v>23</v>
      </c>
      <c r="DDU91" s="78">
        <f>IFERROR(VLOOKUP(DDT91,'[1]List KPI'!$M$3:$N$8,2,0),"")</f>
        <v>2.0833333333333332E-2</v>
      </c>
      <c r="DDV91" s="76">
        <v>0.89444444444444449</v>
      </c>
      <c r="DDW91" s="77" t="str">
        <f t="shared" ref="DDW91:DFS91" si="80">IF(DDV91="","",IF(DDV91&gt;DEA91,"O","P"))</f>
        <v>O</v>
      </c>
      <c r="DDX91" s="79">
        <v>5</v>
      </c>
      <c r="DDY91" s="75">
        <v>1276006</v>
      </c>
      <c r="DDZ91" s="80"/>
      <c r="DEA91" s="81">
        <v>0.86944444444444446</v>
      </c>
      <c r="DEB91" s="74" t="s">
        <v>27</v>
      </c>
      <c r="DEC91" s="74" t="s">
        <v>24</v>
      </c>
      <c r="DED91" s="75" t="s">
        <v>25</v>
      </c>
      <c r="DEE91" s="76">
        <f>IFERROR(VLOOKUP(DED91,'[1]List KPI'!$A$103:$F$118,6,0),"")</f>
        <v>1.0416666666666666E-2</v>
      </c>
      <c r="DEF91" s="76">
        <v>0.86944444444444446</v>
      </c>
      <c r="DEG91" s="76">
        <v>0.86944444444444446</v>
      </c>
      <c r="DEH91" s="77" t="str">
        <f t="shared" si="79"/>
        <v>O</v>
      </c>
      <c r="DEI91" s="74" t="s">
        <v>28</v>
      </c>
      <c r="DEJ91" s="75" t="s">
        <v>23</v>
      </c>
      <c r="DEK91" s="78">
        <f>IFERROR(VLOOKUP(DEJ91,'[1]List KPI'!$M$3:$N$8,2,0),"")</f>
        <v>2.0833333333333332E-2</v>
      </c>
      <c r="DEL91" s="76">
        <v>0.89444444444444449</v>
      </c>
      <c r="DEM91" s="77" t="str">
        <f t="shared" si="80"/>
        <v>O</v>
      </c>
      <c r="DEN91" s="79">
        <v>5</v>
      </c>
      <c r="DEO91" s="75">
        <v>1276006</v>
      </c>
      <c r="DEP91" s="80"/>
      <c r="DEQ91" s="81">
        <v>0.86944444444444446</v>
      </c>
      <c r="DER91" s="74" t="s">
        <v>27</v>
      </c>
      <c r="DES91" s="74" t="s">
        <v>24</v>
      </c>
      <c r="DET91" s="75" t="s">
        <v>25</v>
      </c>
      <c r="DEU91" s="76">
        <f>IFERROR(VLOOKUP(DET91,'[1]List KPI'!$A$103:$F$118,6,0),"")</f>
        <v>1.0416666666666666E-2</v>
      </c>
      <c r="DEV91" s="76">
        <v>0.86944444444444446</v>
      </c>
      <c r="DEW91" s="76">
        <v>0.86944444444444446</v>
      </c>
      <c r="DEX91" s="77" t="str">
        <f t="shared" si="79"/>
        <v>O</v>
      </c>
      <c r="DEY91" s="74" t="s">
        <v>28</v>
      </c>
      <c r="DEZ91" s="75" t="s">
        <v>23</v>
      </c>
      <c r="DFA91" s="78">
        <f>IFERROR(VLOOKUP(DEZ91,'[1]List KPI'!$M$3:$N$8,2,0),"")</f>
        <v>2.0833333333333332E-2</v>
      </c>
      <c r="DFB91" s="76">
        <v>0.89444444444444449</v>
      </c>
      <c r="DFC91" s="77" t="str">
        <f t="shared" si="80"/>
        <v>O</v>
      </c>
      <c r="DFD91" s="79">
        <v>5</v>
      </c>
      <c r="DFE91" s="75">
        <v>1276006</v>
      </c>
      <c r="DFF91" s="80"/>
      <c r="DFG91" s="81">
        <v>0.86944444444444446</v>
      </c>
      <c r="DFH91" s="74" t="s">
        <v>27</v>
      </c>
      <c r="DFI91" s="74" t="s">
        <v>24</v>
      </c>
      <c r="DFJ91" s="75" t="s">
        <v>25</v>
      </c>
      <c r="DFK91" s="76">
        <f>IFERROR(VLOOKUP(DFJ91,'[1]List KPI'!$A$103:$F$118,6,0),"")</f>
        <v>1.0416666666666666E-2</v>
      </c>
      <c r="DFL91" s="76">
        <v>0.86944444444444446</v>
      </c>
      <c r="DFM91" s="76">
        <v>0.86944444444444446</v>
      </c>
      <c r="DFN91" s="77" t="str">
        <f t="shared" si="79"/>
        <v>O</v>
      </c>
      <c r="DFO91" s="74" t="s">
        <v>28</v>
      </c>
      <c r="DFP91" s="75" t="s">
        <v>23</v>
      </c>
      <c r="DFQ91" s="78">
        <f>IFERROR(VLOOKUP(DFP91,'[1]List KPI'!$M$3:$N$8,2,0),"")</f>
        <v>2.0833333333333332E-2</v>
      </c>
      <c r="DFR91" s="76">
        <v>0.89444444444444449</v>
      </c>
      <c r="DFS91" s="77" t="str">
        <f t="shared" si="80"/>
        <v>O</v>
      </c>
      <c r="DFT91" s="79">
        <v>5</v>
      </c>
      <c r="DFU91" s="75">
        <v>1276006</v>
      </c>
      <c r="DFV91" s="80"/>
      <c r="DFW91" s="81">
        <v>0.86944444444444446</v>
      </c>
      <c r="DFX91" s="74" t="s">
        <v>27</v>
      </c>
      <c r="DFY91" s="74" t="s">
        <v>24</v>
      </c>
      <c r="DFZ91" s="75" t="s">
        <v>25</v>
      </c>
      <c r="DGA91" s="76">
        <f>IFERROR(VLOOKUP(DFZ91,'[1]List KPI'!$A$103:$F$118,6,0),"")</f>
        <v>1.0416666666666666E-2</v>
      </c>
      <c r="DGB91" s="76">
        <v>0.86944444444444446</v>
      </c>
      <c r="DGC91" s="76">
        <v>0.86944444444444446</v>
      </c>
      <c r="DGD91" s="77" t="str">
        <f t="shared" ref="DGD91:DHZ91" si="81">IF(DGC91="","",IF(DGC91&gt;DGL91,"O","P"))</f>
        <v>O</v>
      </c>
      <c r="DGE91" s="74" t="s">
        <v>28</v>
      </c>
      <c r="DGF91" s="75" t="s">
        <v>23</v>
      </c>
      <c r="DGG91" s="78">
        <f>IFERROR(VLOOKUP(DGF91,'[1]List KPI'!$M$3:$N$8,2,0),"")</f>
        <v>2.0833333333333332E-2</v>
      </c>
      <c r="DGH91" s="76">
        <v>0.89444444444444449</v>
      </c>
      <c r="DGI91" s="77" t="str">
        <f t="shared" ref="DGI91:DIE91" si="82">IF(DGH91="","",IF(DGH91&gt;DGM91,"O","P"))</f>
        <v>O</v>
      </c>
      <c r="DGJ91" s="79">
        <v>5</v>
      </c>
      <c r="DGK91" s="75">
        <v>1276006</v>
      </c>
      <c r="DGL91" s="80"/>
      <c r="DGM91" s="81">
        <v>0.86944444444444446</v>
      </c>
      <c r="DGN91" s="74" t="s">
        <v>27</v>
      </c>
      <c r="DGO91" s="74" t="s">
        <v>24</v>
      </c>
      <c r="DGP91" s="75" t="s">
        <v>25</v>
      </c>
      <c r="DGQ91" s="76">
        <f>IFERROR(VLOOKUP(DGP91,'[1]List KPI'!$A$103:$F$118,6,0),"")</f>
        <v>1.0416666666666666E-2</v>
      </c>
      <c r="DGR91" s="76">
        <v>0.86944444444444446</v>
      </c>
      <c r="DGS91" s="76">
        <v>0.86944444444444446</v>
      </c>
      <c r="DGT91" s="77" t="str">
        <f t="shared" si="81"/>
        <v>O</v>
      </c>
      <c r="DGU91" s="74" t="s">
        <v>28</v>
      </c>
      <c r="DGV91" s="75" t="s">
        <v>23</v>
      </c>
      <c r="DGW91" s="78">
        <f>IFERROR(VLOOKUP(DGV91,'[1]List KPI'!$M$3:$N$8,2,0),"")</f>
        <v>2.0833333333333332E-2</v>
      </c>
      <c r="DGX91" s="76">
        <v>0.89444444444444449</v>
      </c>
      <c r="DGY91" s="77" t="str">
        <f t="shared" si="82"/>
        <v>O</v>
      </c>
      <c r="DGZ91" s="79">
        <v>5</v>
      </c>
      <c r="DHA91" s="75">
        <v>1276006</v>
      </c>
      <c r="DHB91" s="80"/>
      <c r="DHC91" s="81">
        <v>0.86944444444444446</v>
      </c>
      <c r="DHD91" s="74" t="s">
        <v>27</v>
      </c>
      <c r="DHE91" s="74" t="s">
        <v>24</v>
      </c>
      <c r="DHF91" s="75" t="s">
        <v>25</v>
      </c>
      <c r="DHG91" s="76">
        <f>IFERROR(VLOOKUP(DHF91,'[1]List KPI'!$A$103:$F$118,6,0),"")</f>
        <v>1.0416666666666666E-2</v>
      </c>
      <c r="DHH91" s="76">
        <v>0.86944444444444446</v>
      </c>
      <c r="DHI91" s="76">
        <v>0.86944444444444446</v>
      </c>
      <c r="DHJ91" s="77" t="str">
        <f t="shared" si="81"/>
        <v>O</v>
      </c>
      <c r="DHK91" s="74" t="s">
        <v>28</v>
      </c>
      <c r="DHL91" s="75" t="s">
        <v>23</v>
      </c>
      <c r="DHM91" s="78">
        <f>IFERROR(VLOOKUP(DHL91,'[1]List KPI'!$M$3:$N$8,2,0),"")</f>
        <v>2.0833333333333332E-2</v>
      </c>
      <c r="DHN91" s="76">
        <v>0.89444444444444449</v>
      </c>
      <c r="DHO91" s="77" t="str">
        <f t="shared" si="82"/>
        <v>O</v>
      </c>
      <c r="DHP91" s="79">
        <v>5</v>
      </c>
      <c r="DHQ91" s="75">
        <v>1276006</v>
      </c>
      <c r="DHR91" s="80"/>
      <c r="DHS91" s="81">
        <v>0.86944444444444446</v>
      </c>
      <c r="DHT91" s="74" t="s">
        <v>27</v>
      </c>
      <c r="DHU91" s="74" t="s">
        <v>24</v>
      </c>
      <c r="DHV91" s="75" t="s">
        <v>25</v>
      </c>
      <c r="DHW91" s="76">
        <f>IFERROR(VLOOKUP(DHV91,'[1]List KPI'!$A$103:$F$118,6,0),"")</f>
        <v>1.0416666666666666E-2</v>
      </c>
      <c r="DHX91" s="76">
        <v>0.86944444444444446</v>
      </c>
      <c r="DHY91" s="76">
        <v>0.86944444444444446</v>
      </c>
      <c r="DHZ91" s="77" t="str">
        <f t="shared" si="81"/>
        <v>O</v>
      </c>
      <c r="DIA91" s="74" t="s">
        <v>28</v>
      </c>
      <c r="DIB91" s="75" t="s">
        <v>23</v>
      </c>
      <c r="DIC91" s="78">
        <f>IFERROR(VLOOKUP(DIB91,'[1]List KPI'!$M$3:$N$8,2,0),"")</f>
        <v>2.0833333333333332E-2</v>
      </c>
      <c r="DID91" s="76">
        <v>0.89444444444444449</v>
      </c>
      <c r="DIE91" s="77" t="str">
        <f t="shared" si="82"/>
        <v>O</v>
      </c>
      <c r="DIF91" s="79">
        <v>5</v>
      </c>
      <c r="DIG91" s="75">
        <v>1276006</v>
      </c>
      <c r="DIH91" s="80"/>
      <c r="DII91" s="81">
        <v>0.86944444444444446</v>
      </c>
      <c r="DIJ91" s="74" t="s">
        <v>27</v>
      </c>
      <c r="DIK91" s="74" t="s">
        <v>24</v>
      </c>
      <c r="DIL91" s="75" t="s">
        <v>25</v>
      </c>
      <c r="DIM91" s="76">
        <f>IFERROR(VLOOKUP(DIL91,'[1]List KPI'!$A$103:$F$118,6,0),"")</f>
        <v>1.0416666666666666E-2</v>
      </c>
      <c r="DIN91" s="76">
        <v>0.86944444444444446</v>
      </c>
      <c r="DIO91" s="76">
        <v>0.86944444444444446</v>
      </c>
      <c r="DIP91" s="77" t="str">
        <f t="shared" ref="DIP91:DKL91" si="83">IF(DIO91="","",IF(DIO91&gt;DIX91,"O","P"))</f>
        <v>O</v>
      </c>
      <c r="DIQ91" s="74" t="s">
        <v>28</v>
      </c>
      <c r="DIR91" s="75" t="s">
        <v>23</v>
      </c>
      <c r="DIS91" s="78">
        <f>IFERROR(VLOOKUP(DIR91,'[1]List KPI'!$M$3:$N$8,2,0),"")</f>
        <v>2.0833333333333332E-2</v>
      </c>
      <c r="DIT91" s="76">
        <v>0.89444444444444449</v>
      </c>
      <c r="DIU91" s="77" t="str">
        <f t="shared" ref="DIU91:DKQ91" si="84">IF(DIT91="","",IF(DIT91&gt;DIY91,"O","P"))</f>
        <v>O</v>
      </c>
      <c r="DIV91" s="79">
        <v>5</v>
      </c>
      <c r="DIW91" s="75">
        <v>1276006</v>
      </c>
      <c r="DIX91" s="80"/>
      <c r="DIY91" s="81">
        <v>0.86944444444444446</v>
      </c>
      <c r="DIZ91" s="74" t="s">
        <v>27</v>
      </c>
      <c r="DJA91" s="74" t="s">
        <v>24</v>
      </c>
      <c r="DJB91" s="75" t="s">
        <v>25</v>
      </c>
      <c r="DJC91" s="76">
        <f>IFERROR(VLOOKUP(DJB91,'[1]List KPI'!$A$103:$F$118,6,0),"")</f>
        <v>1.0416666666666666E-2</v>
      </c>
      <c r="DJD91" s="76">
        <v>0.86944444444444446</v>
      </c>
      <c r="DJE91" s="76">
        <v>0.86944444444444446</v>
      </c>
      <c r="DJF91" s="77" t="str">
        <f t="shared" si="83"/>
        <v>O</v>
      </c>
      <c r="DJG91" s="74" t="s">
        <v>28</v>
      </c>
      <c r="DJH91" s="75" t="s">
        <v>23</v>
      </c>
      <c r="DJI91" s="78">
        <f>IFERROR(VLOOKUP(DJH91,'[1]List KPI'!$M$3:$N$8,2,0),"")</f>
        <v>2.0833333333333332E-2</v>
      </c>
      <c r="DJJ91" s="76">
        <v>0.89444444444444449</v>
      </c>
      <c r="DJK91" s="77" t="str">
        <f t="shared" si="84"/>
        <v>O</v>
      </c>
      <c r="DJL91" s="79">
        <v>5</v>
      </c>
      <c r="DJM91" s="75">
        <v>1276006</v>
      </c>
      <c r="DJN91" s="80"/>
      <c r="DJO91" s="81">
        <v>0.86944444444444446</v>
      </c>
      <c r="DJP91" s="74" t="s">
        <v>27</v>
      </c>
      <c r="DJQ91" s="74" t="s">
        <v>24</v>
      </c>
      <c r="DJR91" s="75" t="s">
        <v>25</v>
      </c>
      <c r="DJS91" s="76">
        <f>IFERROR(VLOOKUP(DJR91,'[1]List KPI'!$A$103:$F$118,6,0),"")</f>
        <v>1.0416666666666666E-2</v>
      </c>
      <c r="DJT91" s="76">
        <v>0.86944444444444446</v>
      </c>
      <c r="DJU91" s="76">
        <v>0.86944444444444446</v>
      </c>
      <c r="DJV91" s="77" t="str">
        <f t="shared" si="83"/>
        <v>O</v>
      </c>
      <c r="DJW91" s="74" t="s">
        <v>28</v>
      </c>
      <c r="DJX91" s="75" t="s">
        <v>23</v>
      </c>
      <c r="DJY91" s="78">
        <f>IFERROR(VLOOKUP(DJX91,'[1]List KPI'!$M$3:$N$8,2,0),"")</f>
        <v>2.0833333333333332E-2</v>
      </c>
      <c r="DJZ91" s="76">
        <v>0.89444444444444449</v>
      </c>
      <c r="DKA91" s="77" t="str">
        <f t="shared" si="84"/>
        <v>O</v>
      </c>
      <c r="DKB91" s="79">
        <v>5</v>
      </c>
      <c r="DKC91" s="75">
        <v>1276006</v>
      </c>
      <c r="DKD91" s="80"/>
      <c r="DKE91" s="81">
        <v>0.86944444444444446</v>
      </c>
      <c r="DKF91" s="74" t="s">
        <v>27</v>
      </c>
      <c r="DKG91" s="74" t="s">
        <v>24</v>
      </c>
      <c r="DKH91" s="75" t="s">
        <v>25</v>
      </c>
      <c r="DKI91" s="76">
        <f>IFERROR(VLOOKUP(DKH91,'[1]List KPI'!$A$103:$F$118,6,0),"")</f>
        <v>1.0416666666666666E-2</v>
      </c>
      <c r="DKJ91" s="76">
        <v>0.86944444444444446</v>
      </c>
      <c r="DKK91" s="76">
        <v>0.86944444444444446</v>
      </c>
      <c r="DKL91" s="77" t="str">
        <f t="shared" si="83"/>
        <v>O</v>
      </c>
      <c r="DKM91" s="74" t="s">
        <v>28</v>
      </c>
      <c r="DKN91" s="75" t="s">
        <v>23</v>
      </c>
      <c r="DKO91" s="78">
        <f>IFERROR(VLOOKUP(DKN91,'[1]List KPI'!$M$3:$N$8,2,0),"")</f>
        <v>2.0833333333333332E-2</v>
      </c>
      <c r="DKP91" s="76">
        <v>0.89444444444444449</v>
      </c>
      <c r="DKQ91" s="77" t="str">
        <f t="shared" si="84"/>
        <v>O</v>
      </c>
      <c r="DKR91" s="79">
        <v>5</v>
      </c>
      <c r="DKS91" s="75">
        <v>1276006</v>
      </c>
      <c r="DKT91" s="80"/>
      <c r="DKU91" s="81">
        <v>0.86944444444444446</v>
      </c>
      <c r="DKV91" s="74" t="s">
        <v>27</v>
      </c>
      <c r="DKW91" s="74" t="s">
        <v>24</v>
      </c>
      <c r="DKX91" s="75" t="s">
        <v>25</v>
      </c>
      <c r="DKY91" s="76">
        <f>IFERROR(VLOOKUP(DKX91,'[1]List KPI'!$A$103:$F$118,6,0),"")</f>
        <v>1.0416666666666666E-2</v>
      </c>
      <c r="DKZ91" s="76">
        <v>0.86944444444444446</v>
      </c>
      <c r="DLA91" s="76">
        <v>0.86944444444444446</v>
      </c>
      <c r="DLB91" s="77" t="str">
        <f t="shared" ref="DLB91:DMX91" si="85">IF(DLA91="","",IF(DLA91&gt;DLJ91,"O","P"))</f>
        <v>O</v>
      </c>
      <c r="DLC91" s="74" t="s">
        <v>28</v>
      </c>
      <c r="DLD91" s="75" t="s">
        <v>23</v>
      </c>
      <c r="DLE91" s="78">
        <f>IFERROR(VLOOKUP(DLD91,'[1]List KPI'!$M$3:$N$8,2,0),"")</f>
        <v>2.0833333333333332E-2</v>
      </c>
      <c r="DLF91" s="76">
        <v>0.89444444444444449</v>
      </c>
      <c r="DLG91" s="77" t="str">
        <f t="shared" ref="DLG91:DNC91" si="86">IF(DLF91="","",IF(DLF91&gt;DLK91,"O","P"))</f>
        <v>O</v>
      </c>
      <c r="DLH91" s="79">
        <v>5</v>
      </c>
      <c r="DLI91" s="75">
        <v>1276006</v>
      </c>
      <c r="DLJ91" s="80"/>
      <c r="DLK91" s="81">
        <v>0.86944444444444446</v>
      </c>
      <c r="DLL91" s="74" t="s">
        <v>27</v>
      </c>
      <c r="DLM91" s="74" t="s">
        <v>24</v>
      </c>
      <c r="DLN91" s="75" t="s">
        <v>25</v>
      </c>
      <c r="DLO91" s="76">
        <f>IFERROR(VLOOKUP(DLN91,'[1]List KPI'!$A$103:$F$118,6,0),"")</f>
        <v>1.0416666666666666E-2</v>
      </c>
      <c r="DLP91" s="76">
        <v>0.86944444444444446</v>
      </c>
      <c r="DLQ91" s="76">
        <v>0.86944444444444446</v>
      </c>
      <c r="DLR91" s="77" t="str">
        <f t="shared" si="85"/>
        <v>O</v>
      </c>
      <c r="DLS91" s="74" t="s">
        <v>28</v>
      </c>
      <c r="DLT91" s="75" t="s">
        <v>23</v>
      </c>
      <c r="DLU91" s="78">
        <f>IFERROR(VLOOKUP(DLT91,'[1]List KPI'!$M$3:$N$8,2,0),"")</f>
        <v>2.0833333333333332E-2</v>
      </c>
      <c r="DLV91" s="76">
        <v>0.89444444444444449</v>
      </c>
      <c r="DLW91" s="77" t="str">
        <f t="shared" si="86"/>
        <v>O</v>
      </c>
      <c r="DLX91" s="79">
        <v>5</v>
      </c>
      <c r="DLY91" s="75">
        <v>1276006</v>
      </c>
      <c r="DLZ91" s="80"/>
      <c r="DMA91" s="81">
        <v>0.86944444444444446</v>
      </c>
      <c r="DMB91" s="74" t="s">
        <v>27</v>
      </c>
      <c r="DMC91" s="74" t="s">
        <v>24</v>
      </c>
      <c r="DMD91" s="75" t="s">
        <v>25</v>
      </c>
      <c r="DME91" s="76">
        <f>IFERROR(VLOOKUP(DMD91,'[1]List KPI'!$A$103:$F$118,6,0),"")</f>
        <v>1.0416666666666666E-2</v>
      </c>
      <c r="DMF91" s="76">
        <v>0.86944444444444446</v>
      </c>
      <c r="DMG91" s="76">
        <v>0.86944444444444446</v>
      </c>
      <c r="DMH91" s="77" t="str">
        <f t="shared" si="85"/>
        <v>O</v>
      </c>
      <c r="DMI91" s="74" t="s">
        <v>28</v>
      </c>
      <c r="DMJ91" s="75" t="s">
        <v>23</v>
      </c>
      <c r="DMK91" s="78">
        <f>IFERROR(VLOOKUP(DMJ91,'[1]List KPI'!$M$3:$N$8,2,0),"")</f>
        <v>2.0833333333333332E-2</v>
      </c>
      <c r="DML91" s="76">
        <v>0.89444444444444449</v>
      </c>
      <c r="DMM91" s="77" t="str">
        <f t="shared" si="86"/>
        <v>O</v>
      </c>
      <c r="DMN91" s="79">
        <v>5</v>
      </c>
      <c r="DMO91" s="75">
        <v>1276006</v>
      </c>
      <c r="DMP91" s="80"/>
      <c r="DMQ91" s="81">
        <v>0.86944444444444446</v>
      </c>
      <c r="DMR91" s="74" t="s">
        <v>27</v>
      </c>
      <c r="DMS91" s="74" t="s">
        <v>24</v>
      </c>
      <c r="DMT91" s="75" t="s">
        <v>25</v>
      </c>
      <c r="DMU91" s="76">
        <f>IFERROR(VLOOKUP(DMT91,'[1]List KPI'!$A$103:$F$118,6,0),"")</f>
        <v>1.0416666666666666E-2</v>
      </c>
      <c r="DMV91" s="76">
        <v>0.86944444444444446</v>
      </c>
      <c r="DMW91" s="76">
        <v>0.86944444444444446</v>
      </c>
      <c r="DMX91" s="77" t="str">
        <f t="shared" si="85"/>
        <v>O</v>
      </c>
      <c r="DMY91" s="74" t="s">
        <v>28</v>
      </c>
      <c r="DMZ91" s="75" t="s">
        <v>23</v>
      </c>
      <c r="DNA91" s="78">
        <f>IFERROR(VLOOKUP(DMZ91,'[1]List KPI'!$M$3:$N$8,2,0),"")</f>
        <v>2.0833333333333332E-2</v>
      </c>
      <c r="DNB91" s="76">
        <v>0.89444444444444449</v>
      </c>
      <c r="DNC91" s="77" t="str">
        <f t="shared" si="86"/>
        <v>O</v>
      </c>
      <c r="DND91" s="79">
        <v>5</v>
      </c>
      <c r="DNE91" s="75">
        <v>1276006</v>
      </c>
      <c r="DNF91" s="80"/>
      <c r="DNG91" s="81">
        <v>0.86944444444444446</v>
      </c>
      <c r="DNH91" s="74" t="s">
        <v>27</v>
      </c>
      <c r="DNI91" s="74" t="s">
        <v>24</v>
      </c>
      <c r="DNJ91" s="75" t="s">
        <v>25</v>
      </c>
      <c r="DNK91" s="76">
        <f>IFERROR(VLOOKUP(DNJ91,'[1]List KPI'!$A$103:$F$118,6,0),"")</f>
        <v>1.0416666666666666E-2</v>
      </c>
      <c r="DNL91" s="76">
        <v>0.86944444444444446</v>
      </c>
      <c r="DNM91" s="76">
        <v>0.86944444444444446</v>
      </c>
      <c r="DNN91" s="77" t="str">
        <f t="shared" ref="DNN91:DPJ91" si="87">IF(DNM91="","",IF(DNM91&gt;DNV91,"O","P"))</f>
        <v>O</v>
      </c>
      <c r="DNO91" s="74" t="s">
        <v>28</v>
      </c>
      <c r="DNP91" s="75" t="s">
        <v>23</v>
      </c>
      <c r="DNQ91" s="78">
        <f>IFERROR(VLOOKUP(DNP91,'[1]List KPI'!$M$3:$N$8,2,0),"")</f>
        <v>2.0833333333333332E-2</v>
      </c>
      <c r="DNR91" s="76">
        <v>0.89444444444444449</v>
      </c>
      <c r="DNS91" s="77" t="str">
        <f t="shared" ref="DNS91:DPO91" si="88">IF(DNR91="","",IF(DNR91&gt;DNW91,"O","P"))</f>
        <v>O</v>
      </c>
      <c r="DNT91" s="79">
        <v>5</v>
      </c>
      <c r="DNU91" s="75">
        <v>1276006</v>
      </c>
      <c r="DNV91" s="80"/>
      <c r="DNW91" s="81">
        <v>0.86944444444444446</v>
      </c>
      <c r="DNX91" s="74" t="s">
        <v>27</v>
      </c>
      <c r="DNY91" s="74" t="s">
        <v>24</v>
      </c>
      <c r="DNZ91" s="75" t="s">
        <v>25</v>
      </c>
      <c r="DOA91" s="76">
        <f>IFERROR(VLOOKUP(DNZ91,'[1]List KPI'!$A$103:$F$118,6,0),"")</f>
        <v>1.0416666666666666E-2</v>
      </c>
      <c r="DOB91" s="76">
        <v>0.86944444444444446</v>
      </c>
      <c r="DOC91" s="76">
        <v>0.86944444444444446</v>
      </c>
      <c r="DOD91" s="77" t="str">
        <f t="shared" si="87"/>
        <v>O</v>
      </c>
      <c r="DOE91" s="74" t="s">
        <v>28</v>
      </c>
      <c r="DOF91" s="75" t="s">
        <v>23</v>
      </c>
      <c r="DOG91" s="78">
        <f>IFERROR(VLOOKUP(DOF91,'[1]List KPI'!$M$3:$N$8,2,0),"")</f>
        <v>2.0833333333333332E-2</v>
      </c>
      <c r="DOH91" s="76">
        <v>0.89444444444444449</v>
      </c>
      <c r="DOI91" s="77" t="str">
        <f t="shared" si="88"/>
        <v>O</v>
      </c>
      <c r="DOJ91" s="79">
        <v>5</v>
      </c>
      <c r="DOK91" s="75">
        <v>1276006</v>
      </c>
      <c r="DOL91" s="80"/>
      <c r="DOM91" s="81">
        <v>0.86944444444444446</v>
      </c>
      <c r="DON91" s="74" t="s">
        <v>27</v>
      </c>
      <c r="DOO91" s="74" t="s">
        <v>24</v>
      </c>
      <c r="DOP91" s="75" t="s">
        <v>25</v>
      </c>
      <c r="DOQ91" s="76">
        <f>IFERROR(VLOOKUP(DOP91,'[1]List KPI'!$A$103:$F$118,6,0),"")</f>
        <v>1.0416666666666666E-2</v>
      </c>
      <c r="DOR91" s="76">
        <v>0.86944444444444446</v>
      </c>
      <c r="DOS91" s="76">
        <v>0.86944444444444446</v>
      </c>
      <c r="DOT91" s="77" t="str">
        <f t="shared" si="87"/>
        <v>O</v>
      </c>
      <c r="DOU91" s="74" t="s">
        <v>28</v>
      </c>
      <c r="DOV91" s="75" t="s">
        <v>23</v>
      </c>
      <c r="DOW91" s="78">
        <f>IFERROR(VLOOKUP(DOV91,'[1]List KPI'!$M$3:$N$8,2,0),"")</f>
        <v>2.0833333333333332E-2</v>
      </c>
      <c r="DOX91" s="76">
        <v>0.89444444444444449</v>
      </c>
      <c r="DOY91" s="77" t="str">
        <f t="shared" si="88"/>
        <v>O</v>
      </c>
      <c r="DOZ91" s="79">
        <v>5</v>
      </c>
      <c r="DPA91" s="75">
        <v>1276006</v>
      </c>
      <c r="DPB91" s="80"/>
      <c r="DPC91" s="81">
        <v>0.86944444444444446</v>
      </c>
      <c r="DPD91" s="74" t="s">
        <v>27</v>
      </c>
      <c r="DPE91" s="74" t="s">
        <v>24</v>
      </c>
      <c r="DPF91" s="75" t="s">
        <v>25</v>
      </c>
      <c r="DPG91" s="76">
        <f>IFERROR(VLOOKUP(DPF91,'[1]List KPI'!$A$103:$F$118,6,0),"")</f>
        <v>1.0416666666666666E-2</v>
      </c>
      <c r="DPH91" s="76">
        <v>0.86944444444444446</v>
      </c>
      <c r="DPI91" s="76">
        <v>0.86944444444444446</v>
      </c>
      <c r="DPJ91" s="77" t="str">
        <f t="shared" si="87"/>
        <v>O</v>
      </c>
      <c r="DPK91" s="74" t="s">
        <v>28</v>
      </c>
      <c r="DPL91" s="75" t="s">
        <v>23</v>
      </c>
      <c r="DPM91" s="78">
        <f>IFERROR(VLOOKUP(DPL91,'[1]List KPI'!$M$3:$N$8,2,0),"")</f>
        <v>2.0833333333333332E-2</v>
      </c>
      <c r="DPN91" s="76">
        <v>0.89444444444444449</v>
      </c>
      <c r="DPO91" s="77" t="str">
        <f t="shared" si="88"/>
        <v>O</v>
      </c>
      <c r="DPP91" s="79">
        <v>5</v>
      </c>
      <c r="DPQ91" s="75">
        <v>1276006</v>
      </c>
      <c r="DPR91" s="80"/>
      <c r="DPS91" s="81">
        <v>0.86944444444444446</v>
      </c>
      <c r="DPT91" s="74" t="s">
        <v>27</v>
      </c>
      <c r="DPU91" s="74" t="s">
        <v>24</v>
      </c>
      <c r="DPV91" s="75" t="s">
        <v>25</v>
      </c>
      <c r="DPW91" s="76">
        <f>IFERROR(VLOOKUP(DPV91,'[1]List KPI'!$A$103:$F$118,6,0),"")</f>
        <v>1.0416666666666666E-2</v>
      </c>
      <c r="DPX91" s="76">
        <v>0.86944444444444446</v>
      </c>
      <c r="DPY91" s="76">
        <v>0.86944444444444446</v>
      </c>
      <c r="DPZ91" s="77" t="str">
        <f t="shared" ref="DPZ91:DRV91" si="89">IF(DPY91="","",IF(DPY91&gt;DQH91,"O","P"))</f>
        <v>O</v>
      </c>
      <c r="DQA91" s="74" t="s">
        <v>28</v>
      </c>
      <c r="DQB91" s="75" t="s">
        <v>23</v>
      </c>
      <c r="DQC91" s="78">
        <f>IFERROR(VLOOKUP(DQB91,'[1]List KPI'!$M$3:$N$8,2,0),"")</f>
        <v>2.0833333333333332E-2</v>
      </c>
      <c r="DQD91" s="76">
        <v>0.89444444444444449</v>
      </c>
      <c r="DQE91" s="77" t="str">
        <f t="shared" ref="DQE91:DSA91" si="90">IF(DQD91="","",IF(DQD91&gt;DQI91,"O","P"))</f>
        <v>O</v>
      </c>
      <c r="DQF91" s="79">
        <v>5</v>
      </c>
      <c r="DQG91" s="75">
        <v>1276006</v>
      </c>
      <c r="DQH91" s="80"/>
      <c r="DQI91" s="81">
        <v>0.86944444444444446</v>
      </c>
      <c r="DQJ91" s="74" t="s">
        <v>27</v>
      </c>
      <c r="DQK91" s="74" t="s">
        <v>24</v>
      </c>
      <c r="DQL91" s="75" t="s">
        <v>25</v>
      </c>
      <c r="DQM91" s="76">
        <f>IFERROR(VLOOKUP(DQL91,'[1]List KPI'!$A$103:$F$118,6,0),"")</f>
        <v>1.0416666666666666E-2</v>
      </c>
      <c r="DQN91" s="76">
        <v>0.86944444444444446</v>
      </c>
      <c r="DQO91" s="76">
        <v>0.86944444444444446</v>
      </c>
      <c r="DQP91" s="77" t="str">
        <f t="shared" si="89"/>
        <v>O</v>
      </c>
      <c r="DQQ91" s="74" t="s">
        <v>28</v>
      </c>
      <c r="DQR91" s="75" t="s">
        <v>23</v>
      </c>
      <c r="DQS91" s="78">
        <f>IFERROR(VLOOKUP(DQR91,'[1]List KPI'!$M$3:$N$8,2,0),"")</f>
        <v>2.0833333333333332E-2</v>
      </c>
      <c r="DQT91" s="76">
        <v>0.89444444444444449</v>
      </c>
      <c r="DQU91" s="77" t="str">
        <f t="shared" si="90"/>
        <v>O</v>
      </c>
      <c r="DQV91" s="79">
        <v>5</v>
      </c>
      <c r="DQW91" s="75">
        <v>1276006</v>
      </c>
      <c r="DQX91" s="80"/>
      <c r="DQY91" s="81">
        <v>0.86944444444444446</v>
      </c>
      <c r="DQZ91" s="74" t="s">
        <v>27</v>
      </c>
      <c r="DRA91" s="74" t="s">
        <v>24</v>
      </c>
      <c r="DRB91" s="75" t="s">
        <v>25</v>
      </c>
      <c r="DRC91" s="76">
        <f>IFERROR(VLOOKUP(DRB91,'[1]List KPI'!$A$103:$F$118,6,0),"")</f>
        <v>1.0416666666666666E-2</v>
      </c>
      <c r="DRD91" s="76">
        <v>0.86944444444444446</v>
      </c>
      <c r="DRE91" s="76">
        <v>0.86944444444444446</v>
      </c>
      <c r="DRF91" s="77" t="str">
        <f t="shared" si="89"/>
        <v>O</v>
      </c>
      <c r="DRG91" s="74" t="s">
        <v>28</v>
      </c>
      <c r="DRH91" s="75" t="s">
        <v>23</v>
      </c>
      <c r="DRI91" s="78">
        <f>IFERROR(VLOOKUP(DRH91,'[1]List KPI'!$M$3:$N$8,2,0),"")</f>
        <v>2.0833333333333332E-2</v>
      </c>
      <c r="DRJ91" s="76">
        <v>0.89444444444444449</v>
      </c>
      <c r="DRK91" s="77" t="str">
        <f t="shared" si="90"/>
        <v>O</v>
      </c>
      <c r="DRL91" s="79">
        <v>5</v>
      </c>
      <c r="DRM91" s="75">
        <v>1276006</v>
      </c>
      <c r="DRN91" s="80"/>
      <c r="DRO91" s="81">
        <v>0.86944444444444446</v>
      </c>
      <c r="DRP91" s="74" t="s">
        <v>27</v>
      </c>
      <c r="DRQ91" s="74" t="s">
        <v>24</v>
      </c>
      <c r="DRR91" s="75" t="s">
        <v>25</v>
      </c>
      <c r="DRS91" s="76">
        <f>IFERROR(VLOOKUP(DRR91,'[1]List KPI'!$A$103:$F$118,6,0),"")</f>
        <v>1.0416666666666666E-2</v>
      </c>
      <c r="DRT91" s="76">
        <v>0.86944444444444446</v>
      </c>
      <c r="DRU91" s="76">
        <v>0.86944444444444446</v>
      </c>
      <c r="DRV91" s="77" t="str">
        <f t="shared" si="89"/>
        <v>O</v>
      </c>
      <c r="DRW91" s="74" t="s">
        <v>28</v>
      </c>
      <c r="DRX91" s="75" t="s">
        <v>23</v>
      </c>
      <c r="DRY91" s="78">
        <f>IFERROR(VLOOKUP(DRX91,'[1]List KPI'!$M$3:$N$8,2,0),"")</f>
        <v>2.0833333333333332E-2</v>
      </c>
      <c r="DRZ91" s="76">
        <v>0.89444444444444449</v>
      </c>
      <c r="DSA91" s="77" t="str">
        <f t="shared" si="90"/>
        <v>O</v>
      </c>
      <c r="DSB91" s="79">
        <v>5</v>
      </c>
      <c r="DSC91" s="75">
        <v>1276006</v>
      </c>
      <c r="DSD91" s="80"/>
      <c r="DSE91" s="81">
        <v>0.86944444444444446</v>
      </c>
      <c r="DSF91" s="74" t="s">
        <v>27</v>
      </c>
      <c r="DSG91" s="74" t="s">
        <v>24</v>
      </c>
      <c r="DSH91" s="75" t="s">
        <v>25</v>
      </c>
      <c r="DSI91" s="76">
        <f>IFERROR(VLOOKUP(DSH91,'[1]List KPI'!$A$103:$F$118,6,0),"")</f>
        <v>1.0416666666666666E-2</v>
      </c>
      <c r="DSJ91" s="76">
        <v>0.86944444444444446</v>
      </c>
      <c r="DSK91" s="76">
        <v>0.86944444444444446</v>
      </c>
      <c r="DSL91" s="77" t="str">
        <f t="shared" ref="DSL91:DUH91" si="91">IF(DSK91="","",IF(DSK91&gt;DST91,"O","P"))</f>
        <v>O</v>
      </c>
      <c r="DSM91" s="74" t="s">
        <v>28</v>
      </c>
      <c r="DSN91" s="75" t="s">
        <v>23</v>
      </c>
      <c r="DSO91" s="78">
        <f>IFERROR(VLOOKUP(DSN91,'[1]List KPI'!$M$3:$N$8,2,0),"")</f>
        <v>2.0833333333333332E-2</v>
      </c>
      <c r="DSP91" s="76">
        <v>0.89444444444444449</v>
      </c>
      <c r="DSQ91" s="77" t="str">
        <f t="shared" ref="DSQ91:DUM91" si="92">IF(DSP91="","",IF(DSP91&gt;DSU91,"O","P"))</f>
        <v>O</v>
      </c>
      <c r="DSR91" s="79">
        <v>5</v>
      </c>
      <c r="DSS91" s="75">
        <v>1276006</v>
      </c>
      <c r="DST91" s="80"/>
      <c r="DSU91" s="81">
        <v>0.86944444444444446</v>
      </c>
      <c r="DSV91" s="74" t="s">
        <v>27</v>
      </c>
      <c r="DSW91" s="74" t="s">
        <v>24</v>
      </c>
      <c r="DSX91" s="75" t="s">
        <v>25</v>
      </c>
      <c r="DSY91" s="76">
        <f>IFERROR(VLOOKUP(DSX91,'[1]List KPI'!$A$103:$F$118,6,0),"")</f>
        <v>1.0416666666666666E-2</v>
      </c>
      <c r="DSZ91" s="76">
        <v>0.86944444444444446</v>
      </c>
      <c r="DTA91" s="76">
        <v>0.86944444444444446</v>
      </c>
      <c r="DTB91" s="77" t="str">
        <f t="shared" si="91"/>
        <v>O</v>
      </c>
      <c r="DTC91" s="74" t="s">
        <v>28</v>
      </c>
      <c r="DTD91" s="75" t="s">
        <v>23</v>
      </c>
      <c r="DTE91" s="78">
        <f>IFERROR(VLOOKUP(DTD91,'[1]List KPI'!$M$3:$N$8,2,0),"")</f>
        <v>2.0833333333333332E-2</v>
      </c>
      <c r="DTF91" s="76">
        <v>0.89444444444444449</v>
      </c>
      <c r="DTG91" s="77" t="str">
        <f t="shared" si="92"/>
        <v>O</v>
      </c>
      <c r="DTH91" s="79">
        <v>5</v>
      </c>
      <c r="DTI91" s="75">
        <v>1276006</v>
      </c>
      <c r="DTJ91" s="80"/>
      <c r="DTK91" s="81">
        <v>0.86944444444444446</v>
      </c>
      <c r="DTL91" s="74" t="s">
        <v>27</v>
      </c>
      <c r="DTM91" s="74" t="s">
        <v>24</v>
      </c>
      <c r="DTN91" s="75" t="s">
        <v>25</v>
      </c>
      <c r="DTO91" s="76">
        <f>IFERROR(VLOOKUP(DTN91,'[1]List KPI'!$A$103:$F$118,6,0),"")</f>
        <v>1.0416666666666666E-2</v>
      </c>
      <c r="DTP91" s="76">
        <v>0.86944444444444446</v>
      </c>
      <c r="DTQ91" s="76">
        <v>0.86944444444444446</v>
      </c>
      <c r="DTR91" s="77" t="str">
        <f t="shared" si="91"/>
        <v>O</v>
      </c>
      <c r="DTS91" s="74" t="s">
        <v>28</v>
      </c>
      <c r="DTT91" s="75" t="s">
        <v>23</v>
      </c>
      <c r="DTU91" s="78">
        <f>IFERROR(VLOOKUP(DTT91,'[1]List KPI'!$M$3:$N$8,2,0),"")</f>
        <v>2.0833333333333332E-2</v>
      </c>
      <c r="DTV91" s="76">
        <v>0.89444444444444449</v>
      </c>
      <c r="DTW91" s="77" t="str">
        <f t="shared" si="92"/>
        <v>O</v>
      </c>
      <c r="DTX91" s="79">
        <v>5</v>
      </c>
      <c r="DTY91" s="75">
        <v>1276006</v>
      </c>
      <c r="DTZ91" s="80"/>
      <c r="DUA91" s="81">
        <v>0.86944444444444446</v>
      </c>
      <c r="DUB91" s="74" t="s">
        <v>27</v>
      </c>
      <c r="DUC91" s="74" t="s">
        <v>24</v>
      </c>
      <c r="DUD91" s="75" t="s">
        <v>25</v>
      </c>
      <c r="DUE91" s="76">
        <f>IFERROR(VLOOKUP(DUD91,'[1]List KPI'!$A$103:$F$118,6,0),"")</f>
        <v>1.0416666666666666E-2</v>
      </c>
      <c r="DUF91" s="76">
        <v>0.86944444444444446</v>
      </c>
      <c r="DUG91" s="76">
        <v>0.86944444444444446</v>
      </c>
      <c r="DUH91" s="77" t="str">
        <f t="shared" si="91"/>
        <v>O</v>
      </c>
      <c r="DUI91" s="74" t="s">
        <v>28</v>
      </c>
      <c r="DUJ91" s="75" t="s">
        <v>23</v>
      </c>
      <c r="DUK91" s="78">
        <f>IFERROR(VLOOKUP(DUJ91,'[1]List KPI'!$M$3:$N$8,2,0),"")</f>
        <v>2.0833333333333332E-2</v>
      </c>
      <c r="DUL91" s="76">
        <v>0.89444444444444449</v>
      </c>
      <c r="DUM91" s="77" t="str">
        <f t="shared" si="92"/>
        <v>O</v>
      </c>
      <c r="DUN91" s="79">
        <v>5</v>
      </c>
      <c r="DUO91" s="75">
        <v>1276006</v>
      </c>
      <c r="DUP91" s="80"/>
      <c r="DUQ91" s="81">
        <v>0.86944444444444446</v>
      </c>
      <c r="DUR91" s="74" t="s">
        <v>27</v>
      </c>
      <c r="DUS91" s="74" t="s">
        <v>24</v>
      </c>
      <c r="DUT91" s="75" t="s">
        <v>25</v>
      </c>
      <c r="DUU91" s="76">
        <f>IFERROR(VLOOKUP(DUT91,'[1]List KPI'!$A$103:$F$118,6,0),"")</f>
        <v>1.0416666666666666E-2</v>
      </c>
      <c r="DUV91" s="76">
        <v>0.86944444444444446</v>
      </c>
      <c r="DUW91" s="76">
        <v>0.86944444444444446</v>
      </c>
      <c r="DUX91" s="77" t="str">
        <f t="shared" ref="DUX91:DWT91" si="93">IF(DUW91="","",IF(DUW91&gt;DVF91,"O","P"))</f>
        <v>O</v>
      </c>
      <c r="DUY91" s="74" t="s">
        <v>28</v>
      </c>
      <c r="DUZ91" s="75" t="s">
        <v>23</v>
      </c>
      <c r="DVA91" s="78">
        <f>IFERROR(VLOOKUP(DUZ91,'[1]List KPI'!$M$3:$N$8,2,0),"")</f>
        <v>2.0833333333333332E-2</v>
      </c>
      <c r="DVB91" s="76">
        <v>0.89444444444444449</v>
      </c>
      <c r="DVC91" s="77" t="str">
        <f t="shared" ref="DVC91:DWY91" si="94">IF(DVB91="","",IF(DVB91&gt;DVG91,"O","P"))</f>
        <v>O</v>
      </c>
      <c r="DVD91" s="79">
        <v>5</v>
      </c>
      <c r="DVE91" s="75">
        <v>1276006</v>
      </c>
      <c r="DVF91" s="80"/>
      <c r="DVG91" s="81">
        <v>0.86944444444444446</v>
      </c>
      <c r="DVH91" s="74" t="s">
        <v>27</v>
      </c>
      <c r="DVI91" s="74" t="s">
        <v>24</v>
      </c>
      <c r="DVJ91" s="75" t="s">
        <v>25</v>
      </c>
      <c r="DVK91" s="76">
        <f>IFERROR(VLOOKUP(DVJ91,'[1]List KPI'!$A$103:$F$118,6,0),"")</f>
        <v>1.0416666666666666E-2</v>
      </c>
      <c r="DVL91" s="76">
        <v>0.86944444444444446</v>
      </c>
      <c r="DVM91" s="76">
        <v>0.86944444444444446</v>
      </c>
      <c r="DVN91" s="77" t="str">
        <f t="shared" si="93"/>
        <v>O</v>
      </c>
      <c r="DVO91" s="74" t="s">
        <v>28</v>
      </c>
      <c r="DVP91" s="75" t="s">
        <v>23</v>
      </c>
      <c r="DVQ91" s="78">
        <f>IFERROR(VLOOKUP(DVP91,'[1]List KPI'!$M$3:$N$8,2,0),"")</f>
        <v>2.0833333333333332E-2</v>
      </c>
      <c r="DVR91" s="76">
        <v>0.89444444444444449</v>
      </c>
      <c r="DVS91" s="77" t="str">
        <f t="shared" si="94"/>
        <v>O</v>
      </c>
      <c r="DVT91" s="79">
        <v>5</v>
      </c>
      <c r="DVU91" s="75">
        <v>1276006</v>
      </c>
      <c r="DVV91" s="80"/>
      <c r="DVW91" s="81">
        <v>0.86944444444444446</v>
      </c>
      <c r="DVX91" s="74" t="s">
        <v>27</v>
      </c>
      <c r="DVY91" s="74" t="s">
        <v>24</v>
      </c>
      <c r="DVZ91" s="75" t="s">
        <v>25</v>
      </c>
      <c r="DWA91" s="76">
        <f>IFERROR(VLOOKUP(DVZ91,'[1]List KPI'!$A$103:$F$118,6,0),"")</f>
        <v>1.0416666666666666E-2</v>
      </c>
      <c r="DWB91" s="76">
        <v>0.86944444444444446</v>
      </c>
      <c r="DWC91" s="76">
        <v>0.86944444444444446</v>
      </c>
      <c r="DWD91" s="77" t="str">
        <f t="shared" si="93"/>
        <v>O</v>
      </c>
      <c r="DWE91" s="74" t="s">
        <v>28</v>
      </c>
      <c r="DWF91" s="75" t="s">
        <v>23</v>
      </c>
      <c r="DWG91" s="78">
        <f>IFERROR(VLOOKUP(DWF91,'[1]List KPI'!$M$3:$N$8,2,0),"")</f>
        <v>2.0833333333333332E-2</v>
      </c>
      <c r="DWH91" s="76">
        <v>0.89444444444444449</v>
      </c>
      <c r="DWI91" s="77" t="str">
        <f t="shared" si="94"/>
        <v>O</v>
      </c>
      <c r="DWJ91" s="79">
        <v>5</v>
      </c>
      <c r="DWK91" s="75">
        <v>1276006</v>
      </c>
      <c r="DWL91" s="80"/>
      <c r="DWM91" s="81">
        <v>0.86944444444444446</v>
      </c>
      <c r="DWN91" s="74" t="s">
        <v>27</v>
      </c>
      <c r="DWO91" s="74" t="s">
        <v>24</v>
      </c>
      <c r="DWP91" s="75" t="s">
        <v>25</v>
      </c>
      <c r="DWQ91" s="76">
        <f>IFERROR(VLOOKUP(DWP91,'[1]List KPI'!$A$103:$F$118,6,0),"")</f>
        <v>1.0416666666666666E-2</v>
      </c>
      <c r="DWR91" s="76">
        <v>0.86944444444444446</v>
      </c>
      <c r="DWS91" s="76">
        <v>0.86944444444444446</v>
      </c>
      <c r="DWT91" s="77" t="str">
        <f t="shared" si="93"/>
        <v>O</v>
      </c>
      <c r="DWU91" s="74" t="s">
        <v>28</v>
      </c>
      <c r="DWV91" s="75" t="s">
        <v>23</v>
      </c>
      <c r="DWW91" s="78">
        <f>IFERROR(VLOOKUP(DWV91,'[1]List KPI'!$M$3:$N$8,2,0),"")</f>
        <v>2.0833333333333332E-2</v>
      </c>
      <c r="DWX91" s="76">
        <v>0.89444444444444449</v>
      </c>
      <c r="DWY91" s="77" t="str">
        <f t="shared" si="94"/>
        <v>O</v>
      </c>
      <c r="DWZ91" s="79">
        <v>5</v>
      </c>
      <c r="DXA91" s="75">
        <v>1276006</v>
      </c>
      <c r="DXB91" s="80"/>
      <c r="DXC91" s="81">
        <v>0.86944444444444446</v>
      </c>
      <c r="DXD91" s="74" t="s">
        <v>27</v>
      </c>
      <c r="DXE91" s="74" t="s">
        <v>24</v>
      </c>
      <c r="DXF91" s="75" t="s">
        <v>25</v>
      </c>
      <c r="DXG91" s="76">
        <f>IFERROR(VLOOKUP(DXF91,'[1]List KPI'!$A$103:$F$118,6,0),"")</f>
        <v>1.0416666666666666E-2</v>
      </c>
      <c r="DXH91" s="76">
        <v>0.86944444444444446</v>
      </c>
      <c r="DXI91" s="76">
        <v>0.86944444444444446</v>
      </c>
      <c r="DXJ91" s="77" t="str">
        <f t="shared" ref="DXJ91:DZF91" si="95">IF(DXI91="","",IF(DXI91&gt;DXR91,"O","P"))</f>
        <v>O</v>
      </c>
      <c r="DXK91" s="74" t="s">
        <v>28</v>
      </c>
      <c r="DXL91" s="75" t="s">
        <v>23</v>
      </c>
      <c r="DXM91" s="78">
        <f>IFERROR(VLOOKUP(DXL91,'[1]List KPI'!$M$3:$N$8,2,0),"")</f>
        <v>2.0833333333333332E-2</v>
      </c>
      <c r="DXN91" s="76">
        <v>0.89444444444444449</v>
      </c>
      <c r="DXO91" s="77" t="str">
        <f t="shared" ref="DXO91:DZK91" si="96">IF(DXN91="","",IF(DXN91&gt;DXS91,"O","P"))</f>
        <v>O</v>
      </c>
      <c r="DXP91" s="79">
        <v>5</v>
      </c>
      <c r="DXQ91" s="75">
        <v>1276006</v>
      </c>
      <c r="DXR91" s="80"/>
      <c r="DXS91" s="81">
        <v>0.86944444444444446</v>
      </c>
      <c r="DXT91" s="74" t="s">
        <v>27</v>
      </c>
      <c r="DXU91" s="74" t="s">
        <v>24</v>
      </c>
      <c r="DXV91" s="75" t="s">
        <v>25</v>
      </c>
      <c r="DXW91" s="76">
        <f>IFERROR(VLOOKUP(DXV91,'[1]List KPI'!$A$103:$F$118,6,0),"")</f>
        <v>1.0416666666666666E-2</v>
      </c>
      <c r="DXX91" s="76">
        <v>0.86944444444444446</v>
      </c>
      <c r="DXY91" s="76">
        <v>0.86944444444444446</v>
      </c>
      <c r="DXZ91" s="77" t="str">
        <f t="shared" si="95"/>
        <v>O</v>
      </c>
      <c r="DYA91" s="74" t="s">
        <v>28</v>
      </c>
      <c r="DYB91" s="75" t="s">
        <v>23</v>
      </c>
      <c r="DYC91" s="78">
        <f>IFERROR(VLOOKUP(DYB91,'[1]List KPI'!$M$3:$N$8,2,0),"")</f>
        <v>2.0833333333333332E-2</v>
      </c>
      <c r="DYD91" s="76">
        <v>0.89444444444444449</v>
      </c>
      <c r="DYE91" s="77" t="str">
        <f t="shared" si="96"/>
        <v>O</v>
      </c>
      <c r="DYF91" s="79">
        <v>5</v>
      </c>
      <c r="DYG91" s="75">
        <v>1276006</v>
      </c>
      <c r="DYH91" s="80"/>
      <c r="DYI91" s="81">
        <v>0.86944444444444446</v>
      </c>
      <c r="DYJ91" s="74" t="s">
        <v>27</v>
      </c>
      <c r="DYK91" s="74" t="s">
        <v>24</v>
      </c>
      <c r="DYL91" s="75" t="s">
        <v>25</v>
      </c>
      <c r="DYM91" s="76">
        <f>IFERROR(VLOOKUP(DYL91,'[1]List KPI'!$A$103:$F$118,6,0),"")</f>
        <v>1.0416666666666666E-2</v>
      </c>
      <c r="DYN91" s="76">
        <v>0.86944444444444446</v>
      </c>
      <c r="DYO91" s="76">
        <v>0.86944444444444446</v>
      </c>
      <c r="DYP91" s="77" t="str">
        <f t="shared" si="95"/>
        <v>O</v>
      </c>
      <c r="DYQ91" s="74" t="s">
        <v>28</v>
      </c>
      <c r="DYR91" s="75" t="s">
        <v>23</v>
      </c>
      <c r="DYS91" s="78">
        <f>IFERROR(VLOOKUP(DYR91,'[1]List KPI'!$M$3:$N$8,2,0),"")</f>
        <v>2.0833333333333332E-2</v>
      </c>
      <c r="DYT91" s="76">
        <v>0.89444444444444449</v>
      </c>
      <c r="DYU91" s="77" t="str">
        <f t="shared" si="96"/>
        <v>O</v>
      </c>
      <c r="DYV91" s="79">
        <v>5</v>
      </c>
      <c r="DYW91" s="75">
        <v>1276006</v>
      </c>
      <c r="DYX91" s="80"/>
      <c r="DYY91" s="81">
        <v>0.86944444444444446</v>
      </c>
      <c r="DYZ91" s="74" t="s">
        <v>27</v>
      </c>
      <c r="DZA91" s="74" t="s">
        <v>24</v>
      </c>
      <c r="DZB91" s="75" t="s">
        <v>25</v>
      </c>
      <c r="DZC91" s="76">
        <f>IFERROR(VLOOKUP(DZB91,'[1]List KPI'!$A$103:$F$118,6,0),"")</f>
        <v>1.0416666666666666E-2</v>
      </c>
      <c r="DZD91" s="76">
        <v>0.86944444444444446</v>
      </c>
      <c r="DZE91" s="76">
        <v>0.86944444444444446</v>
      </c>
      <c r="DZF91" s="77" t="str">
        <f t="shared" si="95"/>
        <v>O</v>
      </c>
      <c r="DZG91" s="74" t="s">
        <v>28</v>
      </c>
      <c r="DZH91" s="75" t="s">
        <v>23</v>
      </c>
      <c r="DZI91" s="78">
        <f>IFERROR(VLOOKUP(DZH91,'[1]List KPI'!$M$3:$N$8,2,0),"")</f>
        <v>2.0833333333333332E-2</v>
      </c>
      <c r="DZJ91" s="76">
        <v>0.89444444444444449</v>
      </c>
      <c r="DZK91" s="77" t="str">
        <f t="shared" si="96"/>
        <v>O</v>
      </c>
      <c r="DZL91" s="79">
        <v>5</v>
      </c>
      <c r="DZM91" s="75">
        <v>1276006</v>
      </c>
      <c r="DZN91" s="80"/>
      <c r="DZO91" s="81">
        <v>0.86944444444444446</v>
      </c>
      <c r="DZP91" s="74" t="s">
        <v>27</v>
      </c>
      <c r="DZQ91" s="74" t="s">
        <v>24</v>
      </c>
      <c r="DZR91" s="75" t="s">
        <v>25</v>
      </c>
      <c r="DZS91" s="76">
        <f>IFERROR(VLOOKUP(DZR91,'[1]List KPI'!$A$103:$F$118,6,0),"")</f>
        <v>1.0416666666666666E-2</v>
      </c>
      <c r="DZT91" s="76">
        <v>0.86944444444444446</v>
      </c>
      <c r="DZU91" s="76">
        <v>0.86944444444444446</v>
      </c>
      <c r="DZV91" s="77" t="str">
        <f t="shared" ref="DZV91:EBR91" si="97">IF(DZU91="","",IF(DZU91&gt;EAD91,"O","P"))</f>
        <v>O</v>
      </c>
      <c r="DZW91" s="74" t="s">
        <v>28</v>
      </c>
      <c r="DZX91" s="75" t="s">
        <v>23</v>
      </c>
      <c r="DZY91" s="78">
        <f>IFERROR(VLOOKUP(DZX91,'[1]List KPI'!$M$3:$N$8,2,0),"")</f>
        <v>2.0833333333333332E-2</v>
      </c>
      <c r="DZZ91" s="76">
        <v>0.89444444444444449</v>
      </c>
      <c r="EAA91" s="77" t="str">
        <f t="shared" ref="EAA91:EBW91" si="98">IF(DZZ91="","",IF(DZZ91&gt;EAE91,"O","P"))</f>
        <v>O</v>
      </c>
      <c r="EAB91" s="79">
        <v>5</v>
      </c>
      <c r="EAC91" s="75">
        <v>1276006</v>
      </c>
      <c r="EAD91" s="80"/>
      <c r="EAE91" s="81">
        <v>0.86944444444444446</v>
      </c>
      <c r="EAF91" s="74" t="s">
        <v>27</v>
      </c>
      <c r="EAG91" s="74" t="s">
        <v>24</v>
      </c>
      <c r="EAH91" s="75" t="s">
        <v>25</v>
      </c>
      <c r="EAI91" s="76">
        <f>IFERROR(VLOOKUP(EAH91,'[1]List KPI'!$A$103:$F$118,6,0),"")</f>
        <v>1.0416666666666666E-2</v>
      </c>
      <c r="EAJ91" s="76">
        <v>0.86944444444444446</v>
      </c>
      <c r="EAK91" s="76">
        <v>0.86944444444444446</v>
      </c>
      <c r="EAL91" s="77" t="str">
        <f t="shared" si="97"/>
        <v>O</v>
      </c>
      <c r="EAM91" s="74" t="s">
        <v>28</v>
      </c>
      <c r="EAN91" s="75" t="s">
        <v>23</v>
      </c>
      <c r="EAO91" s="78">
        <f>IFERROR(VLOOKUP(EAN91,'[1]List KPI'!$M$3:$N$8,2,0),"")</f>
        <v>2.0833333333333332E-2</v>
      </c>
      <c r="EAP91" s="76">
        <v>0.89444444444444449</v>
      </c>
      <c r="EAQ91" s="77" t="str">
        <f t="shared" si="98"/>
        <v>O</v>
      </c>
      <c r="EAR91" s="79">
        <v>5</v>
      </c>
      <c r="EAS91" s="75">
        <v>1276006</v>
      </c>
      <c r="EAT91" s="80"/>
      <c r="EAU91" s="81">
        <v>0.86944444444444446</v>
      </c>
      <c r="EAV91" s="74" t="s">
        <v>27</v>
      </c>
      <c r="EAW91" s="74" t="s">
        <v>24</v>
      </c>
      <c r="EAX91" s="75" t="s">
        <v>25</v>
      </c>
      <c r="EAY91" s="76">
        <f>IFERROR(VLOOKUP(EAX91,'[1]List KPI'!$A$103:$F$118,6,0),"")</f>
        <v>1.0416666666666666E-2</v>
      </c>
      <c r="EAZ91" s="76">
        <v>0.86944444444444446</v>
      </c>
      <c r="EBA91" s="76">
        <v>0.86944444444444446</v>
      </c>
      <c r="EBB91" s="77" t="str">
        <f t="shared" si="97"/>
        <v>O</v>
      </c>
      <c r="EBC91" s="74" t="s">
        <v>28</v>
      </c>
      <c r="EBD91" s="75" t="s">
        <v>23</v>
      </c>
      <c r="EBE91" s="78">
        <f>IFERROR(VLOOKUP(EBD91,'[1]List KPI'!$M$3:$N$8,2,0),"")</f>
        <v>2.0833333333333332E-2</v>
      </c>
      <c r="EBF91" s="76">
        <v>0.89444444444444449</v>
      </c>
      <c r="EBG91" s="77" t="str">
        <f t="shared" si="98"/>
        <v>O</v>
      </c>
      <c r="EBH91" s="79">
        <v>5</v>
      </c>
      <c r="EBI91" s="75">
        <v>1276006</v>
      </c>
      <c r="EBJ91" s="80"/>
      <c r="EBK91" s="81">
        <v>0.86944444444444446</v>
      </c>
      <c r="EBL91" s="74" t="s">
        <v>27</v>
      </c>
      <c r="EBM91" s="74" t="s">
        <v>24</v>
      </c>
      <c r="EBN91" s="75" t="s">
        <v>25</v>
      </c>
      <c r="EBO91" s="76">
        <f>IFERROR(VLOOKUP(EBN91,'[1]List KPI'!$A$103:$F$118,6,0),"")</f>
        <v>1.0416666666666666E-2</v>
      </c>
      <c r="EBP91" s="76">
        <v>0.86944444444444446</v>
      </c>
      <c r="EBQ91" s="76">
        <v>0.86944444444444446</v>
      </c>
      <c r="EBR91" s="77" t="str">
        <f t="shared" si="97"/>
        <v>O</v>
      </c>
      <c r="EBS91" s="74" t="s">
        <v>28</v>
      </c>
      <c r="EBT91" s="75" t="s">
        <v>23</v>
      </c>
      <c r="EBU91" s="78">
        <f>IFERROR(VLOOKUP(EBT91,'[1]List KPI'!$M$3:$N$8,2,0),"")</f>
        <v>2.0833333333333332E-2</v>
      </c>
      <c r="EBV91" s="76">
        <v>0.89444444444444449</v>
      </c>
      <c r="EBW91" s="77" t="str">
        <f t="shared" si="98"/>
        <v>O</v>
      </c>
      <c r="EBX91" s="79">
        <v>5</v>
      </c>
      <c r="EBY91" s="75">
        <v>1276006</v>
      </c>
      <c r="EBZ91" s="80"/>
      <c r="ECA91" s="81">
        <v>0.86944444444444446</v>
      </c>
      <c r="ECB91" s="74" t="s">
        <v>27</v>
      </c>
      <c r="ECC91" s="74" t="s">
        <v>24</v>
      </c>
      <c r="ECD91" s="75" t="s">
        <v>25</v>
      </c>
      <c r="ECE91" s="76">
        <f>IFERROR(VLOOKUP(ECD91,'[1]List KPI'!$A$103:$F$118,6,0),"")</f>
        <v>1.0416666666666666E-2</v>
      </c>
      <c r="ECF91" s="76">
        <v>0.86944444444444446</v>
      </c>
      <c r="ECG91" s="76">
        <v>0.86944444444444446</v>
      </c>
      <c r="ECH91" s="77" t="str">
        <f t="shared" ref="ECH91:EED91" si="99">IF(ECG91="","",IF(ECG91&gt;ECP91,"O","P"))</f>
        <v>O</v>
      </c>
      <c r="ECI91" s="74" t="s">
        <v>28</v>
      </c>
      <c r="ECJ91" s="75" t="s">
        <v>23</v>
      </c>
      <c r="ECK91" s="78">
        <f>IFERROR(VLOOKUP(ECJ91,'[1]List KPI'!$M$3:$N$8,2,0),"")</f>
        <v>2.0833333333333332E-2</v>
      </c>
      <c r="ECL91" s="76">
        <v>0.89444444444444449</v>
      </c>
      <c r="ECM91" s="77" t="str">
        <f t="shared" ref="ECM91:EEI91" si="100">IF(ECL91="","",IF(ECL91&gt;ECQ91,"O","P"))</f>
        <v>O</v>
      </c>
      <c r="ECN91" s="79">
        <v>5</v>
      </c>
      <c r="ECO91" s="75">
        <v>1276006</v>
      </c>
      <c r="ECP91" s="80"/>
      <c r="ECQ91" s="81">
        <v>0.86944444444444446</v>
      </c>
      <c r="ECR91" s="74" t="s">
        <v>27</v>
      </c>
      <c r="ECS91" s="74" t="s">
        <v>24</v>
      </c>
      <c r="ECT91" s="75" t="s">
        <v>25</v>
      </c>
      <c r="ECU91" s="76">
        <f>IFERROR(VLOOKUP(ECT91,'[1]List KPI'!$A$103:$F$118,6,0),"")</f>
        <v>1.0416666666666666E-2</v>
      </c>
      <c r="ECV91" s="76">
        <v>0.86944444444444446</v>
      </c>
      <c r="ECW91" s="76">
        <v>0.86944444444444446</v>
      </c>
      <c r="ECX91" s="77" t="str">
        <f t="shared" si="99"/>
        <v>O</v>
      </c>
      <c r="ECY91" s="74" t="s">
        <v>28</v>
      </c>
      <c r="ECZ91" s="75" t="s">
        <v>23</v>
      </c>
      <c r="EDA91" s="78">
        <f>IFERROR(VLOOKUP(ECZ91,'[1]List KPI'!$M$3:$N$8,2,0),"")</f>
        <v>2.0833333333333332E-2</v>
      </c>
      <c r="EDB91" s="76">
        <v>0.89444444444444449</v>
      </c>
      <c r="EDC91" s="77" t="str">
        <f t="shared" si="100"/>
        <v>O</v>
      </c>
      <c r="EDD91" s="79">
        <v>5</v>
      </c>
      <c r="EDE91" s="75">
        <v>1276006</v>
      </c>
      <c r="EDF91" s="80"/>
      <c r="EDG91" s="81">
        <v>0.86944444444444446</v>
      </c>
      <c r="EDH91" s="74" t="s">
        <v>27</v>
      </c>
      <c r="EDI91" s="74" t="s">
        <v>24</v>
      </c>
      <c r="EDJ91" s="75" t="s">
        <v>25</v>
      </c>
      <c r="EDK91" s="76">
        <f>IFERROR(VLOOKUP(EDJ91,'[1]List KPI'!$A$103:$F$118,6,0),"")</f>
        <v>1.0416666666666666E-2</v>
      </c>
      <c r="EDL91" s="76">
        <v>0.86944444444444446</v>
      </c>
      <c r="EDM91" s="76">
        <v>0.86944444444444446</v>
      </c>
      <c r="EDN91" s="77" t="str">
        <f t="shared" si="99"/>
        <v>O</v>
      </c>
      <c r="EDO91" s="74" t="s">
        <v>28</v>
      </c>
      <c r="EDP91" s="75" t="s">
        <v>23</v>
      </c>
      <c r="EDQ91" s="78">
        <f>IFERROR(VLOOKUP(EDP91,'[1]List KPI'!$M$3:$N$8,2,0),"")</f>
        <v>2.0833333333333332E-2</v>
      </c>
      <c r="EDR91" s="76">
        <v>0.89444444444444449</v>
      </c>
      <c r="EDS91" s="77" t="str">
        <f t="shared" si="100"/>
        <v>O</v>
      </c>
      <c r="EDT91" s="79">
        <v>5</v>
      </c>
      <c r="EDU91" s="75">
        <v>1276006</v>
      </c>
      <c r="EDV91" s="80"/>
      <c r="EDW91" s="81">
        <v>0.86944444444444446</v>
      </c>
      <c r="EDX91" s="74" t="s">
        <v>27</v>
      </c>
      <c r="EDY91" s="74" t="s">
        <v>24</v>
      </c>
      <c r="EDZ91" s="75" t="s">
        <v>25</v>
      </c>
      <c r="EEA91" s="76">
        <f>IFERROR(VLOOKUP(EDZ91,'[1]List KPI'!$A$103:$F$118,6,0),"")</f>
        <v>1.0416666666666666E-2</v>
      </c>
      <c r="EEB91" s="76">
        <v>0.86944444444444446</v>
      </c>
      <c r="EEC91" s="76">
        <v>0.86944444444444446</v>
      </c>
      <c r="EED91" s="77" t="str">
        <f t="shared" si="99"/>
        <v>O</v>
      </c>
      <c r="EEE91" s="74" t="s">
        <v>28</v>
      </c>
      <c r="EEF91" s="75" t="s">
        <v>23</v>
      </c>
      <c r="EEG91" s="78">
        <f>IFERROR(VLOOKUP(EEF91,'[1]List KPI'!$M$3:$N$8,2,0),"")</f>
        <v>2.0833333333333332E-2</v>
      </c>
      <c r="EEH91" s="76">
        <v>0.89444444444444449</v>
      </c>
      <c r="EEI91" s="77" t="str">
        <f t="shared" si="100"/>
        <v>O</v>
      </c>
      <c r="EEJ91" s="79">
        <v>5</v>
      </c>
      <c r="EEK91" s="75">
        <v>1276006</v>
      </c>
      <c r="EEL91" s="80"/>
      <c r="EEM91" s="81">
        <v>0.86944444444444446</v>
      </c>
      <c r="EEN91" s="74" t="s">
        <v>27</v>
      </c>
      <c r="EEO91" s="74" t="s">
        <v>24</v>
      </c>
      <c r="EEP91" s="75" t="s">
        <v>25</v>
      </c>
      <c r="EEQ91" s="76">
        <f>IFERROR(VLOOKUP(EEP91,'[1]List KPI'!$A$103:$F$118,6,0),"")</f>
        <v>1.0416666666666666E-2</v>
      </c>
      <c r="EER91" s="76">
        <v>0.86944444444444446</v>
      </c>
      <c r="EES91" s="76">
        <v>0.86944444444444446</v>
      </c>
      <c r="EET91" s="77" t="str">
        <f t="shared" ref="EET91:EGP91" si="101">IF(EES91="","",IF(EES91&gt;EFB91,"O","P"))</f>
        <v>O</v>
      </c>
      <c r="EEU91" s="74" t="s">
        <v>28</v>
      </c>
      <c r="EEV91" s="75" t="s">
        <v>23</v>
      </c>
      <c r="EEW91" s="78">
        <f>IFERROR(VLOOKUP(EEV91,'[1]List KPI'!$M$3:$N$8,2,0),"")</f>
        <v>2.0833333333333332E-2</v>
      </c>
      <c r="EEX91" s="76">
        <v>0.89444444444444449</v>
      </c>
      <c r="EEY91" s="77" t="str">
        <f t="shared" ref="EEY91:EGU91" si="102">IF(EEX91="","",IF(EEX91&gt;EFC91,"O","P"))</f>
        <v>O</v>
      </c>
      <c r="EEZ91" s="79">
        <v>5</v>
      </c>
      <c r="EFA91" s="75">
        <v>1276006</v>
      </c>
      <c r="EFB91" s="80"/>
      <c r="EFC91" s="81">
        <v>0.86944444444444446</v>
      </c>
      <c r="EFD91" s="74" t="s">
        <v>27</v>
      </c>
      <c r="EFE91" s="74" t="s">
        <v>24</v>
      </c>
      <c r="EFF91" s="75" t="s">
        <v>25</v>
      </c>
      <c r="EFG91" s="76">
        <f>IFERROR(VLOOKUP(EFF91,'[1]List KPI'!$A$103:$F$118,6,0),"")</f>
        <v>1.0416666666666666E-2</v>
      </c>
      <c r="EFH91" s="76">
        <v>0.86944444444444446</v>
      </c>
      <c r="EFI91" s="76">
        <v>0.86944444444444446</v>
      </c>
      <c r="EFJ91" s="77" t="str">
        <f t="shared" si="101"/>
        <v>O</v>
      </c>
      <c r="EFK91" s="74" t="s">
        <v>28</v>
      </c>
      <c r="EFL91" s="75" t="s">
        <v>23</v>
      </c>
      <c r="EFM91" s="78">
        <f>IFERROR(VLOOKUP(EFL91,'[1]List KPI'!$M$3:$N$8,2,0),"")</f>
        <v>2.0833333333333332E-2</v>
      </c>
      <c r="EFN91" s="76">
        <v>0.89444444444444449</v>
      </c>
      <c r="EFO91" s="77" t="str">
        <f t="shared" si="102"/>
        <v>O</v>
      </c>
      <c r="EFP91" s="79">
        <v>5</v>
      </c>
      <c r="EFQ91" s="75">
        <v>1276006</v>
      </c>
      <c r="EFR91" s="80"/>
      <c r="EFS91" s="81">
        <v>0.86944444444444446</v>
      </c>
      <c r="EFT91" s="74" t="s">
        <v>27</v>
      </c>
      <c r="EFU91" s="74" t="s">
        <v>24</v>
      </c>
      <c r="EFV91" s="75" t="s">
        <v>25</v>
      </c>
      <c r="EFW91" s="76">
        <f>IFERROR(VLOOKUP(EFV91,'[1]List KPI'!$A$103:$F$118,6,0),"")</f>
        <v>1.0416666666666666E-2</v>
      </c>
      <c r="EFX91" s="76">
        <v>0.86944444444444446</v>
      </c>
      <c r="EFY91" s="76">
        <v>0.86944444444444446</v>
      </c>
      <c r="EFZ91" s="77" t="str">
        <f t="shared" si="101"/>
        <v>O</v>
      </c>
      <c r="EGA91" s="74" t="s">
        <v>28</v>
      </c>
      <c r="EGB91" s="75" t="s">
        <v>23</v>
      </c>
      <c r="EGC91" s="78">
        <f>IFERROR(VLOOKUP(EGB91,'[1]List KPI'!$M$3:$N$8,2,0),"")</f>
        <v>2.0833333333333332E-2</v>
      </c>
      <c r="EGD91" s="76">
        <v>0.89444444444444449</v>
      </c>
      <c r="EGE91" s="77" t="str">
        <f t="shared" si="102"/>
        <v>O</v>
      </c>
      <c r="EGF91" s="79">
        <v>5</v>
      </c>
      <c r="EGG91" s="75">
        <v>1276006</v>
      </c>
      <c r="EGH91" s="80"/>
      <c r="EGI91" s="81">
        <v>0.86944444444444446</v>
      </c>
      <c r="EGJ91" s="74" t="s">
        <v>27</v>
      </c>
      <c r="EGK91" s="74" t="s">
        <v>24</v>
      </c>
      <c r="EGL91" s="75" t="s">
        <v>25</v>
      </c>
      <c r="EGM91" s="76">
        <f>IFERROR(VLOOKUP(EGL91,'[1]List KPI'!$A$103:$F$118,6,0),"")</f>
        <v>1.0416666666666666E-2</v>
      </c>
      <c r="EGN91" s="76">
        <v>0.86944444444444446</v>
      </c>
      <c r="EGO91" s="76">
        <v>0.86944444444444446</v>
      </c>
      <c r="EGP91" s="77" t="str">
        <f t="shared" si="101"/>
        <v>O</v>
      </c>
      <c r="EGQ91" s="74" t="s">
        <v>28</v>
      </c>
      <c r="EGR91" s="75" t="s">
        <v>23</v>
      </c>
      <c r="EGS91" s="78">
        <f>IFERROR(VLOOKUP(EGR91,'[1]List KPI'!$M$3:$N$8,2,0),"")</f>
        <v>2.0833333333333332E-2</v>
      </c>
      <c r="EGT91" s="76">
        <v>0.89444444444444449</v>
      </c>
      <c r="EGU91" s="77" t="str">
        <f t="shared" si="102"/>
        <v>O</v>
      </c>
      <c r="EGV91" s="79">
        <v>5</v>
      </c>
      <c r="EGW91" s="75">
        <v>1276006</v>
      </c>
      <c r="EGX91" s="80"/>
      <c r="EGY91" s="81">
        <v>0.86944444444444446</v>
      </c>
      <c r="EGZ91" s="74" t="s">
        <v>27</v>
      </c>
      <c r="EHA91" s="74" t="s">
        <v>24</v>
      </c>
      <c r="EHB91" s="75" t="s">
        <v>25</v>
      </c>
      <c r="EHC91" s="76">
        <f>IFERROR(VLOOKUP(EHB91,'[1]List KPI'!$A$103:$F$118,6,0),"")</f>
        <v>1.0416666666666666E-2</v>
      </c>
      <c r="EHD91" s="76">
        <v>0.86944444444444446</v>
      </c>
      <c r="EHE91" s="76">
        <v>0.86944444444444446</v>
      </c>
      <c r="EHF91" s="77" t="str">
        <f t="shared" ref="EHF91:EJB91" si="103">IF(EHE91="","",IF(EHE91&gt;EHN91,"O","P"))</f>
        <v>O</v>
      </c>
      <c r="EHG91" s="74" t="s">
        <v>28</v>
      </c>
      <c r="EHH91" s="75" t="s">
        <v>23</v>
      </c>
      <c r="EHI91" s="78">
        <f>IFERROR(VLOOKUP(EHH91,'[1]List KPI'!$M$3:$N$8,2,0),"")</f>
        <v>2.0833333333333332E-2</v>
      </c>
      <c r="EHJ91" s="76">
        <v>0.89444444444444449</v>
      </c>
      <c r="EHK91" s="77" t="str">
        <f t="shared" ref="EHK91:EJG91" si="104">IF(EHJ91="","",IF(EHJ91&gt;EHO91,"O","P"))</f>
        <v>O</v>
      </c>
      <c r="EHL91" s="79">
        <v>5</v>
      </c>
      <c r="EHM91" s="75">
        <v>1276006</v>
      </c>
      <c r="EHN91" s="80"/>
      <c r="EHO91" s="81">
        <v>0.86944444444444446</v>
      </c>
      <c r="EHP91" s="74" t="s">
        <v>27</v>
      </c>
      <c r="EHQ91" s="74" t="s">
        <v>24</v>
      </c>
      <c r="EHR91" s="75" t="s">
        <v>25</v>
      </c>
      <c r="EHS91" s="76">
        <f>IFERROR(VLOOKUP(EHR91,'[1]List KPI'!$A$103:$F$118,6,0),"")</f>
        <v>1.0416666666666666E-2</v>
      </c>
      <c r="EHT91" s="76">
        <v>0.86944444444444446</v>
      </c>
      <c r="EHU91" s="76">
        <v>0.86944444444444446</v>
      </c>
      <c r="EHV91" s="77" t="str">
        <f t="shared" si="103"/>
        <v>O</v>
      </c>
      <c r="EHW91" s="74" t="s">
        <v>28</v>
      </c>
      <c r="EHX91" s="75" t="s">
        <v>23</v>
      </c>
      <c r="EHY91" s="78">
        <f>IFERROR(VLOOKUP(EHX91,'[1]List KPI'!$M$3:$N$8,2,0),"")</f>
        <v>2.0833333333333332E-2</v>
      </c>
      <c r="EHZ91" s="76">
        <v>0.89444444444444449</v>
      </c>
      <c r="EIA91" s="77" t="str">
        <f t="shared" si="104"/>
        <v>O</v>
      </c>
      <c r="EIB91" s="79">
        <v>5</v>
      </c>
      <c r="EIC91" s="75">
        <v>1276006</v>
      </c>
      <c r="EID91" s="80"/>
      <c r="EIE91" s="81">
        <v>0.86944444444444446</v>
      </c>
      <c r="EIF91" s="74" t="s">
        <v>27</v>
      </c>
      <c r="EIG91" s="74" t="s">
        <v>24</v>
      </c>
      <c r="EIH91" s="75" t="s">
        <v>25</v>
      </c>
      <c r="EII91" s="76">
        <f>IFERROR(VLOOKUP(EIH91,'[1]List KPI'!$A$103:$F$118,6,0),"")</f>
        <v>1.0416666666666666E-2</v>
      </c>
      <c r="EIJ91" s="76">
        <v>0.86944444444444446</v>
      </c>
      <c r="EIK91" s="76">
        <v>0.86944444444444446</v>
      </c>
      <c r="EIL91" s="77" t="str">
        <f t="shared" si="103"/>
        <v>O</v>
      </c>
      <c r="EIM91" s="74" t="s">
        <v>28</v>
      </c>
      <c r="EIN91" s="75" t="s">
        <v>23</v>
      </c>
      <c r="EIO91" s="78">
        <f>IFERROR(VLOOKUP(EIN91,'[1]List KPI'!$M$3:$N$8,2,0),"")</f>
        <v>2.0833333333333332E-2</v>
      </c>
      <c r="EIP91" s="76">
        <v>0.89444444444444449</v>
      </c>
      <c r="EIQ91" s="77" t="str">
        <f t="shared" si="104"/>
        <v>O</v>
      </c>
      <c r="EIR91" s="79">
        <v>5</v>
      </c>
      <c r="EIS91" s="75">
        <v>1276006</v>
      </c>
      <c r="EIT91" s="80"/>
      <c r="EIU91" s="81">
        <v>0.86944444444444446</v>
      </c>
      <c r="EIV91" s="74" t="s">
        <v>27</v>
      </c>
      <c r="EIW91" s="74" t="s">
        <v>24</v>
      </c>
      <c r="EIX91" s="75" t="s">
        <v>25</v>
      </c>
      <c r="EIY91" s="76">
        <f>IFERROR(VLOOKUP(EIX91,'[1]List KPI'!$A$103:$F$118,6,0),"")</f>
        <v>1.0416666666666666E-2</v>
      </c>
      <c r="EIZ91" s="76">
        <v>0.86944444444444446</v>
      </c>
      <c r="EJA91" s="76">
        <v>0.86944444444444446</v>
      </c>
      <c r="EJB91" s="77" t="str">
        <f t="shared" si="103"/>
        <v>O</v>
      </c>
      <c r="EJC91" s="74" t="s">
        <v>28</v>
      </c>
      <c r="EJD91" s="75" t="s">
        <v>23</v>
      </c>
      <c r="EJE91" s="78">
        <f>IFERROR(VLOOKUP(EJD91,'[1]List KPI'!$M$3:$N$8,2,0),"")</f>
        <v>2.0833333333333332E-2</v>
      </c>
      <c r="EJF91" s="76">
        <v>0.89444444444444449</v>
      </c>
      <c r="EJG91" s="77" t="str">
        <f t="shared" si="104"/>
        <v>O</v>
      </c>
      <c r="EJH91" s="79">
        <v>5</v>
      </c>
      <c r="EJI91" s="75">
        <v>1276006</v>
      </c>
      <c r="EJJ91" s="80"/>
      <c r="EJK91" s="81">
        <v>0.86944444444444446</v>
      </c>
      <c r="EJL91" s="74" t="s">
        <v>27</v>
      </c>
      <c r="EJM91" s="74" t="s">
        <v>24</v>
      </c>
      <c r="EJN91" s="75" t="s">
        <v>25</v>
      </c>
      <c r="EJO91" s="76">
        <f>IFERROR(VLOOKUP(EJN91,'[1]List KPI'!$A$103:$F$118,6,0),"")</f>
        <v>1.0416666666666666E-2</v>
      </c>
      <c r="EJP91" s="76">
        <v>0.86944444444444446</v>
      </c>
      <c r="EJQ91" s="76">
        <v>0.86944444444444446</v>
      </c>
      <c r="EJR91" s="77" t="str">
        <f t="shared" ref="EJR91:ELN91" si="105">IF(EJQ91="","",IF(EJQ91&gt;EJZ91,"O","P"))</f>
        <v>O</v>
      </c>
      <c r="EJS91" s="74" t="s">
        <v>28</v>
      </c>
      <c r="EJT91" s="75" t="s">
        <v>23</v>
      </c>
      <c r="EJU91" s="78">
        <f>IFERROR(VLOOKUP(EJT91,'[1]List KPI'!$M$3:$N$8,2,0),"")</f>
        <v>2.0833333333333332E-2</v>
      </c>
      <c r="EJV91" s="76">
        <v>0.89444444444444449</v>
      </c>
      <c r="EJW91" s="77" t="str">
        <f t="shared" ref="EJW91:ELS91" si="106">IF(EJV91="","",IF(EJV91&gt;EKA91,"O","P"))</f>
        <v>O</v>
      </c>
      <c r="EJX91" s="79">
        <v>5</v>
      </c>
      <c r="EJY91" s="75">
        <v>1276006</v>
      </c>
      <c r="EJZ91" s="80"/>
      <c r="EKA91" s="81">
        <v>0.86944444444444446</v>
      </c>
      <c r="EKB91" s="74" t="s">
        <v>27</v>
      </c>
      <c r="EKC91" s="74" t="s">
        <v>24</v>
      </c>
      <c r="EKD91" s="75" t="s">
        <v>25</v>
      </c>
      <c r="EKE91" s="76">
        <f>IFERROR(VLOOKUP(EKD91,'[1]List KPI'!$A$103:$F$118,6,0),"")</f>
        <v>1.0416666666666666E-2</v>
      </c>
      <c r="EKF91" s="76">
        <v>0.86944444444444446</v>
      </c>
      <c r="EKG91" s="76">
        <v>0.86944444444444446</v>
      </c>
      <c r="EKH91" s="77" t="str">
        <f t="shared" si="105"/>
        <v>O</v>
      </c>
      <c r="EKI91" s="74" t="s">
        <v>28</v>
      </c>
      <c r="EKJ91" s="75" t="s">
        <v>23</v>
      </c>
      <c r="EKK91" s="78">
        <f>IFERROR(VLOOKUP(EKJ91,'[1]List KPI'!$M$3:$N$8,2,0),"")</f>
        <v>2.0833333333333332E-2</v>
      </c>
      <c r="EKL91" s="76">
        <v>0.89444444444444449</v>
      </c>
      <c r="EKM91" s="77" t="str">
        <f t="shared" si="106"/>
        <v>O</v>
      </c>
      <c r="EKN91" s="79">
        <v>5</v>
      </c>
      <c r="EKO91" s="75">
        <v>1276006</v>
      </c>
      <c r="EKP91" s="80"/>
      <c r="EKQ91" s="81">
        <v>0.86944444444444446</v>
      </c>
      <c r="EKR91" s="74" t="s">
        <v>27</v>
      </c>
      <c r="EKS91" s="74" t="s">
        <v>24</v>
      </c>
      <c r="EKT91" s="75" t="s">
        <v>25</v>
      </c>
      <c r="EKU91" s="76">
        <f>IFERROR(VLOOKUP(EKT91,'[1]List KPI'!$A$103:$F$118,6,0),"")</f>
        <v>1.0416666666666666E-2</v>
      </c>
      <c r="EKV91" s="76">
        <v>0.86944444444444446</v>
      </c>
      <c r="EKW91" s="76">
        <v>0.86944444444444446</v>
      </c>
      <c r="EKX91" s="77" t="str">
        <f t="shared" si="105"/>
        <v>O</v>
      </c>
      <c r="EKY91" s="74" t="s">
        <v>28</v>
      </c>
      <c r="EKZ91" s="75" t="s">
        <v>23</v>
      </c>
      <c r="ELA91" s="78">
        <f>IFERROR(VLOOKUP(EKZ91,'[1]List KPI'!$M$3:$N$8,2,0),"")</f>
        <v>2.0833333333333332E-2</v>
      </c>
      <c r="ELB91" s="76">
        <v>0.89444444444444449</v>
      </c>
      <c r="ELC91" s="77" t="str">
        <f t="shared" si="106"/>
        <v>O</v>
      </c>
      <c r="ELD91" s="79">
        <v>5</v>
      </c>
      <c r="ELE91" s="75">
        <v>1276006</v>
      </c>
      <c r="ELF91" s="80"/>
      <c r="ELG91" s="81">
        <v>0.86944444444444446</v>
      </c>
      <c r="ELH91" s="74" t="s">
        <v>27</v>
      </c>
      <c r="ELI91" s="74" t="s">
        <v>24</v>
      </c>
      <c r="ELJ91" s="75" t="s">
        <v>25</v>
      </c>
      <c r="ELK91" s="76">
        <f>IFERROR(VLOOKUP(ELJ91,'[1]List KPI'!$A$103:$F$118,6,0),"")</f>
        <v>1.0416666666666666E-2</v>
      </c>
      <c r="ELL91" s="76">
        <v>0.86944444444444446</v>
      </c>
      <c r="ELM91" s="76">
        <v>0.86944444444444446</v>
      </c>
      <c r="ELN91" s="77" t="str">
        <f t="shared" si="105"/>
        <v>O</v>
      </c>
      <c r="ELO91" s="74" t="s">
        <v>28</v>
      </c>
      <c r="ELP91" s="75" t="s">
        <v>23</v>
      </c>
      <c r="ELQ91" s="78">
        <f>IFERROR(VLOOKUP(ELP91,'[1]List KPI'!$M$3:$N$8,2,0),"")</f>
        <v>2.0833333333333332E-2</v>
      </c>
      <c r="ELR91" s="76">
        <v>0.89444444444444449</v>
      </c>
      <c r="ELS91" s="77" t="str">
        <f t="shared" si="106"/>
        <v>O</v>
      </c>
      <c r="ELT91" s="79">
        <v>5</v>
      </c>
      <c r="ELU91" s="75">
        <v>1276006</v>
      </c>
      <c r="ELV91" s="80"/>
      <c r="ELW91" s="81">
        <v>0.86944444444444446</v>
      </c>
      <c r="ELX91" s="74" t="s">
        <v>27</v>
      </c>
      <c r="ELY91" s="74" t="s">
        <v>24</v>
      </c>
      <c r="ELZ91" s="75" t="s">
        <v>25</v>
      </c>
      <c r="EMA91" s="76">
        <f>IFERROR(VLOOKUP(ELZ91,'[1]List KPI'!$A$103:$F$118,6,0),"")</f>
        <v>1.0416666666666666E-2</v>
      </c>
      <c r="EMB91" s="76">
        <v>0.86944444444444446</v>
      </c>
      <c r="EMC91" s="76">
        <v>0.86944444444444446</v>
      </c>
      <c r="EMD91" s="77" t="str">
        <f t="shared" ref="EMD91:ENZ91" si="107">IF(EMC91="","",IF(EMC91&gt;EML91,"O","P"))</f>
        <v>O</v>
      </c>
      <c r="EME91" s="74" t="s">
        <v>28</v>
      </c>
      <c r="EMF91" s="75" t="s">
        <v>23</v>
      </c>
      <c r="EMG91" s="78">
        <f>IFERROR(VLOOKUP(EMF91,'[1]List KPI'!$M$3:$N$8,2,0),"")</f>
        <v>2.0833333333333332E-2</v>
      </c>
      <c r="EMH91" s="76">
        <v>0.89444444444444449</v>
      </c>
      <c r="EMI91" s="77" t="str">
        <f t="shared" ref="EMI91:EOE91" si="108">IF(EMH91="","",IF(EMH91&gt;EMM91,"O","P"))</f>
        <v>O</v>
      </c>
      <c r="EMJ91" s="79">
        <v>5</v>
      </c>
      <c r="EMK91" s="75">
        <v>1276006</v>
      </c>
      <c r="EML91" s="80"/>
      <c r="EMM91" s="81">
        <v>0.86944444444444446</v>
      </c>
      <c r="EMN91" s="74" t="s">
        <v>27</v>
      </c>
      <c r="EMO91" s="74" t="s">
        <v>24</v>
      </c>
      <c r="EMP91" s="75" t="s">
        <v>25</v>
      </c>
      <c r="EMQ91" s="76">
        <f>IFERROR(VLOOKUP(EMP91,'[1]List KPI'!$A$103:$F$118,6,0),"")</f>
        <v>1.0416666666666666E-2</v>
      </c>
      <c r="EMR91" s="76">
        <v>0.86944444444444446</v>
      </c>
      <c r="EMS91" s="76">
        <v>0.86944444444444446</v>
      </c>
      <c r="EMT91" s="77" t="str">
        <f t="shared" si="107"/>
        <v>O</v>
      </c>
      <c r="EMU91" s="74" t="s">
        <v>28</v>
      </c>
      <c r="EMV91" s="75" t="s">
        <v>23</v>
      </c>
      <c r="EMW91" s="78">
        <f>IFERROR(VLOOKUP(EMV91,'[1]List KPI'!$M$3:$N$8,2,0),"")</f>
        <v>2.0833333333333332E-2</v>
      </c>
      <c r="EMX91" s="76">
        <v>0.89444444444444449</v>
      </c>
      <c r="EMY91" s="77" t="str">
        <f t="shared" si="108"/>
        <v>O</v>
      </c>
      <c r="EMZ91" s="79">
        <v>5</v>
      </c>
      <c r="ENA91" s="75">
        <v>1276006</v>
      </c>
      <c r="ENB91" s="80"/>
      <c r="ENC91" s="81">
        <v>0.86944444444444446</v>
      </c>
      <c r="END91" s="74" t="s">
        <v>27</v>
      </c>
      <c r="ENE91" s="74" t="s">
        <v>24</v>
      </c>
      <c r="ENF91" s="75" t="s">
        <v>25</v>
      </c>
      <c r="ENG91" s="76">
        <f>IFERROR(VLOOKUP(ENF91,'[1]List KPI'!$A$103:$F$118,6,0),"")</f>
        <v>1.0416666666666666E-2</v>
      </c>
      <c r="ENH91" s="76">
        <v>0.86944444444444446</v>
      </c>
      <c r="ENI91" s="76">
        <v>0.86944444444444446</v>
      </c>
      <c r="ENJ91" s="77" t="str">
        <f t="shared" si="107"/>
        <v>O</v>
      </c>
      <c r="ENK91" s="74" t="s">
        <v>28</v>
      </c>
      <c r="ENL91" s="75" t="s">
        <v>23</v>
      </c>
      <c r="ENM91" s="78">
        <f>IFERROR(VLOOKUP(ENL91,'[1]List KPI'!$M$3:$N$8,2,0),"")</f>
        <v>2.0833333333333332E-2</v>
      </c>
      <c r="ENN91" s="76">
        <v>0.89444444444444449</v>
      </c>
      <c r="ENO91" s="77" t="str">
        <f t="shared" si="108"/>
        <v>O</v>
      </c>
      <c r="ENP91" s="79">
        <v>5</v>
      </c>
      <c r="ENQ91" s="75">
        <v>1276006</v>
      </c>
      <c r="ENR91" s="80"/>
      <c r="ENS91" s="81">
        <v>0.86944444444444446</v>
      </c>
      <c r="ENT91" s="74" t="s">
        <v>27</v>
      </c>
      <c r="ENU91" s="74" t="s">
        <v>24</v>
      </c>
      <c r="ENV91" s="75" t="s">
        <v>25</v>
      </c>
      <c r="ENW91" s="76">
        <f>IFERROR(VLOOKUP(ENV91,'[1]List KPI'!$A$103:$F$118,6,0),"")</f>
        <v>1.0416666666666666E-2</v>
      </c>
      <c r="ENX91" s="76">
        <v>0.86944444444444446</v>
      </c>
      <c r="ENY91" s="76">
        <v>0.86944444444444446</v>
      </c>
      <c r="ENZ91" s="77" t="str">
        <f t="shared" si="107"/>
        <v>O</v>
      </c>
      <c r="EOA91" s="74" t="s">
        <v>28</v>
      </c>
      <c r="EOB91" s="75" t="s">
        <v>23</v>
      </c>
      <c r="EOC91" s="78">
        <f>IFERROR(VLOOKUP(EOB91,'[1]List KPI'!$M$3:$N$8,2,0),"")</f>
        <v>2.0833333333333332E-2</v>
      </c>
      <c r="EOD91" s="76">
        <v>0.89444444444444449</v>
      </c>
      <c r="EOE91" s="77" t="str">
        <f t="shared" si="108"/>
        <v>O</v>
      </c>
      <c r="EOF91" s="79">
        <v>5</v>
      </c>
      <c r="EOG91" s="75">
        <v>1276006</v>
      </c>
      <c r="EOH91" s="80"/>
      <c r="EOI91" s="81">
        <v>0.86944444444444446</v>
      </c>
      <c r="EOJ91" s="74" t="s">
        <v>27</v>
      </c>
      <c r="EOK91" s="74" t="s">
        <v>24</v>
      </c>
      <c r="EOL91" s="75" t="s">
        <v>25</v>
      </c>
      <c r="EOM91" s="76">
        <f>IFERROR(VLOOKUP(EOL91,'[1]List KPI'!$A$103:$F$118,6,0),"")</f>
        <v>1.0416666666666666E-2</v>
      </c>
      <c r="EON91" s="76">
        <v>0.86944444444444446</v>
      </c>
      <c r="EOO91" s="76">
        <v>0.86944444444444446</v>
      </c>
      <c r="EOP91" s="77" t="str">
        <f t="shared" ref="EOP91:EQL91" si="109">IF(EOO91="","",IF(EOO91&gt;EOX91,"O","P"))</f>
        <v>O</v>
      </c>
      <c r="EOQ91" s="74" t="s">
        <v>28</v>
      </c>
      <c r="EOR91" s="75" t="s">
        <v>23</v>
      </c>
      <c r="EOS91" s="78">
        <f>IFERROR(VLOOKUP(EOR91,'[1]List KPI'!$M$3:$N$8,2,0),"")</f>
        <v>2.0833333333333332E-2</v>
      </c>
      <c r="EOT91" s="76">
        <v>0.89444444444444449</v>
      </c>
      <c r="EOU91" s="77" t="str">
        <f t="shared" ref="EOU91:EQQ91" si="110">IF(EOT91="","",IF(EOT91&gt;EOY91,"O","P"))</f>
        <v>O</v>
      </c>
      <c r="EOV91" s="79">
        <v>5</v>
      </c>
      <c r="EOW91" s="75">
        <v>1276006</v>
      </c>
      <c r="EOX91" s="80"/>
      <c r="EOY91" s="81">
        <v>0.86944444444444446</v>
      </c>
      <c r="EOZ91" s="74" t="s">
        <v>27</v>
      </c>
      <c r="EPA91" s="74" t="s">
        <v>24</v>
      </c>
      <c r="EPB91" s="75" t="s">
        <v>25</v>
      </c>
      <c r="EPC91" s="76">
        <f>IFERROR(VLOOKUP(EPB91,'[1]List KPI'!$A$103:$F$118,6,0),"")</f>
        <v>1.0416666666666666E-2</v>
      </c>
      <c r="EPD91" s="76">
        <v>0.86944444444444446</v>
      </c>
      <c r="EPE91" s="76">
        <v>0.86944444444444446</v>
      </c>
      <c r="EPF91" s="77" t="str">
        <f t="shared" si="109"/>
        <v>O</v>
      </c>
      <c r="EPG91" s="74" t="s">
        <v>28</v>
      </c>
      <c r="EPH91" s="75" t="s">
        <v>23</v>
      </c>
      <c r="EPI91" s="78">
        <f>IFERROR(VLOOKUP(EPH91,'[1]List KPI'!$M$3:$N$8,2,0),"")</f>
        <v>2.0833333333333332E-2</v>
      </c>
      <c r="EPJ91" s="76">
        <v>0.89444444444444449</v>
      </c>
      <c r="EPK91" s="77" t="str">
        <f t="shared" si="110"/>
        <v>O</v>
      </c>
      <c r="EPL91" s="79">
        <v>5</v>
      </c>
      <c r="EPM91" s="75">
        <v>1276006</v>
      </c>
      <c r="EPN91" s="80"/>
      <c r="EPO91" s="81">
        <v>0.86944444444444446</v>
      </c>
      <c r="EPP91" s="74" t="s">
        <v>27</v>
      </c>
      <c r="EPQ91" s="74" t="s">
        <v>24</v>
      </c>
      <c r="EPR91" s="75" t="s">
        <v>25</v>
      </c>
      <c r="EPS91" s="76">
        <f>IFERROR(VLOOKUP(EPR91,'[1]List KPI'!$A$103:$F$118,6,0),"")</f>
        <v>1.0416666666666666E-2</v>
      </c>
      <c r="EPT91" s="76">
        <v>0.86944444444444446</v>
      </c>
      <c r="EPU91" s="76">
        <v>0.86944444444444446</v>
      </c>
      <c r="EPV91" s="77" t="str">
        <f t="shared" si="109"/>
        <v>O</v>
      </c>
      <c r="EPW91" s="74" t="s">
        <v>28</v>
      </c>
      <c r="EPX91" s="75" t="s">
        <v>23</v>
      </c>
      <c r="EPY91" s="78">
        <f>IFERROR(VLOOKUP(EPX91,'[1]List KPI'!$M$3:$N$8,2,0),"")</f>
        <v>2.0833333333333332E-2</v>
      </c>
      <c r="EPZ91" s="76">
        <v>0.89444444444444449</v>
      </c>
      <c r="EQA91" s="77" t="str">
        <f t="shared" si="110"/>
        <v>O</v>
      </c>
      <c r="EQB91" s="79">
        <v>5</v>
      </c>
      <c r="EQC91" s="75">
        <v>1276006</v>
      </c>
      <c r="EQD91" s="80"/>
      <c r="EQE91" s="81">
        <v>0.86944444444444446</v>
      </c>
      <c r="EQF91" s="74" t="s">
        <v>27</v>
      </c>
      <c r="EQG91" s="74" t="s">
        <v>24</v>
      </c>
      <c r="EQH91" s="75" t="s">
        <v>25</v>
      </c>
      <c r="EQI91" s="76">
        <f>IFERROR(VLOOKUP(EQH91,'[1]List KPI'!$A$103:$F$118,6,0),"")</f>
        <v>1.0416666666666666E-2</v>
      </c>
      <c r="EQJ91" s="76">
        <v>0.86944444444444446</v>
      </c>
      <c r="EQK91" s="76">
        <v>0.86944444444444446</v>
      </c>
      <c r="EQL91" s="77" t="str">
        <f t="shared" si="109"/>
        <v>O</v>
      </c>
      <c r="EQM91" s="74" t="s">
        <v>28</v>
      </c>
      <c r="EQN91" s="75" t="s">
        <v>23</v>
      </c>
      <c r="EQO91" s="78">
        <f>IFERROR(VLOOKUP(EQN91,'[1]List KPI'!$M$3:$N$8,2,0),"")</f>
        <v>2.0833333333333332E-2</v>
      </c>
      <c r="EQP91" s="76">
        <v>0.89444444444444449</v>
      </c>
      <c r="EQQ91" s="77" t="str">
        <f t="shared" si="110"/>
        <v>O</v>
      </c>
      <c r="EQR91" s="79">
        <v>5</v>
      </c>
      <c r="EQS91" s="75">
        <v>1276006</v>
      </c>
      <c r="EQT91" s="80"/>
      <c r="EQU91" s="81">
        <v>0.86944444444444446</v>
      </c>
      <c r="EQV91" s="74" t="s">
        <v>27</v>
      </c>
      <c r="EQW91" s="74" t="s">
        <v>24</v>
      </c>
      <c r="EQX91" s="75" t="s">
        <v>25</v>
      </c>
      <c r="EQY91" s="76">
        <f>IFERROR(VLOOKUP(EQX91,'[1]List KPI'!$A$103:$F$118,6,0),"")</f>
        <v>1.0416666666666666E-2</v>
      </c>
      <c r="EQZ91" s="76">
        <v>0.86944444444444446</v>
      </c>
      <c r="ERA91" s="76">
        <v>0.86944444444444446</v>
      </c>
      <c r="ERB91" s="77" t="str">
        <f t="shared" ref="ERB91:ESX91" si="111">IF(ERA91="","",IF(ERA91&gt;ERJ91,"O","P"))</f>
        <v>O</v>
      </c>
      <c r="ERC91" s="74" t="s">
        <v>28</v>
      </c>
      <c r="ERD91" s="75" t="s">
        <v>23</v>
      </c>
      <c r="ERE91" s="78">
        <f>IFERROR(VLOOKUP(ERD91,'[1]List KPI'!$M$3:$N$8,2,0),"")</f>
        <v>2.0833333333333332E-2</v>
      </c>
      <c r="ERF91" s="76">
        <v>0.89444444444444449</v>
      </c>
      <c r="ERG91" s="77" t="str">
        <f t="shared" ref="ERG91:ETC91" si="112">IF(ERF91="","",IF(ERF91&gt;ERK91,"O","P"))</f>
        <v>O</v>
      </c>
      <c r="ERH91" s="79">
        <v>5</v>
      </c>
      <c r="ERI91" s="75">
        <v>1276006</v>
      </c>
      <c r="ERJ91" s="80"/>
      <c r="ERK91" s="81">
        <v>0.86944444444444446</v>
      </c>
      <c r="ERL91" s="74" t="s">
        <v>27</v>
      </c>
      <c r="ERM91" s="74" t="s">
        <v>24</v>
      </c>
      <c r="ERN91" s="75" t="s">
        <v>25</v>
      </c>
      <c r="ERO91" s="76">
        <f>IFERROR(VLOOKUP(ERN91,'[1]List KPI'!$A$103:$F$118,6,0),"")</f>
        <v>1.0416666666666666E-2</v>
      </c>
      <c r="ERP91" s="76">
        <v>0.86944444444444446</v>
      </c>
      <c r="ERQ91" s="76">
        <v>0.86944444444444446</v>
      </c>
      <c r="ERR91" s="77" t="str">
        <f t="shared" si="111"/>
        <v>O</v>
      </c>
      <c r="ERS91" s="74" t="s">
        <v>28</v>
      </c>
      <c r="ERT91" s="75" t="s">
        <v>23</v>
      </c>
      <c r="ERU91" s="78">
        <f>IFERROR(VLOOKUP(ERT91,'[1]List KPI'!$M$3:$N$8,2,0),"")</f>
        <v>2.0833333333333332E-2</v>
      </c>
      <c r="ERV91" s="76">
        <v>0.89444444444444449</v>
      </c>
      <c r="ERW91" s="77" t="str">
        <f t="shared" si="112"/>
        <v>O</v>
      </c>
      <c r="ERX91" s="79">
        <v>5</v>
      </c>
      <c r="ERY91" s="75">
        <v>1276006</v>
      </c>
      <c r="ERZ91" s="80"/>
      <c r="ESA91" s="81">
        <v>0.86944444444444446</v>
      </c>
      <c r="ESB91" s="74" t="s">
        <v>27</v>
      </c>
      <c r="ESC91" s="74" t="s">
        <v>24</v>
      </c>
      <c r="ESD91" s="75" t="s">
        <v>25</v>
      </c>
      <c r="ESE91" s="76">
        <f>IFERROR(VLOOKUP(ESD91,'[1]List KPI'!$A$103:$F$118,6,0),"")</f>
        <v>1.0416666666666666E-2</v>
      </c>
      <c r="ESF91" s="76">
        <v>0.86944444444444446</v>
      </c>
      <c r="ESG91" s="76">
        <v>0.86944444444444446</v>
      </c>
      <c r="ESH91" s="77" t="str">
        <f t="shared" si="111"/>
        <v>O</v>
      </c>
      <c r="ESI91" s="74" t="s">
        <v>28</v>
      </c>
      <c r="ESJ91" s="75" t="s">
        <v>23</v>
      </c>
      <c r="ESK91" s="78">
        <f>IFERROR(VLOOKUP(ESJ91,'[1]List KPI'!$M$3:$N$8,2,0),"")</f>
        <v>2.0833333333333332E-2</v>
      </c>
      <c r="ESL91" s="76">
        <v>0.89444444444444449</v>
      </c>
      <c r="ESM91" s="77" t="str">
        <f t="shared" si="112"/>
        <v>O</v>
      </c>
      <c r="ESN91" s="79">
        <v>5</v>
      </c>
      <c r="ESO91" s="75">
        <v>1276006</v>
      </c>
      <c r="ESP91" s="80"/>
      <c r="ESQ91" s="81">
        <v>0.86944444444444446</v>
      </c>
      <c r="ESR91" s="74" t="s">
        <v>27</v>
      </c>
      <c r="ESS91" s="74" t="s">
        <v>24</v>
      </c>
      <c r="EST91" s="75" t="s">
        <v>25</v>
      </c>
      <c r="ESU91" s="76">
        <f>IFERROR(VLOOKUP(EST91,'[1]List KPI'!$A$103:$F$118,6,0),"")</f>
        <v>1.0416666666666666E-2</v>
      </c>
      <c r="ESV91" s="76">
        <v>0.86944444444444446</v>
      </c>
      <c r="ESW91" s="76">
        <v>0.86944444444444446</v>
      </c>
      <c r="ESX91" s="77" t="str">
        <f t="shared" si="111"/>
        <v>O</v>
      </c>
      <c r="ESY91" s="74" t="s">
        <v>28</v>
      </c>
      <c r="ESZ91" s="75" t="s">
        <v>23</v>
      </c>
      <c r="ETA91" s="78">
        <f>IFERROR(VLOOKUP(ESZ91,'[1]List KPI'!$M$3:$N$8,2,0),"")</f>
        <v>2.0833333333333332E-2</v>
      </c>
      <c r="ETB91" s="76">
        <v>0.89444444444444449</v>
      </c>
      <c r="ETC91" s="77" t="str">
        <f t="shared" si="112"/>
        <v>O</v>
      </c>
      <c r="ETD91" s="79">
        <v>5</v>
      </c>
      <c r="ETE91" s="75">
        <v>1276006</v>
      </c>
      <c r="ETF91" s="80"/>
      <c r="ETG91" s="81">
        <v>0.86944444444444446</v>
      </c>
      <c r="ETH91" s="74" t="s">
        <v>27</v>
      </c>
      <c r="ETI91" s="74" t="s">
        <v>24</v>
      </c>
      <c r="ETJ91" s="75" t="s">
        <v>25</v>
      </c>
      <c r="ETK91" s="76">
        <f>IFERROR(VLOOKUP(ETJ91,'[1]List KPI'!$A$103:$F$118,6,0),"")</f>
        <v>1.0416666666666666E-2</v>
      </c>
      <c r="ETL91" s="76">
        <v>0.86944444444444446</v>
      </c>
      <c r="ETM91" s="76">
        <v>0.86944444444444446</v>
      </c>
      <c r="ETN91" s="77" t="str">
        <f t="shared" ref="ETN91:EVJ91" si="113">IF(ETM91="","",IF(ETM91&gt;ETV91,"O","P"))</f>
        <v>O</v>
      </c>
      <c r="ETO91" s="74" t="s">
        <v>28</v>
      </c>
      <c r="ETP91" s="75" t="s">
        <v>23</v>
      </c>
      <c r="ETQ91" s="78">
        <f>IFERROR(VLOOKUP(ETP91,'[1]List KPI'!$M$3:$N$8,2,0),"")</f>
        <v>2.0833333333333332E-2</v>
      </c>
      <c r="ETR91" s="76">
        <v>0.89444444444444449</v>
      </c>
      <c r="ETS91" s="77" t="str">
        <f t="shared" ref="ETS91:EVO91" si="114">IF(ETR91="","",IF(ETR91&gt;ETW91,"O","P"))</f>
        <v>O</v>
      </c>
      <c r="ETT91" s="79">
        <v>5</v>
      </c>
      <c r="ETU91" s="75">
        <v>1276006</v>
      </c>
      <c r="ETV91" s="80"/>
      <c r="ETW91" s="81">
        <v>0.86944444444444446</v>
      </c>
      <c r="ETX91" s="74" t="s">
        <v>27</v>
      </c>
      <c r="ETY91" s="74" t="s">
        <v>24</v>
      </c>
      <c r="ETZ91" s="75" t="s">
        <v>25</v>
      </c>
      <c r="EUA91" s="76">
        <f>IFERROR(VLOOKUP(ETZ91,'[1]List KPI'!$A$103:$F$118,6,0),"")</f>
        <v>1.0416666666666666E-2</v>
      </c>
      <c r="EUB91" s="76">
        <v>0.86944444444444446</v>
      </c>
      <c r="EUC91" s="76">
        <v>0.86944444444444446</v>
      </c>
      <c r="EUD91" s="77" t="str">
        <f t="shared" si="113"/>
        <v>O</v>
      </c>
      <c r="EUE91" s="74" t="s">
        <v>28</v>
      </c>
      <c r="EUF91" s="75" t="s">
        <v>23</v>
      </c>
      <c r="EUG91" s="78">
        <f>IFERROR(VLOOKUP(EUF91,'[1]List KPI'!$M$3:$N$8,2,0),"")</f>
        <v>2.0833333333333332E-2</v>
      </c>
      <c r="EUH91" s="76">
        <v>0.89444444444444449</v>
      </c>
      <c r="EUI91" s="77" t="str">
        <f t="shared" si="114"/>
        <v>O</v>
      </c>
      <c r="EUJ91" s="79">
        <v>5</v>
      </c>
      <c r="EUK91" s="75">
        <v>1276006</v>
      </c>
      <c r="EUL91" s="80"/>
      <c r="EUM91" s="81">
        <v>0.86944444444444446</v>
      </c>
      <c r="EUN91" s="74" t="s">
        <v>27</v>
      </c>
      <c r="EUO91" s="74" t="s">
        <v>24</v>
      </c>
      <c r="EUP91" s="75" t="s">
        <v>25</v>
      </c>
      <c r="EUQ91" s="76">
        <f>IFERROR(VLOOKUP(EUP91,'[1]List KPI'!$A$103:$F$118,6,0),"")</f>
        <v>1.0416666666666666E-2</v>
      </c>
      <c r="EUR91" s="76">
        <v>0.86944444444444446</v>
      </c>
      <c r="EUS91" s="76">
        <v>0.86944444444444446</v>
      </c>
      <c r="EUT91" s="77" t="str">
        <f t="shared" si="113"/>
        <v>O</v>
      </c>
      <c r="EUU91" s="74" t="s">
        <v>28</v>
      </c>
      <c r="EUV91" s="75" t="s">
        <v>23</v>
      </c>
      <c r="EUW91" s="78">
        <f>IFERROR(VLOOKUP(EUV91,'[1]List KPI'!$M$3:$N$8,2,0),"")</f>
        <v>2.0833333333333332E-2</v>
      </c>
      <c r="EUX91" s="76">
        <v>0.89444444444444449</v>
      </c>
      <c r="EUY91" s="77" t="str">
        <f t="shared" si="114"/>
        <v>O</v>
      </c>
      <c r="EUZ91" s="79">
        <v>5</v>
      </c>
      <c r="EVA91" s="75">
        <v>1276006</v>
      </c>
      <c r="EVB91" s="80"/>
      <c r="EVC91" s="81">
        <v>0.86944444444444446</v>
      </c>
      <c r="EVD91" s="74" t="s">
        <v>27</v>
      </c>
      <c r="EVE91" s="74" t="s">
        <v>24</v>
      </c>
      <c r="EVF91" s="75" t="s">
        <v>25</v>
      </c>
      <c r="EVG91" s="76">
        <f>IFERROR(VLOOKUP(EVF91,'[1]List KPI'!$A$103:$F$118,6,0),"")</f>
        <v>1.0416666666666666E-2</v>
      </c>
      <c r="EVH91" s="76">
        <v>0.86944444444444446</v>
      </c>
      <c r="EVI91" s="76">
        <v>0.86944444444444446</v>
      </c>
      <c r="EVJ91" s="77" t="str">
        <f t="shared" si="113"/>
        <v>O</v>
      </c>
      <c r="EVK91" s="74" t="s">
        <v>28</v>
      </c>
      <c r="EVL91" s="75" t="s">
        <v>23</v>
      </c>
      <c r="EVM91" s="78">
        <f>IFERROR(VLOOKUP(EVL91,'[1]List KPI'!$M$3:$N$8,2,0),"")</f>
        <v>2.0833333333333332E-2</v>
      </c>
      <c r="EVN91" s="76">
        <v>0.89444444444444449</v>
      </c>
      <c r="EVO91" s="77" t="str">
        <f t="shared" si="114"/>
        <v>O</v>
      </c>
      <c r="EVP91" s="79">
        <v>5</v>
      </c>
      <c r="EVQ91" s="75">
        <v>1276006</v>
      </c>
      <c r="EVR91" s="80"/>
      <c r="EVS91" s="81">
        <v>0.86944444444444446</v>
      </c>
      <c r="EVT91" s="74" t="s">
        <v>27</v>
      </c>
      <c r="EVU91" s="74" t="s">
        <v>24</v>
      </c>
      <c r="EVV91" s="75" t="s">
        <v>25</v>
      </c>
      <c r="EVW91" s="76">
        <f>IFERROR(VLOOKUP(EVV91,'[1]List KPI'!$A$103:$F$118,6,0),"")</f>
        <v>1.0416666666666666E-2</v>
      </c>
      <c r="EVX91" s="76">
        <v>0.86944444444444446</v>
      </c>
      <c r="EVY91" s="76">
        <v>0.86944444444444446</v>
      </c>
      <c r="EVZ91" s="77" t="str">
        <f t="shared" ref="EVZ91:EXV91" si="115">IF(EVY91="","",IF(EVY91&gt;EWH91,"O","P"))</f>
        <v>O</v>
      </c>
      <c r="EWA91" s="74" t="s">
        <v>28</v>
      </c>
      <c r="EWB91" s="75" t="s">
        <v>23</v>
      </c>
      <c r="EWC91" s="78">
        <f>IFERROR(VLOOKUP(EWB91,'[1]List KPI'!$M$3:$N$8,2,0),"")</f>
        <v>2.0833333333333332E-2</v>
      </c>
      <c r="EWD91" s="76">
        <v>0.89444444444444449</v>
      </c>
      <c r="EWE91" s="77" t="str">
        <f t="shared" ref="EWE91:EYA91" si="116">IF(EWD91="","",IF(EWD91&gt;EWI91,"O","P"))</f>
        <v>O</v>
      </c>
      <c r="EWF91" s="79">
        <v>5</v>
      </c>
      <c r="EWG91" s="75">
        <v>1276006</v>
      </c>
      <c r="EWH91" s="80"/>
      <c r="EWI91" s="81">
        <v>0.86944444444444446</v>
      </c>
      <c r="EWJ91" s="74" t="s">
        <v>27</v>
      </c>
      <c r="EWK91" s="74" t="s">
        <v>24</v>
      </c>
      <c r="EWL91" s="75" t="s">
        <v>25</v>
      </c>
      <c r="EWM91" s="76">
        <f>IFERROR(VLOOKUP(EWL91,'[1]List KPI'!$A$103:$F$118,6,0),"")</f>
        <v>1.0416666666666666E-2</v>
      </c>
      <c r="EWN91" s="76">
        <v>0.86944444444444446</v>
      </c>
      <c r="EWO91" s="76">
        <v>0.86944444444444446</v>
      </c>
      <c r="EWP91" s="77" t="str">
        <f t="shared" si="115"/>
        <v>O</v>
      </c>
      <c r="EWQ91" s="74" t="s">
        <v>28</v>
      </c>
      <c r="EWR91" s="75" t="s">
        <v>23</v>
      </c>
      <c r="EWS91" s="78">
        <f>IFERROR(VLOOKUP(EWR91,'[1]List KPI'!$M$3:$N$8,2,0),"")</f>
        <v>2.0833333333333332E-2</v>
      </c>
      <c r="EWT91" s="76">
        <v>0.89444444444444449</v>
      </c>
      <c r="EWU91" s="77" t="str">
        <f t="shared" si="116"/>
        <v>O</v>
      </c>
      <c r="EWV91" s="79">
        <v>5</v>
      </c>
      <c r="EWW91" s="75">
        <v>1276006</v>
      </c>
      <c r="EWX91" s="80"/>
      <c r="EWY91" s="81">
        <v>0.86944444444444446</v>
      </c>
      <c r="EWZ91" s="74" t="s">
        <v>27</v>
      </c>
      <c r="EXA91" s="74" t="s">
        <v>24</v>
      </c>
      <c r="EXB91" s="75" t="s">
        <v>25</v>
      </c>
      <c r="EXC91" s="76">
        <f>IFERROR(VLOOKUP(EXB91,'[1]List KPI'!$A$103:$F$118,6,0),"")</f>
        <v>1.0416666666666666E-2</v>
      </c>
      <c r="EXD91" s="76">
        <v>0.86944444444444446</v>
      </c>
      <c r="EXE91" s="76">
        <v>0.86944444444444446</v>
      </c>
      <c r="EXF91" s="77" t="str">
        <f t="shared" si="115"/>
        <v>O</v>
      </c>
      <c r="EXG91" s="74" t="s">
        <v>28</v>
      </c>
      <c r="EXH91" s="75" t="s">
        <v>23</v>
      </c>
      <c r="EXI91" s="78">
        <f>IFERROR(VLOOKUP(EXH91,'[1]List KPI'!$M$3:$N$8,2,0),"")</f>
        <v>2.0833333333333332E-2</v>
      </c>
      <c r="EXJ91" s="76">
        <v>0.89444444444444449</v>
      </c>
      <c r="EXK91" s="77" t="str">
        <f t="shared" si="116"/>
        <v>O</v>
      </c>
      <c r="EXL91" s="79">
        <v>5</v>
      </c>
      <c r="EXM91" s="75">
        <v>1276006</v>
      </c>
      <c r="EXN91" s="80"/>
      <c r="EXO91" s="81">
        <v>0.86944444444444446</v>
      </c>
      <c r="EXP91" s="74" t="s">
        <v>27</v>
      </c>
      <c r="EXQ91" s="74" t="s">
        <v>24</v>
      </c>
      <c r="EXR91" s="75" t="s">
        <v>25</v>
      </c>
      <c r="EXS91" s="76">
        <f>IFERROR(VLOOKUP(EXR91,'[1]List KPI'!$A$103:$F$118,6,0),"")</f>
        <v>1.0416666666666666E-2</v>
      </c>
      <c r="EXT91" s="76">
        <v>0.86944444444444446</v>
      </c>
      <c r="EXU91" s="76">
        <v>0.86944444444444446</v>
      </c>
      <c r="EXV91" s="77" t="str">
        <f t="shared" si="115"/>
        <v>O</v>
      </c>
      <c r="EXW91" s="74" t="s">
        <v>28</v>
      </c>
      <c r="EXX91" s="75" t="s">
        <v>23</v>
      </c>
      <c r="EXY91" s="78">
        <f>IFERROR(VLOOKUP(EXX91,'[1]List KPI'!$M$3:$N$8,2,0),"")</f>
        <v>2.0833333333333332E-2</v>
      </c>
      <c r="EXZ91" s="76">
        <v>0.89444444444444449</v>
      </c>
      <c r="EYA91" s="77" t="str">
        <f t="shared" si="116"/>
        <v>O</v>
      </c>
      <c r="EYB91" s="79">
        <v>5</v>
      </c>
      <c r="EYC91" s="75">
        <v>1276006</v>
      </c>
      <c r="EYD91" s="80"/>
      <c r="EYE91" s="81">
        <v>0.86944444444444446</v>
      </c>
      <c r="EYF91" s="74" t="s">
        <v>27</v>
      </c>
      <c r="EYG91" s="74" t="s">
        <v>24</v>
      </c>
      <c r="EYH91" s="75" t="s">
        <v>25</v>
      </c>
      <c r="EYI91" s="76">
        <f>IFERROR(VLOOKUP(EYH91,'[1]List KPI'!$A$103:$F$118,6,0),"")</f>
        <v>1.0416666666666666E-2</v>
      </c>
      <c r="EYJ91" s="76">
        <v>0.86944444444444446</v>
      </c>
      <c r="EYK91" s="76">
        <v>0.86944444444444446</v>
      </c>
      <c r="EYL91" s="77" t="str">
        <f t="shared" ref="EYL91:FAH91" si="117">IF(EYK91="","",IF(EYK91&gt;EYT91,"O","P"))</f>
        <v>O</v>
      </c>
      <c r="EYM91" s="74" t="s">
        <v>28</v>
      </c>
      <c r="EYN91" s="75" t="s">
        <v>23</v>
      </c>
      <c r="EYO91" s="78">
        <f>IFERROR(VLOOKUP(EYN91,'[1]List KPI'!$M$3:$N$8,2,0),"")</f>
        <v>2.0833333333333332E-2</v>
      </c>
      <c r="EYP91" s="76">
        <v>0.89444444444444449</v>
      </c>
      <c r="EYQ91" s="77" t="str">
        <f t="shared" ref="EYQ91:FAM91" si="118">IF(EYP91="","",IF(EYP91&gt;EYU91,"O","P"))</f>
        <v>O</v>
      </c>
      <c r="EYR91" s="79">
        <v>5</v>
      </c>
      <c r="EYS91" s="75">
        <v>1276006</v>
      </c>
      <c r="EYT91" s="80"/>
      <c r="EYU91" s="81">
        <v>0.86944444444444446</v>
      </c>
      <c r="EYV91" s="74" t="s">
        <v>27</v>
      </c>
      <c r="EYW91" s="74" t="s">
        <v>24</v>
      </c>
      <c r="EYX91" s="75" t="s">
        <v>25</v>
      </c>
      <c r="EYY91" s="76">
        <f>IFERROR(VLOOKUP(EYX91,'[1]List KPI'!$A$103:$F$118,6,0),"")</f>
        <v>1.0416666666666666E-2</v>
      </c>
      <c r="EYZ91" s="76">
        <v>0.86944444444444446</v>
      </c>
      <c r="EZA91" s="76">
        <v>0.86944444444444446</v>
      </c>
      <c r="EZB91" s="77" t="str">
        <f t="shared" si="117"/>
        <v>O</v>
      </c>
      <c r="EZC91" s="74" t="s">
        <v>28</v>
      </c>
      <c r="EZD91" s="75" t="s">
        <v>23</v>
      </c>
      <c r="EZE91" s="78">
        <f>IFERROR(VLOOKUP(EZD91,'[1]List KPI'!$M$3:$N$8,2,0),"")</f>
        <v>2.0833333333333332E-2</v>
      </c>
      <c r="EZF91" s="76">
        <v>0.89444444444444449</v>
      </c>
      <c r="EZG91" s="77" t="str">
        <f t="shared" si="118"/>
        <v>O</v>
      </c>
      <c r="EZH91" s="79">
        <v>5</v>
      </c>
      <c r="EZI91" s="75">
        <v>1276006</v>
      </c>
      <c r="EZJ91" s="80"/>
      <c r="EZK91" s="81">
        <v>0.86944444444444446</v>
      </c>
      <c r="EZL91" s="74" t="s">
        <v>27</v>
      </c>
      <c r="EZM91" s="74" t="s">
        <v>24</v>
      </c>
      <c r="EZN91" s="75" t="s">
        <v>25</v>
      </c>
      <c r="EZO91" s="76">
        <f>IFERROR(VLOOKUP(EZN91,'[1]List KPI'!$A$103:$F$118,6,0),"")</f>
        <v>1.0416666666666666E-2</v>
      </c>
      <c r="EZP91" s="76">
        <v>0.86944444444444446</v>
      </c>
      <c r="EZQ91" s="76">
        <v>0.86944444444444446</v>
      </c>
      <c r="EZR91" s="77" t="str">
        <f t="shared" si="117"/>
        <v>O</v>
      </c>
      <c r="EZS91" s="74" t="s">
        <v>28</v>
      </c>
      <c r="EZT91" s="75" t="s">
        <v>23</v>
      </c>
      <c r="EZU91" s="78">
        <f>IFERROR(VLOOKUP(EZT91,'[1]List KPI'!$M$3:$N$8,2,0),"")</f>
        <v>2.0833333333333332E-2</v>
      </c>
      <c r="EZV91" s="76">
        <v>0.89444444444444449</v>
      </c>
      <c r="EZW91" s="77" t="str">
        <f t="shared" si="118"/>
        <v>O</v>
      </c>
      <c r="EZX91" s="79">
        <v>5</v>
      </c>
      <c r="EZY91" s="75">
        <v>1276006</v>
      </c>
      <c r="EZZ91" s="80"/>
      <c r="FAA91" s="81">
        <v>0.86944444444444446</v>
      </c>
      <c r="FAB91" s="74" t="s">
        <v>27</v>
      </c>
      <c r="FAC91" s="74" t="s">
        <v>24</v>
      </c>
      <c r="FAD91" s="75" t="s">
        <v>25</v>
      </c>
      <c r="FAE91" s="76">
        <f>IFERROR(VLOOKUP(FAD91,'[1]List KPI'!$A$103:$F$118,6,0),"")</f>
        <v>1.0416666666666666E-2</v>
      </c>
      <c r="FAF91" s="76">
        <v>0.86944444444444446</v>
      </c>
      <c r="FAG91" s="76">
        <v>0.86944444444444446</v>
      </c>
      <c r="FAH91" s="77" t="str">
        <f t="shared" si="117"/>
        <v>O</v>
      </c>
      <c r="FAI91" s="74" t="s">
        <v>28</v>
      </c>
      <c r="FAJ91" s="75" t="s">
        <v>23</v>
      </c>
      <c r="FAK91" s="78">
        <f>IFERROR(VLOOKUP(FAJ91,'[1]List KPI'!$M$3:$N$8,2,0),"")</f>
        <v>2.0833333333333332E-2</v>
      </c>
      <c r="FAL91" s="76">
        <v>0.89444444444444449</v>
      </c>
      <c r="FAM91" s="77" t="str">
        <f t="shared" si="118"/>
        <v>O</v>
      </c>
      <c r="FAN91" s="79">
        <v>5</v>
      </c>
      <c r="FAO91" s="75">
        <v>1276006</v>
      </c>
      <c r="FAP91" s="80"/>
      <c r="FAQ91" s="81">
        <v>0.86944444444444446</v>
      </c>
      <c r="FAR91" s="74" t="s">
        <v>27</v>
      </c>
      <c r="FAS91" s="74" t="s">
        <v>24</v>
      </c>
      <c r="FAT91" s="75" t="s">
        <v>25</v>
      </c>
      <c r="FAU91" s="76">
        <f>IFERROR(VLOOKUP(FAT91,'[1]List KPI'!$A$103:$F$118,6,0),"")</f>
        <v>1.0416666666666666E-2</v>
      </c>
      <c r="FAV91" s="76">
        <v>0.86944444444444446</v>
      </c>
      <c r="FAW91" s="76">
        <v>0.86944444444444446</v>
      </c>
      <c r="FAX91" s="77" t="str">
        <f t="shared" ref="FAX91:FCT91" si="119">IF(FAW91="","",IF(FAW91&gt;FBF91,"O","P"))</f>
        <v>O</v>
      </c>
      <c r="FAY91" s="74" t="s">
        <v>28</v>
      </c>
      <c r="FAZ91" s="75" t="s">
        <v>23</v>
      </c>
      <c r="FBA91" s="78">
        <f>IFERROR(VLOOKUP(FAZ91,'[1]List KPI'!$M$3:$N$8,2,0),"")</f>
        <v>2.0833333333333332E-2</v>
      </c>
      <c r="FBB91" s="76">
        <v>0.89444444444444449</v>
      </c>
      <c r="FBC91" s="77" t="str">
        <f t="shared" ref="FBC91:FCY91" si="120">IF(FBB91="","",IF(FBB91&gt;FBG91,"O","P"))</f>
        <v>O</v>
      </c>
      <c r="FBD91" s="79">
        <v>5</v>
      </c>
      <c r="FBE91" s="75">
        <v>1276006</v>
      </c>
      <c r="FBF91" s="80"/>
      <c r="FBG91" s="81">
        <v>0.86944444444444446</v>
      </c>
      <c r="FBH91" s="74" t="s">
        <v>27</v>
      </c>
      <c r="FBI91" s="74" t="s">
        <v>24</v>
      </c>
      <c r="FBJ91" s="75" t="s">
        <v>25</v>
      </c>
      <c r="FBK91" s="76">
        <f>IFERROR(VLOOKUP(FBJ91,'[1]List KPI'!$A$103:$F$118,6,0),"")</f>
        <v>1.0416666666666666E-2</v>
      </c>
      <c r="FBL91" s="76">
        <v>0.86944444444444446</v>
      </c>
      <c r="FBM91" s="76">
        <v>0.86944444444444446</v>
      </c>
      <c r="FBN91" s="77" t="str">
        <f t="shared" si="119"/>
        <v>O</v>
      </c>
      <c r="FBO91" s="74" t="s">
        <v>28</v>
      </c>
      <c r="FBP91" s="75" t="s">
        <v>23</v>
      </c>
      <c r="FBQ91" s="78">
        <f>IFERROR(VLOOKUP(FBP91,'[1]List KPI'!$M$3:$N$8,2,0),"")</f>
        <v>2.0833333333333332E-2</v>
      </c>
      <c r="FBR91" s="76">
        <v>0.89444444444444449</v>
      </c>
      <c r="FBS91" s="77" t="str">
        <f t="shared" si="120"/>
        <v>O</v>
      </c>
      <c r="FBT91" s="79">
        <v>5</v>
      </c>
      <c r="FBU91" s="75">
        <v>1276006</v>
      </c>
      <c r="FBV91" s="80"/>
      <c r="FBW91" s="81">
        <v>0.86944444444444446</v>
      </c>
      <c r="FBX91" s="74" t="s">
        <v>27</v>
      </c>
      <c r="FBY91" s="74" t="s">
        <v>24</v>
      </c>
      <c r="FBZ91" s="75" t="s">
        <v>25</v>
      </c>
      <c r="FCA91" s="76">
        <f>IFERROR(VLOOKUP(FBZ91,'[1]List KPI'!$A$103:$F$118,6,0),"")</f>
        <v>1.0416666666666666E-2</v>
      </c>
      <c r="FCB91" s="76">
        <v>0.86944444444444446</v>
      </c>
      <c r="FCC91" s="76">
        <v>0.86944444444444446</v>
      </c>
      <c r="FCD91" s="77" t="str">
        <f t="shared" si="119"/>
        <v>O</v>
      </c>
      <c r="FCE91" s="74" t="s">
        <v>28</v>
      </c>
      <c r="FCF91" s="75" t="s">
        <v>23</v>
      </c>
      <c r="FCG91" s="78">
        <f>IFERROR(VLOOKUP(FCF91,'[1]List KPI'!$M$3:$N$8,2,0),"")</f>
        <v>2.0833333333333332E-2</v>
      </c>
      <c r="FCH91" s="76">
        <v>0.89444444444444449</v>
      </c>
      <c r="FCI91" s="77" t="str">
        <f t="shared" si="120"/>
        <v>O</v>
      </c>
      <c r="FCJ91" s="79">
        <v>5</v>
      </c>
      <c r="FCK91" s="75">
        <v>1276006</v>
      </c>
      <c r="FCL91" s="80"/>
      <c r="FCM91" s="81">
        <v>0.86944444444444446</v>
      </c>
      <c r="FCN91" s="74" t="s">
        <v>27</v>
      </c>
      <c r="FCO91" s="74" t="s">
        <v>24</v>
      </c>
      <c r="FCP91" s="75" t="s">
        <v>25</v>
      </c>
      <c r="FCQ91" s="76">
        <f>IFERROR(VLOOKUP(FCP91,'[1]List KPI'!$A$103:$F$118,6,0),"")</f>
        <v>1.0416666666666666E-2</v>
      </c>
      <c r="FCR91" s="76">
        <v>0.86944444444444446</v>
      </c>
      <c r="FCS91" s="76">
        <v>0.86944444444444446</v>
      </c>
      <c r="FCT91" s="77" t="str">
        <f t="shared" si="119"/>
        <v>O</v>
      </c>
      <c r="FCU91" s="74" t="s">
        <v>28</v>
      </c>
      <c r="FCV91" s="75" t="s">
        <v>23</v>
      </c>
      <c r="FCW91" s="78">
        <f>IFERROR(VLOOKUP(FCV91,'[1]List KPI'!$M$3:$N$8,2,0),"")</f>
        <v>2.0833333333333332E-2</v>
      </c>
      <c r="FCX91" s="76">
        <v>0.89444444444444449</v>
      </c>
      <c r="FCY91" s="77" t="str">
        <f t="shared" si="120"/>
        <v>O</v>
      </c>
      <c r="FCZ91" s="79">
        <v>5</v>
      </c>
      <c r="FDA91" s="75">
        <v>1276006</v>
      </c>
      <c r="FDB91" s="80"/>
      <c r="FDC91" s="81">
        <v>0.86944444444444446</v>
      </c>
      <c r="FDD91" s="74" t="s">
        <v>27</v>
      </c>
      <c r="FDE91" s="74" t="s">
        <v>24</v>
      </c>
      <c r="FDF91" s="75" t="s">
        <v>25</v>
      </c>
      <c r="FDG91" s="76">
        <f>IFERROR(VLOOKUP(FDF91,'[1]List KPI'!$A$103:$F$118,6,0),"")</f>
        <v>1.0416666666666666E-2</v>
      </c>
      <c r="FDH91" s="76">
        <v>0.86944444444444446</v>
      </c>
      <c r="FDI91" s="76">
        <v>0.86944444444444446</v>
      </c>
      <c r="FDJ91" s="77" t="str">
        <f t="shared" ref="FDJ91:FFF91" si="121">IF(FDI91="","",IF(FDI91&gt;FDR91,"O","P"))</f>
        <v>O</v>
      </c>
      <c r="FDK91" s="74" t="s">
        <v>28</v>
      </c>
      <c r="FDL91" s="75" t="s">
        <v>23</v>
      </c>
      <c r="FDM91" s="78">
        <f>IFERROR(VLOOKUP(FDL91,'[1]List KPI'!$M$3:$N$8,2,0),"")</f>
        <v>2.0833333333333332E-2</v>
      </c>
      <c r="FDN91" s="76">
        <v>0.89444444444444449</v>
      </c>
      <c r="FDO91" s="77" t="str">
        <f t="shared" ref="FDO91:FFK91" si="122">IF(FDN91="","",IF(FDN91&gt;FDS91,"O","P"))</f>
        <v>O</v>
      </c>
      <c r="FDP91" s="79">
        <v>5</v>
      </c>
      <c r="FDQ91" s="75">
        <v>1276006</v>
      </c>
      <c r="FDR91" s="80"/>
      <c r="FDS91" s="81">
        <v>0.86944444444444446</v>
      </c>
      <c r="FDT91" s="74" t="s">
        <v>27</v>
      </c>
      <c r="FDU91" s="74" t="s">
        <v>24</v>
      </c>
      <c r="FDV91" s="75" t="s">
        <v>25</v>
      </c>
      <c r="FDW91" s="76">
        <f>IFERROR(VLOOKUP(FDV91,'[1]List KPI'!$A$103:$F$118,6,0),"")</f>
        <v>1.0416666666666666E-2</v>
      </c>
      <c r="FDX91" s="76">
        <v>0.86944444444444446</v>
      </c>
      <c r="FDY91" s="76">
        <v>0.86944444444444446</v>
      </c>
      <c r="FDZ91" s="77" t="str">
        <f t="shared" si="121"/>
        <v>O</v>
      </c>
      <c r="FEA91" s="74" t="s">
        <v>28</v>
      </c>
      <c r="FEB91" s="75" t="s">
        <v>23</v>
      </c>
      <c r="FEC91" s="78">
        <f>IFERROR(VLOOKUP(FEB91,'[1]List KPI'!$M$3:$N$8,2,0),"")</f>
        <v>2.0833333333333332E-2</v>
      </c>
      <c r="FED91" s="76">
        <v>0.89444444444444449</v>
      </c>
      <c r="FEE91" s="77" t="str">
        <f t="shared" si="122"/>
        <v>O</v>
      </c>
      <c r="FEF91" s="79">
        <v>5</v>
      </c>
      <c r="FEG91" s="75">
        <v>1276006</v>
      </c>
      <c r="FEH91" s="80"/>
      <c r="FEI91" s="81">
        <v>0.86944444444444446</v>
      </c>
      <c r="FEJ91" s="74" t="s">
        <v>27</v>
      </c>
      <c r="FEK91" s="74" t="s">
        <v>24</v>
      </c>
      <c r="FEL91" s="75" t="s">
        <v>25</v>
      </c>
      <c r="FEM91" s="76">
        <f>IFERROR(VLOOKUP(FEL91,'[1]List KPI'!$A$103:$F$118,6,0),"")</f>
        <v>1.0416666666666666E-2</v>
      </c>
      <c r="FEN91" s="76">
        <v>0.86944444444444446</v>
      </c>
      <c r="FEO91" s="76">
        <v>0.86944444444444446</v>
      </c>
      <c r="FEP91" s="77" t="str">
        <f t="shared" si="121"/>
        <v>O</v>
      </c>
      <c r="FEQ91" s="74" t="s">
        <v>28</v>
      </c>
      <c r="FER91" s="75" t="s">
        <v>23</v>
      </c>
      <c r="FES91" s="78">
        <f>IFERROR(VLOOKUP(FER91,'[1]List KPI'!$M$3:$N$8,2,0),"")</f>
        <v>2.0833333333333332E-2</v>
      </c>
      <c r="FET91" s="76">
        <v>0.89444444444444449</v>
      </c>
      <c r="FEU91" s="77" t="str">
        <f t="shared" si="122"/>
        <v>O</v>
      </c>
      <c r="FEV91" s="79">
        <v>5</v>
      </c>
      <c r="FEW91" s="75">
        <v>1276006</v>
      </c>
      <c r="FEX91" s="80"/>
      <c r="FEY91" s="81">
        <v>0.86944444444444446</v>
      </c>
      <c r="FEZ91" s="74" t="s">
        <v>27</v>
      </c>
      <c r="FFA91" s="74" t="s">
        <v>24</v>
      </c>
      <c r="FFB91" s="75" t="s">
        <v>25</v>
      </c>
      <c r="FFC91" s="76">
        <f>IFERROR(VLOOKUP(FFB91,'[1]List KPI'!$A$103:$F$118,6,0),"")</f>
        <v>1.0416666666666666E-2</v>
      </c>
      <c r="FFD91" s="76">
        <v>0.86944444444444446</v>
      </c>
      <c r="FFE91" s="76">
        <v>0.86944444444444446</v>
      </c>
      <c r="FFF91" s="77" t="str">
        <f t="shared" si="121"/>
        <v>O</v>
      </c>
      <c r="FFG91" s="74" t="s">
        <v>28</v>
      </c>
      <c r="FFH91" s="75" t="s">
        <v>23</v>
      </c>
      <c r="FFI91" s="78">
        <f>IFERROR(VLOOKUP(FFH91,'[1]List KPI'!$M$3:$N$8,2,0),"")</f>
        <v>2.0833333333333332E-2</v>
      </c>
      <c r="FFJ91" s="76">
        <v>0.89444444444444449</v>
      </c>
      <c r="FFK91" s="77" t="str">
        <f t="shared" si="122"/>
        <v>O</v>
      </c>
      <c r="FFL91" s="79">
        <v>5</v>
      </c>
      <c r="FFM91" s="75">
        <v>1276006</v>
      </c>
      <c r="FFN91" s="80"/>
      <c r="FFO91" s="81">
        <v>0.86944444444444446</v>
      </c>
      <c r="FFP91" s="74" t="s">
        <v>27</v>
      </c>
      <c r="FFQ91" s="74" t="s">
        <v>24</v>
      </c>
      <c r="FFR91" s="75" t="s">
        <v>25</v>
      </c>
      <c r="FFS91" s="76">
        <f>IFERROR(VLOOKUP(FFR91,'[1]List KPI'!$A$103:$F$118,6,0),"")</f>
        <v>1.0416666666666666E-2</v>
      </c>
      <c r="FFT91" s="76">
        <v>0.86944444444444446</v>
      </c>
      <c r="FFU91" s="76">
        <v>0.86944444444444446</v>
      </c>
      <c r="FFV91" s="77" t="str">
        <f t="shared" ref="FFV91:FHR91" si="123">IF(FFU91="","",IF(FFU91&gt;FGD91,"O","P"))</f>
        <v>O</v>
      </c>
      <c r="FFW91" s="74" t="s">
        <v>28</v>
      </c>
      <c r="FFX91" s="75" t="s">
        <v>23</v>
      </c>
      <c r="FFY91" s="78">
        <f>IFERROR(VLOOKUP(FFX91,'[1]List KPI'!$M$3:$N$8,2,0),"")</f>
        <v>2.0833333333333332E-2</v>
      </c>
      <c r="FFZ91" s="76">
        <v>0.89444444444444449</v>
      </c>
      <c r="FGA91" s="77" t="str">
        <f t="shared" ref="FGA91:FHW91" si="124">IF(FFZ91="","",IF(FFZ91&gt;FGE91,"O","P"))</f>
        <v>O</v>
      </c>
      <c r="FGB91" s="79">
        <v>5</v>
      </c>
      <c r="FGC91" s="75">
        <v>1276006</v>
      </c>
      <c r="FGD91" s="80"/>
      <c r="FGE91" s="81">
        <v>0.86944444444444446</v>
      </c>
      <c r="FGF91" s="74" t="s">
        <v>27</v>
      </c>
      <c r="FGG91" s="74" t="s">
        <v>24</v>
      </c>
      <c r="FGH91" s="75" t="s">
        <v>25</v>
      </c>
      <c r="FGI91" s="76">
        <f>IFERROR(VLOOKUP(FGH91,'[1]List KPI'!$A$103:$F$118,6,0),"")</f>
        <v>1.0416666666666666E-2</v>
      </c>
      <c r="FGJ91" s="76">
        <v>0.86944444444444446</v>
      </c>
      <c r="FGK91" s="76">
        <v>0.86944444444444446</v>
      </c>
      <c r="FGL91" s="77" t="str">
        <f t="shared" si="123"/>
        <v>O</v>
      </c>
      <c r="FGM91" s="74" t="s">
        <v>28</v>
      </c>
      <c r="FGN91" s="75" t="s">
        <v>23</v>
      </c>
      <c r="FGO91" s="78">
        <f>IFERROR(VLOOKUP(FGN91,'[1]List KPI'!$M$3:$N$8,2,0),"")</f>
        <v>2.0833333333333332E-2</v>
      </c>
      <c r="FGP91" s="76">
        <v>0.89444444444444449</v>
      </c>
      <c r="FGQ91" s="77" t="str">
        <f t="shared" si="124"/>
        <v>O</v>
      </c>
      <c r="FGR91" s="79">
        <v>5</v>
      </c>
      <c r="FGS91" s="75">
        <v>1276006</v>
      </c>
      <c r="FGT91" s="80"/>
      <c r="FGU91" s="81">
        <v>0.86944444444444446</v>
      </c>
      <c r="FGV91" s="74" t="s">
        <v>27</v>
      </c>
      <c r="FGW91" s="74" t="s">
        <v>24</v>
      </c>
      <c r="FGX91" s="75" t="s">
        <v>25</v>
      </c>
      <c r="FGY91" s="76">
        <f>IFERROR(VLOOKUP(FGX91,'[1]List KPI'!$A$103:$F$118,6,0),"")</f>
        <v>1.0416666666666666E-2</v>
      </c>
      <c r="FGZ91" s="76">
        <v>0.86944444444444446</v>
      </c>
      <c r="FHA91" s="76">
        <v>0.86944444444444446</v>
      </c>
      <c r="FHB91" s="77" t="str">
        <f t="shared" si="123"/>
        <v>O</v>
      </c>
      <c r="FHC91" s="74" t="s">
        <v>28</v>
      </c>
      <c r="FHD91" s="75" t="s">
        <v>23</v>
      </c>
      <c r="FHE91" s="78">
        <f>IFERROR(VLOOKUP(FHD91,'[1]List KPI'!$M$3:$N$8,2,0),"")</f>
        <v>2.0833333333333332E-2</v>
      </c>
      <c r="FHF91" s="76">
        <v>0.89444444444444449</v>
      </c>
      <c r="FHG91" s="77" t="str">
        <f t="shared" si="124"/>
        <v>O</v>
      </c>
      <c r="FHH91" s="79">
        <v>5</v>
      </c>
      <c r="FHI91" s="75">
        <v>1276006</v>
      </c>
      <c r="FHJ91" s="80"/>
      <c r="FHK91" s="81">
        <v>0.86944444444444446</v>
      </c>
      <c r="FHL91" s="74" t="s">
        <v>27</v>
      </c>
      <c r="FHM91" s="74" t="s">
        <v>24</v>
      </c>
      <c r="FHN91" s="75" t="s">
        <v>25</v>
      </c>
      <c r="FHO91" s="76">
        <f>IFERROR(VLOOKUP(FHN91,'[1]List KPI'!$A$103:$F$118,6,0),"")</f>
        <v>1.0416666666666666E-2</v>
      </c>
      <c r="FHP91" s="76">
        <v>0.86944444444444446</v>
      </c>
      <c r="FHQ91" s="76">
        <v>0.86944444444444446</v>
      </c>
      <c r="FHR91" s="77" t="str">
        <f t="shared" si="123"/>
        <v>O</v>
      </c>
      <c r="FHS91" s="74" t="s">
        <v>28</v>
      </c>
      <c r="FHT91" s="75" t="s">
        <v>23</v>
      </c>
      <c r="FHU91" s="78">
        <f>IFERROR(VLOOKUP(FHT91,'[1]List KPI'!$M$3:$N$8,2,0),"")</f>
        <v>2.0833333333333332E-2</v>
      </c>
      <c r="FHV91" s="76">
        <v>0.89444444444444449</v>
      </c>
      <c r="FHW91" s="77" t="str">
        <f t="shared" si="124"/>
        <v>O</v>
      </c>
      <c r="FHX91" s="79">
        <v>5</v>
      </c>
      <c r="FHY91" s="75">
        <v>1276006</v>
      </c>
      <c r="FHZ91" s="80"/>
      <c r="FIA91" s="81">
        <v>0.86944444444444446</v>
      </c>
      <c r="FIB91" s="74" t="s">
        <v>27</v>
      </c>
      <c r="FIC91" s="74" t="s">
        <v>24</v>
      </c>
      <c r="FID91" s="75" t="s">
        <v>25</v>
      </c>
      <c r="FIE91" s="76">
        <f>IFERROR(VLOOKUP(FID91,'[1]List KPI'!$A$103:$F$118,6,0),"")</f>
        <v>1.0416666666666666E-2</v>
      </c>
      <c r="FIF91" s="76">
        <v>0.86944444444444446</v>
      </c>
      <c r="FIG91" s="76">
        <v>0.86944444444444446</v>
      </c>
      <c r="FIH91" s="77" t="str">
        <f t="shared" ref="FIH91:FKD91" si="125">IF(FIG91="","",IF(FIG91&gt;FIP91,"O","P"))</f>
        <v>O</v>
      </c>
      <c r="FII91" s="74" t="s">
        <v>28</v>
      </c>
      <c r="FIJ91" s="75" t="s">
        <v>23</v>
      </c>
      <c r="FIK91" s="78">
        <f>IFERROR(VLOOKUP(FIJ91,'[1]List KPI'!$M$3:$N$8,2,0),"")</f>
        <v>2.0833333333333332E-2</v>
      </c>
      <c r="FIL91" s="76">
        <v>0.89444444444444449</v>
      </c>
      <c r="FIM91" s="77" t="str">
        <f t="shared" ref="FIM91:FKI91" si="126">IF(FIL91="","",IF(FIL91&gt;FIQ91,"O","P"))</f>
        <v>O</v>
      </c>
      <c r="FIN91" s="79">
        <v>5</v>
      </c>
      <c r="FIO91" s="75">
        <v>1276006</v>
      </c>
      <c r="FIP91" s="80"/>
      <c r="FIQ91" s="81">
        <v>0.86944444444444446</v>
      </c>
      <c r="FIR91" s="74" t="s">
        <v>27</v>
      </c>
      <c r="FIS91" s="74" t="s">
        <v>24</v>
      </c>
      <c r="FIT91" s="75" t="s">
        <v>25</v>
      </c>
      <c r="FIU91" s="76">
        <f>IFERROR(VLOOKUP(FIT91,'[1]List KPI'!$A$103:$F$118,6,0),"")</f>
        <v>1.0416666666666666E-2</v>
      </c>
      <c r="FIV91" s="76">
        <v>0.86944444444444446</v>
      </c>
      <c r="FIW91" s="76">
        <v>0.86944444444444446</v>
      </c>
      <c r="FIX91" s="77" t="str">
        <f t="shared" si="125"/>
        <v>O</v>
      </c>
      <c r="FIY91" s="74" t="s">
        <v>28</v>
      </c>
      <c r="FIZ91" s="75" t="s">
        <v>23</v>
      </c>
      <c r="FJA91" s="78">
        <f>IFERROR(VLOOKUP(FIZ91,'[1]List KPI'!$M$3:$N$8,2,0),"")</f>
        <v>2.0833333333333332E-2</v>
      </c>
      <c r="FJB91" s="76">
        <v>0.89444444444444449</v>
      </c>
      <c r="FJC91" s="77" t="str">
        <f t="shared" si="126"/>
        <v>O</v>
      </c>
      <c r="FJD91" s="79">
        <v>5</v>
      </c>
      <c r="FJE91" s="75">
        <v>1276006</v>
      </c>
      <c r="FJF91" s="80"/>
      <c r="FJG91" s="81">
        <v>0.86944444444444446</v>
      </c>
      <c r="FJH91" s="74" t="s">
        <v>27</v>
      </c>
      <c r="FJI91" s="74" t="s">
        <v>24</v>
      </c>
      <c r="FJJ91" s="75" t="s">
        <v>25</v>
      </c>
      <c r="FJK91" s="76">
        <f>IFERROR(VLOOKUP(FJJ91,'[1]List KPI'!$A$103:$F$118,6,0),"")</f>
        <v>1.0416666666666666E-2</v>
      </c>
      <c r="FJL91" s="76">
        <v>0.86944444444444446</v>
      </c>
      <c r="FJM91" s="76">
        <v>0.86944444444444446</v>
      </c>
      <c r="FJN91" s="77" t="str">
        <f t="shared" si="125"/>
        <v>O</v>
      </c>
      <c r="FJO91" s="74" t="s">
        <v>28</v>
      </c>
      <c r="FJP91" s="75" t="s">
        <v>23</v>
      </c>
      <c r="FJQ91" s="78">
        <f>IFERROR(VLOOKUP(FJP91,'[1]List KPI'!$M$3:$N$8,2,0),"")</f>
        <v>2.0833333333333332E-2</v>
      </c>
      <c r="FJR91" s="76">
        <v>0.89444444444444449</v>
      </c>
      <c r="FJS91" s="77" t="str">
        <f t="shared" si="126"/>
        <v>O</v>
      </c>
      <c r="FJT91" s="79">
        <v>5</v>
      </c>
      <c r="FJU91" s="75">
        <v>1276006</v>
      </c>
      <c r="FJV91" s="80"/>
      <c r="FJW91" s="81">
        <v>0.86944444444444446</v>
      </c>
      <c r="FJX91" s="74" t="s">
        <v>27</v>
      </c>
      <c r="FJY91" s="74" t="s">
        <v>24</v>
      </c>
      <c r="FJZ91" s="75" t="s">
        <v>25</v>
      </c>
      <c r="FKA91" s="76">
        <f>IFERROR(VLOOKUP(FJZ91,'[1]List KPI'!$A$103:$F$118,6,0),"")</f>
        <v>1.0416666666666666E-2</v>
      </c>
      <c r="FKB91" s="76">
        <v>0.86944444444444446</v>
      </c>
      <c r="FKC91" s="76">
        <v>0.86944444444444446</v>
      </c>
      <c r="FKD91" s="77" t="str">
        <f t="shared" si="125"/>
        <v>O</v>
      </c>
      <c r="FKE91" s="74" t="s">
        <v>28</v>
      </c>
      <c r="FKF91" s="75" t="s">
        <v>23</v>
      </c>
      <c r="FKG91" s="78">
        <f>IFERROR(VLOOKUP(FKF91,'[1]List KPI'!$M$3:$N$8,2,0),"")</f>
        <v>2.0833333333333332E-2</v>
      </c>
      <c r="FKH91" s="76">
        <v>0.89444444444444449</v>
      </c>
      <c r="FKI91" s="77" t="str">
        <f t="shared" si="126"/>
        <v>O</v>
      </c>
      <c r="FKJ91" s="79">
        <v>5</v>
      </c>
      <c r="FKK91" s="75">
        <v>1276006</v>
      </c>
      <c r="FKL91" s="80"/>
      <c r="FKM91" s="81">
        <v>0.86944444444444446</v>
      </c>
      <c r="FKN91" s="74" t="s">
        <v>27</v>
      </c>
      <c r="FKO91" s="74" t="s">
        <v>24</v>
      </c>
      <c r="FKP91" s="75" t="s">
        <v>25</v>
      </c>
      <c r="FKQ91" s="76">
        <f>IFERROR(VLOOKUP(FKP91,'[1]List KPI'!$A$103:$F$118,6,0),"")</f>
        <v>1.0416666666666666E-2</v>
      </c>
      <c r="FKR91" s="76">
        <v>0.86944444444444446</v>
      </c>
      <c r="FKS91" s="76">
        <v>0.86944444444444446</v>
      </c>
      <c r="FKT91" s="77" t="str">
        <f t="shared" ref="FKT91:FMP91" si="127">IF(FKS91="","",IF(FKS91&gt;FLB91,"O","P"))</f>
        <v>O</v>
      </c>
      <c r="FKU91" s="74" t="s">
        <v>28</v>
      </c>
      <c r="FKV91" s="75" t="s">
        <v>23</v>
      </c>
      <c r="FKW91" s="78">
        <f>IFERROR(VLOOKUP(FKV91,'[1]List KPI'!$M$3:$N$8,2,0),"")</f>
        <v>2.0833333333333332E-2</v>
      </c>
      <c r="FKX91" s="76">
        <v>0.89444444444444449</v>
      </c>
      <c r="FKY91" s="77" t="str">
        <f t="shared" ref="FKY91:FMU91" si="128">IF(FKX91="","",IF(FKX91&gt;FLC91,"O","P"))</f>
        <v>O</v>
      </c>
      <c r="FKZ91" s="79">
        <v>5</v>
      </c>
      <c r="FLA91" s="75">
        <v>1276006</v>
      </c>
      <c r="FLB91" s="80"/>
      <c r="FLC91" s="81">
        <v>0.86944444444444446</v>
      </c>
      <c r="FLD91" s="74" t="s">
        <v>27</v>
      </c>
      <c r="FLE91" s="74" t="s">
        <v>24</v>
      </c>
      <c r="FLF91" s="75" t="s">
        <v>25</v>
      </c>
      <c r="FLG91" s="76">
        <f>IFERROR(VLOOKUP(FLF91,'[1]List KPI'!$A$103:$F$118,6,0),"")</f>
        <v>1.0416666666666666E-2</v>
      </c>
      <c r="FLH91" s="76">
        <v>0.86944444444444446</v>
      </c>
      <c r="FLI91" s="76">
        <v>0.86944444444444446</v>
      </c>
      <c r="FLJ91" s="77" t="str">
        <f t="shared" si="127"/>
        <v>O</v>
      </c>
      <c r="FLK91" s="74" t="s">
        <v>28</v>
      </c>
      <c r="FLL91" s="75" t="s">
        <v>23</v>
      </c>
      <c r="FLM91" s="78">
        <f>IFERROR(VLOOKUP(FLL91,'[1]List KPI'!$M$3:$N$8,2,0),"")</f>
        <v>2.0833333333333332E-2</v>
      </c>
      <c r="FLN91" s="76">
        <v>0.89444444444444449</v>
      </c>
      <c r="FLO91" s="77" t="str">
        <f t="shared" si="128"/>
        <v>O</v>
      </c>
      <c r="FLP91" s="79">
        <v>5</v>
      </c>
      <c r="FLQ91" s="75">
        <v>1276006</v>
      </c>
      <c r="FLR91" s="80"/>
      <c r="FLS91" s="81">
        <v>0.86944444444444446</v>
      </c>
      <c r="FLT91" s="74" t="s">
        <v>27</v>
      </c>
      <c r="FLU91" s="74" t="s">
        <v>24</v>
      </c>
      <c r="FLV91" s="75" t="s">
        <v>25</v>
      </c>
      <c r="FLW91" s="76">
        <f>IFERROR(VLOOKUP(FLV91,'[1]List KPI'!$A$103:$F$118,6,0),"")</f>
        <v>1.0416666666666666E-2</v>
      </c>
      <c r="FLX91" s="76">
        <v>0.86944444444444446</v>
      </c>
      <c r="FLY91" s="76">
        <v>0.86944444444444446</v>
      </c>
      <c r="FLZ91" s="77" t="str">
        <f t="shared" si="127"/>
        <v>O</v>
      </c>
      <c r="FMA91" s="74" t="s">
        <v>28</v>
      </c>
      <c r="FMB91" s="75" t="s">
        <v>23</v>
      </c>
      <c r="FMC91" s="78">
        <f>IFERROR(VLOOKUP(FMB91,'[1]List KPI'!$M$3:$N$8,2,0),"")</f>
        <v>2.0833333333333332E-2</v>
      </c>
      <c r="FMD91" s="76">
        <v>0.89444444444444449</v>
      </c>
      <c r="FME91" s="77" t="str">
        <f t="shared" si="128"/>
        <v>O</v>
      </c>
      <c r="FMF91" s="79">
        <v>5</v>
      </c>
      <c r="FMG91" s="75">
        <v>1276006</v>
      </c>
      <c r="FMH91" s="80"/>
      <c r="FMI91" s="81">
        <v>0.86944444444444446</v>
      </c>
      <c r="FMJ91" s="74" t="s">
        <v>27</v>
      </c>
      <c r="FMK91" s="74" t="s">
        <v>24</v>
      </c>
      <c r="FML91" s="75" t="s">
        <v>25</v>
      </c>
      <c r="FMM91" s="76">
        <f>IFERROR(VLOOKUP(FML91,'[1]List KPI'!$A$103:$F$118,6,0),"")</f>
        <v>1.0416666666666666E-2</v>
      </c>
      <c r="FMN91" s="76">
        <v>0.86944444444444446</v>
      </c>
      <c r="FMO91" s="76">
        <v>0.86944444444444446</v>
      </c>
      <c r="FMP91" s="77" t="str">
        <f t="shared" si="127"/>
        <v>O</v>
      </c>
      <c r="FMQ91" s="74" t="s">
        <v>28</v>
      </c>
      <c r="FMR91" s="75" t="s">
        <v>23</v>
      </c>
      <c r="FMS91" s="78">
        <f>IFERROR(VLOOKUP(FMR91,'[1]List KPI'!$M$3:$N$8,2,0),"")</f>
        <v>2.0833333333333332E-2</v>
      </c>
      <c r="FMT91" s="76">
        <v>0.89444444444444449</v>
      </c>
      <c r="FMU91" s="77" t="str">
        <f t="shared" si="128"/>
        <v>O</v>
      </c>
      <c r="FMV91" s="79">
        <v>5</v>
      </c>
      <c r="FMW91" s="75">
        <v>1276006</v>
      </c>
      <c r="FMX91" s="80"/>
      <c r="FMY91" s="81">
        <v>0.86944444444444446</v>
      </c>
      <c r="FMZ91" s="74" t="s">
        <v>27</v>
      </c>
      <c r="FNA91" s="74" t="s">
        <v>24</v>
      </c>
      <c r="FNB91" s="75" t="s">
        <v>25</v>
      </c>
      <c r="FNC91" s="76">
        <f>IFERROR(VLOOKUP(FNB91,'[1]List KPI'!$A$103:$F$118,6,0),"")</f>
        <v>1.0416666666666666E-2</v>
      </c>
      <c r="FND91" s="76">
        <v>0.86944444444444446</v>
      </c>
      <c r="FNE91" s="76">
        <v>0.86944444444444446</v>
      </c>
      <c r="FNF91" s="77" t="str">
        <f t="shared" ref="FNF91:FPB91" si="129">IF(FNE91="","",IF(FNE91&gt;FNN91,"O","P"))</f>
        <v>O</v>
      </c>
      <c r="FNG91" s="74" t="s">
        <v>28</v>
      </c>
      <c r="FNH91" s="75" t="s">
        <v>23</v>
      </c>
      <c r="FNI91" s="78">
        <f>IFERROR(VLOOKUP(FNH91,'[1]List KPI'!$M$3:$N$8,2,0),"")</f>
        <v>2.0833333333333332E-2</v>
      </c>
      <c r="FNJ91" s="76">
        <v>0.89444444444444449</v>
      </c>
      <c r="FNK91" s="77" t="str">
        <f t="shared" ref="FNK91:FPG91" si="130">IF(FNJ91="","",IF(FNJ91&gt;FNO91,"O","P"))</f>
        <v>O</v>
      </c>
      <c r="FNL91" s="79">
        <v>5</v>
      </c>
      <c r="FNM91" s="75">
        <v>1276006</v>
      </c>
      <c r="FNN91" s="80"/>
      <c r="FNO91" s="81">
        <v>0.86944444444444446</v>
      </c>
      <c r="FNP91" s="74" t="s">
        <v>27</v>
      </c>
      <c r="FNQ91" s="74" t="s">
        <v>24</v>
      </c>
      <c r="FNR91" s="75" t="s">
        <v>25</v>
      </c>
      <c r="FNS91" s="76">
        <f>IFERROR(VLOOKUP(FNR91,'[1]List KPI'!$A$103:$F$118,6,0),"")</f>
        <v>1.0416666666666666E-2</v>
      </c>
      <c r="FNT91" s="76">
        <v>0.86944444444444446</v>
      </c>
      <c r="FNU91" s="76">
        <v>0.86944444444444446</v>
      </c>
      <c r="FNV91" s="77" t="str">
        <f t="shared" si="129"/>
        <v>O</v>
      </c>
      <c r="FNW91" s="74" t="s">
        <v>28</v>
      </c>
      <c r="FNX91" s="75" t="s">
        <v>23</v>
      </c>
      <c r="FNY91" s="78">
        <f>IFERROR(VLOOKUP(FNX91,'[1]List KPI'!$M$3:$N$8,2,0),"")</f>
        <v>2.0833333333333332E-2</v>
      </c>
      <c r="FNZ91" s="76">
        <v>0.89444444444444449</v>
      </c>
      <c r="FOA91" s="77" t="str">
        <f t="shared" si="130"/>
        <v>O</v>
      </c>
      <c r="FOB91" s="79">
        <v>5</v>
      </c>
      <c r="FOC91" s="75">
        <v>1276006</v>
      </c>
      <c r="FOD91" s="80"/>
      <c r="FOE91" s="81">
        <v>0.86944444444444446</v>
      </c>
      <c r="FOF91" s="74" t="s">
        <v>27</v>
      </c>
      <c r="FOG91" s="74" t="s">
        <v>24</v>
      </c>
      <c r="FOH91" s="75" t="s">
        <v>25</v>
      </c>
      <c r="FOI91" s="76">
        <f>IFERROR(VLOOKUP(FOH91,'[1]List KPI'!$A$103:$F$118,6,0),"")</f>
        <v>1.0416666666666666E-2</v>
      </c>
      <c r="FOJ91" s="76">
        <v>0.86944444444444446</v>
      </c>
      <c r="FOK91" s="76">
        <v>0.86944444444444446</v>
      </c>
      <c r="FOL91" s="77" t="str">
        <f t="shared" si="129"/>
        <v>O</v>
      </c>
      <c r="FOM91" s="74" t="s">
        <v>28</v>
      </c>
      <c r="FON91" s="75" t="s">
        <v>23</v>
      </c>
      <c r="FOO91" s="78">
        <f>IFERROR(VLOOKUP(FON91,'[1]List KPI'!$M$3:$N$8,2,0),"")</f>
        <v>2.0833333333333332E-2</v>
      </c>
      <c r="FOP91" s="76">
        <v>0.89444444444444449</v>
      </c>
      <c r="FOQ91" s="77" t="str">
        <f t="shared" si="130"/>
        <v>O</v>
      </c>
      <c r="FOR91" s="79">
        <v>5</v>
      </c>
      <c r="FOS91" s="75">
        <v>1276006</v>
      </c>
      <c r="FOT91" s="80"/>
      <c r="FOU91" s="81">
        <v>0.86944444444444446</v>
      </c>
      <c r="FOV91" s="74" t="s">
        <v>27</v>
      </c>
      <c r="FOW91" s="74" t="s">
        <v>24</v>
      </c>
      <c r="FOX91" s="75" t="s">
        <v>25</v>
      </c>
      <c r="FOY91" s="76">
        <f>IFERROR(VLOOKUP(FOX91,'[1]List KPI'!$A$103:$F$118,6,0),"")</f>
        <v>1.0416666666666666E-2</v>
      </c>
      <c r="FOZ91" s="76">
        <v>0.86944444444444446</v>
      </c>
      <c r="FPA91" s="76">
        <v>0.86944444444444446</v>
      </c>
      <c r="FPB91" s="77" t="str">
        <f t="shared" si="129"/>
        <v>O</v>
      </c>
      <c r="FPC91" s="74" t="s">
        <v>28</v>
      </c>
      <c r="FPD91" s="75" t="s">
        <v>23</v>
      </c>
      <c r="FPE91" s="78">
        <f>IFERROR(VLOOKUP(FPD91,'[1]List KPI'!$M$3:$N$8,2,0),"")</f>
        <v>2.0833333333333332E-2</v>
      </c>
      <c r="FPF91" s="76">
        <v>0.89444444444444449</v>
      </c>
      <c r="FPG91" s="77" t="str">
        <f t="shared" si="130"/>
        <v>O</v>
      </c>
      <c r="FPH91" s="79">
        <v>5</v>
      </c>
      <c r="FPI91" s="75">
        <v>1276006</v>
      </c>
      <c r="FPJ91" s="80"/>
      <c r="FPK91" s="81">
        <v>0.86944444444444446</v>
      </c>
      <c r="FPL91" s="74" t="s">
        <v>27</v>
      </c>
      <c r="FPM91" s="74" t="s">
        <v>24</v>
      </c>
      <c r="FPN91" s="75" t="s">
        <v>25</v>
      </c>
      <c r="FPO91" s="76">
        <f>IFERROR(VLOOKUP(FPN91,'[1]List KPI'!$A$103:$F$118,6,0),"")</f>
        <v>1.0416666666666666E-2</v>
      </c>
      <c r="FPP91" s="76">
        <v>0.86944444444444446</v>
      </c>
      <c r="FPQ91" s="76">
        <v>0.86944444444444446</v>
      </c>
      <c r="FPR91" s="77" t="str">
        <f t="shared" ref="FPR91:FRN91" si="131">IF(FPQ91="","",IF(FPQ91&gt;FPZ91,"O","P"))</f>
        <v>O</v>
      </c>
      <c r="FPS91" s="74" t="s">
        <v>28</v>
      </c>
      <c r="FPT91" s="75" t="s">
        <v>23</v>
      </c>
      <c r="FPU91" s="78">
        <f>IFERROR(VLOOKUP(FPT91,'[1]List KPI'!$M$3:$N$8,2,0),"")</f>
        <v>2.0833333333333332E-2</v>
      </c>
      <c r="FPV91" s="76">
        <v>0.89444444444444449</v>
      </c>
      <c r="FPW91" s="77" t="str">
        <f t="shared" ref="FPW91:FRS91" si="132">IF(FPV91="","",IF(FPV91&gt;FQA91,"O","P"))</f>
        <v>O</v>
      </c>
      <c r="FPX91" s="79">
        <v>5</v>
      </c>
      <c r="FPY91" s="75">
        <v>1276006</v>
      </c>
      <c r="FPZ91" s="80"/>
      <c r="FQA91" s="81">
        <v>0.86944444444444446</v>
      </c>
      <c r="FQB91" s="74" t="s">
        <v>27</v>
      </c>
      <c r="FQC91" s="74" t="s">
        <v>24</v>
      </c>
      <c r="FQD91" s="75" t="s">
        <v>25</v>
      </c>
      <c r="FQE91" s="76">
        <f>IFERROR(VLOOKUP(FQD91,'[1]List KPI'!$A$103:$F$118,6,0),"")</f>
        <v>1.0416666666666666E-2</v>
      </c>
      <c r="FQF91" s="76">
        <v>0.86944444444444446</v>
      </c>
      <c r="FQG91" s="76">
        <v>0.86944444444444446</v>
      </c>
      <c r="FQH91" s="77" t="str">
        <f t="shared" si="131"/>
        <v>O</v>
      </c>
      <c r="FQI91" s="74" t="s">
        <v>28</v>
      </c>
      <c r="FQJ91" s="75" t="s">
        <v>23</v>
      </c>
      <c r="FQK91" s="78">
        <f>IFERROR(VLOOKUP(FQJ91,'[1]List KPI'!$M$3:$N$8,2,0),"")</f>
        <v>2.0833333333333332E-2</v>
      </c>
      <c r="FQL91" s="76">
        <v>0.89444444444444449</v>
      </c>
      <c r="FQM91" s="77" t="str">
        <f t="shared" si="132"/>
        <v>O</v>
      </c>
      <c r="FQN91" s="79">
        <v>5</v>
      </c>
      <c r="FQO91" s="75">
        <v>1276006</v>
      </c>
      <c r="FQP91" s="80"/>
      <c r="FQQ91" s="81">
        <v>0.86944444444444446</v>
      </c>
      <c r="FQR91" s="74" t="s">
        <v>27</v>
      </c>
      <c r="FQS91" s="74" t="s">
        <v>24</v>
      </c>
      <c r="FQT91" s="75" t="s">
        <v>25</v>
      </c>
      <c r="FQU91" s="76">
        <f>IFERROR(VLOOKUP(FQT91,'[1]List KPI'!$A$103:$F$118,6,0),"")</f>
        <v>1.0416666666666666E-2</v>
      </c>
      <c r="FQV91" s="76">
        <v>0.86944444444444446</v>
      </c>
      <c r="FQW91" s="76">
        <v>0.86944444444444446</v>
      </c>
      <c r="FQX91" s="77" t="str">
        <f t="shared" si="131"/>
        <v>O</v>
      </c>
      <c r="FQY91" s="74" t="s">
        <v>28</v>
      </c>
      <c r="FQZ91" s="75" t="s">
        <v>23</v>
      </c>
      <c r="FRA91" s="78">
        <f>IFERROR(VLOOKUP(FQZ91,'[1]List KPI'!$M$3:$N$8,2,0),"")</f>
        <v>2.0833333333333332E-2</v>
      </c>
      <c r="FRB91" s="76">
        <v>0.89444444444444449</v>
      </c>
      <c r="FRC91" s="77" t="str">
        <f t="shared" si="132"/>
        <v>O</v>
      </c>
      <c r="FRD91" s="79">
        <v>5</v>
      </c>
      <c r="FRE91" s="75">
        <v>1276006</v>
      </c>
      <c r="FRF91" s="80"/>
      <c r="FRG91" s="81">
        <v>0.86944444444444446</v>
      </c>
      <c r="FRH91" s="74" t="s">
        <v>27</v>
      </c>
      <c r="FRI91" s="74" t="s">
        <v>24</v>
      </c>
      <c r="FRJ91" s="75" t="s">
        <v>25</v>
      </c>
      <c r="FRK91" s="76">
        <f>IFERROR(VLOOKUP(FRJ91,'[1]List KPI'!$A$103:$F$118,6,0),"")</f>
        <v>1.0416666666666666E-2</v>
      </c>
      <c r="FRL91" s="76">
        <v>0.86944444444444446</v>
      </c>
      <c r="FRM91" s="76">
        <v>0.86944444444444446</v>
      </c>
      <c r="FRN91" s="77" t="str">
        <f t="shared" si="131"/>
        <v>O</v>
      </c>
      <c r="FRO91" s="74" t="s">
        <v>28</v>
      </c>
      <c r="FRP91" s="75" t="s">
        <v>23</v>
      </c>
      <c r="FRQ91" s="78">
        <f>IFERROR(VLOOKUP(FRP91,'[1]List KPI'!$M$3:$N$8,2,0),"")</f>
        <v>2.0833333333333332E-2</v>
      </c>
      <c r="FRR91" s="76">
        <v>0.89444444444444449</v>
      </c>
      <c r="FRS91" s="77" t="str">
        <f t="shared" si="132"/>
        <v>O</v>
      </c>
      <c r="FRT91" s="79">
        <v>5</v>
      </c>
      <c r="FRU91" s="75">
        <v>1276006</v>
      </c>
      <c r="FRV91" s="80"/>
      <c r="FRW91" s="81">
        <v>0.86944444444444446</v>
      </c>
      <c r="FRX91" s="74" t="s">
        <v>27</v>
      </c>
      <c r="FRY91" s="74" t="s">
        <v>24</v>
      </c>
      <c r="FRZ91" s="75" t="s">
        <v>25</v>
      </c>
      <c r="FSA91" s="76">
        <f>IFERROR(VLOOKUP(FRZ91,'[1]List KPI'!$A$103:$F$118,6,0),"")</f>
        <v>1.0416666666666666E-2</v>
      </c>
      <c r="FSB91" s="76">
        <v>0.86944444444444446</v>
      </c>
      <c r="FSC91" s="76">
        <v>0.86944444444444446</v>
      </c>
      <c r="FSD91" s="77" t="str">
        <f t="shared" ref="FSD91:FTZ91" si="133">IF(FSC91="","",IF(FSC91&gt;FSL91,"O","P"))</f>
        <v>O</v>
      </c>
      <c r="FSE91" s="74" t="s">
        <v>28</v>
      </c>
      <c r="FSF91" s="75" t="s">
        <v>23</v>
      </c>
      <c r="FSG91" s="78">
        <f>IFERROR(VLOOKUP(FSF91,'[1]List KPI'!$M$3:$N$8,2,0),"")</f>
        <v>2.0833333333333332E-2</v>
      </c>
      <c r="FSH91" s="76">
        <v>0.89444444444444449</v>
      </c>
      <c r="FSI91" s="77" t="str">
        <f t="shared" ref="FSI91:FUE91" si="134">IF(FSH91="","",IF(FSH91&gt;FSM91,"O","P"))</f>
        <v>O</v>
      </c>
      <c r="FSJ91" s="79">
        <v>5</v>
      </c>
      <c r="FSK91" s="75">
        <v>1276006</v>
      </c>
      <c r="FSL91" s="80"/>
      <c r="FSM91" s="81">
        <v>0.86944444444444446</v>
      </c>
      <c r="FSN91" s="74" t="s">
        <v>27</v>
      </c>
      <c r="FSO91" s="74" t="s">
        <v>24</v>
      </c>
      <c r="FSP91" s="75" t="s">
        <v>25</v>
      </c>
      <c r="FSQ91" s="76">
        <f>IFERROR(VLOOKUP(FSP91,'[1]List KPI'!$A$103:$F$118,6,0),"")</f>
        <v>1.0416666666666666E-2</v>
      </c>
      <c r="FSR91" s="76">
        <v>0.86944444444444446</v>
      </c>
      <c r="FSS91" s="76">
        <v>0.86944444444444446</v>
      </c>
      <c r="FST91" s="77" t="str">
        <f t="shared" si="133"/>
        <v>O</v>
      </c>
      <c r="FSU91" s="74" t="s">
        <v>28</v>
      </c>
      <c r="FSV91" s="75" t="s">
        <v>23</v>
      </c>
      <c r="FSW91" s="78">
        <f>IFERROR(VLOOKUP(FSV91,'[1]List KPI'!$M$3:$N$8,2,0),"")</f>
        <v>2.0833333333333332E-2</v>
      </c>
      <c r="FSX91" s="76">
        <v>0.89444444444444449</v>
      </c>
      <c r="FSY91" s="77" t="str">
        <f t="shared" si="134"/>
        <v>O</v>
      </c>
      <c r="FSZ91" s="79">
        <v>5</v>
      </c>
      <c r="FTA91" s="75">
        <v>1276006</v>
      </c>
      <c r="FTB91" s="80"/>
      <c r="FTC91" s="81">
        <v>0.86944444444444446</v>
      </c>
      <c r="FTD91" s="74" t="s">
        <v>27</v>
      </c>
      <c r="FTE91" s="74" t="s">
        <v>24</v>
      </c>
      <c r="FTF91" s="75" t="s">
        <v>25</v>
      </c>
      <c r="FTG91" s="76">
        <f>IFERROR(VLOOKUP(FTF91,'[1]List KPI'!$A$103:$F$118,6,0),"")</f>
        <v>1.0416666666666666E-2</v>
      </c>
      <c r="FTH91" s="76">
        <v>0.86944444444444446</v>
      </c>
      <c r="FTI91" s="76">
        <v>0.86944444444444446</v>
      </c>
      <c r="FTJ91" s="77" t="str">
        <f t="shared" si="133"/>
        <v>O</v>
      </c>
      <c r="FTK91" s="74" t="s">
        <v>28</v>
      </c>
      <c r="FTL91" s="75" t="s">
        <v>23</v>
      </c>
      <c r="FTM91" s="78">
        <f>IFERROR(VLOOKUP(FTL91,'[1]List KPI'!$M$3:$N$8,2,0),"")</f>
        <v>2.0833333333333332E-2</v>
      </c>
      <c r="FTN91" s="76">
        <v>0.89444444444444449</v>
      </c>
      <c r="FTO91" s="77" t="str">
        <f t="shared" si="134"/>
        <v>O</v>
      </c>
      <c r="FTP91" s="79">
        <v>5</v>
      </c>
      <c r="FTQ91" s="75">
        <v>1276006</v>
      </c>
      <c r="FTR91" s="80"/>
      <c r="FTS91" s="81">
        <v>0.86944444444444446</v>
      </c>
      <c r="FTT91" s="74" t="s">
        <v>27</v>
      </c>
      <c r="FTU91" s="74" t="s">
        <v>24</v>
      </c>
      <c r="FTV91" s="75" t="s">
        <v>25</v>
      </c>
      <c r="FTW91" s="76">
        <f>IFERROR(VLOOKUP(FTV91,'[1]List KPI'!$A$103:$F$118,6,0),"")</f>
        <v>1.0416666666666666E-2</v>
      </c>
      <c r="FTX91" s="76">
        <v>0.86944444444444446</v>
      </c>
      <c r="FTY91" s="76">
        <v>0.86944444444444446</v>
      </c>
      <c r="FTZ91" s="77" t="str">
        <f t="shared" si="133"/>
        <v>O</v>
      </c>
      <c r="FUA91" s="74" t="s">
        <v>28</v>
      </c>
      <c r="FUB91" s="75" t="s">
        <v>23</v>
      </c>
      <c r="FUC91" s="78">
        <f>IFERROR(VLOOKUP(FUB91,'[1]List KPI'!$M$3:$N$8,2,0),"")</f>
        <v>2.0833333333333332E-2</v>
      </c>
      <c r="FUD91" s="76">
        <v>0.89444444444444449</v>
      </c>
      <c r="FUE91" s="77" t="str">
        <f t="shared" si="134"/>
        <v>O</v>
      </c>
      <c r="FUF91" s="79">
        <v>5</v>
      </c>
      <c r="FUG91" s="75">
        <v>1276006</v>
      </c>
      <c r="FUH91" s="80"/>
      <c r="FUI91" s="81">
        <v>0.86944444444444446</v>
      </c>
      <c r="FUJ91" s="74" t="s">
        <v>27</v>
      </c>
      <c r="FUK91" s="74" t="s">
        <v>24</v>
      </c>
      <c r="FUL91" s="75" t="s">
        <v>25</v>
      </c>
      <c r="FUM91" s="76">
        <f>IFERROR(VLOOKUP(FUL91,'[1]List KPI'!$A$103:$F$118,6,0),"")</f>
        <v>1.0416666666666666E-2</v>
      </c>
      <c r="FUN91" s="76">
        <v>0.86944444444444446</v>
      </c>
      <c r="FUO91" s="76">
        <v>0.86944444444444446</v>
      </c>
      <c r="FUP91" s="77" t="str">
        <f t="shared" ref="FUP91:FWL91" si="135">IF(FUO91="","",IF(FUO91&gt;FUX91,"O","P"))</f>
        <v>O</v>
      </c>
      <c r="FUQ91" s="74" t="s">
        <v>28</v>
      </c>
      <c r="FUR91" s="75" t="s">
        <v>23</v>
      </c>
      <c r="FUS91" s="78">
        <f>IFERROR(VLOOKUP(FUR91,'[1]List KPI'!$M$3:$N$8,2,0),"")</f>
        <v>2.0833333333333332E-2</v>
      </c>
      <c r="FUT91" s="76">
        <v>0.89444444444444449</v>
      </c>
      <c r="FUU91" s="77" t="str">
        <f t="shared" ref="FUU91:FWQ91" si="136">IF(FUT91="","",IF(FUT91&gt;FUY91,"O","P"))</f>
        <v>O</v>
      </c>
      <c r="FUV91" s="79">
        <v>5</v>
      </c>
      <c r="FUW91" s="75">
        <v>1276006</v>
      </c>
      <c r="FUX91" s="80"/>
      <c r="FUY91" s="81">
        <v>0.86944444444444446</v>
      </c>
      <c r="FUZ91" s="74" t="s">
        <v>27</v>
      </c>
      <c r="FVA91" s="74" t="s">
        <v>24</v>
      </c>
      <c r="FVB91" s="75" t="s">
        <v>25</v>
      </c>
      <c r="FVC91" s="76">
        <f>IFERROR(VLOOKUP(FVB91,'[1]List KPI'!$A$103:$F$118,6,0),"")</f>
        <v>1.0416666666666666E-2</v>
      </c>
      <c r="FVD91" s="76">
        <v>0.86944444444444446</v>
      </c>
      <c r="FVE91" s="76">
        <v>0.86944444444444446</v>
      </c>
      <c r="FVF91" s="77" t="str">
        <f t="shared" si="135"/>
        <v>O</v>
      </c>
      <c r="FVG91" s="74" t="s">
        <v>28</v>
      </c>
      <c r="FVH91" s="75" t="s">
        <v>23</v>
      </c>
      <c r="FVI91" s="78">
        <f>IFERROR(VLOOKUP(FVH91,'[1]List KPI'!$M$3:$N$8,2,0),"")</f>
        <v>2.0833333333333332E-2</v>
      </c>
      <c r="FVJ91" s="76">
        <v>0.89444444444444449</v>
      </c>
      <c r="FVK91" s="77" t="str">
        <f t="shared" si="136"/>
        <v>O</v>
      </c>
      <c r="FVL91" s="79">
        <v>5</v>
      </c>
      <c r="FVM91" s="75">
        <v>1276006</v>
      </c>
      <c r="FVN91" s="80"/>
      <c r="FVO91" s="81">
        <v>0.86944444444444446</v>
      </c>
      <c r="FVP91" s="74" t="s">
        <v>27</v>
      </c>
      <c r="FVQ91" s="74" t="s">
        <v>24</v>
      </c>
      <c r="FVR91" s="75" t="s">
        <v>25</v>
      </c>
      <c r="FVS91" s="76">
        <f>IFERROR(VLOOKUP(FVR91,'[1]List KPI'!$A$103:$F$118,6,0),"")</f>
        <v>1.0416666666666666E-2</v>
      </c>
      <c r="FVT91" s="76">
        <v>0.86944444444444446</v>
      </c>
      <c r="FVU91" s="76">
        <v>0.86944444444444446</v>
      </c>
      <c r="FVV91" s="77" t="str">
        <f t="shared" si="135"/>
        <v>O</v>
      </c>
      <c r="FVW91" s="74" t="s">
        <v>28</v>
      </c>
      <c r="FVX91" s="75" t="s">
        <v>23</v>
      </c>
      <c r="FVY91" s="78">
        <f>IFERROR(VLOOKUP(FVX91,'[1]List KPI'!$M$3:$N$8,2,0),"")</f>
        <v>2.0833333333333332E-2</v>
      </c>
      <c r="FVZ91" s="76">
        <v>0.89444444444444449</v>
      </c>
      <c r="FWA91" s="77" t="str">
        <f t="shared" si="136"/>
        <v>O</v>
      </c>
      <c r="FWB91" s="79">
        <v>5</v>
      </c>
      <c r="FWC91" s="75">
        <v>1276006</v>
      </c>
      <c r="FWD91" s="80"/>
      <c r="FWE91" s="81">
        <v>0.86944444444444446</v>
      </c>
      <c r="FWF91" s="74" t="s">
        <v>27</v>
      </c>
      <c r="FWG91" s="74" t="s">
        <v>24</v>
      </c>
      <c r="FWH91" s="75" t="s">
        <v>25</v>
      </c>
      <c r="FWI91" s="76">
        <f>IFERROR(VLOOKUP(FWH91,'[1]List KPI'!$A$103:$F$118,6,0),"")</f>
        <v>1.0416666666666666E-2</v>
      </c>
      <c r="FWJ91" s="76">
        <v>0.86944444444444446</v>
      </c>
      <c r="FWK91" s="76">
        <v>0.86944444444444446</v>
      </c>
      <c r="FWL91" s="77" t="str">
        <f t="shared" si="135"/>
        <v>O</v>
      </c>
      <c r="FWM91" s="74" t="s">
        <v>28</v>
      </c>
      <c r="FWN91" s="75" t="s">
        <v>23</v>
      </c>
      <c r="FWO91" s="78">
        <f>IFERROR(VLOOKUP(FWN91,'[1]List KPI'!$M$3:$N$8,2,0),"")</f>
        <v>2.0833333333333332E-2</v>
      </c>
      <c r="FWP91" s="76">
        <v>0.89444444444444449</v>
      </c>
      <c r="FWQ91" s="77" t="str">
        <f t="shared" si="136"/>
        <v>O</v>
      </c>
      <c r="FWR91" s="79">
        <v>5</v>
      </c>
      <c r="FWS91" s="75">
        <v>1276006</v>
      </c>
      <c r="FWT91" s="80"/>
      <c r="FWU91" s="81">
        <v>0.86944444444444446</v>
      </c>
      <c r="FWV91" s="74" t="s">
        <v>27</v>
      </c>
      <c r="FWW91" s="74" t="s">
        <v>24</v>
      </c>
      <c r="FWX91" s="75" t="s">
        <v>25</v>
      </c>
      <c r="FWY91" s="76">
        <f>IFERROR(VLOOKUP(FWX91,'[1]List KPI'!$A$103:$F$118,6,0),"")</f>
        <v>1.0416666666666666E-2</v>
      </c>
      <c r="FWZ91" s="76">
        <v>0.86944444444444446</v>
      </c>
      <c r="FXA91" s="76">
        <v>0.86944444444444446</v>
      </c>
      <c r="FXB91" s="77" t="str">
        <f t="shared" ref="FXB91:FYX91" si="137">IF(FXA91="","",IF(FXA91&gt;FXJ91,"O","P"))</f>
        <v>O</v>
      </c>
      <c r="FXC91" s="74" t="s">
        <v>28</v>
      </c>
      <c r="FXD91" s="75" t="s">
        <v>23</v>
      </c>
      <c r="FXE91" s="78">
        <f>IFERROR(VLOOKUP(FXD91,'[1]List KPI'!$M$3:$N$8,2,0),"")</f>
        <v>2.0833333333333332E-2</v>
      </c>
      <c r="FXF91" s="76">
        <v>0.89444444444444449</v>
      </c>
      <c r="FXG91" s="77" t="str">
        <f t="shared" ref="FXG91:FZC91" si="138">IF(FXF91="","",IF(FXF91&gt;FXK91,"O","P"))</f>
        <v>O</v>
      </c>
      <c r="FXH91" s="79">
        <v>5</v>
      </c>
      <c r="FXI91" s="75">
        <v>1276006</v>
      </c>
      <c r="FXJ91" s="80"/>
      <c r="FXK91" s="81">
        <v>0.86944444444444446</v>
      </c>
      <c r="FXL91" s="74" t="s">
        <v>27</v>
      </c>
      <c r="FXM91" s="74" t="s">
        <v>24</v>
      </c>
      <c r="FXN91" s="75" t="s">
        <v>25</v>
      </c>
      <c r="FXO91" s="76">
        <f>IFERROR(VLOOKUP(FXN91,'[1]List KPI'!$A$103:$F$118,6,0),"")</f>
        <v>1.0416666666666666E-2</v>
      </c>
      <c r="FXP91" s="76">
        <v>0.86944444444444446</v>
      </c>
      <c r="FXQ91" s="76">
        <v>0.86944444444444446</v>
      </c>
      <c r="FXR91" s="77" t="str">
        <f t="shared" si="137"/>
        <v>O</v>
      </c>
      <c r="FXS91" s="74" t="s">
        <v>28</v>
      </c>
      <c r="FXT91" s="75" t="s">
        <v>23</v>
      </c>
      <c r="FXU91" s="78">
        <f>IFERROR(VLOOKUP(FXT91,'[1]List KPI'!$M$3:$N$8,2,0),"")</f>
        <v>2.0833333333333332E-2</v>
      </c>
      <c r="FXV91" s="76">
        <v>0.89444444444444449</v>
      </c>
      <c r="FXW91" s="77" t="str">
        <f t="shared" si="138"/>
        <v>O</v>
      </c>
      <c r="FXX91" s="79">
        <v>5</v>
      </c>
      <c r="FXY91" s="75">
        <v>1276006</v>
      </c>
      <c r="FXZ91" s="80"/>
      <c r="FYA91" s="81">
        <v>0.86944444444444446</v>
      </c>
      <c r="FYB91" s="74" t="s">
        <v>27</v>
      </c>
      <c r="FYC91" s="74" t="s">
        <v>24</v>
      </c>
      <c r="FYD91" s="75" t="s">
        <v>25</v>
      </c>
      <c r="FYE91" s="76">
        <f>IFERROR(VLOOKUP(FYD91,'[1]List KPI'!$A$103:$F$118,6,0),"")</f>
        <v>1.0416666666666666E-2</v>
      </c>
      <c r="FYF91" s="76">
        <v>0.86944444444444446</v>
      </c>
      <c r="FYG91" s="76">
        <v>0.86944444444444446</v>
      </c>
      <c r="FYH91" s="77" t="str">
        <f t="shared" si="137"/>
        <v>O</v>
      </c>
      <c r="FYI91" s="74" t="s">
        <v>28</v>
      </c>
      <c r="FYJ91" s="75" t="s">
        <v>23</v>
      </c>
      <c r="FYK91" s="78">
        <f>IFERROR(VLOOKUP(FYJ91,'[1]List KPI'!$M$3:$N$8,2,0),"")</f>
        <v>2.0833333333333332E-2</v>
      </c>
      <c r="FYL91" s="76">
        <v>0.89444444444444449</v>
      </c>
      <c r="FYM91" s="77" t="str">
        <f t="shared" si="138"/>
        <v>O</v>
      </c>
      <c r="FYN91" s="79">
        <v>5</v>
      </c>
      <c r="FYO91" s="75">
        <v>1276006</v>
      </c>
      <c r="FYP91" s="80"/>
      <c r="FYQ91" s="81">
        <v>0.86944444444444446</v>
      </c>
      <c r="FYR91" s="74" t="s">
        <v>27</v>
      </c>
      <c r="FYS91" s="74" t="s">
        <v>24</v>
      </c>
      <c r="FYT91" s="75" t="s">
        <v>25</v>
      </c>
      <c r="FYU91" s="76">
        <f>IFERROR(VLOOKUP(FYT91,'[1]List KPI'!$A$103:$F$118,6,0),"")</f>
        <v>1.0416666666666666E-2</v>
      </c>
      <c r="FYV91" s="76">
        <v>0.86944444444444446</v>
      </c>
      <c r="FYW91" s="76">
        <v>0.86944444444444446</v>
      </c>
      <c r="FYX91" s="77" t="str">
        <f t="shared" si="137"/>
        <v>O</v>
      </c>
      <c r="FYY91" s="74" t="s">
        <v>28</v>
      </c>
      <c r="FYZ91" s="75" t="s">
        <v>23</v>
      </c>
      <c r="FZA91" s="78">
        <f>IFERROR(VLOOKUP(FYZ91,'[1]List KPI'!$M$3:$N$8,2,0),"")</f>
        <v>2.0833333333333332E-2</v>
      </c>
      <c r="FZB91" s="76">
        <v>0.89444444444444449</v>
      </c>
      <c r="FZC91" s="77" t="str">
        <f t="shared" si="138"/>
        <v>O</v>
      </c>
      <c r="FZD91" s="79">
        <v>5</v>
      </c>
      <c r="FZE91" s="75">
        <v>1276006</v>
      </c>
      <c r="FZF91" s="80"/>
      <c r="FZG91" s="81">
        <v>0.86944444444444446</v>
      </c>
      <c r="FZH91" s="74" t="s">
        <v>27</v>
      </c>
      <c r="FZI91" s="74" t="s">
        <v>24</v>
      </c>
      <c r="FZJ91" s="75" t="s">
        <v>25</v>
      </c>
      <c r="FZK91" s="76">
        <f>IFERROR(VLOOKUP(FZJ91,'[1]List KPI'!$A$103:$F$118,6,0),"")</f>
        <v>1.0416666666666666E-2</v>
      </c>
      <c r="FZL91" s="76">
        <v>0.86944444444444446</v>
      </c>
      <c r="FZM91" s="76">
        <v>0.86944444444444446</v>
      </c>
      <c r="FZN91" s="77" t="str">
        <f t="shared" ref="FZN91:GBJ91" si="139">IF(FZM91="","",IF(FZM91&gt;FZV91,"O","P"))</f>
        <v>O</v>
      </c>
      <c r="FZO91" s="74" t="s">
        <v>28</v>
      </c>
      <c r="FZP91" s="75" t="s">
        <v>23</v>
      </c>
      <c r="FZQ91" s="78">
        <f>IFERROR(VLOOKUP(FZP91,'[1]List KPI'!$M$3:$N$8,2,0),"")</f>
        <v>2.0833333333333332E-2</v>
      </c>
      <c r="FZR91" s="76">
        <v>0.89444444444444449</v>
      </c>
      <c r="FZS91" s="77" t="str">
        <f t="shared" ref="FZS91:GBO91" si="140">IF(FZR91="","",IF(FZR91&gt;FZW91,"O","P"))</f>
        <v>O</v>
      </c>
      <c r="FZT91" s="79">
        <v>5</v>
      </c>
      <c r="FZU91" s="75">
        <v>1276006</v>
      </c>
      <c r="FZV91" s="80"/>
      <c r="FZW91" s="81">
        <v>0.86944444444444446</v>
      </c>
      <c r="FZX91" s="74" t="s">
        <v>27</v>
      </c>
      <c r="FZY91" s="74" t="s">
        <v>24</v>
      </c>
      <c r="FZZ91" s="75" t="s">
        <v>25</v>
      </c>
      <c r="GAA91" s="76">
        <f>IFERROR(VLOOKUP(FZZ91,'[1]List KPI'!$A$103:$F$118,6,0),"")</f>
        <v>1.0416666666666666E-2</v>
      </c>
      <c r="GAB91" s="76">
        <v>0.86944444444444446</v>
      </c>
      <c r="GAC91" s="76">
        <v>0.86944444444444446</v>
      </c>
      <c r="GAD91" s="77" t="str">
        <f t="shared" si="139"/>
        <v>O</v>
      </c>
      <c r="GAE91" s="74" t="s">
        <v>28</v>
      </c>
      <c r="GAF91" s="75" t="s">
        <v>23</v>
      </c>
      <c r="GAG91" s="78">
        <f>IFERROR(VLOOKUP(GAF91,'[1]List KPI'!$M$3:$N$8,2,0),"")</f>
        <v>2.0833333333333332E-2</v>
      </c>
      <c r="GAH91" s="76">
        <v>0.89444444444444449</v>
      </c>
      <c r="GAI91" s="77" t="str">
        <f t="shared" si="140"/>
        <v>O</v>
      </c>
      <c r="GAJ91" s="79">
        <v>5</v>
      </c>
      <c r="GAK91" s="75">
        <v>1276006</v>
      </c>
      <c r="GAL91" s="80"/>
      <c r="GAM91" s="81">
        <v>0.86944444444444446</v>
      </c>
      <c r="GAN91" s="74" t="s">
        <v>27</v>
      </c>
      <c r="GAO91" s="74" t="s">
        <v>24</v>
      </c>
      <c r="GAP91" s="75" t="s">
        <v>25</v>
      </c>
      <c r="GAQ91" s="76">
        <f>IFERROR(VLOOKUP(GAP91,'[1]List KPI'!$A$103:$F$118,6,0),"")</f>
        <v>1.0416666666666666E-2</v>
      </c>
      <c r="GAR91" s="76">
        <v>0.86944444444444446</v>
      </c>
      <c r="GAS91" s="76">
        <v>0.86944444444444446</v>
      </c>
      <c r="GAT91" s="77" t="str">
        <f t="shared" si="139"/>
        <v>O</v>
      </c>
      <c r="GAU91" s="74" t="s">
        <v>28</v>
      </c>
      <c r="GAV91" s="75" t="s">
        <v>23</v>
      </c>
      <c r="GAW91" s="78">
        <f>IFERROR(VLOOKUP(GAV91,'[1]List KPI'!$M$3:$N$8,2,0),"")</f>
        <v>2.0833333333333332E-2</v>
      </c>
      <c r="GAX91" s="76">
        <v>0.89444444444444449</v>
      </c>
      <c r="GAY91" s="77" t="str">
        <f t="shared" si="140"/>
        <v>O</v>
      </c>
      <c r="GAZ91" s="79">
        <v>5</v>
      </c>
      <c r="GBA91" s="75">
        <v>1276006</v>
      </c>
      <c r="GBB91" s="80"/>
      <c r="GBC91" s="81">
        <v>0.86944444444444446</v>
      </c>
      <c r="GBD91" s="74" t="s">
        <v>27</v>
      </c>
      <c r="GBE91" s="74" t="s">
        <v>24</v>
      </c>
      <c r="GBF91" s="75" t="s">
        <v>25</v>
      </c>
      <c r="GBG91" s="76">
        <f>IFERROR(VLOOKUP(GBF91,'[1]List KPI'!$A$103:$F$118,6,0),"")</f>
        <v>1.0416666666666666E-2</v>
      </c>
      <c r="GBH91" s="76">
        <v>0.86944444444444446</v>
      </c>
      <c r="GBI91" s="76">
        <v>0.86944444444444446</v>
      </c>
      <c r="GBJ91" s="77" t="str">
        <f t="shared" si="139"/>
        <v>O</v>
      </c>
      <c r="GBK91" s="74" t="s">
        <v>28</v>
      </c>
      <c r="GBL91" s="75" t="s">
        <v>23</v>
      </c>
      <c r="GBM91" s="78">
        <f>IFERROR(VLOOKUP(GBL91,'[1]List KPI'!$M$3:$N$8,2,0),"")</f>
        <v>2.0833333333333332E-2</v>
      </c>
      <c r="GBN91" s="76">
        <v>0.89444444444444449</v>
      </c>
      <c r="GBO91" s="77" t="str">
        <f t="shared" si="140"/>
        <v>O</v>
      </c>
      <c r="GBP91" s="79">
        <v>5</v>
      </c>
      <c r="GBQ91" s="75">
        <v>1276006</v>
      </c>
      <c r="GBR91" s="80"/>
      <c r="GBS91" s="81">
        <v>0.86944444444444446</v>
      </c>
      <c r="GBT91" s="74" t="s">
        <v>27</v>
      </c>
      <c r="GBU91" s="74" t="s">
        <v>24</v>
      </c>
      <c r="GBV91" s="75" t="s">
        <v>25</v>
      </c>
      <c r="GBW91" s="76">
        <f>IFERROR(VLOOKUP(GBV91,'[1]List KPI'!$A$103:$F$118,6,0),"")</f>
        <v>1.0416666666666666E-2</v>
      </c>
      <c r="GBX91" s="76">
        <v>0.86944444444444446</v>
      </c>
      <c r="GBY91" s="76">
        <v>0.86944444444444446</v>
      </c>
      <c r="GBZ91" s="77" t="str">
        <f t="shared" ref="GBZ91:GDV91" si="141">IF(GBY91="","",IF(GBY91&gt;GCH91,"O","P"))</f>
        <v>O</v>
      </c>
      <c r="GCA91" s="74" t="s">
        <v>28</v>
      </c>
      <c r="GCB91" s="75" t="s">
        <v>23</v>
      </c>
      <c r="GCC91" s="78">
        <f>IFERROR(VLOOKUP(GCB91,'[1]List KPI'!$M$3:$N$8,2,0),"")</f>
        <v>2.0833333333333332E-2</v>
      </c>
      <c r="GCD91" s="76">
        <v>0.89444444444444449</v>
      </c>
      <c r="GCE91" s="77" t="str">
        <f t="shared" ref="GCE91:GEA91" si="142">IF(GCD91="","",IF(GCD91&gt;GCI91,"O","P"))</f>
        <v>O</v>
      </c>
      <c r="GCF91" s="79">
        <v>5</v>
      </c>
      <c r="GCG91" s="75">
        <v>1276006</v>
      </c>
      <c r="GCH91" s="80"/>
      <c r="GCI91" s="81">
        <v>0.86944444444444446</v>
      </c>
      <c r="GCJ91" s="74" t="s">
        <v>27</v>
      </c>
      <c r="GCK91" s="74" t="s">
        <v>24</v>
      </c>
      <c r="GCL91" s="75" t="s">
        <v>25</v>
      </c>
      <c r="GCM91" s="76">
        <f>IFERROR(VLOOKUP(GCL91,'[1]List KPI'!$A$103:$F$118,6,0),"")</f>
        <v>1.0416666666666666E-2</v>
      </c>
      <c r="GCN91" s="76">
        <v>0.86944444444444446</v>
      </c>
      <c r="GCO91" s="76">
        <v>0.86944444444444446</v>
      </c>
      <c r="GCP91" s="77" t="str">
        <f t="shared" si="141"/>
        <v>O</v>
      </c>
      <c r="GCQ91" s="74" t="s">
        <v>28</v>
      </c>
      <c r="GCR91" s="75" t="s">
        <v>23</v>
      </c>
      <c r="GCS91" s="78">
        <f>IFERROR(VLOOKUP(GCR91,'[1]List KPI'!$M$3:$N$8,2,0),"")</f>
        <v>2.0833333333333332E-2</v>
      </c>
      <c r="GCT91" s="76">
        <v>0.89444444444444449</v>
      </c>
      <c r="GCU91" s="77" t="str">
        <f t="shared" si="142"/>
        <v>O</v>
      </c>
      <c r="GCV91" s="79">
        <v>5</v>
      </c>
      <c r="GCW91" s="75">
        <v>1276006</v>
      </c>
      <c r="GCX91" s="80"/>
      <c r="GCY91" s="81">
        <v>0.86944444444444446</v>
      </c>
      <c r="GCZ91" s="74" t="s">
        <v>27</v>
      </c>
      <c r="GDA91" s="74" t="s">
        <v>24</v>
      </c>
      <c r="GDB91" s="75" t="s">
        <v>25</v>
      </c>
      <c r="GDC91" s="76">
        <f>IFERROR(VLOOKUP(GDB91,'[1]List KPI'!$A$103:$F$118,6,0),"")</f>
        <v>1.0416666666666666E-2</v>
      </c>
      <c r="GDD91" s="76">
        <v>0.86944444444444446</v>
      </c>
      <c r="GDE91" s="76">
        <v>0.86944444444444446</v>
      </c>
      <c r="GDF91" s="77" t="str">
        <f t="shared" si="141"/>
        <v>O</v>
      </c>
      <c r="GDG91" s="74" t="s">
        <v>28</v>
      </c>
      <c r="GDH91" s="75" t="s">
        <v>23</v>
      </c>
      <c r="GDI91" s="78">
        <f>IFERROR(VLOOKUP(GDH91,'[1]List KPI'!$M$3:$N$8,2,0),"")</f>
        <v>2.0833333333333332E-2</v>
      </c>
      <c r="GDJ91" s="76">
        <v>0.89444444444444449</v>
      </c>
      <c r="GDK91" s="77" t="str">
        <f t="shared" si="142"/>
        <v>O</v>
      </c>
      <c r="GDL91" s="79">
        <v>5</v>
      </c>
      <c r="GDM91" s="75">
        <v>1276006</v>
      </c>
      <c r="GDN91" s="80"/>
      <c r="GDO91" s="81">
        <v>0.86944444444444446</v>
      </c>
      <c r="GDP91" s="74" t="s">
        <v>27</v>
      </c>
      <c r="GDQ91" s="74" t="s">
        <v>24</v>
      </c>
      <c r="GDR91" s="75" t="s">
        <v>25</v>
      </c>
      <c r="GDS91" s="76">
        <f>IFERROR(VLOOKUP(GDR91,'[1]List KPI'!$A$103:$F$118,6,0),"")</f>
        <v>1.0416666666666666E-2</v>
      </c>
      <c r="GDT91" s="76">
        <v>0.86944444444444446</v>
      </c>
      <c r="GDU91" s="76">
        <v>0.86944444444444446</v>
      </c>
      <c r="GDV91" s="77" t="str">
        <f t="shared" si="141"/>
        <v>O</v>
      </c>
      <c r="GDW91" s="74" t="s">
        <v>28</v>
      </c>
      <c r="GDX91" s="75" t="s">
        <v>23</v>
      </c>
      <c r="GDY91" s="78">
        <f>IFERROR(VLOOKUP(GDX91,'[1]List KPI'!$M$3:$N$8,2,0),"")</f>
        <v>2.0833333333333332E-2</v>
      </c>
      <c r="GDZ91" s="76">
        <v>0.89444444444444449</v>
      </c>
      <c r="GEA91" s="77" t="str">
        <f t="shared" si="142"/>
        <v>O</v>
      </c>
      <c r="GEB91" s="79">
        <v>5</v>
      </c>
      <c r="GEC91" s="75">
        <v>1276006</v>
      </c>
      <c r="GED91" s="80"/>
      <c r="GEE91" s="81">
        <v>0.86944444444444446</v>
      </c>
      <c r="GEF91" s="74" t="s">
        <v>27</v>
      </c>
      <c r="GEG91" s="74" t="s">
        <v>24</v>
      </c>
      <c r="GEH91" s="75" t="s">
        <v>25</v>
      </c>
      <c r="GEI91" s="76">
        <f>IFERROR(VLOOKUP(GEH91,'[1]List KPI'!$A$103:$F$118,6,0),"")</f>
        <v>1.0416666666666666E-2</v>
      </c>
      <c r="GEJ91" s="76">
        <v>0.86944444444444446</v>
      </c>
      <c r="GEK91" s="76">
        <v>0.86944444444444446</v>
      </c>
      <c r="GEL91" s="77" t="str">
        <f t="shared" ref="GEL91:GGH91" si="143">IF(GEK91="","",IF(GEK91&gt;GET91,"O","P"))</f>
        <v>O</v>
      </c>
      <c r="GEM91" s="74" t="s">
        <v>28</v>
      </c>
      <c r="GEN91" s="75" t="s">
        <v>23</v>
      </c>
      <c r="GEO91" s="78">
        <f>IFERROR(VLOOKUP(GEN91,'[1]List KPI'!$M$3:$N$8,2,0),"")</f>
        <v>2.0833333333333332E-2</v>
      </c>
      <c r="GEP91" s="76">
        <v>0.89444444444444449</v>
      </c>
      <c r="GEQ91" s="77" t="str">
        <f t="shared" ref="GEQ91:GGM91" si="144">IF(GEP91="","",IF(GEP91&gt;GEU91,"O","P"))</f>
        <v>O</v>
      </c>
      <c r="GER91" s="79">
        <v>5</v>
      </c>
      <c r="GES91" s="75">
        <v>1276006</v>
      </c>
      <c r="GET91" s="80"/>
      <c r="GEU91" s="81">
        <v>0.86944444444444446</v>
      </c>
      <c r="GEV91" s="74" t="s">
        <v>27</v>
      </c>
      <c r="GEW91" s="74" t="s">
        <v>24</v>
      </c>
      <c r="GEX91" s="75" t="s">
        <v>25</v>
      </c>
      <c r="GEY91" s="76">
        <f>IFERROR(VLOOKUP(GEX91,'[1]List KPI'!$A$103:$F$118,6,0),"")</f>
        <v>1.0416666666666666E-2</v>
      </c>
      <c r="GEZ91" s="76">
        <v>0.86944444444444446</v>
      </c>
      <c r="GFA91" s="76">
        <v>0.86944444444444446</v>
      </c>
      <c r="GFB91" s="77" t="str">
        <f t="shared" si="143"/>
        <v>O</v>
      </c>
      <c r="GFC91" s="74" t="s">
        <v>28</v>
      </c>
      <c r="GFD91" s="75" t="s">
        <v>23</v>
      </c>
      <c r="GFE91" s="78">
        <f>IFERROR(VLOOKUP(GFD91,'[1]List KPI'!$M$3:$N$8,2,0),"")</f>
        <v>2.0833333333333332E-2</v>
      </c>
      <c r="GFF91" s="76">
        <v>0.89444444444444449</v>
      </c>
      <c r="GFG91" s="77" t="str">
        <f t="shared" si="144"/>
        <v>O</v>
      </c>
      <c r="GFH91" s="79">
        <v>5</v>
      </c>
      <c r="GFI91" s="75">
        <v>1276006</v>
      </c>
      <c r="GFJ91" s="80"/>
      <c r="GFK91" s="81">
        <v>0.86944444444444446</v>
      </c>
      <c r="GFL91" s="74" t="s">
        <v>27</v>
      </c>
      <c r="GFM91" s="74" t="s">
        <v>24</v>
      </c>
      <c r="GFN91" s="75" t="s">
        <v>25</v>
      </c>
      <c r="GFO91" s="76">
        <f>IFERROR(VLOOKUP(GFN91,'[1]List KPI'!$A$103:$F$118,6,0),"")</f>
        <v>1.0416666666666666E-2</v>
      </c>
      <c r="GFP91" s="76">
        <v>0.86944444444444446</v>
      </c>
      <c r="GFQ91" s="76">
        <v>0.86944444444444446</v>
      </c>
      <c r="GFR91" s="77" t="str">
        <f t="shared" si="143"/>
        <v>O</v>
      </c>
      <c r="GFS91" s="74" t="s">
        <v>28</v>
      </c>
      <c r="GFT91" s="75" t="s">
        <v>23</v>
      </c>
      <c r="GFU91" s="78">
        <f>IFERROR(VLOOKUP(GFT91,'[1]List KPI'!$M$3:$N$8,2,0),"")</f>
        <v>2.0833333333333332E-2</v>
      </c>
      <c r="GFV91" s="76">
        <v>0.89444444444444449</v>
      </c>
      <c r="GFW91" s="77" t="str">
        <f t="shared" si="144"/>
        <v>O</v>
      </c>
      <c r="GFX91" s="79">
        <v>5</v>
      </c>
      <c r="GFY91" s="75">
        <v>1276006</v>
      </c>
      <c r="GFZ91" s="80"/>
      <c r="GGA91" s="81">
        <v>0.86944444444444446</v>
      </c>
      <c r="GGB91" s="74" t="s">
        <v>27</v>
      </c>
      <c r="GGC91" s="74" t="s">
        <v>24</v>
      </c>
      <c r="GGD91" s="75" t="s">
        <v>25</v>
      </c>
      <c r="GGE91" s="76">
        <f>IFERROR(VLOOKUP(GGD91,'[1]List KPI'!$A$103:$F$118,6,0),"")</f>
        <v>1.0416666666666666E-2</v>
      </c>
      <c r="GGF91" s="76">
        <v>0.86944444444444446</v>
      </c>
      <c r="GGG91" s="76">
        <v>0.86944444444444446</v>
      </c>
      <c r="GGH91" s="77" t="str">
        <f t="shared" si="143"/>
        <v>O</v>
      </c>
      <c r="GGI91" s="74" t="s">
        <v>28</v>
      </c>
      <c r="GGJ91" s="75" t="s">
        <v>23</v>
      </c>
      <c r="GGK91" s="78">
        <f>IFERROR(VLOOKUP(GGJ91,'[1]List KPI'!$M$3:$N$8,2,0),"")</f>
        <v>2.0833333333333332E-2</v>
      </c>
      <c r="GGL91" s="76">
        <v>0.89444444444444449</v>
      </c>
      <c r="GGM91" s="77" t="str">
        <f t="shared" si="144"/>
        <v>O</v>
      </c>
      <c r="GGN91" s="79">
        <v>5</v>
      </c>
      <c r="GGO91" s="75">
        <v>1276006</v>
      </c>
      <c r="GGP91" s="80"/>
      <c r="GGQ91" s="81">
        <v>0.86944444444444446</v>
      </c>
      <c r="GGR91" s="74" t="s">
        <v>27</v>
      </c>
      <c r="GGS91" s="74" t="s">
        <v>24</v>
      </c>
      <c r="GGT91" s="75" t="s">
        <v>25</v>
      </c>
      <c r="GGU91" s="76">
        <f>IFERROR(VLOOKUP(GGT91,'[1]List KPI'!$A$103:$F$118,6,0),"")</f>
        <v>1.0416666666666666E-2</v>
      </c>
      <c r="GGV91" s="76">
        <v>0.86944444444444446</v>
      </c>
      <c r="GGW91" s="76">
        <v>0.86944444444444446</v>
      </c>
      <c r="GGX91" s="77" t="str">
        <f t="shared" ref="GGX91:GIT91" si="145">IF(GGW91="","",IF(GGW91&gt;GHF91,"O","P"))</f>
        <v>O</v>
      </c>
      <c r="GGY91" s="74" t="s">
        <v>28</v>
      </c>
      <c r="GGZ91" s="75" t="s">
        <v>23</v>
      </c>
      <c r="GHA91" s="78">
        <f>IFERROR(VLOOKUP(GGZ91,'[1]List KPI'!$M$3:$N$8,2,0),"")</f>
        <v>2.0833333333333332E-2</v>
      </c>
      <c r="GHB91" s="76">
        <v>0.89444444444444449</v>
      </c>
      <c r="GHC91" s="77" t="str">
        <f t="shared" ref="GHC91:GIY91" si="146">IF(GHB91="","",IF(GHB91&gt;GHG91,"O","P"))</f>
        <v>O</v>
      </c>
      <c r="GHD91" s="79">
        <v>5</v>
      </c>
      <c r="GHE91" s="75">
        <v>1276006</v>
      </c>
      <c r="GHF91" s="80"/>
      <c r="GHG91" s="81">
        <v>0.86944444444444446</v>
      </c>
      <c r="GHH91" s="74" t="s">
        <v>27</v>
      </c>
      <c r="GHI91" s="74" t="s">
        <v>24</v>
      </c>
      <c r="GHJ91" s="75" t="s">
        <v>25</v>
      </c>
      <c r="GHK91" s="76">
        <f>IFERROR(VLOOKUP(GHJ91,'[1]List KPI'!$A$103:$F$118,6,0),"")</f>
        <v>1.0416666666666666E-2</v>
      </c>
      <c r="GHL91" s="76">
        <v>0.86944444444444446</v>
      </c>
      <c r="GHM91" s="76">
        <v>0.86944444444444446</v>
      </c>
      <c r="GHN91" s="77" t="str">
        <f t="shared" si="145"/>
        <v>O</v>
      </c>
      <c r="GHO91" s="74" t="s">
        <v>28</v>
      </c>
      <c r="GHP91" s="75" t="s">
        <v>23</v>
      </c>
      <c r="GHQ91" s="78">
        <f>IFERROR(VLOOKUP(GHP91,'[1]List KPI'!$M$3:$N$8,2,0),"")</f>
        <v>2.0833333333333332E-2</v>
      </c>
      <c r="GHR91" s="76">
        <v>0.89444444444444449</v>
      </c>
      <c r="GHS91" s="77" t="str">
        <f t="shared" si="146"/>
        <v>O</v>
      </c>
      <c r="GHT91" s="79">
        <v>5</v>
      </c>
      <c r="GHU91" s="75">
        <v>1276006</v>
      </c>
      <c r="GHV91" s="80"/>
      <c r="GHW91" s="81">
        <v>0.86944444444444446</v>
      </c>
      <c r="GHX91" s="74" t="s">
        <v>27</v>
      </c>
      <c r="GHY91" s="74" t="s">
        <v>24</v>
      </c>
      <c r="GHZ91" s="75" t="s">
        <v>25</v>
      </c>
      <c r="GIA91" s="76">
        <f>IFERROR(VLOOKUP(GHZ91,'[1]List KPI'!$A$103:$F$118,6,0),"")</f>
        <v>1.0416666666666666E-2</v>
      </c>
      <c r="GIB91" s="76">
        <v>0.86944444444444446</v>
      </c>
      <c r="GIC91" s="76">
        <v>0.86944444444444446</v>
      </c>
      <c r="GID91" s="77" t="str">
        <f t="shared" si="145"/>
        <v>O</v>
      </c>
      <c r="GIE91" s="74" t="s">
        <v>28</v>
      </c>
      <c r="GIF91" s="75" t="s">
        <v>23</v>
      </c>
      <c r="GIG91" s="78">
        <f>IFERROR(VLOOKUP(GIF91,'[1]List KPI'!$M$3:$N$8,2,0),"")</f>
        <v>2.0833333333333332E-2</v>
      </c>
      <c r="GIH91" s="76">
        <v>0.89444444444444449</v>
      </c>
      <c r="GII91" s="77" t="str">
        <f t="shared" si="146"/>
        <v>O</v>
      </c>
      <c r="GIJ91" s="79">
        <v>5</v>
      </c>
      <c r="GIK91" s="75">
        <v>1276006</v>
      </c>
      <c r="GIL91" s="80"/>
      <c r="GIM91" s="81">
        <v>0.86944444444444446</v>
      </c>
      <c r="GIN91" s="74" t="s">
        <v>27</v>
      </c>
      <c r="GIO91" s="74" t="s">
        <v>24</v>
      </c>
      <c r="GIP91" s="75" t="s">
        <v>25</v>
      </c>
      <c r="GIQ91" s="76">
        <f>IFERROR(VLOOKUP(GIP91,'[1]List KPI'!$A$103:$F$118,6,0),"")</f>
        <v>1.0416666666666666E-2</v>
      </c>
      <c r="GIR91" s="76">
        <v>0.86944444444444446</v>
      </c>
      <c r="GIS91" s="76">
        <v>0.86944444444444446</v>
      </c>
      <c r="GIT91" s="77" t="str">
        <f t="shared" si="145"/>
        <v>O</v>
      </c>
      <c r="GIU91" s="74" t="s">
        <v>28</v>
      </c>
      <c r="GIV91" s="75" t="s">
        <v>23</v>
      </c>
      <c r="GIW91" s="78">
        <f>IFERROR(VLOOKUP(GIV91,'[1]List KPI'!$M$3:$N$8,2,0),"")</f>
        <v>2.0833333333333332E-2</v>
      </c>
      <c r="GIX91" s="76">
        <v>0.89444444444444449</v>
      </c>
      <c r="GIY91" s="77" t="str">
        <f t="shared" si="146"/>
        <v>O</v>
      </c>
      <c r="GIZ91" s="79">
        <v>5</v>
      </c>
      <c r="GJA91" s="75">
        <v>1276006</v>
      </c>
      <c r="GJB91" s="80"/>
      <c r="GJC91" s="81">
        <v>0.86944444444444446</v>
      </c>
      <c r="GJD91" s="74" t="s">
        <v>27</v>
      </c>
      <c r="GJE91" s="74" t="s">
        <v>24</v>
      </c>
      <c r="GJF91" s="75" t="s">
        <v>25</v>
      </c>
      <c r="GJG91" s="76">
        <f>IFERROR(VLOOKUP(GJF91,'[1]List KPI'!$A$103:$F$118,6,0),"")</f>
        <v>1.0416666666666666E-2</v>
      </c>
      <c r="GJH91" s="76">
        <v>0.86944444444444446</v>
      </c>
      <c r="GJI91" s="76">
        <v>0.86944444444444446</v>
      </c>
      <c r="GJJ91" s="77" t="str">
        <f t="shared" ref="GJJ91:GLF91" si="147">IF(GJI91="","",IF(GJI91&gt;GJR91,"O","P"))</f>
        <v>O</v>
      </c>
      <c r="GJK91" s="74" t="s">
        <v>28</v>
      </c>
      <c r="GJL91" s="75" t="s">
        <v>23</v>
      </c>
      <c r="GJM91" s="78">
        <f>IFERROR(VLOOKUP(GJL91,'[1]List KPI'!$M$3:$N$8,2,0),"")</f>
        <v>2.0833333333333332E-2</v>
      </c>
      <c r="GJN91" s="76">
        <v>0.89444444444444449</v>
      </c>
      <c r="GJO91" s="77" t="str">
        <f t="shared" ref="GJO91:GLK91" si="148">IF(GJN91="","",IF(GJN91&gt;GJS91,"O","P"))</f>
        <v>O</v>
      </c>
      <c r="GJP91" s="79">
        <v>5</v>
      </c>
      <c r="GJQ91" s="75">
        <v>1276006</v>
      </c>
      <c r="GJR91" s="80"/>
      <c r="GJS91" s="81">
        <v>0.86944444444444446</v>
      </c>
      <c r="GJT91" s="74" t="s">
        <v>27</v>
      </c>
      <c r="GJU91" s="74" t="s">
        <v>24</v>
      </c>
      <c r="GJV91" s="75" t="s">
        <v>25</v>
      </c>
      <c r="GJW91" s="76">
        <f>IFERROR(VLOOKUP(GJV91,'[1]List KPI'!$A$103:$F$118,6,0),"")</f>
        <v>1.0416666666666666E-2</v>
      </c>
      <c r="GJX91" s="76">
        <v>0.86944444444444446</v>
      </c>
      <c r="GJY91" s="76">
        <v>0.86944444444444446</v>
      </c>
      <c r="GJZ91" s="77" t="str">
        <f t="shared" si="147"/>
        <v>O</v>
      </c>
      <c r="GKA91" s="74" t="s">
        <v>28</v>
      </c>
      <c r="GKB91" s="75" t="s">
        <v>23</v>
      </c>
      <c r="GKC91" s="78">
        <f>IFERROR(VLOOKUP(GKB91,'[1]List KPI'!$M$3:$N$8,2,0),"")</f>
        <v>2.0833333333333332E-2</v>
      </c>
      <c r="GKD91" s="76">
        <v>0.89444444444444449</v>
      </c>
      <c r="GKE91" s="77" t="str">
        <f t="shared" si="148"/>
        <v>O</v>
      </c>
      <c r="GKF91" s="79">
        <v>5</v>
      </c>
      <c r="GKG91" s="75">
        <v>1276006</v>
      </c>
      <c r="GKH91" s="80"/>
      <c r="GKI91" s="81">
        <v>0.86944444444444446</v>
      </c>
      <c r="GKJ91" s="74" t="s">
        <v>27</v>
      </c>
      <c r="GKK91" s="74" t="s">
        <v>24</v>
      </c>
      <c r="GKL91" s="75" t="s">
        <v>25</v>
      </c>
      <c r="GKM91" s="76">
        <f>IFERROR(VLOOKUP(GKL91,'[1]List KPI'!$A$103:$F$118,6,0),"")</f>
        <v>1.0416666666666666E-2</v>
      </c>
      <c r="GKN91" s="76">
        <v>0.86944444444444446</v>
      </c>
      <c r="GKO91" s="76">
        <v>0.86944444444444446</v>
      </c>
      <c r="GKP91" s="77" t="str">
        <f t="shared" si="147"/>
        <v>O</v>
      </c>
      <c r="GKQ91" s="74" t="s">
        <v>28</v>
      </c>
      <c r="GKR91" s="75" t="s">
        <v>23</v>
      </c>
      <c r="GKS91" s="78">
        <f>IFERROR(VLOOKUP(GKR91,'[1]List KPI'!$M$3:$N$8,2,0),"")</f>
        <v>2.0833333333333332E-2</v>
      </c>
      <c r="GKT91" s="76">
        <v>0.89444444444444449</v>
      </c>
      <c r="GKU91" s="77" t="str">
        <f t="shared" si="148"/>
        <v>O</v>
      </c>
      <c r="GKV91" s="79">
        <v>5</v>
      </c>
      <c r="GKW91" s="75">
        <v>1276006</v>
      </c>
      <c r="GKX91" s="80"/>
      <c r="GKY91" s="81">
        <v>0.86944444444444446</v>
      </c>
      <c r="GKZ91" s="74" t="s">
        <v>27</v>
      </c>
      <c r="GLA91" s="74" t="s">
        <v>24</v>
      </c>
      <c r="GLB91" s="75" t="s">
        <v>25</v>
      </c>
      <c r="GLC91" s="76">
        <f>IFERROR(VLOOKUP(GLB91,'[1]List KPI'!$A$103:$F$118,6,0),"")</f>
        <v>1.0416666666666666E-2</v>
      </c>
      <c r="GLD91" s="76">
        <v>0.86944444444444446</v>
      </c>
      <c r="GLE91" s="76">
        <v>0.86944444444444446</v>
      </c>
      <c r="GLF91" s="77" t="str">
        <f t="shared" si="147"/>
        <v>O</v>
      </c>
      <c r="GLG91" s="74" t="s">
        <v>28</v>
      </c>
      <c r="GLH91" s="75" t="s">
        <v>23</v>
      </c>
      <c r="GLI91" s="78">
        <f>IFERROR(VLOOKUP(GLH91,'[1]List KPI'!$M$3:$N$8,2,0),"")</f>
        <v>2.0833333333333332E-2</v>
      </c>
      <c r="GLJ91" s="76">
        <v>0.89444444444444449</v>
      </c>
      <c r="GLK91" s="77" t="str">
        <f t="shared" si="148"/>
        <v>O</v>
      </c>
      <c r="GLL91" s="79">
        <v>5</v>
      </c>
      <c r="GLM91" s="75">
        <v>1276006</v>
      </c>
      <c r="GLN91" s="80"/>
      <c r="GLO91" s="81">
        <v>0.86944444444444446</v>
      </c>
      <c r="GLP91" s="74" t="s">
        <v>27</v>
      </c>
      <c r="GLQ91" s="74" t="s">
        <v>24</v>
      </c>
      <c r="GLR91" s="75" t="s">
        <v>25</v>
      </c>
      <c r="GLS91" s="76">
        <f>IFERROR(VLOOKUP(GLR91,'[1]List KPI'!$A$103:$F$118,6,0),"")</f>
        <v>1.0416666666666666E-2</v>
      </c>
      <c r="GLT91" s="76">
        <v>0.86944444444444446</v>
      </c>
      <c r="GLU91" s="76">
        <v>0.86944444444444446</v>
      </c>
      <c r="GLV91" s="77" t="str">
        <f t="shared" ref="GLV91:GNR91" si="149">IF(GLU91="","",IF(GLU91&gt;GMD91,"O","P"))</f>
        <v>O</v>
      </c>
      <c r="GLW91" s="74" t="s">
        <v>28</v>
      </c>
      <c r="GLX91" s="75" t="s">
        <v>23</v>
      </c>
      <c r="GLY91" s="78">
        <f>IFERROR(VLOOKUP(GLX91,'[1]List KPI'!$M$3:$N$8,2,0),"")</f>
        <v>2.0833333333333332E-2</v>
      </c>
      <c r="GLZ91" s="76">
        <v>0.89444444444444449</v>
      </c>
      <c r="GMA91" s="77" t="str">
        <f t="shared" ref="GMA91:GNW91" si="150">IF(GLZ91="","",IF(GLZ91&gt;GME91,"O","P"))</f>
        <v>O</v>
      </c>
      <c r="GMB91" s="79">
        <v>5</v>
      </c>
      <c r="GMC91" s="75">
        <v>1276006</v>
      </c>
      <c r="GMD91" s="80"/>
      <c r="GME91" s="81">
        <v>0.86944444444444446</v>
      </c>
      <c r="GMF91" s="74" t="s">
        <v>27</v>
      </c>
      <c r="GMG91" s="74" t="s">
        <v>24</v>
      </c>
      <c r="GMH91" s="75" t="s">
        <v>25</v>
      </c>
      <c r="GMI91" s="76">
        <f>IFERROR(VLOOKUP(GMH91,'[1]List KPI'!$A$103:$F$118,6,0),"")</f>
        <v>1.0416666666666666E-2</v>
      </c>
      <c r="GMJ91" s="76">
        <v>0.86944444444444446</v>
      </c>
      <c r="GMK91" s="76">
        <v>0.86944444444444446</v>
      </c>
      <c r="GML91" s="77" t="str">
        <f t="shared" si="149"/>
        <v>O</v>
      </c>
      <c r="GMM91" s="74" t="s">
        <v>28</v>
      </c>
      <c r="GMN91" s="75" t="s">
        <v>23</v>
      </c>
      <c r="GMO91" s="78">
        <f>IFERROR(VLOOKUP(GMN91,'[1]List KPI'!$M$3:$N$8,2,0),"")</f>
        <v>2.0833333333333332E-2</v>
      </c>
      <c r="GMP91" s="76">
        <v>0.89444444444444449</v>
      </c>
      <c r="GMQ91" s="77" t="str">
        <f t="shared" si="150"/>
        <v>O</v>
      </c>
      <c r="GMR91" s="79">
        <v>5</v>
      </c>
      <c r="GMS91" s="75">
        <v>1276006</v>
      </c>
      <c r="GMT91" s="80"/>
      <c r="GMU91" s="81">
        <v>0.86944444444444446</v>
      </c>
      <c r="GMV91" s="74" t="s">
        <v>27</v>
      </c>
      <c r="GMW91" s="74" t="s">
        <v>24</v>
      </c>
      <c r="GMX91" s="75" t="s">
        <v>25</v>
      </c>
      <c r="GMY91" s="76">
        <f>IFERROR(VLOOKUP(GMX91,'[1]List KPI'!$A$103:$F$118,6,0),"")</f>
        <v>1.0416666666666666E-2</v>
      </c>
      <c r="GMZ91" s="76">
        <v>0.86944444444444446</v>
      </c>
      <c r="GNA91" s="76">
        <v>0.86944444444444446</v>
      </c>
      <c r="GNB91" s="77" t="str">
        <f t="shared" si="149"/>
        <v>O</v>
      </c>
      <c r="GNC91" s="74" t="s">
        <v>28</v>
      </c>
      <c r="GND91" s="75" t="s">
        <v>23</v>
      </c>
      <c r="GNE91" s="78">
        <f>IFERROR(VLOOKUP(GND91,'[1]List KPI'!$M$3:$N$8,2,0),"")</f>
        <v>2.0833333333333332E-2</v>
      </c>
      <c r="GNF91" s="76">
        <v>0.89444444444444449</v>
      </c>
      <c r="GNG91" s="77" t="str">
        <f t="shared" si="150"/>
        <v>O</v>
      </c>
      <c r="GNH91" s="79">
        <v>5</v>
      </c>
      <c r="GNI91" s="75">
        <v>1276006</v>
      </c>
      <c r="GNJ91" s="80"/>
      <c r="GNK91" s="81">
        <v>0.86944444444444446</v>
      </c>
      <c r="GNL91" s="74" t="s">
        <v>27</v>
      </c>
      <c r="GNM91" s="74" t="s">
        <v>24</v>
      </c>
      <c r="GNN91" s="75" t="s">
        <v>25</v>
      </c>
      <c r="GNO91" s="76">
        <f>IFERROR(VLOOKUP(GNN91,'[1]List KPI'!$A$103:$F$118,6,0),"")</f>
        <v>1.0416666666666666E-2</v>
      </c>
      <c r="GNP91" s="76">
        <v>0.86944444444444446</v>
      </c>
      <c r="GNQ91" s="76">
        <v>0.86944444444444446</v>
      </c>
      <c r="GNR91" s="77" t="str">
        <f t="shared" si="149"/>
        <v>O</v>
      </c>
      <c r="GNS91" s="74" t="s">
        <v>28</v>
      </c>
      <c r="GNT91" s="75" t="s">
        <v>23</v>
      </c>
      <c r="GNU91" s="78">
        <f>IFERROR(VLOOKUP(GNT91,'[1]List KPI'!$M$3:$N$8,2,0),"")</f>
        <v>2.0833333333333332E-2</v>
      </c>
      <c r="GNV91" s="76">
        <v>0.89444444444444449</v>
      </c>
      <c r="GNW91" s="77" t="str">
        <f t="shared" si="150"/>
        <v>O</v>
      </c>
      <c r="GNX91" s="79">
        <v>5</v>
      </c>
      <c r="GNY91" s="75">
        <v>1276006</v>
      </c>
      <c r="GNZ91" s="80"/>
      <c r="GOA91" s="81">
        <v>0.86944444444444446</v>
      </c>
      <c r="GOB91" s="74" t="s">
        <v>27</v>
      </c>
      <c r="GOC91" s="74" t="s">
        <v>24</v>
      </c>
      <c r="GOD91" s="75" t="s">
        <v>25</v>
      </c>
      <c r="GOE91" s="76">
        <f>IFERROR(VLOOKUP(GOD91,'[1]List KPI'!$A$103:$F$118,6,0),"")</f>
        <v>1.0416666666666666E-2</v>
      </c>
      <c r="GOF91" s="76">
        <v>0.86944444444444446</v>
      </c>
      <c r="GOG91" s="76">
        <v>0.86944444444444446</v>
      </c>
      <c r="GOH91" s="77" t="str">
        <f t="shared" ref="GOH91:GQD91" si="151">IF(GOG91="","",IF(GOG91&gt;GOP91,"O","P"))</f>
        <v>O</v>
      </c>
      <c r="GOI91" s="74" t="s">
        <v>28</v>
      </c>
      <c r="GOJ91" s="75" t="s">
        <v>23</v>
      </c>
      <c r="GOK91" s="78">
        <f>IFERROR(VLOOKUP(GOJ91,'[1]List KPI'!$M$3:$N$8,2,0),"")</f>
        <v>2.0833333333333332E-2</v>
      </c>
      <c r="GOL91" s="76">
        <v>0.89444444444444449</v>
      </c>
      <c r="GOM91" s="77" t="str">
        <f t="shared" ref="GOM91:GQI91" si="152">IF(GOL91="","",IF(GOL91&gt;GOQ91,"O","P"))</f>
        <v>O</v>
      </c>
      <c r="GON91" s="79">
        <v>5</v>
      </c>
      <c r="GOO91" s="75">
        <v>1276006</v>
      </c>
      <c r="GOP91" s="80"/>
      <c r="GOQ91" s="81">
        <v>0.86944444444444446</v>
      </c>
      <c r="GOR91" s="74" t="s">
        <v>27</v>
      </c>
      <c r="GOS91" s="74" t="s">
        <v>24</v>
      </c>
      <c r="GOT91" s="75" t="s">
        <v>25</v>
      </c>
      <c r="GOU91" s="76">
        <f>IFERROR(VLOOKUP(GOT91,'[1]List KPI'!$A$103:$F$118,6,0),"")</f>
        <v>1.0416666666666666E-2</v>
      </c>
      <c r="GOV91" s="76">
        <v>0.86944444444444446</v>
      </c>
      <c r="GOW91" s="76">
        <v>0.86944444444444446</v>
      </c>
      <c r="GOX91" s="77" t="str">
        <f t="shared" si="151"/>
        <v>O</v>
      </c>
      <c r="GOY91" s="74" t="s">
        <v>28</v>
      </c>
      <c r="GOZ91" s="75" t="s">
        <v>23</v>
      </c>
      <c r="GPA91" s="78">
        <f>IFERROR(VLOOKUP(GOZ91,'[1]List KPI'!$M$3:$N$8,2,0),"")</f>
        <v>2.0833333333333332E-2</v>
      </c>
      <c r="GPB91" s="76">
        <v>0.89444444444444449</v>
      </c>
      <c r="GPC91" s="77" t="str">
        <f t="shared" si="152"/>
        <v>O</v>
      </c>
      <c r="GPD91" s="79">
        <v>5</v>
      </c>
      <c r="GPE91" s="75">
        <v>1276006</v>
      </c>
      <c r="GPF91" s="80"/>
      <c r="GPG91" s="81">
        <v>0.86944444444444446</v>
      </c>
      <c r="GPH91" s="74" t="s">
        <v>27</v>
      </c>
      <c r="GPI91" s="74" t="s">
        <v>24</v>
      </c>
      <c r="GPJ91" s="75" t="s">
        <v>25</v>
      </c>
      <c r="GPK91" s="76">
        <f>IFERROR(VLOOKUP(GPJ91,'[1]List KPI'!$A$103:$F$118,6,0),"")</f>
        <v>1.0416666666666666E-2</v>
      </c>
      <c r="GPL91" s="76">
        <v>0.86944444444444446</v>
      </c>
      <c r="GPM91" s="76">
        <v>0.86944444444444446</v>
      </c>
      <c r="GPN91" s="77" t="str">
        <f t="shared" si="151"/>
        <v>O</v>
      </c>
      <c r="GPO91" s="74" t="s">
        <v>28</v>
      </c>
      <c r="GPP91" s="75" t="s">
        <v>23</v>
      </c>
      <c r="GPQ91" s="78">
        <f>IFERROR(VLOOKUP(GPP91,'[1]List KPI'!$M$3:$N$8,2,0),"")</f>
        <v>2.0833333333333332E-2</v>
      </c>
      <c r="GPR91" s="76">
        <v>0.89444444444444449</v>
      </c>
      <c r="GPS91" s="77" t="str">
        <f t="shared" si="152"/>
        <v>O</v>
      </c>
      <c r="GPT91" s="79">
        <v>5</v>
      </c>
      <c r="GPU91" s="75">
        <v>1276006</v>
      </c>
      <c r="GPV91" s="80"/>
      <c r="GPW91" s="81">
        <v>0.86944444444444446</v>
      </c>
      <c r="GPX91" s="74" t="s">
        <v>27</v>
      </c>
      <c r="GPY91" s="74" t="s">
        <v>24</v>
      </c>
      <c r="GPZ91" s="75" t="s">
        <v>25</v>
      </c>
      <c r="GQA91" s="76">
        <f>IFERROR(VLOOKUP(GPZ91,'[1]List KPI'!$A$103:$F$118,6,0),"")</f>
        <v>1.0416666666666666E-2</v>
      </c>
      <c r="GQB91" s="76">
        <v>0.86944444444444446</v>
      </c>
      <c r="GQC91" s="76">
        <v>0.86944444444444446</v>
      </c>
      <c r="GQD91" s="77" t="str">
        <f t="shared" si="151"/>
        <v>O</v>
      </c>
      <c r="GQE91" s="74" t="s">
        <v>28</v>
      </c>
      <c r="GQF91" s="75" t="s">
        <v>23</v>
      </c>
      <c r="GQG91" s="78">
        <f>IFERROR(VLOOKUP(GQF91,'[1]List KPI'!$M$3:$N$8,2,0),"")</f>
        <v>2.0833333333333332E-2</v>
      </c>
      <c r="GQH91" s="76">
        <v>0.89444444444444449</v>
      </c>
      <c r="GQI91" s="77" t="str">
        <f t="shared" si="152"/>
        <v>O</v>
      </c>
      <c r="GQJ91" s="79">
        <v>5</v>
      </c>
      <c r="GQK91" s="75">
        <v>1276006</v>
      </c>
      <c r="GQL91" s="80"/>
      <c r="GQM91" s="81">
        <v>0.86944444444444446</v>
      </c>
      <c r="GQN91" s="74" t="s">
        <v>27</v>
      </c>
      <c r="GQO91" s="74" t="s">
        <v>24</v>
      </c>
      <c r="GQP91" s="75" t="s">
        <v>25</v>
      </c>
      <c r="GQQ91" s="76">
        <f>IFERROR(VLOOKUP(GQP91,'[1]List KPI'!$A$103:$F$118,6,0),"")</f>
        <v>1.0416666666666666E-2</v>
      </c>
      <c r="GQR91" s="76">
        <v>0.86944444444444446</v>
      </c>
      <c r="GQS91" s="76">
        <v>0.86944444444444446</v>
      </c>
      <c r="GQT91" s="77" t="str">
        <f t="shared" ref="GQT91:GSP91" si="153">IF(GQS91="","",IF(GQS91&gt;GRB91,"O","P"))</f>
        <v>O</v>
      </c>
      <c r="GQU91" s="74" t="s">
        <v>28</v>
      </c>
      <c r="GQV91" s="75" t="s">
        <v>23</v>
      </c>
      <c r="GQW91" s="78">
        <f>IFERROR(VLOOKUP(GQV91,'[1]List KPI'!$M$3:$N$8,2,0),"")</f>
        <v>2.0833333333333332E-2</v>
      </c>
      <c r="GQX91" s="76">
        <v>0.89444444444444449</v>
      </c>
      <c r="GQY91" s="77" t="str">
        <f t="shared" ref="GQY91:GSU91" si="154">IF(GQX91="","",IF(GQX91&gt;GRC91,"O","P"))</f>
        <v>O</v>
      </c>
      <c r="GQZ91" s="79">
        <v>5</v>
      </c>
      <c r="GRA91" s="75">
        <v>1276006</v>
      </c>
      <c r="GRB91" s="80"/>
      <c r="GRC91" s="81">
        <v>0.86944444444444446</v>
      </c>
      <c r="GRD91" s="74" t="s">
        <v>27</v>
      </c>
      <c r="GRE91" s="74" t="s">
        <v>24</v>
      </c>
      <c r="GRF91" s="75" t="s">
        <v>25</v>
      </c>
      <c r="GRG91" s="76">
        <f>IFERROR(VLOOKUP(GRF91,'[1]List KPI'!$A$103:$F$118,6,0),"")</f>
        <v>1.0416666666666666E-2</v>
      </c>
      <c r="GRH91" s="76">
        <v>0.86944444444444446</v>
      </c>
      <c r="GRI91" s="76">
        <v>0.86944444444444446</v>
      </c>
      <c r="GRJ91" s="77" t="str">
        <f t="shared" si="153"/>
        <v>O</v>
      </c>
      <c r="GRK91" s="74" t="s">
        <v>28</v>
      </c>
      <c r="GRL91" s="75" t="s">
        <v>23</v>
      </c>
      <c r="GRM91" s="78">
        <f>IFERROR(VLOOKUP(GRL91,'[1]List KPI'!$M$3:$N$8,2,0),"")</f>
        <v>2.0833333333333332E-2</v>
      </c>
      <c r="GRN91" s="76">
        <v>0.89444444444444449</v>
      </c>
      <c r="GRO91" s="77" t="str">
        <f t="shared" si="154"/>
        <v>O</v>
      </c>
      <c r="GRP91" s="79">
        <v>5</v>
      </c>
      <c r="GRQ91" s="75">
        <v>1276006</v>
      </c>
      <c r="GRR91" s="80"/>
      <c r="GRS91" s="81">
        <v>0.86944444444444446</v>
      </c>
      <c r="GRT91" s="74" t="s">
        <v>27</v>
      </c>
      <c r="GRU91" s="74" t="s">
        <v>24</v>
      </c>
      <c r="GRV91" s="75" t="s">
        <v>25</v>
      </c>
      <c r="GRW91" s="76">
        <f>IFERROR(VLOOKUP(GRV91,'[1]List KPI'!$A$103:$F$118,6,0),"")</f>
        <v>1.0416666666666666E-2</v>
      </c>
      <c r="GRX91" s="76">
        <v>0.86944444444444446</v>
      </c>
      <c r="GRY91" s="76">
        <v>0.86944444444444446</v>
      </c>
      <c r="GRZ91" s="77" t="str">
        <f t="shared" si="153"/>
        <v>O</v>
      </c>
      <c r="GSA91" s="74" t="s">
        <v>28</v>
      </c>
      <c r="GSB91" s="75" t="s">
        <v>23</v>
      </c>
      <c r="GSC91" s="78">
        <f>IFERROR(VLOOKUP(GSB91,'[1]List KPI'!$M$3:$N$8,2,0),"")</f>
        <v>2.0833333333333332E-2</v>
      </c>
      <c r="GSD91" s="76">
        <v>0.89444444444444449</v>
      </c>
      <c r="GSE91" s="77" t="str">
        <f t="shared" si="154"/>
        <v>O</v>
      </c>
      <c r="GSF91" s="79">
        <v>5</v>
      </c>
      <c r="GSG91" s="75">
        <v>1276006</v>
      </c>
      <c r="GSH91" s="80"/>
      <c r="GSI91" s="81">
        <v>0.86944444444444446</v>
      </c>
      <c r="GSJ91" s="74" t="s">
        <v>27</v>
      </c>
      <c r="GSK91" s="74" t="s">
        <v>24</v>
      </c>
      <c r="GSL91" s="75" t="s">
        <v>25</v>
      </c>
      <c r="GSM91" s="76">
        <f>IFERROR(VLOOKUP(GSL91,'[1]List KPI'!$A$103:$F$118,6,0),"")</f>
        <v>1.0416666666666666E-2</v>
      </c>
      <c r="GSN91" s="76">
        <v>0.86944444444444446</v>
      </c>
      <c r="GSO91" s="76">
        <v>0.86944444444444446</v>
      </c>
      <c r="GSP91" s="77" t="str">
        <f t="shared" si="153"/>
        <v>O</v>
      </c>
      <c r="GSQ91" s="74" t="s">
        <v>28</v>
      </c>
      <c r="GSR91" s="75" t="s">
        <v>23</v>
      </c>
      <c r="GSS91" s="78">
        <f>IFERROR(VLOOKUP(GSR91,'[1]List KPI'!$M$3:$N$8,2,0),"")</f>
        <v>2.0833333333333332E-2</v>
      </c>
      <c r="GST91" s="76">
        <v>0.89444444444444449</v>
      </c>
      <c r="GSU91" s="77" t="str">
        <f t="shared" si="154"/>
        <v>O</v>
      </c>
      <c r="GSV91" s="79">
        <v>5</v>
      </c>
      <c r="GSW91" s="75">
        <v>1276006</v>
      </c>
      <c r="GSX91" s="80"/>
      <c r="GSY91" s="81">
        <v>0.86944444444444446</v>
      </c>
      <c r="GSZ91" s="74" t="s">
        <v>27</v>
      </c>
      <c r="GTA91" s="74" t="s">
        <v>24</v>
      </c>
      <c r="GTB91" s="75" t="s">
        <v>25</v>
      </c>
      <c r="GTC91" s="76">
        <f>IFERROR(VLOOKUP(GTB91,'[1]List KPI'!$A$103:$F$118,6,0),"")</f>
        <v>1.0416666666666666E-2</v>
      </c>
      <c r="GTD91" s="76">
        <v>0.86944444444444446</v>
      </c>
      <c r="GTE91" s="76">
        <v>0.86944444444444446</v>
      </c>
      <c r="GTF91" s="77" t="str">
        <f t="shared" ref="GTF91:GVB91" si="155">IF(GTE91="","",IF(GTE91&gt;GTN91,"O","P"))</f>
        <v>O</v>
      </c>
      <c r="GTG91" s="74" t="s">
        <v>28</v>
      </c>
      <c r="GTH91" s="75" t="s">
        <v>23</v>
      </c>
      <c r="GTI91" s="78">
        <f>IFERROR(VLOOKUP(GTH91,'[1]List KPI'!$M$3:$N$8,2,0),"")</f>
        <v>2.0833333333333332E-2</v>
      </c>
      <c r="GTJ91" s="76">
        <v>0.89444444444444449</v>
      </c>
      <c r="GTK91" s="77" t="str">
        <f t="shared" ref="GTK91:GVG91" si="156">IF(GTJ91="","",IF(GTJ91&gt;GTO91,"O","P"))</f>
        <v>O</v>
      </c>
      <c r="GTL91" s="79">
        <v>5</v>
      </c>
      <c r="GTM91" s="75">
        <v>1276006</v>
      </c>
      <c r="GTN91" s="80"/>
      <c r="GTO91" s="81">
        <v>0.86944444444444446</v>
      </c>
      <c r="GTP91" s="74" t="s">
        <v>27</v>
      </c>
      <c r="GTQ91" s="74" t="s">
        <v>24</v>
      </c>
      <c r="GTR91" s="75" t="s">
        <v>25</v>
      </c>
      <c r="GTS91" s="76">
        <f>IFERROR(VLOOKUP(GTR91,'[1]List KPI'!$A$103:$F$118,6,0),"")</f>
        <v>1.0416666666666666E-2</v>
      </c>
      <c r="GTT91" s="76">
        <v>0.86944444444444446</v>
      </c>
      <c r="GTU91" s="76">
        <v>0.86944444444444446</v>
      </c>
      <c r="GTV91" s="77" t="str">
        <f t="shared" si="155"/>
        <v>O</v>
      </c>
      <c r="GTW91" s="74" t="s">
        <v>28</v>
      </c>
      <c r="GTX91" s="75" t="s">
        <v>23</v>
      </c>
      <c r="GTY91" s="78">
        <f>IFERROR(VLOOKUP(GTX91,'[1]List KPI'!$M$3:$N$8,2,0),"")</f>
        <v>2.0833333333333332E-2</v>
      </c>
      <c r="GTZ91" s="76">
        <v>0.89444444444444449</v>
      </c>
      <c r="GUA91" s="77" t="str">
        <f t="shared" si="156"/>
        <v>O</v>
      </c>
      <c r="GUB91" s="79">
        <v>5</v>
      </c>
      <c r="GUC91" s="75">
        <v>1276006</v>
      </c>
      <c r="GUD91" s="80"/>
      <c r="GUE91" s="81">
        <v>0.86944444444444446</v>
      </c>
      <c r="GUF91" s="74" t="s">
        <v>27</v>
      </c>
      <c r="GUG91" s="74" t="s">
        <v>24</v>
      </c>
      <c r="GUH91" s="75" t="s">
        <v>25</v>
      </c>
      <c r="GUI91" s="76">
        <f>IFERROR(VLOOKUP(GUH91,'[1]List KPI'!$A$103:$F$118,6,0),"")</f>
        <v>1.0416666666666666E-2</v>
      </c>
      <c r="GUJ91" s="76">
        <v>0.86944444444444446</v>
      </c>
      <c r="GUK91" s="76">
        <v>0.86944444444444446</v>
      </c>
      <c r="GUL91" s="77" t="str">
        <f t="shared" si="155"/>
        <v>O</v>
      </c>
      <c r="GUM91" s="74" t="s">
        <v>28</v>
      </c>
      <c r="GUN91" s="75" t="s">
        <v>23</v>
      </c>
      <c r="GUO91" s="78">
        <f>IFERROR(VLOOKUP(GUN91,'[1]List KPI'!$M$3:$N$8,2,0),"")</f>
        <v>2.0833333333333332E-2</v>
      </c>
      <c r="GUP91" s="76">
        <v>0.89444444444444449</v>
      </c>
      <c r="GUQ91" s="77" t="str">
        <f t="shared" si="156"/>
        <v>O</v>
      </c>
      <c r="GUR91" s="79">
        <v>5</v>
      </c>
      <c r="GUS91" s="75">
        <v>1276006</v>
      </c>
      <c r="GUT91" s="80"/>
      <c r="GUU91" s="81">
        <v>0.86944444444444446</v>
      </c>
      <c r="GUV91" s="74" t="s">
        <v>27</v>
      </c>
      <c r="GUW91" s="74" t="s">
        <v>24</v>
      </c>
      <c r="GUX91" s="75" t="s">
        <v>25</v>
      </c>
      <c r="GUY91" s="76">
        <f>IFERROR(VLOOKUP(GUX91,'[1]List KPI'!$A$103:$F$118,6,0),"")</f>
        <v>1.0416666666666666E-2</v>
      </c>
      <c r="GUZ91" s="76">
        <v>0.86944444444444446</v>
      </c>
      <c r="GVA91" s="76">
        <v>0.86944444444444446</v>
      </c>
      <c r="GVB91" s="77" t="str">
        <f t="shared" si="155"/>
        <v>O</v>
      </c>
      <c r="GVC91" s="74" t="s">
        <v>28</v>
      </c>
      <c r="GVD91" s="75" t="s">
        <v>23</v>
      </c>
      <c r="GVE91" s="78">
        <f>IFERROR(VLOOKUP(GVD91,'[1]List KPI'!$M$3:$N$8,2,0),"")</f>
        <v>2.0833333333333332E-2</v>
      </c>
      <c r="GVF91" s="76">
        <v>0.89444444444444449</v>
      </c>
      <c r="GVG91" s="77" t="str">
        <f t="shared" si="156"/>
        <v>O</v>
      </c>
      <c r="GVH91" s="79">
        <v>5</v>
      </c>
      <c r="GVI91" s="75">
        <v>1276006</v>
      </c>
      <c r="GVJ91" s="80"/>
      <c r="GVK91" s="81">
        <v>0.86944444444444446</v>
      </c>
      <c r="GVL91" s="74" t="s">
        <v>27</v>
      </c>
      <c r="GVM91" s="74" t="s">
        <v>24</v>
      </c>
      <c r="GVN91" s="75" t="s">
        <v>25</v>
      </c>
      <c r="GVO91" s="76">
        <f>IFERROR(VLOOKUP(GVN91,'[1]List KPI'!$A$103:$F$118,6,0),"")</f>
        <v>1.0416666666666666E-2</v>
      </c>
      <c r="GVP91" s="76">
        <v>0.86944444444444446</v>
      </c>
      <c r="GVQ91" s="76">
        <v>0.86944444444444446</v>
      </c>
      <c r="GVR91" s="77" t="str">
        <f t="shared" ref="GVR91:GXN91" si="157">IF(GVQ91="","",IF(GVQ91&gt;GVZ91,"O","P"))</f>
        <v>O</v>
      </c>
      <c r="GVS91" s="74" t="s">
        <v>28</v>
      </c>
      <c r="GVT91" s="75" t="s">
        <v>23</v>
      </c>
      <c r="GVU91" s="78">
        <f>IFERROR(VLOOKUP(GVT91,'[1]List KPI'!$M$3:$N$8,2,0),"")</f>
        <v>2.0833333333333332E-2</v>
      </c>
      <c r="GVV91" s="76">
        <v>0.89444444444444449</v>
      </c>
      <c r="GVW91" s="77" t="str">
        <f t="shared" ref="GVW91:GXS91" si="158">IF(GVV91="","",IF(GVV91&gt;GWA91,"O","P"))</f>
        <v>O</v>
      </c>
      <c r="GVX91" s="79">
        <v>5</v>
      </c>
      <c r="GVY91" s="75">
        <v>1276006</v>
      </c>
      <c r="GVZ91" s="80"/>
      <c r="GWA91" s="81">
        <v>0.86944444444444446</v>
      </c>
      <c r="GWB91" s="74" t="s">
        <v>27</v>
      </c>
      <c r="GWC91" s="74" t="s">
        <v>24</v>
      </c>
      <c r="GWD91" s="75" t="s">
        <v>25</v>
      </c>
      <c r="GWE91" s="76">
        <f>IFERROR(VLOOKUP(GWD91,'[1]List KPI'!$A$103:$F$118,6,0),"")</f>
        <v>1.0416666666666666E-2</v>
      </c>
      <c r="GWF91" s="76">
        <v>0.86944444444444446</v>
      </c>
      <c r="GWG91" s="76">
        <v>0.86944444444444446</v>
      </c>
      <c r="GWH91" s="77" t="str">
        <f t="shared" si="157"/>
        <v>O</v>
      </c>
      <c r="GWI91" s="74" t="s">
        <v>28</v>
      </c>
      <c r="GWJ91" s="75" t="s">
        <v>23</v>
      </c>
      <c r="GWK91" s="78">
        <f>IFERROR(VLOOKUP(GWJ91,'[1]List KPI'!$M$3:$N$8,2,0),"")</f>
        <v>2.0833333333333332E-2</v>
      </c>
      <c r="GWL91" s="76">
        <v>0.89444444444444449</v>
      </c>
      <c r="GWM91" s="77" t="str">
        <f t="shared" si="158"/>
        <v>O</v>
      </c>
      <c r="GWN91" s="79">
        <v>5</v>
      </c>
      <c r="GWO91" s="75">
        <v>1276006</v>
      </c>
      <c r="GWP91" s="80"/>
      <c r="GWQ91" s="81">
        <v>0.86944444444444446</v>
      </c>
      <c r="GWR91" s="74" t="s">
        <v>27</v>
      </c>
      <c r="GWS91" s="74" t="s">
        <v>24</v>
      </c>
      <c r="GWT91" s="75" t="s">
        <v>25</v>
      </c>
      <c r="GWU91" s="76">
        <f>IFERROR(VLOOKUP(GWT91,'[1]List KPI'!$A$103:$F$118,6,0),"")</f>
        <v>1.0416666666666666E-2</v>
      </c>
      <c r="GWV91" s="76">
        <v>0.86944444444444446</v>
      </c>
      <c r="GWW91" s="76">
        <v>0.86944444444444446</v>
      </c>
      <c r="GWX91" s="77" t="str">
        <f t="shared" si="157"/>
        <v>O</v>
      </c>
      <c r="GWY91" s="74" t="s">
        <v>28</v>
      </c>
      <c r="GWZ91" s="75" t="s">
        <v>23</v>
      </c>
      <c r="GXA91" s="78">
        <f>IFERROR(VLOOKUP(GWZ91,'[1]List KPI'!$M$3:$N$8,2,0),"")</f>
        <v>2.0833333333333332E-2</v>
      </c>
      <c r="GXB91" s="76">
        <v>0.89444444444444449</v>
      </c>
      <c r="GXC91" s="77" t="str">
        <f t="shared" si="158"/>
        <v>O</v>
      </c>
      <c r="GXD91" s="79">
        <v>5</v>
      </c>
      <c r="GXE91" s="75">
        <v>1276006</v>
      </c>
      <c r="GXF91" s="80"/>
      <c r="GXG91" s="81">
        <v>0.86944444444444446</v>
      </c>
      <c r="GXH91" s="74" t="s">
        <v>27</v>
      </c>
      <c r="GXI91" s="74" t="s">
        <v>24</v>
      </c>
      <c r="GXJ91" s="75" t="s">
        <v>25</v>
      </c>
      <c r="GXK91" s="76">
        <f>IFERROR(VLOOKUP(GXJ91,'[1]List KPI'!$A$103:$F$118,6,0),"")</f>
        <v>1.0416666666666666E-2</v>
      </c>
      <c r="GXL91" s="76">
        <v>0.86944444444444446</v>
      </c>
      <c r="GXM91" s="76">
        <v>0.86944444444444446</v>
      </c>
      <c r="GXN91" s="77" t="str">
        <f t="shared" si="157"/>
        <v>O</v>
      </c>
      <c r="GXO91" s="74" t="s">
        <v>28</v>
      </c>
      <c r="GXP91" s="75" t="s">
        <v>23</v>
      </c>
      <c r="GXQ91" s="78">
        <f>IFERROR(VLOOKUP(GXP91,'[1]List KPI'!$M$3:$N$8,2,0),"")</f>
        <v>2.0833333333333332E-2</v>
      </c>
      <c r="GXR91" s="76">
        <v>0.89444444444444449</v>
      </c>
      <c r="GXS91" s="77" t="str">
        <f t="shared" si="158"/>
        <v>O</v>
      </c>
      <c r="GXT91" s="79">
        <v>5</v>
      </c>
      <c r="GXU91" s="75">
        <v>1276006</v>
      </c>
      <c r="GXV91" s="80"/>
      <c r="GXW91" s="81">
        <v>0.86944444444444446</v>
      </c>
      <c r="GXX91" s="74" t="s">
        <v>27</v>
      </c>
      <c r="GXY91" s="74" t="s">
        <v>24</v>
      </c>
      <c r="GXZ91" s="75" t="s">
        <v>25</v>
      </c>
      <c r="GYA91" s="76">
        <f>IFERROR(VLOOKUP(GXZ91,'[1]List KPI'!$A$103:$F$118,6,0),"")</f>
        <v>1.0416666666666666E-2</v>
      </c>
      <c r="GYB91" s="76">
        <v>0.86944444444444446</v>
      </c>
      <c r="GYC91" s="76">
        <v>0.86944444444444446</v>
      </c>
      <c r="GYD91" s="77" t="str">
        <f t="shared" ref="GYD91:GZZ91" si="159">IF(GYC91="","",IF(GYC91&gt;GYL91,"O","P"))</f>
        <v>O</v>
      </c>
      <c r="GYE91" s="74" t="s">
        <v>28</v>
      </c>
      <c r="GYF91" s="75" t="s">
        <v>23</v>
      </c>
      <c r="GYG91" s="78">
        <f>IFERROR(VLOOKUP(GYF91,'[1]List KPI'!$M$3:$N$8,2,0),"")</f>
        <v>2.0833333333333332E-2</v>
      </c>
      <c r="GYH91" s="76">
        <v>0.89444444444444449</v>
      </c>
      <c r="GYI91" s="77" t="str">
        <f t="shared" ref="GYI91:HAE91" si="160">IF(GYH91="","",IF(GYH91&gt;GYM91,"O","P"))</f>
        <v>O</v>
      </c>
      <c r="GYJ91" s="79">
        <v>5</v>
      </c>
      <c r="GYK91" s="75">
        <v>1276006</v>
      </c>
      <c r="GYL91" s="80"/>
      <c r="GYM91" s="81">
        <v>0.86944444444444446</v>
      </c>
      <c r="GYN91" s="74" t="s">
        <v>27</v>
      </c>
      <c r="GYO91" s="74" t="s">
        <v>24</v>
      </c>
      <c r="GYP91" s="75" t="s">
        <v>25</v>
      </c>
      <c r="GYQ91" s="76">
        <f>IFERROR(VLOOKUP(GYP91,'[1]List KPI'!$A$103:$F$118,6,0),"")</f>
        <v>1.0416666666666666E-2</v>
      </c>
      <c r="GYR91" s="76">
        <v>0.86944444444444446</v>
      </c>
      <c r="GYS91" s="76">
        <v>0.86944444444444446</v>
      </c>
      <c r="GYT91" s="77" t="str">
        <f t="shared" si="159"/>
        <v>O</v>
      </c>
      <c r="GYU91" s="74" t="s">
        <v>28</v>
      </c>
      <c r="GYV91" s="75" t="s">
        <v>23</v>
      </c>
      <c r="GYW91" s="78">
        <f>IFERROR(VLOOKUP(GYV91,'[1]List KPI'!$M$3:$N$8,2,0),"")</f>
        <v>2.0833333333333332E-2</v>
      </c>
      <c r="GYX91" s="76">
        <v>0.89444444444444449</v>
      </c>
      <c r="GYY91" s="77" t="str">
        <f t="shared" si="160"/>
        <v>O</v>
      </c>
      <c r="GYZ91" s="79">
        <v>5</v>
      </c>
      <c r="GZA91" s="75">
        <v>1276006</v>
      </c>
      <c r="GZB91" s="80"/>
      <c r="GZC91" s="81">
        <v>0.86944444444444446</v>
      </c>
      <c r="GZD91" s="74" t="s">
        <v>27</v>
      </c>
      <c r="GZE91" s="74" t="s">
        <v>24</v>
      </c>
      <c r="GZF91" s="75" t="s">
        <v>25</v>
      </c>
      <c r="GZG91" s="76">
        <f>IFERROR(VLOOKUP(GZF91,'[1]List KPI'!$A$103:$F$118,6,0),"")</f>
        <v>1.0416666666666666E-2</v>
      </c>
      <c r="GZH91" s="76">
        <v>0.86944444444444446</v>
      </c>
      <c r="GZI91" s="76">
        <v>0.86944444444444446</v>
      </c>
      <c r="GZJ91" s="77" t="str">
        <f t="shared" si="159"/>
        <v>O</v>
      </c>
      <c r="GZK91" s="74" t="s">
        <v>28</v>
      </c>
      <c r="GZL91" s="75" t="s">
        <v>23</v>
      </c>
      <c r="GZM91" s="78">
        <f>IFERROR(VLOOKUP(GZL91,'[1]List KPI'!$M$3:$N$8,2,0),"")</f>
        <v>2.0833333333333332E-2</v>
      </c>
      <c r="GZN91" s="76">
        <v>0.89444444444444449</v>
      </c>
      <c r="GZO91" s="77" t="str">
        <f t="shared" si="160"/>
        <v>O</v>
      </c>
      <c r="GZP91" s="79">
        <v>5</v>
      </c>
      <c r="GZQ91" s="75">
        <v>1276006</v>
      </c>
      <c r="GZR91" s="80"/>
      <c r="GZS91" s="81">
        <v>0.86944444444444446</v>
      </c>
      <c r="GZT91" s="74" t="s">
        <v>27</v>
      </c>
      <c r="GZU91" s="74" t="s">
        <v>24</v>
      </c>
      <c r="GZV91" s="75" t="s">
        <v>25</v>
      </c>
      <c r="GZW91" s="76">
        <f>IFERROR(VLOOKUP(GZV91,'[1]List KPI'!$A$103:$F$118,6,0),"")</f>
        <v>1.0416666666666666E-2</v>
      </c>
      <c r="GZX91" s="76">
        <v>0.86944444444444446</v>
      </c>
      <c r="GZY91" s="76">
        <v>0.86944444444444446</v>
      </c>
      <c r="GZZ91" s="77" t="str">
        <f t="shared" si="159"/>
        <v>O</v>
      </c>
      <c r="HAA91" s="74" t="s">
        <v>28</v>
      </c>
      <c r="HAB91" s="75" t="s">
        <v>23</v>
      </c>
      <c r="HAC91" s="78">
        <f>IFERROR(VLOOKUP(HAB91,'[1]List KPI'!$M$3:$N$8,2,0),"")</f>
        <v>2.0833333333333332E-2</v>
      </c>
      <c r="HAD91" s="76">
        <v>0.89444444444444449</v>
      </c>
      <c r="HAE91" s="77" t="str">
        <f t="shared" si="160"/>
        <v>O</v>
      </c>
      <c r="HAF91" s="79">
        <v>5</v>
      </c>
      <c r="HAG91" s="75">
        <v>1276006</v>
      </c>
      <c r="HAH91" s="80"/>
      <c r="HAI91" s="81">
        <v>0.86944444444444446</v>
      </c>
      <c r="HAJ91" s="74" t="s">
        <v>27</v>
      </c>
      <c r="HAK91" s="74" t="s">
        <v>24</v>
      </c>
      <c r="HAL91" s="75" t="s">
        <v>25</v>
      </c>
      <c r="HAM91" s="76">
        <f>IFERROR(VLOOKUP(HAL91,'[1]List KPI'!$A$103:$F$118,6,0),"")</f>
        <v>1.0416666666666666E-2</v>
      </c>
      <c r="HAN91" s="76">
        <v>0.86944444444444446</v>
      </c>
      <c r="HAO91" s="76">
        <v>0.86944444444444446</v>
      </c>
      <c r="HAP91" s="77" t="str">
        <f t="shared" ref="HAP91:HCL91" si="161">IF(HAO91="","",IF(HAO91&gt;HAX91,"O","P"))</f>
        <v>O</v>
      </c>
      <c r="HAQ91" s="74" t="s">
        <v>28</v>
      </c>
      <c r="HAR91" s="75" t="s">
        <v>23</v>
      </c>
      <c r="HAS91" s="78">
        <f>IFERROR(VLOOKUP(HAR91,'[1]List KPI'!$M$3:$N$8,2,0),"")</f>
        <v>2.0833333333333332E-2</v>
      </c>
      <c r="HAT91" s="76">
        <v>0.89444444444444449</v>
      </c>
      <c r="HAU91" s="77" t="str">
        <f t="shared" ref="HAU91:HCQ91" si="162">IF(HAT91="","",IF(HAT91&gt;HAY91,"O","P"))</f>
        <v>O</v>
      </c>
      <c r="HAV91" s="79">
        <v>5</v>
      </c>
      <c r="HAW91" s="75">
        <v>1276006</v>
      </c>
      <c r="HAX91" s="80"/>
      <c r="HAY91" s="81">
        <v>0.86944444444444446</v>
      </c>
      <c r="HAZ91" s="74" t="s">
        <v>27</v>
      </c>
      <c r="HBA91" s="74" t="s">
        <v>24</v>
      </c>
      <c r="HBB91" s="75" t="s">
        <v>25</v>
      </c>
      <c r="HBC91" s="76">
        <f>IFERROR(VLOOKUP(HBB91,'[1]List KPI'!$A$103:$F$118,6,0),"")</f>
        <v>1.0416666666666666E-2</v>
      </c>
      <c r="HBD91" s="76">
        <v>0.86944444444444446</v>
      </c>
      <c r="HBE91" s="76">
        <v>0.86944444444444446</v>
      </c>
      <c r="HBF91" s="77" t="str">
        <f t="shared" si="161"/>
        <v>O</v>
      </c>
      <c r="HBG91" s="74" t="s">
        <v>28</v>
      </c>
      <c r="HBH91" s="75" t="s">
        <v>23</v>
      </c>
      <c r="HBI91" s="78">
        <f>IFERROR(VLOOKUP(HBH91,'[1]List KPI'!$M$3:$N$8,2,0),"")</f>
        <v>2.0833333333333332E-2</v>
      </c>
      <c r="HBJ91" s="76">
        <v>0.89444444444444449</v>
      </c>
      <c r="HBK91" s="77" t="str">
        <f t="shared" si="162"/>
        <v>O</v>
      </c>
      <c r="HBL91" s="79">
        <v>5</v>
      </c>
      <c r="HBM91" s="75">
        <v>1276006</v>
      </c>
      <c r="HBN91" s="80"/>
      <c r="HBO91" s="81">
        <v>0.86944444444444446</v>
      </c>
      <c r="HBP91" s="74" t="s">
        <v>27</v>
      </c>
      <c r="HBQ91" s="74" t="s">
        <v>24</v>
      </c>
      <c r="HBR91" s="75" t="s">
        <v>25</v>
      </c>
      <c r="HBS91" s="76">
        <f>IFERROR(VLOOKUP(HBR91,'[1]List KPI'!$A$103:$F$118,6,0),"")</f>
        <v>1.0416666666666666E-2</v>
      </c>
      <c r="HBT91" s="76">
        <v>0.86944444444444446</v>
      </c>
      <c r="HBU91" s="76">
        <v>0.86944444444444446</v>
      </c>
      <c r="HBV91" s="77" t="str">
        <f t="shared" si="161"/>
        <v>O</v>
      </c>
      <c r="HBW91" s="74" t="s">
        <v>28</v>
      </c>
      <c r="HBX91" s="75" t="s">
        <v>23</v>
      </c>
      <c r="HBY91" s="78">
        <f>IFERROR(VLOOKUP(HBX91,'[1]List KPI'!$M$3:$N$8,2,0),"")</f>
        <v>2.0833333333333332E-2</v>
      </c>
      <c r="HBZ91" s="76">
        <v>0.89444444444444449</v>
      </c>
      <c r="HCA91" s="77" t="str">
        <f t="shared" si="162"/>
        <v>O</v>
      </c>
      <c r="HCB91" s="79">
        <v>5</v>
      </c>
      <c r="HCC91" s="75">
        <v>1276006</v>
      </c>
      <c r="HCD91" s="80"/>
      <c r="HCE91" s="81">
        <v>0.86944444444444446</v>
      </c>
      <c r="HCF91" s="74" t="s">
        <v>27</v>
      </c>
      <c r="HCG91" s="74" t="s">
        <v>24</v>
      </c>
      <c r="HCH91" s="75" t="s">
        <v>25</v>
      </c>
      <c r="HCI91" s="76">
        <f>IFERROR(VLOOKUP(HCH91,'[1]List KPI'!$A$103:$F$118,6,0),"")</f>
        <v>1.0416666666666666E-2</v>
      </c>
      <c r="HCJ91" s="76">
        <v>0.86944444444444446</v>
      </c>
      <c r="HCK91" s="76">
        <v>0.86944444444444446</v>
      </c>
      <c r="HCL91" s="77" t="str">
        <f t="shared" si="161"/>
        <v>O</v>
      </c>
      <c r="HCM91" s="74" t="s">
        <v>28</v>
      </c>
      <c r="HCN91" s="75" t="s">
        <v>23</v>
      </c>
      <c r="HCO91" s="78">
        <f>IFERROR(VLOOKUP(HCN91,'[1]List KPI'!$M$3:$N$8,2,0),"")</f>
        <v>2.0833333333333332E-2</v>
      </c>
      <c r="HCP91" s="76">
        <v>0.89444444444444449</v>
      </c>
      <c r="HCQ91" s="77" t="str">
        <f t="shared" si="162"/>
        <v>O</v>
      </c>
      <c r="HCR91" s="79">
        <v>5</v>
      </c>
      <c r="HCS91" s="75">
        <v>1276006</v>
      </c>
      <c r="HCT91" s="80"/>
      <c r="HCU91" s="81">
        <v>0.86944444444444446</v>
      </c>
      <c r="HCV91" s="74" t="s">
        <v>27</v>
      </c>
      <c r="HCW91" s="74" t="s">
        <v>24</v>
      </c>
      <c r="HCX91" s="75" t="s">
        <v>25</v>
      </c>
      <c r="HCY91" s="76">
        <f>IFERROR(VLOOKUP(HCX91,'[1]List KPI'!$A$103:$F$118,6,0),"")</f>
        <v>1.0416666666666666E-2</v>
      </c>
      <c r="HCZ91" s="76">
        <v>0.86944444444444446</v>
      </c>
      <c r="HDA91" s="76">
        <v>0.86944444444444446</v>
      </c>
      <c r="HDB91" s="77" t="str">
        <f t="shared" ref="HDB91:HEX91" si="163">IF(HDA91="","",IF(HDA91&gt;HDJ91,"O","P"))</f>
        <v>O</v>
      </c>
      <c r="HDC91" s="74" t="s">
        <v>28</v>
      </c>
      <c r="HDD91" s="75" t="s">
        <v>23</v>
      </c>
      <c r="HDE91" s="78">
        <f>IFERROR(VLOOKUP(HDD91,'[1]List KPI'!$M$3:$N$8,2,0),"")</f>
        <v>2.0833333333333332E-2</v>
      </c>
      <c r="HDF91" s="76">
        <v>0.89444444444444449</v>
      </c>
      <c r="HDG91" s="77" t="str">
        <f t="shared" ref="HDG91:HFC91" si="164">IF(HDF91="","",IF(HDF91&gt;HDK91,"O","P"))</f>
        <v>O</v>
      </c>
      <c r="HDH91" s="79">
        <v>5</v>
      </c>
      <c r="HDI91" s="75">
        <v>1276006</v>
      </c>
      <c r="HDJ91" s="80"/>
      <c r="HDK91" s="81">
        <v>0.86944444444444446</v>
      </c>
      <c r="HDL91" s="74" t="s">
        <v>27</v>
      </c>
      <c r="HDM91" s="74" t="s">
        <v>24</v>
      </c>
      <c r="HDN91" s="75" t="s">
        <v>25</v>
      </c>
      <c r="HDO91" s="76">
        <f>IFERROR(VLOOKUP(HDN91,'[1]List KPI'!$A$103:$F$118,6,0),"")</f>
        <v>1.0416666666666666E-2</v>
      </c>
      <c r="HDP91" s="76">
        <v>0.86944444444444446</v>
      </c>
      <c r="HDQ91" s="76">
        <v>0.86944444444444446</v>
      </c>
      <c r="HDR91" s="77" t="str">
        <f t="shared" si="163"/>
        <v>O</v>
      </c>
      <c r="HDS91" s="74" t="s">
        <v>28</v>
      </c>
      <c r="HDT91" s="75" t="s">
        <v>23</v>
      </c>
      <c r="HDU91" s="78">
        <f>IFERROR(VLOOKUP(HDT91,'[1]List KPI'!$M$3:$N$8,2,0),"")</f>
        <v>2.0833333333333332E-2</v>
      </c>
      <c r="HDV91" s="76">
        <v>0.89444444444444449</v>
      </c>
      <c r="HDW91" s="77" t="str">
        <f t="shared" si="164"/>
        <v>O</v>
      </c>
      <c r="HDX91" s="79">
        <v>5</v>
      </c>
      <c r="HDY91" s="75">
        <v>1276006</v>
      </c>
      <c r="HDZ91" s="80"/>
      <c r="HEA91" s="81">
        <v>0.86944444444444446</v>
      </c>
      <c r="HEB91" s="74" t="s">
        <v>27</v>
      </c>
      <c r="HEC91" s="74" t="s">
        <v>24</v>
      </c>
      <c r="HED91" s="75" t="s">
        <v>25</v>
      </c>
      <c r="HEE91" s="76">
        <f>IFERROR(VLOOKUP(HED91,'[1]List KPI'!$A$103:$F$118,6,0),"")</f>
        <v>1.0416666666666666E-2</v>
      </c>
      <c r="HEF91" s="76">
        <v>0.86944444444444446</v>
      </c>
      <c r="HEG91" s="76">
        <v>0.86944444444444446</v>
      </c>
      <c r="HEH91" s="77" t="str">
        <f t="shared" si="163"/>
        <v>O</v>
      </c>
      <c r="HEI91" s="74" t="s">
        <v>28</v>
      </c>
      <c r="HEJ91" s="75" t="s">
        <v>23</v>
      </c>
      <c r="HEK91" s="78">
        <f>IFERROR(VLOOKUP(HEJ91,'[1]List KPI'!$M$3:$N$8,2,0),"")</f>
        <v>2.0833333333333332E-2</v>
      </c>
      <c r="HEL91" s="76">
        <v>0.89444444444444449</v>
      </c>
      <c r="HEM91" s="77" t="str">
        <f t="shared" si="164"/>
        <v>O</v>
      </c>
      <c r="HEN91" s="79">
        <v>5</v>
      </c>
      <c r="HEO91" s="75">
        <v>1276006</v>
      </c>
      <c r="HEP91" s="80"/>
      <c r="HEQ91" s="81">
        <v>0.86944444444444446</v>
      </c>
      <c r="HER91" s="74" t="s">
        <v>27</v>
      </c>
      <c r="HES91" s="74" t="s">
        <v>24</v>
      </c>
      <c r="HET91" s="75" t="s">
        <v>25</v>
      </c>
      <c r="HEU91" s="76">
        <f>IFERROR(VLOOKUP(HET91,'[1]List KPI'!$A$103:$F$118,6,0),"")</f>
        <v>1.0416666666666666E-2</v>
      </c>
      <c r="HEV91" s="76">
        <v>0.86944444444444446</v>
      </c>
      <c r="HEW91" s="76">
        <v>0.86944444444444446</v>
      </c>
      <c r="HEX91" s="77" t="str">
        <f t="shared" si="163"/>
        <v>O</v>
      </c>
      <c r="HEY91" s="74" t="s">
        <v>28</v>
      </c>
      <c r="HEZ91" s="75" t="s">
        <v>23</v>
      </c>
      <c r="HFA91" s="78">
        <f>IFERROR(VLOOKUP(HEZ91,'[1]List KPI'!$M$3:$N$8,2,0),"")</f>
        <v>2.0833333333333332E-2</v>
      </c>
      <c r="HFB91" s="76">
        <v>0.89444444444444449</v>
      </c>
      <c r="HFC91" s="77" t="str">
        <f t="shared" si="164"/>
        <v>O</v>
      </c>
      <c r="HFD91" s="79">
        <v>5</v>
      </c>
      <c r="HFE91" s="75">
        <v>1276006</v>
      </c>
      <c r="HFF91" s="80"/>
      <c r="HFG91" s="81">
        <v>0.86944444444444446</v>
      </c>
      <c r="HFH91" s="74" t="s">
        <v>27</v>
      </c>
      <c r="HFI91" s="74" t="s">
        <v>24</v>
      </c>
      <c r="HFJ91" s="75" t="s">
        <v>25</v>
      </c>
      <c r="HFK91" s="76">
        <f>IFERROR(VLOOKUP(HFJ91,'[1]List KPI'!$A$103:$F$118,6,0),"")</f>
        <v>1.0416666666666666E-2</v>
      </c>
      <c r="HFL91" s="76">
        <v>0.86944444444444446</v>
      </c>
      <c r="HFM91" s="76">
        <v>0.86944444444444446</v>
      </c>
      <c r="HFN91" s="77" t="str">
        <f t="shared" ref="HFN91:HHJ91" si="165">IF(HFM91="","",IF(HFM91&gt;HFV91,"O","P"))</f>
        <v>O</v>
      </c>
      <c r="HFO91" s="74" t="s">
        <v>28</v>
      </c>
      <c r="HFP91" s="75" t="s">
        <v>23</v>
      </c>
      <c r="HFQ91" s="78">
        <f>IFERROR(VLOOKUP(HFP91,'[1]List KPI'!$M$3:$N$8,2,0),"")</f>
        <v>2.0833333333333332E-2</v>
      </c>
      <c r="HFR91" s="76">
        <v>0.89444444444444449</v>
      </c>
      <c r="HFS91" s="77" t="str">
        <f t="shared" ref="HFS91:HHO91" si="166">IF(HFR91="","",IF(HFR91&gt;HFW91,"O","P"))</f>
        <v>O</v>
      </c>
      <c r="HFT91" s="79">
        <v>5</v>
      </c>
      <c r="HFU91" s="75">
        <v>1276006</v>
      </c>
      <c r="HFV91" s="80"/>
      <c r="HFW91" s="81">
        <v>0.86944444444444446</v>
      </c>
      <c r="HFX91" s="74" t="s">
        <v>27</v>
      </c>
      <c r="HFY91" s="74" t="s">
        <v>24</v>
      </c>
      <c r="HFZ91" s="75" t="s">
        <v>25</v>
      </c>
      <c r="HGA91" s="76">
        <f>IFERROR(VLOOKUP(HFZ91,'[1]List KPI'!$A$103:$F$118,6,0),"")</f>
        <v>1.0416666666666666E-2</v>
      </c>
      <c r="HGB91" s="76">
        <v>0.86944444444444446</v>
      </c>
      <c r="HGC91" s="76">
        <v>0.86944444444444446</v>
      </c>
      <c r="HGD91" s="77" t="str">
        <f t="shared" si="165"/>
        <v>O</v>
      </c>
      <c r="HGE91" s="74" t="s">
        <v>28</v>
      </c>
      <c r="HGF91" s="75" t="s">
        <v>23</v>
      </c>
      <c r="HGG91" s="78">
        <f>IFERROR(VLOOKUP(HGF91,'[1]List KPI'!$M$3:$N$8,2,0),"")</f>
        <v>2.0833333333333332E-2</v>
      </c>
      <c r="HGH91" s="76">
        <v>0.89444444444444449</v>
      </c>
      <c r="HGI91" s="77" t="str">
        <f t="shared" si="166"/>
        <v>O</v>
      </c>
      <c r="HGJ91" s="79">
        <v>5</v>
      </c>
      <c r="HGK91" s="75">
        <v>1276006</v>
      </c>
      <c r="HGL91" s="80"/>
      <c r="HGM91" s="81">
        <v>0.86944444444444446</v>
      </c>
      <c r="HGN91" s="74" t="s">
        <v>27</v>
      </c>
      <c r="HGO91" s="74" t="s">
        <v>24</v>
      </c>
      <c r="HGP91" s="75" t="s">
        <v>25</v>
      </c>
      <c r="HGQ91" s="76">
        <f>IFERROR(VLOOKUP(HGP91,'[1]List KPI'!$A$103:$F$118,6,0),"")</f>
        <v>1.0416666666666666E-2</v>
      </c>
      <c r="HGR91" s="76">
        <v>0.86944444444444446</v>
      </c>
      <c r="HGS91" s="76">
        <v>0.86944444444444446</v>
      </c>
      <c r="HGT91" s="77" t="str">
        <f t="shared" si="165"/>
        <v>O</v>
      </c>
      <c r="HGU91" s="74" t="s">
        <v>28</v>
      </c>
      <c r="HGV91" s="75" t="s">
        <v>23</v>
      </c>
      <c r="HGW91" s="78">
        <f>IFERROR(VLOOKUP(HGV91,'[1]List KPI'!$M$3:$N$8,2,0),"")</f>
        <v>2.0833333333333332E-2</v>
      </c>
      <c r="HGX91" s="76">
        <v>0.89444444444444449</v>
      </c>
      <c r="HGY91" s="77" t="str">
        <f t="shared" si="166"/>
        <v>O</v>
      </c>
      <c r="HGZ91" s="79">
        <v>5</v>
      </c>
      <c r="HHA91" s="75">
        <v>1276006</v>
      </c>
      <c r="HHB91" s="80"/>
      <c r="HHC91" s="81">
        <v>0.86944444444444446</v>
      </c>
      <c r="HHD91" s="74" t="s">
        <v>27</v>
      </c>
      <c r="HHE91" s="74" t="s">
        <v>24</v>
      </c>
      <c r="HHF91" s="75" t="s">
        <v>25</v>
      </c>
      <c r="HHG91" s="76">
        <f>IFERROR(VLOOKUP(HHF91,'[1]List KPI'!$A$103:$F$118,6,0),"")</f>
        <v>1.0416666666666666E-2</v>
      </c>
      <c r="HHH91" s="76">
        <v>0.86944444444444446</v>
      </c>
      <c r="HHI91" s="76">
        <v>0.86944444444444446</v>
      </c>
      <c r="HHJ91" s="77" t="str">
        <f t="shared" si="165"/>
        <v>O</v>
      </c>
      <c r="HHK91" s="74" t="s">
        <v>28</v>
      </c>
      <c r="HHL91" s="75" t="s">
        <v>23</v>
      </c>
      <c r="HHM91" s="78">
        <f>IFERROR(VLOOKUP(HHL91,'[1]List KPI'!$M$3:$N$8,2,0),"")</f>
        <v>2.0833333333333332E-2</v>
      </c>
      <c r="HHN91" s="76">
        <v>0.89444444444444449</v>
      </c>
      <c r="HHO91" s="77" t="str">
        <f t="shared" si="166"/>
        <v>O</v>
      </c>
      <c r="HHP91" s="79">
        <v>5</v>
      </c>
      <c r="HHQ91" s="75">
        <v>1276006</v>
      </c>
      <c r="HHR91" s="80"/>
      <c r="HHS91" s="81">
        <v>0.86944444444444446</v>
      </c>
      <c r="HHT91" s="74" t="s">
        <v>27</v>
      </c>
      <c r="HHU91" s="74" t="s">
        <v>24</v>
      </c>
      <c r="HHV91" s="75" t="s">
        <v>25</v>
      </c>
      <c r="HHW91" s="76">
        <f>IFERROR(VLOOKUP(HHV91,'[1]List KPI'!$A$103:$F$118,6,0),"")</f>
        <v>1.0416666666666666E-2</v>
      </c>
      <c r="HHX91" s="76">
        <v>0.86944444444444446</v>
      </c>
      <c r="HHY91" s="76">
        <v>0.86944444444444446</v>
      </c>
      <c r="HHZ91" s="77" t="str">
        <f t="shared" ref="HHZ91:HJV91" si="167">IF(HHY91="","",IF(HHY91&gt;HIH91,"O","P"))</f>
        <v>O</v>
      </c>
      <c r="HIA91" s="74" t="s">
        <v>28</v>
      </c>
      <c r="HIB91" s="75" t="s">
        <v>23</v>
      </c>
      <c r="HIC91" s="78">
        <f>IFERROR(VLOOKUP(HIB91,'[1]List KPI'!$M$3:$N$8,2,0),"")</f>
        <v>2.0833333333333332E-2</v>
      </c>
      <c r="HID91" s="76">
        <v>0.89444444444444449</v>
      </c>
      <c r="HIE91" s="77" t="str">
        <f t="shared" ref="HIE91:HKA91" si="168">IF(HID91="","",IF(HID91&gt;HII91,"O","P"))</f>
        <v>O</v>
      </c>
      <c r="HIF91" s="79">
        <v>5</v>
      </c>
      <c r="HIG91" s="75">
        <v>1276006</v>
      </c>
      <c r="HIH91" s="80"/>
      <c r="HII91" s="81">
        <v>0.86944444444444446</v>
      </c>
      <c r="HIJ91" s="74" t="s">
        <v>27</v>
      </c>
      <c r="HIK91" s="74" t="s">
        <v>24</v>
      </c>
      <c r="HIL91" s="75" t="s">
        <v>25</v>
      </c>
      <c r="HIM91" s="76">
        <f>IFERROR(VLOOKUP(HIL91,'[1]List KPI'!$A$103:$F$118,6,0),"")</f>
        <v>1.0416666666666666E-2</v>
      </c>
      <c r="HIN91" s="76">
        <v>0.86944444444444446</v>
      </c>
      <c r="HIO91" s="76">
        <v>0.86944444444444446</v>
      </c>
      <c r="HIP91" s="77" t="str">
        <f t="shared" si="167"/>
        <v>O</v>
      </c>
      <c r="HIQ91" s="74" t="s">
        <v>28</v>
      </c>
      <c r="HIR91" s="75" t="s">
        <v>23</v>
      </c>
      <c r="HIS91" s="78">
        <f>IFERROR(VLOOKUP(HIR91,'[1]List KPI'!$M$3:$N$8,2,0),"")</f>
        <v>2.0833333333333332E-2</v>
      </c>
      <c r="HIT91" s="76">
        <v>0.89444444444444449</v>
      </c>
      <c r="HIU91" s="77" t="str">
        <f t="shared" si="168"/>
        <v>O</v>
      </c>
      <c r="HIV91" s="79">
        <v>5</v>
      </c>
      <c r="HIW91" s="75">
        <v>1276006</v>
      </c>
      <c r="HIX91" s="80"/>
      <c r="HIY91" s="81">
        <v>0.86944444444444446</v>
      </c>
      <c r="HIZ91" s="74" t="s">
        <v>27</v>
      </c>
      <c r="HJA91" s="74" t="s">
        <v>24</v>
      </c>
      <c r="HJB91" s="75" t="s">
        <v>25</v>
      </c>
      <c r="HJC91" s="76">
        <f>IFERROR(VLOOKUP(HJB91,'[1]List KPI'!$A$103:$F$118,6,0),"")</f>
        <v>1.0416666666666666E-2</v>
      </c>
      <c r="HJD91" s="76">
        <v>0.86944444444444446</v>
      </c>
      <c r="HJE91" s="76">
        <v>0.86944444444444446</v>
      </c>
      <c r="HJF91" s="77" t="str">
        <f t="shared" si="167"/>
        <v>O</v>
      </c>
      <c r="HJG91" s="74" t="s">
        <v>28</v>
      </c>
      <c r="HJH91" s="75" t="s">
        <v>23</v>
      </c>
      <c r="HJI91" s="78">
        <f>IFERROR(VLOOKUP(HJH91,'[1]List KPI'!$M$3:$N$8,2,0),"")</f>
        <v>2.0833333333333332E-2</v>
      </c>
      <c r="HJJ91" s="76">
        <v>0.89444444444444449</v>
      </c>
      <c r="HJK91" s="77" t="str">
        <f t="shared" si="168"/>
        <v>O</v>
      </c>
      <c r="HJL91" s="79">
        <v>5</v>
      </c>
      <c r="HJM91" s="75">
        <v>1276006</v>
      </c>
      <c r="HJN91" s="80"/>
      <c r="HJO91" s="81">
        <v>0.86944444444444446</v>
      </c>
      <c r="HJP91" s="74" t="s">
        <v>27</v>
      </c>
      <c r="HJQ91" s="74" t="s">
        <v>24</v>
      </c>
      <c r="HJR91" s="75" t="s">
        <v>25</v>
      </c>
      <c r="HJS91" s="76">
        <f>IFERROR(VLOOKUP(HJR91,'[1]List KPI'!$A$103:$F$118,6,0),"")</f>
        <v>1.0416666666666666E-2</v>
      </c>
      <c r="HJT91" s="76">
        <v>0.86944444444444446</v>
      </c>
      <c r="HJU91" s="76">
        <v>0.86944444444444446</v>
      </c>
      <c r="HJV91" s="77" t="str">
        <f t="shared" si="167"/>
        <v>O</v>
      </c>
      <c r="HJW91" s="74" t="s">
        <v>28</v>
      </c>
      <c r="HJX91" s="75" t="s">
        <v>23</v>
      </c>
      <c r="HJY91" s="78">
        <f>IFERROR(VLOOKUP(HJX91,'[1]List KPI'!$M$3:$N$8,2,0),"")</f>
        <v>2.0833333333333332E-2</v>
      </c>
      <c r="HJZ91" s="76">
        <v>0.89444444444444449</v>
      </c>
      <c r="HKA91" s="77" t="str">
        <f t="shared" si="168"/>
        <v>O</v>
      </c>
      <c r="HKB91" s="79">
        <v>5</v>
      </c>
      <c r="HKC91" s="75">
        <v>1276006</v>
      </c>
      <c r="HKD91" s="80"/>
      <c r="HKE91" s="81">
        <v>0.86944444444444446</v>
      </c>
      <c r="HKF91" s="74" t="s">
        <v>27</v>
      </c>
      <c r="HKG91" s="74" t="s">
        <v>24</v>
      </c>
      <c r="HKH91" s="75" t="s">
        <v>25</v>
      </c>
      <c r="HKI91" s="76">
        <f>IFERROR(VLOOKUP(HKH91,'[1]List KPI'!$A$103:$F$118,6,0),"")</f>
        <v>1.0416666666666666E-2</v>
      </c>
      <c r="HKJ91" s="76">
        <v>0.86944444444444446</v>
      </c>
      <c r="HKK91" s="76">
        <v>0.86944444444444446</v>
      </c>
      <c r="HKL91" s="77" t="str">
        <f t="shared" ref="HKL91:HMH91" si="169">IF(HKK91="","",IF(HKK91&gt;HKT91,"O","P"))</f>
        <v>O</v>
      </c>
      <c r="HKM91" s="74" t="s">
        <v>28</v>
      </c>
      <c r="HKN91" s="75" t="s">
        <v>23</v>
      </c>
      <c r="HKO91" s="78">
        <f>IFERROR(VLOOKUP(HKN91,'[1]List KPI'!$M$3:$N$8,2,0),"")</f>
        <v>2.0833333333333332E-2</v>
      </c>
      <c r="HKP91" s="76">
        <v>0.89444444444444449</v>
      </c>
      <c r="HKQ91" s="77" t="str">
        <f t="shared" ref="HKQ91:HMM91" si="170">IF(HKP91="","",IF(HKP91&gt;HKU91,"O","P"))</f>
        <v>O</v>
      </c>
      <c r="HKR91" s="79">
        <v>5</v>
      </c>
      <c r="HKS91" s="75">
        <v>1276006</v>
      </c>
      <c r="HKT91" s="80"/>
      <c r="HKU91" s="81">
        <v>0.86944444444444446</v>
      </c>
      <c r="HKV91" s="74" t="s">
        <v>27</v>
      </c>
      <c r="HKW91" s="74" t="s">
        <v>24</v>
      </c>
      <c r="HKX91" s="75" t="s">
        <v>25</v>
      </c>
      <c r="HKY91" s="76">
        <f>IFERROR(VLOOKUP(HKX91,'[1]List KPI'!$A$103:$F$118,6,0),"")</f>
        <v>1.0416666666666666E-2</v>
      </c>
      <c r="HKZ91" s="76">
        <v>0.86944444444444446</v>
      </c>
      <c r="HLA91" s="76">
        <v>0.86944444444444446</v>
      </c>
      <c r="HLB91" s="77" t="str">
        <f t="shared" si="169"/>
        <v>O</v>
      </c>
      <c r="HLC91" s="74" t="s">
        <v>28</v>
      </c>
      <c r="HLD91" s="75" t="s">
        <v>23</v>
      </c>
      <c r="HLE91" s="78">
        <f>IFERROR(VLOOKUP(HLD91,'[1]List KPI'!$M$3:$N$8,2,0),"")</f>
        <v>2.0833333333333332E-2</v>
      </c>
      <c r="HLF91" s="76">
        <v>0.89444444444444449</v>
      </c>
      <c r="HLG91" s="77" t="str">
        <f t="shared" si="170"/>
        <v>O</v>
      </c>
      <c r="HLH91" s="79">
        <v>5</v>
      </c>
      <c r="HLI91" s="75">
        <v>1276006</v>
      </c>
      <c r="HLJ91" s="80"/>
      <c r="HLK91" s="81">
        <v>0.86944444444444446</v>
      </c>
      <c r="HLL91" s="74" t="s">
        <v>27</v>
      </c>
      <c r="HLM91" s="74" t="s">
        <v>24</v>
      </c>
      <c r="HLN91" s="75" t="s">
        <v>25</v>
      </c>
      <c r="HLO91" s="76">
        <f>IFERROR(VLOOKUP(HLN91,'[1]List KPI'!$A$103:$F$118,6,0),"")</f>
        <v>1.0416666666666666E-2</v>
      </c>
      <c r="HLP91" s="76">
        <v>0.86944444444444446</v>
      </c>
      <c r="HLQ91" s="76">
        <v>0.86944444444444446</v>
      </c>
      <c r="HLR91" s="77" t="str">
        <f t="shared" si="169"/>
        <v>O</v>
      </c>
      <c r="HLS91" s="74" t="s">
        <v>28</v>
      </c>
      <c r="HLT91" s="75" t="s">
        <v>23</v>
      </c>
      <c r="HLU91" s="78">
        <f>IFERROR(VLOOKUP(HLT91,'[1]List KPI'!$M$3:$N$8,2,0),"")</f>
        <v>2.0833333333333332E-2</v>
      </c>
      <c r="HLV91" s="76">
        <v>0.89444444444444449</v>
      </c>
      <c r="HLW91" s="77" t="str">
        <f t="shared" si="170"/>
        <v>O</v>
      </c>
      <c r="HLX91" s="79">
        <v>5</v>
      </c>
      <c r="HLY91" s="75">
        <v>1276006</v>
      </c>
      <c r="HLZ91" s="80"/>
      <c r="HMA91" s="81">
        <v>0.86944444444444446</v>
      </c>
      <c r="HMB91" s="74" t="s">
        <v>27</v>
      </c>
      <c r="HMC91" s="74" t="s">
        <v>24</v>
      </c>
      <c r="HMD91" s="75" t="s">
        <v>25</v>
      </c>
      <c r="HME91" s="76">
        <f>IFERROR(VLOOKUP(HMD91,'[1]List KPI'!$A$103:$F$118,6,0),"")</f>
        <v>1.0416666666666666E-2</v>
      </c>
      <c r="HMF91" s="76">
        <v>0.86944444444444446</v>
      </c>
      <c r="HMG91" s="76">
        <v>0.86944444444444446</v>
      </c>
      <c r="HMH91" s="77" t="str">
        <f t="shared" si="169"/>
        <v>O</v>
      </c>
      <c r="HMI91" s="74" t="s">
        <v>28</v>
      </c>
      <c r="HMJ91" s="75" t="s">
        <v>23</v>
      </c>
      <c r="HMK91" s="78">
        <f>IFERROR(VLOOKUP(HMJ91,'[1]List KPI'!$M$3:$N$8,2,0),"")</f>
        <v>2.0833333333333332E-2</v>
      </c>
      <c r="HML91" s="76">
        <v>0.89444444444444449</v>
      </c>
      <c r="HMM91" s="77" t="str">
        <f t="shared" si="170"/>
        <v>O</v>
      </c>
      <c r="HMN91" s="79">
        <v>5</v>
      </c>
      <c r="HMO91" s="75">
        <v>1276006</v>
      </c>
      <c r="HMP91" s="80"/>
      <c r="HMQ91" s="81">
        <v>0.86944444444444446</v>
      </c>
      <c r="HMR91" s="74" t="s">
        <v>27</v>
      </c>
      <c r="HMS91" s="74" t="s">
        <v>24</v>
      </c>
      <c r="HMT91" s="75" t="s">
        <v>25</v>
      </c>
      <c r="HMU91" s="76">
        <f>IFERROR(VLOOKUP(HMT91,'[1]List KPI'!$A$103:$F$118,6,0),"")</f>
        <v>1.0416666666666666E-2</v>
      </c>
      <c r="HMV91" s="76">
        <v>0.86944444444444446</v>
      </c>
      <c r="HMW91" s="76">
        <v>0.86944444444444446</v>
      </c>
      <c r="HMX91" s="77" t="str">
        <f t="shared" ref="HMX91:HOT91" si="171">IF(HMW91="","",IF(HMW91&gt;HNF91,"O","P"))</f>
        <v>O</v>
      </c>
      <c r="HMY91" s="74" t="s">
        <v>28</v>
      </c>
      <c r="HMZ91" s="75" t="s">
        <v>23</v>
      </c>
      <c r="HNA91" s="78">
        <f>IFERROR(VLOOKUP(HMZ91,'[1]List KPI'!$M$3:$N$8,2,0),"")</f>
        <v>2.0833333333333332E-2</v>
      </c>
      <c r="HNB91" s="76">
        <v>0.89444444444444449</v>
      </c>
      <c r="HNC91" s="77" t="str">
        <f t="shared" ref="HNC91:HOY91" si="172">IF(HNB91="","",IF(HNB91&gt;HNG91,"O","P"))</f>
        <v>O</v>
      </c>
      <c r="HND91" s="79">
        <v>5</v>
      </c>
      <c r="HNE91" s="75">
        <v>1276006</v>
      </c>
      <c r="HNF91" s="80"/>
      <c r="HNG91" s="81">
        <v>0.86944444444444446</v>
      </c>
      <c r="HNH91" s="74" t="s">
        <v>27</v>
      </c>
      <c r="HNI91" s="74" t="s">
        <v>24</v>
      </c>
      <c r="HNJ91" s="75" t="s">
        <v>25</v>
      </c>
      <c r="HNK91" s="76">
        <f>IFERROR(VLOOKUP(HNJ91,'[1]List KPI'!$A$103:$F$118,6,0),"")</f>
        <v>1.0416666666666666E-2</v>
      </c>
      <c r="HNL91" s="76">
        <v>0.86944444444444446</v>
      </c>
      <c r="HNM91" s="76">
        <v>0.86944444444444446</v>
      </c>
      <c r="HNN91" s="77" t="str">
        <f t="shared" si="171"/>
        <v>O</v>
      </c>
      <c r="HNO91" s="74" t="s">
        <v>28</v>
      </c>
      <c r="HNP91" s="75" t="s">
        <v>23</v>
      </c>
      <c r="HNQ91" s="78">
        <f>IFERROR(VLOOKUP(HNP91,'[1]List KPI'!$M$3:$N$8,2,0),"")</f>
        <v>2.0833333333333332E-2</v>
      </c>
      <c r="HNR91" s="76">
        <v>0.89444444444444449</v>
      </c>
      <c r="HNS91" s="77" t="str">
        <f t="shared" si="172"/>
        <v>O</v>
      </c>
      <c r="HNT91" s="79">
        <v>5</v>
      </c>
      <c r="HNU91" s="75">
        <v>1276006</v>
      </c>
      <c r="HNV91" s="80"/>
      <c r="HNW91" s="81">
        <v>0.86944444444444446</v>
      </c>
      <c r="HNX91" s="74" t="s">
        <v>27</v>
      </c>
      <c r="HNY91" s="74" t="s">
        <v>24</v>
      </c>
      <c r="HNZ91" s="75" t="s">
        <v>25</v>
      </c>
      <c r="HOA91" s="76">
        <f>IFERROR(VLOOKUP(HNZ91,'[1]List KPI'!$A$103:$F$118,6,0),"")</f>
        <v>1.0416666666666666E-2</v>
      </c>
      <c r="HOB91" s="76">
        <v>0.86944444444444446</v>
      </c>
      <c r="HOC91" s="76">
        <v>0.86944444444444446</v>
      </c>
      <c r="HOD91" s="77" t="str">
        <f t="shared" si="171"/>
        <v>O</v>
      </c>
      <c r="HOE91" s="74" t="s">
        <v>28</v>
      </c>
      <c r="HOF91" s="75" t="s">
        <v>23</v>
      </c>
      <c r="HOG91" s="78">
        <f>IFERROR(VLOOKUP(HOF91,'[1]List KPI'!$M$3:$N$8,2,0),"")</f>
        <v>2.0833333333333332E-2</v>
      </c>
      <c r="HOH91" s="76">
        <v>0.89444444444444449</v>
      </c>
      <c r="HOI91" s="77" t="str">
        <f t="shared" si="172"/>
        <v>O</v>
      </c>
      <c r="HOJ91" s="79">
        <v>5</v>
      </c>
      <c r="HOK91" s="75">
        <v>1276006</v>
      </c>
      <c r="HOL91" s="80"/>
      <c r="HOM91" s="81">
        <v>0.86944444444444446</v>
      </c>
      <c r="HON91" s="74" t="s">
        <v>27</v>
      </c>
      <c r="HOO91" s="74" t="s">
        <v>24</v>
      </c>
      <c r="HOP91" s="75" t="s">
        <v>25</v>
      </c>
      <c r="HOQ91" s="76">
        <f>IFERROR(VLOOKUP(HOP91,'[1]List KPI'!$A$103:$F$118,6,0),"")</f>
        <v>1.0416666666666666E-2</v>
      </c>
      <c r="HOR91" s="76">
        <v>0.86944444444444446</v>
      </c>
      <c r="HOS91" s="76">
        <v>0.86944444444444446</v>
      </c>
      <c r="HOT91" s="77" t="str">
        <f t="shared" si="171"/>
        <v>O</v>
      </c>
      <c r="HOU91" s="74" t="s">
        <v>28</v>
      </c>
      <c r="HOV91" s="75" t="s">
        <v>23</v>
      </c>
      <c r="HOW91" s="78">
        <f>IFERROR(VLOOKUP(HOV91,'[1]List KPI'!$M$3:$N$8,2,0),"")</f>
        <v>2.0833333333333332E-2</v>
      </c>
      <c r="HOX91" s="76">
        <v>0.89444444444444449</v>
      </c>
      <c r="HOY91" s="77" t="str">
        <f t="shared" si="172"/>
        <v>O</v>
      </c>
      <c r="HOZ91" s="79">
        <v>5</v>
      </c>
      <c r="HPA91" s="75">
        <v>1276006</v>
      </c>
      <c r="HPB91" s="80"/>
      <c r="HPC91" s="81">
        <v>0.86944444444444446</v>
      </c>
      <c r="HPD91" s="74" t="s">
        <v>27</v>
      </c>
      <c r="HPE91" s="74" t="s">
        <v>24</v>
      </c>
      <c r="HPF91" s="75" t="s">
        <v>25</v>
      </c>
      <c r="HPG91" s="76">
        <f>IFERROR(VLOOKUP(HPF91,'[1]List KPI'!$A$103:$F$118,6,0),"")</f>
        <v>1.0416666666666666E-2</v>
      </c>
      <c r="HPH91" s="76">
        <v>0.86944444444444446</v>
      </c>
      <c r="HPI91" s="76">
        <v>0.86944444444444446</v>
      </c>
      <c r="HPJ91" s="77" t="str">
        <f t="shared" ref="HPJ91:HRF91" si="173">IF(HPI91="","",IF(HPI91&gt;HPR91,"O","P"))</f>
        <v>O</v>
      </c>
      <c r="HPK91" s="74" t="s">
        <v>28</v>
      </c>
      <c r="HPL91" s="75" t="s">
        <v>23</v>
      </c>
      <c r="HPM91" s="78">
        <f>IFERROR(VLOOKUP(HPL91,'[1]List KPI'!$M$3:$N$8,2,0),"")</f>
        <v>2.0833333333333332E-2</v>
      </c>
      <c r="HPN91" s="76">
        <v>0.89444444444444449</v>
      </c>
      <c r="HPO91" s="77" t="str">
        <f t="shared" ref="HPO91:HRK91" si="174">IF(HPN91="","",IF(HPN91&gt;HPS91,"O","P"))</f>
        <v>O</v>
      </c>
      <c r="HPP91" s="79">
        <v>5</v>
      </c>
      <c r="HPQ91" s="75">
        <v>1276006</v>
      </c>
      <c r="HPR91" s="80"/>
      <c r="HPS91" s="81">
        <v>0.86944444444444446</v>
      </c>
      <c r="HPT91" s="74" t="s">
        <v>27</v>
      </c>
      <c r="HPU91" s="74" t="s">
        <v>24</v>
      </c>
      <c r="HPV91" s="75" t="s">
        <v>25</v>
      </c>
      <c r="HPW91" s="76">
        <f>IFERROR(VLOOKUP(HPV91,'[1]List KPI'!$A$103:$F$118,6,0),"")</f>
        <v>1.0416666666666666E-2</v>
      </c>
      <c r="HPX91" s="76">
        <v>0.86944444444444446</v>
      </c>
      <c r="HPY91" s="76">
        <v>0.86944444444444446</v>
      </c>
      <c r="HPZ91" s="77" t="str">
        <f t="shared" si="173"/>
        <v>O</v>
      </c>
      <c r="HQA91" s="74" t="s">
        <v>28</v>
      </c>
      <c r="HQB91" s="75" t="s">
        <v>23</v>
      </c>
      <c r="HQC91" s="78">
        <f>IFERROR(VLOOKUP(HQB91,'[1]List KPI'!$M$3:$N$8,2,0),"")</f>
        <v>2.0833333333333332E-2</v>
      </c>
      <c r="HQD91" s="76">
        <v>0.89444444444444449</v>
      </c>
      <c r="HQE91" s="77" t="str">
        <f t="shared" si="174"/>
        <v>O</v>
      </c>
      <c r="HQF91" s="79">
        <v>5</v>
      </c>
      <c r="HQG91" s="75">
        <v>1276006</v>
      </c>
      <c r="HQH91" s="80"/>
      <c r="HQI91" s="81">
        <v>0.86944444444444446</v>
      </c>
      <c r="HQJ91" s="74" t="s">
        <v>27</v>
      </c>
      <c r="HQK91" s="74" t="s">
        <v>24</v>
      </c>
      <c r="HQL91" s="75" t="s">
        <v>25</v>
      </c>
      <c r="HQM91" s="76">
        <f>IFERROR(VLOOKUP(HQL91,'[1]List KPI'!$A$103:$F$118,6,0),"")</f>
        <v>1.0416666666666666E-2</v>
      </c>
      <c r="HQN91" s="76">
        <v>0.86944444444444446</v>
      </c>
      <c r="HQO91" s="76">
        <v>0.86944444444444446</v>
      </c>
      <c r="HQP91" s="77" t="str">
        <f t="shared" si="173"/>
        <v>O</v>
      </c>
      <c r="HQQ91" s="74" t="s">
        <v>28</v>
      </c>
      <c r="HQR91" s="75" t="s">
        <v>23</v>
      </c>
      <c r="HQS91" s="78">
        <f>IFERROR(VLOOKUP(HQR91,'[1]List KPI'!$M$3:$N$8,2,0),"")</f>
        <v>2.0833333333333332E-2</v>
      </c>
      <c r="HQT91" s="76">
        <v>0.89444444444444449</v>
      </c>
      <c r="HQU91" s="77" t="str">
        <f t="shared" si="174"/>
        <v>O</v>
      </c>
      <c r="HQV91" s="79">
        <v>5</v>
      </c>
      <c r="HQW91" s="75">
        <v>1276006</v>
      </c>
      <c r="HQX91" s="80"/>
      <c r="HQY91" s="81">
        <v>0.86944444444444446</v>
      </c>
      <c r="HQZ91" s="74" t="s">
        <v>27</v>
      </c>
      <c r="HRA91" s="74" t="s">
        <v>24</v>
      </c>
      <c r="HRB91" s="75" t="s">
        <v>25</v>
      </c>
      <c r="HRC91" s="76">
        <f>IFERROR(VLOOKUP(HRB91,'[1]List KPI'!$A$103:$F$118,6,0),"")</f>
        <v>1.0416666666666666E-2</v>
      </c>
      <c r="HRD91" s="76">
        <v>0.86944444444444446</v>
      </c>
      <c r="HRE91" s="76">
        <v>0.86944444444444446</v>
      </c>
      <c r="HRF91" s="77" t="str">
        <f t="shared" si="173"/>
        <v>O</v>
      </c>
      <c r="HRG91" s="74" t="s">
        <v>28</v>
      </c>
      <c r="HRH91" s="75" t="s">
        <v>23</v>
      </c>
      <c r="HRI91" s="78">
        <f>IFERROR(VLOOKUP(HRH91,'[1]List KPI'!$M$3:$N$8,2,0),"")</f>
        <v>2.0833333333333332E-2</v>
      </c>
      <c r="HRJ91" s="76">
        <v>0.89444444444444449</v>
      </c>
      <c r="HRK91" s="77" t="str">
        <f t="shared" si="174"/>
        <v>O</v>
      </c>
      <c r="HRL91" s="79">
        <v>5</v>
      </c>
      <c r="HRM91" s="75">
        <v>1276006</v>
      </c>
      <c r="HRN91" s="80"/>
      <c r="HRO91" s="81">
        <v>0.86944444444444446</v>
      </c>
      <c r="HRP91" s="74" t="s">
        <v>27</v>
      </c>
      <c r="HRQ91" s="74" t="s">
        <v>24</v>
      </c>
      <c r="HRR91" s="75" t="s">
        <v>25</v>
      </c>
      <c r="HRS91" s="76">
        <f>IFERROR(VLOOKUP(HRR91,'[1]List KPI'!$A$103:$F$118,6,0),"")</f>
        <v>1.0416666666666666E-2</v>
      </c>
      <c r="HRT91" s="76">
        <v>0.86944444444444446</v>
      </c>
      <c r="HRU91" s="76">
        <v>0.86944444444444446</v>
      </c>
      <c r="HRV91" s="77" t="str">
        <f t="shared" ref="HRV91:HTR91" si="175">IF(HRU91="","",IF(HRU91&gt;HSD91,"O","P"))</f>
        <v>O</v>
      </c>
      <c r="HRW91" s="74" t="s">
        <v>28</v>
      </c>
      <c r="HRX91" s="75" t="s">
        <v>23</v>
      </c>
      <c r="HRY91" s="78">
        <f>IFERROR(VLOOKUP(HRX91,'[1]List KPI'!$M$3:$N$8,2,0),"")</f>
        <v>2.0833333333333332E-2</v>
      </c>
      <c r="HRZ91" s="76">
        <v>0.89444444444444449</v>
      </c>
      <c r="HSA91" s="77" t="str">
        <f t="shared" ref="HSA91:HTW91" si="176">IF(HRZ91="","",IF(HRZ91&gt;HSE91,"O","P"))</f>
        <v>O</v>
      </c>
      <c r="HSB91" s="79">
        <v>5</v>
      </c>
      <c r="HSC91" s="75">
        <v>1276006</v>
      </c>
      <c r="HSD91" s="80"/>
      <c r="HSE91" s="81">
        <v>0.86944444444444446</v>
      </c>
      <c r="HSF91" s="74" t="s">
        <v>27</v>
      </c>
      <c r="HSG91" s="74" t="s">
        <v>24</v>
      </c>
      <c r="HSH91" s="75" t="s">
        <v>25</v>
      </c>
      <c r="HSI91" s="76">
        <f>IFERROR(VLOOKUP(HSH91,'[1]List KPI'!$A$103:$F$118,6,0),"")</f>
        <v>1.0416666666666666E-2</v>
      </c>
      <c r="HSJ91" s="76">
        <v>0.86944444444444446</v>
      </c>
      <c r="HSK91" s="76">
        <v>0.86944444444444446</v>
      </c>
      <c r="HSL91" s="77" t="str">
        <f t="shared" si="175"/>
        <v>O</v>
      </c>
      <c r="HSM91" s="74" t="s">
        <v>28</v>
      </c>
      <c r="HSN91" s="75" t="s">
        <v>23</v>
      </c>
      <c r="HSO91" s="78">
        <f>IFERROR(VLOOKUP(HSN91,'[1]List KPI'!$M$3:$N$8,2,0),"")</f>
        <v>2.0833333333333332E-2</v>
      </c>
      <c r="HSP91" s="76">
        <v>0.89444444444444449</v>
      </c>
      <c r="HSQ91" s="77" t="str">
        <f t="shared" si="176"/>
        <v>O</v>
      </c>
      <c r="HSR91" s="79">
        <v>5</v>
      </c>
      <c r="HSS91" s="75">
        <v>1276006</v>
      </c>
      <c r="HST91" s="80"/>
      <c r="HSU91" s="81">
        <v>0.86944444444444446</v>
      </c>
      <c r="HSV91" s="74" t="s">
        <v>27</v>
      </c>
      <c r="HSW91" s="74" t="s">
        <v>24</v>
      </c>
      <c r="HSX91" s="75" t="s">
        <v>25</v>
      </c>
      <c r="HSY91" s="76">
        <f>IFERROR(VLOOKUP(HSX91,'[1]List KPI'!$A$103:$F$118,6,0),"")</f>
        <v>1.0416666666666666E-2</v>
      </c>
      <c r="HSZ91" s="76">
        <v>0.86944444444444446</v>
      </c>
      <c r="HTA91" s="76">
        <v>0.86944444444444446</v>
      </c>
      <c r="HTB91" s="77" t="str">
        <f t="shared" si="175"/>
        <v>O</v>
      </c>
      <c r="HTC91" s="74" t="s">
        <v>28</v>
      </c>
      <c r="HTD91" s="75" t="s">
        <v>23</v>
      </c>
      <c r="HTE91" s="78">
        <f>IFERROR(VLOOKUP(HTD91,'[1]List KPI'!$M$3:$N$8,2,0),"")</f>
        <v>2.0833333333333332E-2</v>
      </c>
      <c r="HTF91" s="76">
        <v>0.89444444444444449</v>
      </c>
      <c r="HTG91" s="77" t="str">
        <f t="shared" si="176"/>
        <v>O</v>
      </c>
      <c r="HTH91" s="79">
        <v>5</v>
      </c>
      <c r="HTI91" s="75">
        <v>1276006</v>
      </c>
      <c r="HTJ91" s="80"/>
      <c r="HTK91" s="81">
        <v>0.86944444444444446</v>
      </c>
      <c r="HTL91" s="74" t="s">
        <v>27</v>
      </c>
      <c r="HTM91" s="74" t="s">
        <v>24</v>
      </c>
      <c r="HTN91" s="75" t="s">
        <v>25</v>
      </c>
      <c r="HTO91" s="76">
        <f>IFERROR(VLOOKUP(HTN91,'[1]List KPI'!$A$103:$F$118,6,0),"")</f>
        <v>1.0416666666666666E-2</v>
      </c>
      <c r="HTP91" s="76">
        <v>0.86944444444444446</v>
      </c>
      <c r="HTQ91" s="76">
        <v>0.86944444444444446</v>
      </c>
      <c r="HTR91" s="77" t="str">
        <f t="shared" si="175"/>
        <v>O</v>
      </c>
      <c r="HTS91" s="74" t="s">
        <v>28</v>
      </c>
      <c r="HTT91" s="75" t="s">
        <v>23</v>
      </c>
      <c r="HTU91" s="78">
        <f>IFERROR(VLOOKUP(HTT91,'[1]List KPI'!$M$3:$N$8,2,0),"")</f>
        <v>2.0833333333333332E-2</v>
      </c>
      <c r="HTV91" s="76">
        <v>0.89444444444444449</v>
      </c>
      <c r="HTW91" s="77" t="str">
        <f t="shared" si="176"/>
        <v>O</v>
      </c>
      <c r="HTX91" s="79">
        <v>5</v>
      </c>
      <c r="HTY91" s="75">
        <v>1276006</v>
      </c>
      <c r="HTZ91" s="80"/>
      <c r="HUA91" s="81">
        <v>0.86944444444444446</v>
      </c>
      <c r="HUB91" s="74" t="s">
        <v>27</v>
      </c>
      <c r="HUC91" s="74" t="s">
        <v>24</v>
      </c>
      <c r="HUD91" s="75" t="s">
        <v>25</v>
      </c>
      <c r="HUE91" s="76">
        <f>IFERROR(VLOOKUP(HUD91,'[1]List KPI'!$A$103:$F$118,6,0),"")</f>
        <v>1.0416666666666666E-2</v>
      </c>
      <c r="HUF91" s="76">
        <v>0.86944444444444446</v>
      </c>
      <c r="HUG91" s="76">
        <v>0.86944444444444446</v>
      </c>
      <c r="HUH91" s="77" t="str">
        <f t="shared" ref="HUH91:HWD91" si="177">IF(HUG91="","",IF(HUG91&gt;HUP91,"O","P"))</f>
        <v>O</v>
      </c>
      <c r="HUI91" s="74" t="s">
        <v>28</v>
      </c>
      <c r="HUJ91" s="75" t="s">
        <v>23</v>
      </c>
      <c r="HUK91" s="78">
        <f>IFERROR(VLOOKUP(HUJ91,'[1]List KPI'!$M$3:$N$8,2,0),"")</f>
        <v>2.0833333333333332E-2</v>
      </c>
      <c r="HUL91" s="76">
        <v>0.89444444444444449</v>
      </c>
      <c r="HUM91" s="77" t="str">
        <f t="shared" ref="HUM91:HWI91" si="178">IF(HUL91="","",IF(HUL91&gt;HUQ91,"O","P"))</f>
        <v>O</v>
      </c>
      <c r="HUN91" s="79">
        <v>5</v>
      </c>
      <c r="HUO91" s="75">
        <v>1276006</v>
      </c>
      <c r="HUP91" s="80"/>
      <c r="HUQ91" s="81">
        <v>0.86944444444444446</v>
      </c>
      <c r="HUR91" s="74" t="s">
        <v>27</v>
      </c>
      <c r="HUS91" s="74" t="s">
        <v>24</v>
      </c>
      <c r="HUT91" s="75" t="s">
        <v>25</v>
      </c>
      <c r="HUU91" s="76">
        <f>IFERROR(VLOOKUP(HUT91,'[1]List KPI'!$A$103:$F$118,6,0),"")</f>
        <v>1.0416666666666666E-2</v>
      </c>
      <c r="HUV91" s="76">
        <v>0.86944444444444446</v>
      </c>
      <c r="HUW91" s="76">
        <v>0.86944444444444446</v>
      </c>
      <c r="HUX91" s="77" t="str">
        <f t="shared" si="177"/>
        <v>O</v>
      </c>
      <c r="HUY91" s="74" t="s">
        <v>28</v>
      </c>
      <c r="HUZ91" s="75" t="s">
        <v>23</v>
      </c>
      <c r="HVA91" s="78">
        <f>IFERROR(VLOOKUP(HUZ91,'[1]List KPI'!$M$3:$N$8,2,0),"")</f>
        <v>2.0833333333333332E-2</v>
      </c>
      <c r="HVB91" s="76">
        <v>0.89444444444444449</v>
      </c>
      <c r="HVC91" s="77" t="str">
        <f t="shared" si="178"/>
        <v>O</v>
      </c>
      <c r="HVD91" s="79">
        <v>5</v>
      </c>
      <c r="HVE91" s="75">
        <v>1276006</v>
      </c>
      <c r="HVF91" s="80"/>
      <c r="HVG91" s="81">
        <v>0.86944444444444446</v>
      </c>
      <c r="HVH91" s="74" t="s">
        <v>27</v>
      </c>
      <c r="HVI91" s="74" t="s">
        <v>24</v>
      </c>
      <c r="HVJ91" s="75" t="s">
        <v>25</v>
      </c>
      <c r="HVK91" s="76">
        <f>IFERROR(VLOOKUP(HVJ91,'[1]List KPI'!$A$103:$F$118,6,0),"")</f>
        <v>1.0416666666666666E-2</v>
      </c>
      <c r="HVL91" s="76">
        <v>0.86944444444444446</v>
      </c>
      <c r="HVM91" s="76">
        <v>0.86944444444444446</v>
      </c>
      <c r="HVN91" s="77" t="str">
        <f t="shared" si="177"/>
        <v>O</v>
      </c>
      <c r="HVO91" s="74" t="s">
        <v>28</v>
      </c>
      <c r="HVP91" s="75" t="s">
        <v>23</v>
      </c>
      <c r="HVQ91" s="78">
        <f>IFERROR(VLOOKUP(HVP91,'[1]List KPI'!$M$3:$N$8,2,0),"")</f>
        <v>2.0833333333333332E-2</v>
      </c>
      <c r="HVR91" s="76">
        <v>0.89444444444444449</v>
      </c>
      <c r="HVS91" s="77" t="str">
        <f t="shared" si="178"/>
        <v>O</v>
      </c>
      <c r="HVT91" s="79">
        <v>5</v>
      </c>
      <c r="HVU91" s="75">
        <v>1276006</v>
      </c>
      <c r="HVV91" s="80"/>
      <c r="HVW91" s="81">
        <v>0.86944444444444446</v>
      </c>
      <c r="HVX91" s="74" t="s">
        <v>27</v>
      </c>
      <c r="HVY91" s="74" t="s">
        <v>24</v>
      </c>
      <c r="HVZ91" s="75" t="s">
        <v>25</v>
      </c>
      <c r="HWA91" s="76">
        <f>IFERROR(VLOOKUP(HVZ91,'[1]List KPI'!$A$103:$F$118,6,0),"")</f>
        <v>1.0416666666666666E-2</v>
      </c>
      <c r="HWB91" s="76">
        <v>0.86944444444444446</v>
      </c>
      <c r="HWC91" s="76">
        <v>0.86944444444444446</v>
      </c>
      <c r="HWD91" s="77" t="str">
        <f t="shared" si="177"/>
        <v>O</v>
      </c>
      <c r="HWE91" s="74" t="s">
        <v>28</v>
      </c>
      <c r="HWF91" s="75" t="s">
        <v>23</v>
      </c>
      <c r="HWG91" s="78">
        <f>IFERROR(VLOOKUP(HWF91,'[1]List KPI'!$M$3:$N$8,2,0),"")</f>
        <v>2.0833333333333332E-2</v>
      </c>
      <c r="HWH91" s="76">
        <v>0.89444444444444449</v>
      </c>
      <c r="HWI91" s="77" t="str">
        <f t="shared" si="178"/>
        <v>O</v>
      </c>
      <c r="HWJ91" s="79">
        <v>5</v>
      </c>
      <c r="HWK91" s="75">
        <v>1276006</v>
      </c>
      <c r="HWL91" s="80"/>
      <c r="HWM91" s="81">
        <v>0.86944444444444446</v>
      </c>
      <c r="HWN91" s="74" t="s">
        <v>27</v>
      </c>
      <c r="HWO91" s="74" t="s">
        <v>24</v>
      </c>
      <c r="HWP91" s="75" t="s">
        <v>25</v>
      </c>
      <c r="HWQ91" s="76">
        <f>IFERROR(VLOOKUP(HWP91,'[1]List KPI'!$A$103:$F$118,6,0),"")</f>
        <v>1.0416666666666666E-2</v>
      </c>
      <c r="HWR91" s="76">
        <v>0.86944444444444446</v>
      </c>
      <c r="HWS91" s="76">
        <v>0.86944444444444446</v>
      </c>
      <c r="HWT91" s="77" t="str">
        <f t="shared" ref="HWT91:HYP91" si="179">IF(HWS91="","",IF(HWS91&gt;HXB91,"O","P"))</f>
        <v>O</v>
      </c>
      <c r="HWU91" s="74" t="s">
        <v>28</v>
      </c>
      <c r="HWV91" s="75" t="s">
        <v>23</v>
      </c>
      <c r="HWW91" s="78">
        <f>IFERROR(VLOOKUP(HWV91,'[1]List KPI'!$M$3:$N$8,2,0),"")</f>
        <v>2.0833333333333332E-2</v>
      </c>
      <c r="HWX91" s="76">
        <v>0.89444444444444449</v>
      </c>
      <c r="HWY91" s="77" t="str">
        <f t="shared" ref="HWY91:HYU91" si="180">IF(HWX91="","",IF(HWX91&gt;HXC91,"O","P"))</f>
        <v>O</v>
      </c>
      <c r="HWZ91" s="79">
        <v>5</v>
      </c>
      <c r="HXA91" s="75">
        <v>1276006</v>
      </c>
      <c r="HXB91" s="80"/>
      <c r="HXC91" s="81">
        <v>0.86944444444444446</v>
      </c>
      <c r="HXD91" s="74" t="s">
        <v>27</v>
      </c>
      <c r="HXE91" s="74" t="s">
        <v>24</v>
      </c>
      <c r="HXF91" s="75" t="s">
        <v>25</v>
      </c>
      <c r="HXG91" s="76">
        <f>IFERROR(VLOOKUP(HXF91,'[1]List KPI'!$A$103:$F$118,6,0),"")</f>
        <v>1.0416666666666666E-2</v>
      </c>
      <c r="HXH91" s="76">
        <v>0.86944444444444446</v>
      </c>
      <c r="HXI91" s="76">
        <v>0.86944444444444446</v>
      </c>
      <c r="HXJ91" s="77" t="str">
        <f t="shared" si="179"/>
        <v>O</v>
      </c>
      <c r="HXK91" s="74" t="s">
        <v>28</v>
      </c>
      <c r="HXL91" s="75" t="s">
        <v>23</v>
      </c>
      <c r="HXM91" s="78">
        <f>IFERROR(VLOOKUP(HXL91,'[1]List KPI'!$M$3:$N$8,2,0),"")</f>
        <v>2.0833333333333332E-2</v>
      </c>
      <c r="HXN91" s="76">
        <v>0.89444444444444449</v>
      </c>
      <c r="HXO91" s="77" t="str">
        <f t="shared" si="180"/>
        <v>O</v>
      </c>
      <c r="HXP91" s="79">
        <v>5</v>
      </c>
      <c r="HXQ91" s="75">
        <v>1276006</v>
      </c>
      <c r="HXR91" s="80"/>
      <c r="HXS91" s="81">
        <v>0.86944444444444446</v>
      </c>
      <c r="HXT91" s="74" t="s">
        <v>27</v>
      </c>
      <c r="HXU91" s="74" t="s">
        <v>24</v>
      </c>
      <c r="HXV91" s="75" t="s">
        <v>25</v>
      </c>
      <c r="HXW91" s="76">
        <f>IFERROR(VLOOKUP(HXV91,'[1]List KPI'!$A$103:$F$118,6,0),"")</f>
        <v>1.0416666666666666E-2</v>
      </c>
      <c r="HXX91" s="76">
        <v>0.86944444444444446</v>
      </c>
      <c r="HXY91" s="76">
        <v>0.86944444444444446</v>
      </c>
      <c r="HXZ91" s="77" t="str">
        <f t="shared" si="179"/>
        <v>O</v>
      </c>
      <c r="HYA91" s="74" t="s">
        <v>28</v>
      </c>
      <c r="HYB91" s="75" t="s">
        <v>23</v>
      </c>
      <c r="HYC91" s="78">
        <f>IFERROR(VLOOKUP(HYB91,'[1]List KPI'!$M$3:$N$8,2,0),"")</f>
        <v>2.0833333333333332E-2</v>
      </c>
      <c r="HYD91" s="76">
        <v>0.89444444444444449</v>
      </c>
      <c r="HYE91" s="77" t="str">
        <f t="shared" si="180"/>
        <v>O</v>
      </c>
      <c r="HYF91" s="79">
        <v>5</v>
      </c>
      <c r="HYG91" s="75">
        <v>1276006</v>
      </c>
      <c r="HYH91" s="80"/>
      <c r="HYI91" s="81">
        <v>0.86944444444444446</v>
      </c>
      <c r="HYJ91" s="74" t="s">
        <v>27</v>
      </c>
      <c r="HYK91" s="74" t="s">
        <v>24</v>
      </c>
      <c r="HYL91" s="75" t="s">
        <v>25</v>
      </c>
      <c r="HYM91" s="76">
        <f>IFERROR(VLOOKUP(HYL91,'[1]List KPI'!$A$103:$F$118,6,0),"")</f>
        <v>1.0416666666666666E-2</v>
      </c>
      <c r="HYN91" s="76">
        <v>0.86944444444444446</v>
      </c>
      <c r="HYO91" s="76">
        <v>0.86944444444444446</v>
      </c>
      <c r="HYP91" s="77" t="str">
        <f t="shared" si="179"/>
        <v>O</v>
      </c>
      <c r="HYQ91" s="74" t="s">
        <v>28</v>
      </c>
      <c r="HYR91" s="75" t="s">
        <v>23</v>
      </c>
      <c r="HYS91" s="78">
        <f>IFERROR(VLOOKUP(HYR91,'[1]List KPI'!$M$3:$N$8,2,0),"")</f>
        <v>2.0833333333333332E-2</v>
      </c>
      <c r="HYT91" s="76">
        <v>0.89444444444444449</v>
      </c>
      <c r="HYU91" s="77" t="str">
        <f t="shared" si="180"/>
        <v>O</v>
      </c>
      <c r="HYV91" s="79">
        <v>5</v>
      </c>
      <c r="HYW91" s="75">
        <v>1276006</v>
      </c>
      <c r="HYX91" s="80"/>
      <c r="HYY91" s="81">
        <v>0.86944444444444446</v>
      </c>
      <c r="HYZ91" s="74" t="s">
        <v>27</v>
      </c>
      <c r="HZA91" s="74" t="s">
        <v>24</v>
      </c>
      <c r="HZB91" s="75" t="s">
        <v>25</v>
      </c>
      <c r="HZC91" s="76">
        <f>IFERROR(VLOOKUP(HZB91,'[1]List KPI'!$A$103:$F$118,6,0),"")</f>
        <v>1.0416666666666666E-2</v>
      </c>
      <c r="HZD91" s="76">
        <v>0.86944444444444446</v>
      </c>
      <c r="HZE91" s="76">
        <v>0.86944444444444446</v>
      </c>
      <c r="HZF91" s="77" t="str">
        <f t="shared" ref="HZF91:IBB91" si="181">IF(HZE91="","",IF(HZE91&gt;HZN91,"O","P"))</f>
        <v>O</v>
      </c>
      <c r="HZG91" s="74" t="s">
        <v>28</v>
      </c>
      <c r="HZH91" s="75" t="s">
        <v>23</v>
      </c>
      <c r="HZI91" s="78">
        <f>IFERROR(VLOOKUP(HZH91,'[1]List KPI'!$M$3:$N$8,2,0),"")</f>
        <v>2.0833333333333332E-2</v>
      </c>
      <c r="HZJ91" s="76">
        <v>0.89444444444444449</v>
      </c>
      <c r="HZK91" s="77" t="str">
        <f t="shared" ref="HZK91:IBG91" si="182">IF(HZJ91="","",IF(HZJ91&gt;HZO91,"O","P"))</f>
        <v>O</v>
      </c>
      <c r="HZL91" s="79">
        <v>5</v>
      </c>
      <c r="HZM91" s="75">
        <v>1276006</v>
      </c>
      <c r="HZN91" s="80"/>
      <c r="HZO91" s="81">
        <v>0.86944444444444446</v>
      </c>
      <c r="HZP91" s="74" t="s">
        <v>27</v>
      </c>
      <c r="HZQ91" s="74" t="s">
        <v>24</v>
      </c>
      <c r="HZR91" s="75" t="s">
        <v>25</v>
      </c>
      <c r="HZS91" s="76">
        <f>IFERROR(VLOOKUP(HZR91,'[1]List KPI'!$A$103:$F$118,6,0),"")</f>
        <v>1.0416666666666666E-2</v>
      </c>
      <c r="HZT91" s="76">
        <v>0.86944444444444446</v>
      </c>
      <c r="HZU91" s="76">
        <v>0.86944444444444446</v>
      </c>
      <c r="HZV91" s="77" t="str">
        <f t="shared" si="181"/>
        <v>O</v>
      </c>
      <c r="HZW91" s="74" t="s">
        <v>28</v>
      </c>
      <c r="HZX91" s="75" t="s">
        <v>23</v>
      </c>
      <c r="HZY91" s="78">
        <f>IFERROR(VLOOKUP(HZX91,'[1]List KPI'!$M$3:$N$8,2,0),"")</f>
        <v>2.0833333333333332E-2</v>
      </c>
      <c r="HZZ91" s="76">
        <v>0.89444444444444449</v>
      </c>
      <c r="IAA91" s="77" t="str">
        <f t="shared" si="182"/>
        <v>O</v>
      </c>
      <c r="IAB91" s="79">
        <v>5</v>
      </c>
      <c r="IAC91" s="75">
        <v>1276006</v>
      </c>
      <c r="IAD91" s="80"/>
      <c r="IAE91" s="81">
        <v>0.86944444444444446</v>
      </c>
      <c r="IAF91" s="74" t="s">
        <v>27</v>
      </c>
      <c r="IAG91" s="74" t="s">
        <v>24</v>
      </c>
      <c r="IAH91" s="75" t="s">
        <v>25</v>
      </c>
      <c r="IAI91" s="76">
        <f>IFERROR(VLOOKUP(IAH91,'[1]List KPI'!$A$103:$F$118,6,0),"")</f>
        <v>1.0416666666666666E-2</v>
      </c>
      <c r="IAJ91" s="76">
        <v>0.86944444444444446</v>
      </c>
      <c r="IAK91" s="76">
        <v>0.86944444444444446</v>
      </c>
      <c r="IAL91" s="77" t="str">
        <f t="shared" si="181"/>
        <v>O</v>
      </c>
      <c r="IAM91" s="74" t="s">
        <v>28</v>
      </c>
      <c r="IAN91" s="75" t="s">
        <v>23</v>
      </c>
      <c r="IAO91" s="78">
        <f>IFERROR(VLOOKUP(IAN91,'[1]List KPI'!$M$3:$N$8,2,0),"")</f>
        <v>2.0833333333333332E-2</v>
      </c>
      <c r="IAP91" s="76">
        <v>0.89444444444444449</v>
      </c>
      <c r="IAQ91" s="77" t="str">
        <f t="shared" si="182"/>
        <v>O</v>
      </c>
      <c r="IAR91" s="79">
        <v>5</v>
      </c>
      <c r="IAS91" s="75">
        <v>1276006</v>
      </c>
      <c r="IAT91" s="80"/>
      <c r="IAU91" s="81">
        <v>0.86944444444444446</v>
      </c>
      <c r="IAV91" s="74" t="s">
        <v>27</v>
      </c>
      <c r="IAW91" s="74" t="s">
        <v>24</v>
      </c>
      <c r="IAX91" s="75" t="s">
        <v>25</v>
      </c>
      <c r="IAY91" s="76">
        <f>IFERROR(VLOOKUP(IAX91,'[1]List KPI'!$A$103:$F$118,6,0),"")</f>
        <v>1.0416666666666666E-2</v>
      </c>
      <c r="IAZ91" s="76">
        <v>0.86944444444444446</v>
      </c>
      <c r="IBA91" s="76">
        <v>0.86944444444444446</v>
      </c>
      <c r="IBB91" s="77" t="str">
        <f t="shared" si="181"/>
        <v>O</v>
      </c>
      <c r="IBC91" s="74" t="s">
        <v>28</v>
      </c>
      <c r="IBD91" s="75" t="s">
        <v>23</v>
      </c>
      <c r="IBE91" s="78">
        <f>IFERROR(VLOOKUP(IBD91,'[1]List KPI'!$M$3:$N$8,2,0),"")</f>
        <v>2.0833333333333332E-2</v>
      </c>
      <c r="IBF91" s="76">
        <v>0.89444444444444449</v>
      </c>
      <c r="IBG91" s="77" t="str">
        <f t="shared" si="182"/>
        <v>O</v>
      </c>
      <c r="IBH91" s="79">
        <v>5</v>
      </c>
      <c r="IBI91" s="75">
        <v>1276006</v>
      </c>
      <c r="IBJ91" s="80"/>
      <c r="IBK91" s="81">
        <v>0.86944444444444446</v>
      </c>
      <c r="IBL91" s="74" t="s">
        <v>27</v>
      </c>
      <c r="IBM91" s="74" t="s">
        <v>24</v>
      </c>
      <c r="IBN91" s="75" t="s">
        <v>25</v>
      </c>
      <c r="IBO91" s="76">
        <f>IFERROR(VLOOKUP(IBN91,'[1]List KPI'!$A$103:$F$118,6,0),"")</f>
        <v>1.0416666666666666E-2</v>
      </c>
      <c r="IBP91" s="76">
        <v>0.86944444444444446</v>
      </c>
      <c r="IBQ91" s="76">
        <v>0.86944444444444446</v>
      </c>
      <c r="IBR91" s="77" t="str">
        <f t="shared" ref="IBR91:IDN91" si="183">IF(IBQ91="","",IF(IBQ91&gt;IBZ91,"O","P"))</f>
        <v>O</v>
      </c>
      <c r="IBS91" s="74" t="s">
        <v>28</v>
      </c>
      <c r="IBT91" s="75" t="s">
        <v>23</v>
      </c>
      <c r="IBU91" s="78">
        <f>IFERROR(VLOOKUP(IBT91,'[1]List KPI'!$M$3:$N$8,2,0),"")</f>
        <v>2.0833333333333332E-2</v>
      </c>
      <c r="IBV91" s="76">
        <v>0.89444444444444449</v>
      </c>
      <c r="IBW91" s="77" t="str">
        <f t="shared" ref="IBW91:IDS91" si="184">IF(IBV91="","",IF(IBV91&gt;ICA91,"O","P"))</f>
        <v>O</v>
      </c>
      <c r="IBX91" s="79">
        <v>5</v>
      </c>
      <c r="IBY91" s="75">
        <v>1276006</v>
      </c>
      <c r="IBZ91" s="80"/>
      <c r="ICA91" s="81">
        <v>0.86944444444444446</v>
      </c>
      <c r="ICB91" s="74" t="s">
        <v>27</v>
      </c>
      <c r="ICC91" s="74" t="s">
        <v>24</v>
      </c>
      <c r="ICD91" s="75" t="s">
        <v>25</v>
      </c>
      <c r="ICE91" s="76">
        <f>IFERROR(VLOOKUP(ICD91,'[1]List KPI'!$A$103:$F$118,6,0),"")</f>
        <v>1.0416666666666666E-2</v>
      </c>
      <c r="ICF91" s="76">
        <v>0.86944444444444446</v>
      </c>
      <c r="ICG91" s="76">
        <v>0.86944444444444446</v>
      </c>
      <c r="ICH91" s="77" t="str">
        <f t="shared" si="183"/>
        <v>O</v>
      </c>
      <c r="ICI91" s="74" t="s">
        <v>28</v>
      </c>
      <c r="ICJ91" s="75" t="s">
        <v>23</v>
      </c>
      <c r="ICK91" s="78">
        <f>IFERROR(VLOOKUP(ICJ91,'[1]List KPI'!$M$3:$N$8,2,0),"")</f>
        <v>2.0833333333333332E-2</v>
      </c>
      <c r="ICL91" s="76">
        <v>0.89444444444444449</v>
      </c>
      <c r="ICM91" s="77" t="str">
        <f t="shared" si="184"/>
        <v>O</v>
      </c>
      <c r="ICN91" s="79">
        <v>5</v>
      </c>
      <c r="ICO91" s="75">
        <v>1276006</v>
      </c>
      <c r="ICP91" s="80"/>
      <c r="ICQ91" s="81">
        <v>0.86944444444444446</v>
      </c>
      <c r="ICR91" s="74" t="s">
        <v>27</v>
      </c>
      <c r="ICS91" s="74" t="s">
        <v>24</v>
      </c>
      <c r="ICT91" s="75" t="s">
        <v>25</v>
      </c>
      <c r="ICU91" s="76">
        <f>IFERROR(VLOOKUP(ICT91,'[1]List KPI'!$A$103:$F$118,6,0),"")</f>
        <v>1.0416666666666666E-2</v>
      </c>
      <c r="ICV91" s="76">
        <v>0.86944444444444446</v>
      </c>
      <c r="ICW91" s="76">
        <v>0.86944444444444446</v>
      </c>
      <c r="ICX91" s="77" t="str">
        <f t="shared" si="183"/>
        <v>O</v>
      </c>
      <c r="ICY91" s="74" t="s">
        <v>28</v>
      </c>
      <c r="ICZ91" s="75" t="s">
        <v>23</v>
      </c>
      <c r="IDA91" s="78">
        <f>IFERROR(VLOOKUP(ICZ91,'[1]List KPI'!$M$3:$N$8,2,0),"")</f>
        <v>2.0833333333333332E-2</v>
      </c>
      <c r="IDB91" s="76">
        <v>0.89444444444444449</v>
      </c>
      <c r="IDC91" s="77" t="str">
        <f t="shared" si="184"/>
        <v>O</v>
      </c>
      <c r="IDD91" s="79">
        <v>5</v>
      </c>
      <c r="IDE91" s="75">
        <v>1276006</v>
      </c>
      <c r="IDF91" s="80"/>
      <c r="IDG91" s="81">
        <v>0.86944444444444446</v>
      </c>
      <c r="IDH91" s="74" t="s">
        <v>27</v>
      </c>
      <c r="IDI91" s="74" t="s">
        <v>24</v>
      </c>
      <c r="IDJ91" s="75" t="s">
        <v>25</v>
      </c>
      <c r="IDK91" s="76">
        <f>IFERROR(VLOOKUP(IDJ91,'[1]List KPI'!$A$103:$F$118,6,0),"")</f>
        <v>1.0416666666666666E-2</v>
      </c>
      <c r="IDL91" s="76">
        <v>0.86944444444444446</v>
      </c>
      <c r="IDM91" s="76">
        <v>0.86944444444444446</v>
      </c>
      <c r="IDN91" s="77" t="str">
        <f t="shared" si="183"/>
        <v>O</v>
      </c>
      <c r="IDO91" s="74" t="s">
        <v>28</v>
      </c>
      <c r="IDP91" s="75" t="s">
        <v>23</v>
      </c>
      <c r="IDQ91" s="78">
        <f>IFERROR(VLOOKUP(IDP91,'[1]List KPI'!$M$3:$N$8,2,0),"")</f>
        <v>2.0833333333333332E-2</v>
      </c>
      <c r="IDR91" s="76">
        <v>0.89444444444444449</v>
      </c>
      <c r="IDS91" s="77" t="str">
        <f t="shared" si="184"/>
        <v>O</v>
      </c>
      <c r="IDT91" s="79">
        <v>5</v>
      </c>
      <c r="IDU91" s="75">
        <v>1276006</v>
      </c>
      <c r="IDV91" s="80"/>
      <c r="IDW91" s="81">
        <v>0.86944444444444446</v>
      </c>
      <c r="IDX91" s="74" t="s">
        <v>27</v>
      </c>
      <c r="IDY91" s="74" t="s">
        <v>24</v>
      </c>
      <c r="IDZ91" s="75" t="s">
        <v>25</v>
      </c>
      <c r="IEA91" s="76">
        <f>IFERROR(VLOOKUP(IDZ91,'[1]List KPI'!$A$103:$F$118,6,0),"")</f>
        <v>1.0416666666666666E-2</v>
      </c>
      <c r="IEB91" s="76">
        <v>0.86944444444444446</v>
      </c>
      <c r="IEC91" s="76">
        <v>0.86944444444444446</v>
      </c>
      <c r="IED91" s="77" t="str">
        <f t="shared" ref="IED91:IFZ91" si="185">IF(IEC91="","",IF(IEC91&gt;IEL91,"O","P"))</f>
        <v>O</v>
      </c>
      <c r="IEE91" s="74" t="s">
        <v>28</v>
      </c>
      <c r="IEF91" s="75" t="s">
        <v>23</v>
      </c>
      <c r="IEG91" s="78">
        <f>IFERROR(VLOOKUP(IEF91,'[1]List KPI'!$M$3:$N$8,2,0),"")</f>
        <v>2.0833333333333332E-2</v>
      </c>
      <c r="IEH91" s="76">
        <v>0.89444444444444449</v>
      </c>
      <c r="IEI91" s="77" t="str">
        <f t="shared" ref="IEI91:IGE91" si="186">IF(IEH91="","",IF(IEH91&gt;IEM91,"O","P"))</f>
        <v>O</v>
      </c>
      <c r="IEJ91" s="79">
        <v>5</v>
      </c>
      <c r="IEK91" s="75">
        <v>1276006</v>
      </c>
      <c r="IEL91" s="80"/>
      <c r="IEM91" s="81">
        <v>0.86944444444444446</v>
      </c>
      <c r="IEN91" s="74" t="s">
        <v>27</v>
      </c>
      <c r="IEO91" s="74" t="s">
        <v>24</v>
      </c>
      <c r="IEP91" s="75" t="s">
        <v>25</v>
      </c>
      <c r="IEQ91" s="76">
        <f>IFERROR(VLOOKUP(IEP91,'[1]List KPI'!$A$103:$F$118,6,0),"")</f>
        <v>1.0416666666666666E-2</v>
      </c>
      <c r="IER91" s="76">
        <v>0.86944444444444446</v>
      </c>
      <c r="IES91" s="76">
        <v>0.86944444444444446</v>
      </c>
      <c r="IET91" s="77" t="str">
        <f t="shared" si="185"/>
        <v>O</v>
      </c>
      <c r="IEU91" s="74" t="s">
        <v>28</v>
      </c>
      <c r="IEV91" s="75" t="s">
        <v>23</v>
      </c>
      <c r="IEW91" s="78">
        <f>IFERROR(VLOOKUP(IEV91,'[1]List KPI'!$M$3:$N$8,2,0),"")</f>
        <v>2.0833333333333332E-2</v>
      </c>
      <c r="IEX91" s="76">
        <v>0.89444444444444449</v>
      </c>
      <c r="IEY91" s="77" t="str">
        <f t="shared" si="186"/>
        <v>O</v>
      </c>
      <c r="IEZ91" s="79">
        <v>5</v>
      </c>
      <c r="IFA91" s="75">
        <v>1276006</v>
      </c>
      <c r="IFB91" s="80"/>
      <c r="IFC91" s="81">
        <v>0.86944444444444446</v>
      </c>
      <c r="IFD91" s="74" t="s">
        <v>27</v>
      </c>
      <c r="IFE91" s="74" t="s">
        <v>24</v>
      </c>
      <c r="IFF91" s="75" t="s">
        <v>25</v>
      </c>
      <c r="IFG91" s="76">
        <f>IFERROR(VLOOKUP(IFF91,'[1]List KPI'!$A$103:$F$118,6,0),"")</f>
        <v>1.0416666666666666E-2</v>
      </c>
      <c r="IFH91" s="76">
        <v>0.86944444444444446</v>
      </c>
      <c r="IFI91" s="76">
        <v>0.86944444444444446</v>
      </c>
      <c r="IFJ91" s="77" t="str">
        <f t="shared" si="185"/>
        <v>O</v>
      </c>
      <c r="IFK91" s="74" t="s">
        <v>28</v>
      </c>
      <c r="IFL91" s="75" t="s">
        <v>23</v>
      </c>
      <c r="IFM91" s="78">
        <f>IFERROR(VLOOKUP(IFL91,'[1]List KPI'!$M$3:$N$8,2,0),"")</f>
        <v>2.0833333333333332E-2</v>
      </c>
      <c r="IFN91" s="76">
        <v>0.89444444444444449</v>
      </c>
      <c r="IFO91" s="77" t="str">
        <f t="shared" si="186"/>
        <v>O</v>
      </c>
      <c r="IFP91" s="79">
        <v>5</v>
      </c>
      <c r="IFQ91" s="75">
        <v>1276006</v>
      </c>
      <c r="IFR91" s="80"/>
      <c r="IFS91" s="81">
        <v>0.86944444444444446</v>
      </c>
      <c r="IFT91" s="74" t="s">
        <v>27</v>
      </c>
      <c r="IFU91" s="74" t="s">
        <v>24</v>
      </c>
      <c r="IFV91" s="75" t="s">
        <v>25</v>
      </c>
      <c r="IFW91" s="76">
        <f>IFERROR(VLOOKUP(IFV91,'[1]List KPI'!$A$103:$F$118,6,0),"")</f>
        <v>1.0416666666666666E-2</v>
      </c>
      <c r="IFX91" s="76">
        <v>0.86944444444444446</v>
      </c>
      <c r="IFY91" s="76">
        <v>0.86944444444444446</v>
      </c>
      <c r="IFZ91" s="77" t="str">
        <f t="shared" si="185"/>
        <v>O</v>
      </c>
      <c r="IGA91" s="74" t="s">
        <v>28</v>
      </c>
      <c r="IGB91" s="75" t="s">
        <v>23</v>
      </c>
      <c r="IGC91" s="78">
        <f>IFERROR(VLOOKUP(IGB91,'[1]List KPI'!$M$3:$N$8,2,0),"")</f>
        <v>2.0833333333333332E-2</v>
      </c>
      <c r="IGD91" s="76">
        <v>0.89444444444444449</v>
      </c>
      <c r="IGE91" s="77" t="str">
        <f t="shared" si="186"/>
        <v>O</v>
      </c>
      <c r="IGF91" s="79">
        <v>5</v>
      </c>
      <c r="IGG91" s="75">
        <v>1276006</v>
      </c>
      <c r="IGH91" s="80"/>
      <c r="IGI91" s="81">
        <v>0.86944444444444446</v>
      </c>
      <c r="IGJ91" s="74" t="s">
        <v>27</v>
      </c>
      <c r="IGK91" s="74" t="s">
        <v>24</v>
      </c>
      <c r="IGL91" s="75" t="s">
        <v>25</v>
      </c>
      <c r="IGM91" s="76">
        <f>IFERROR(VLOOKUP(IGL91,'[1]List KPI'!$A$103:$F$118,6,0),"")</f>
        <v>1.0416666666666666E-2</v>
      </c>
      <c r="IGN91" s="76">
        <v>0.86944444444444446</v>
      </c>
      <c r="IGO91" s="76">
        <v>0.86944444444444446</v>
      </c>
      <c r="IGP91" s="77" t="str">
        <f t="shared" ref="IGP91:IIL91" si="187">IF(IGO91="","",IF(IGO91&gt;IGX91,"O","P"))</f>
        <v>O</v>
      </c>
      <c r="IGQ91" s="74" t="s">
        <v>28</v>
      </c>
      <c r="IGR91" s="75" t="s">
        <v>23</v>
      </c>
      <c r="IGS91" s="78">
        <f>IFERROR(VLOOKUP(IGR91,'[1]List KPI'!$M$3:$N$8,2,0),"")</f>
        <v>2.0833333333333332E-2</v>
      </c>
      <c r="IGT91" s="76">
        <v>0.89444444444444449</v>
      </c>
      <c r="IGU91" s="77" t="str">
        <f t="shared" ref="IGU91:IIQ91" si="188">IF(IGT91="","",IF(IGT91&gt;IGY91,"O","P"))</f>
        <v>O</v>
      </c>
      <c r="IGV91" s="79">
        <v>5</v>
      </c>
      <c r="IGW91" s="75">
        <v>1276006</v>
      </c>
      <c r="IGX91" s="80"/>
      <c r="IGY91" s="81">
        <v>0.86944444444444446</v>
      </c>
      <c r="IGZ91" s="74" t="s">
        <v>27</v>
      </c>
      <c r="IHA91" s="74" t="s">
        <v>24</v>
      </c>
      <c r="IHB91" s="75" t="s">
        <v>25</v>
      </c>
      <c r="IHC91" s="76">
        <f>IFERROR(VLOOKUP(IHB91,'[1]List KPI'!$A$103:$F$118,6,0),"")</f>
        <v>1.0416666666666666E-2</v>
      </c>
      <c r="IHD91" s="76">
        <v>0.86944444444444446</v>
      </c>
      <c r="IHE91" s="76">
        <v>0.86944444444444446</v>
      </c>
      <c r="IHF91" s="77" t="str">
        <f t="shared" si="187"/>
        <v>O</v>
      </c>
      <c r="IHG91" s="74" t="s">
        <v>28</v>
      </c>
      <c r="IHH91" s="75" t="s">
        <v>23</v>
      </c>
      <c r="IHI91" s="78">
        <f>IFERROR(VLOOKUP(IHH91,'[1]List KPI'!$M$3:$N$8,2,0),"")</f>
        <v>2.0833333333333332E-2</v>
      </c>
      <c r="IHJ91" s="76">
        <v>0.89444444444444449</v>
      </c>
      <c r="IHK91" s="77" t="str">
        <f t="shared" si="188"/>
        <v>O</v>
      </c>
      <c r="IHL91" s="79">
        <v>5</v>
      </c>
      <c r="IHM91" s="75">
        <v>1276006</v>
      </c>
      <c r="IHN91" s="80"/>
      <c r="IHO91" s="81">
        <v>0.86944444444444446</v>
      </c>
      <c r="IHP91" s="74" t="s">
        <v>27</v>
      </c>
      <c r="IHQ91" s="74" t="s">
        <v>24</v>
      </c>
      <c r="IHR91" s="75" t="s">
        <v>25</v>
      </c>
      <c r="IHS91" s="76">
        <f>IFERROR(VLOOKUP(IHR91,'[1]List KPI'!$A$103:$F$118,6,0),"")</f>
        <v>1.0416666666666666E-2</v>
      </c>
      <c r="IHT91" s="76">
        <v>0.86944444444444446</v>
      </c>
      <c r="IHU91" s="76">
        <v>0.86944444444444446</v>
      </c>
      <c r="IHV91" s="77" t="str">
        <f t="shared" si="187"/>
        <v>O</v>
      </c>
      <c r="IHW91" s="74" t="s">
        <v>28</v>
      </c>
      <c r="IHX91" s="75" t="s">
        <v>23</v>
      </c>
      <c r="IHY91" s="78">
        <f>IFERROR(VLOOKUP(IHX91,'[1]List KPI'!$M$3:$N$8,2,0),"")</f>
        <v>2.0833333333333332E-2</v>
      </c>
      <c r="IHZ91" s="76">
        <v>0.89444444444444449</v>
      </c>
      <c r="IIA91" s="77" t="str">
        <f t="shared" si="188"/>
        <v>O</v>
      </c>
      <c r="IIB91" s="79">
        <v>5</v>
      </c>
      <c r="IIC91" s="75">
        <v>1276006</v>
      </c>
      <c r="IID91" s="80"/>
      <c r="IIE91" s="81">
        <v>0.86944444444444446</v>
      </c>
      <c r="IIF91" s="74" t="s">
        <v>27</v>
      </c>
      <c r="IIG91" s="74" t="s">
        <v>24</v>
      </c>
      <c r="IIH91" s="75" t="s">
        <v>25</v>
      </c>
      <c r="III91" s="76">
        <f>IFERROR(VLOOKUP(IIH91,'[1]List KPI'!$A$103:$F$118,6,0),"")</f>
        <v>1.0416666666666666E-2</v>
      </c>
      <c r="IIJ91" s="76">
        <v>0.86944444444444446</v>
      </c>
      <c r="IIK91" s="76">
        <v>0.86944444444444446</v>
      </c>
      <c r="IIL91" s="77" t="str">
        <f t="shared" si="187"/>
        <v>O</v>
      </c>
      <c r="IIM91" s="74" t="s">
        <v>28</v>
      </c>
      <c r="IIN91" s="75" t="s">
        <v>23</v>
      </c>
      <c r="IIO91" s="78">
        <f>IFERROR(VLOOKUP(IIN91,'[1]List KPI'!$M$3:$N$8,2,0),"")</f>
        <v>2.0833333333333332E-2</v>
      </c>
      <c r="IIP91" s="76">
        <v>0.89444444444444449</v>
      </c>
      <c r="IIQ91" s="77" t="str">
        <f t="shared" si="188"/>
        <v>O</v>
      </c>
      <c r="IIR91" s="79">
        <v>5</v>
      </c>
      <c r="IIS91" s="75">
        <v>1276006</v>
      </c>
      <c r="IIT91" s="80"/>
      <c r="IIU91" s="81">
        <v>0.86944444444444446</v>
      </c>
      <c r="IIV91" s="74" t="s">
        <v>27</v>
      </c>
      <c r="IIW91" s="74" t="s">
        <v>24</v>
      </c>
      <c r="IIX91" s="75" t="s">
        <v>25</v>
      </c>
      <c r="IIY91" s="76">
        <f>IFERROR(VLOOKUP(IIX91,'[1]List KPI'!$A$103:$F$118,6,0),"")</f>
        <v>1.0416666666666666E-2</v>
      </c>
      <c r="IIZ91" s="76">
        <v>0.86944444444444446</v>
      </c>
      <c r="IJA91" s="76">
        <v>0.86944444444444446</v>
      </c>
      <c r="IJB91" s="77" t="str">
        <f t="shared" ref="IJB91:IKX91" si="189">IF(IJA91="","",IF(IJA91&gt;IJJ91,"O","P"))</f>
        <v>O</v>
      </c>
      <c r="IJC91" s="74" t="s">
        <v>28</v>
      </c>
      <c r="IJD91" s="75" t="s">
        <v>23</v>
      </c>
      <c r="IJE91" s="78">
        <f>IFERROR(VLOOKUP(IJD91,'[1]List KPI'!$M$3:$N$8,2,0),"")</f>
        <v>2.0833333333333332E-2</v>
      </c>
      <c r="IJF91" s="76">
        <v>0.89444444444444449</v>
      </c>
      <c r="IJG91" s="77" t="str">
        <f t="shared" ref="IJG91:ILC91" si="190">IF(IJF91="","",IF(IJF91&gt;IJK91,"O","P"))</f>
        <v>O</v>
      </c>
      <c r="IJH91" s="79">
        <v>5</v>
      </c>
      <c r="IJI91" s="75">
        <v>1276006</v>
      </c>
      <c r="IJJ91" s="80"/>
      <c r="IJK91" s="81">
        <v>0.86944444444444446</v>
      </c>
      <c r="IJL91" s="74" t="s">
        <v>27</v>
      </c>
      <c r="IJM91" s="74" t="s">
        <v>24</v>
      </c>
      <c r="IJN91" s="75" t="s">
        <v>25</v>
      </c>
      <c r="IJO91" s="76">
        <f>IFERROR(VLOOKUP(IJN91,'[1]List KPI'!$A$103:$F$118,6,0),"")</f>
        <v>1.0416666666666666E-2</v>
      </c>
      <c r="IJP91" s="76">
        <v>0.86944444444444446</v>
      </c>
      <c r="IJQ91" s="76">
        <v>0.86944444444444446</v>
      </c>
      <c r="IJR91" s="77" t="str">
        <f t="shared" si="189"/>
        <v>O</v>
      </c>
      <c r="IJS91" s="74" t="s">
        <v>28</v>
      </c>
      <c r="IJT91" s="75" t="s">
        <v>23</v>
      </c>
      <c r="IJU91" s="78">
        <f>IFERROR(VLOOKUP(IJT91,'[1]List KPI'!$M$3:$N$8,2,0),"")</f>
        <v>2.0833333333333332E-2</v>
      </c>
      <c r="IJV91" s="76">
        <v>0.89444444444444449</v>
      </c>
      <c r="IJW91" s="77" t="str">
        <f t="shared" si="190"/>
        <v>O</v>
      </c>
      <c r="IJX91" s="79">
        <v>5</v>
      </c>
      <c r="IJY91" s="75">
        <v>1276006</v>
      </c>
      <c r="IJZ91" s="80"/>
      <c r="IKA91" s="81">
        <v>0.86944444444444446</v>
      </c>
      <c r="IKB91" s="74" t="s">
        <v>27</v>
      </c>
      <c r="IKC91" s="74" t="s">
        <v>24</v>
      </c>
      <c r="IKD91" s="75" t="s">
        <v>25</v>
      </c>
      <c r="IKE91" s="76">
        <f>IFERROR(VLOOKUP(IKD91,'[1]List KPI'!$A$103:$F$118,6,0),"")</f>
        <v>1.0416666666666666E-2</v>
      </c>
      <c r="IKF91" s="76">
        <v>0.86944444444444446</v>
      </c>
      <c r="IKG91" s="76">
        <v>0.86944444444444446</v>
      </c>
      <c r="IKH91" s="77" t="str">
        <f t="shared" si="189"/>
        <v>O</v>
      </c>
      <c r="IKI91" s="74" t="s">
        <v>28</v>
      </c>
      <c r="IKJ91" s="75" t="s">
        <v>23</v>
      </c>
      <c r="IKK91" s="78">
        <f>IFERROR(VLOOKUP(IKJ91,'[1]List KPI'!$M$3:$N$8,2,0),"")</f>
        <v>2.0833333333333332E-2</v>
      </c>
      <c r="IKL91" s="76">
        <v>0.89444444444444449</v>
      </c>
      <c r="IKM91" s="77" t="str">
        <f t="shared" si="190"/>
        <v>O</v>
      </c>
      <c r="IKN91" s="79">
        <v>5</v>
      </c>
      <c r="IKO91" s="75">
        <v>1276006</v>
      </c>
      <c r="IKP91" s="80"/>
      <c r="IKQ91" s="81">
        <v>0.86944444444444446</v>
      </c>
      <c r="IKR91" s="74" t="s">
        <v>27</v>
      </c>
      <c r="IKS91" s="74" t="s">
        <v>24</v>
      </c>
      <c r="IKT91" s="75" t="s">
        <v>25</v>
      </c>
      <c r="IKU91" s="76">
        <f>IFERROR(VLOOKUP(IKT91,'[1]List KPI'!$A$103:$F$118,6,0),"")</f>
        <v>1.0416666666666666E-2</v>
      </c>
      <c r="IKV91" s="76">
        <v>0.86944444444444446</v>
      </c>
      <c r="IKW91" s="76">
        <v>0.86944444444444446</v>
      </c>
      <c r="IKX91" s="77" t="str">
        <f t="shared" si="189"/>
        <v>O</v>
      </c>
      <c r="IKY91" s="74" t="s">
        <v>28</v>
      </c>
      <c r="IKZ91" s="75" t="s">
        <v>23</v>
      </c>
      <c r="ILA91" s="78">
        <f>IFERROR(VLOOKUP(IKZ91,'[1]List KPI'!$M$3:$N$8,2,0),"")</f>
        <v>2.0833333333333332E-2</v>
      </c>
      <c r="ILB91" s="76">
        <v>0.89444444444444449</v>
      </c>
      <c r="ILC91" s="77" t="str">
        <f t="shared" si="190"/>
        <v>O</v>
      </c>
      <c r="ILD91" s="79">
        <v>5</v>
      </c>
      <c r="ILE91" s="75">
        <v>1276006</v>
      </c>
      <c r="ILF91" s="80"/>
      <c r="ILG91" s="81">
        <v>0.86944444444444446</v>
      </c>
      <c r="ILH91" s="74" t="s">
        <v>27</v>
      </c>
      <c r="ILI91" s="74" t="s">
        <v>24</v>
      </c>
      <c r="ILJ91" s="75" t="s">
        <v>25</v>
      </c>
      <c r="ILK91" s="76">
        <f>IFERROR(VLOOKUP(ILJ91,'[1]List KPI'!$A$103:$F$118,6,0),"")</f>
        <v>1.0416666666666666E-2</v>
      </c>
      <c r="ILL91" s="76">
        <v>0.86944444444444446</v>
      </c>
      <c r="ILM91" s="76">
        <v>0.86944444444444446</v>
      </c>
      <c r="ILN91" s="77" t="str">
        <f t="shared" ref="ILN91:INJ91" si="191">IF(ILM91="","",IF(ILM91&gt;ILV91,"O","P"))</f>
        <v>O</v>
      </c>
      <c r="ILO91" s="74" t="s">
        <v>28</v>
      </c>
      <c r="ILP91" s="75" t="s">
        <v>23</v>
      </c>
      <c r="ILQ91" s="78">
        <f>IFERROR(VLOOKUP(ILP91,'[1]List KPI'!$M$3:$N$8,2,0),"")</f>
        <v>2.0833333333333332E-2</v>
      </c>
      <c r="ILR91" s="76">
        <v>0.89444444444444449</v>
      </c>
      <c r="ILS91" s="77" t="str">
        <f t="shared" ref="ILS91:INO91" si="192">IF(ILR91="","",IF(ILR91&gt;ILW91,"O","P"))</f>
        <v>O</v>
      </c>
      <c r="ILT91" s="79">
        <v>5</v>
      </c>
      <c r="ILU91" s="75">
        <v>1276006</v>
      </c>
      <c r="ILV91" s="80"/>
      <c r="ILW91" s="81">
        <v>0.86944444444444446</v>
      </c>
      <c r="ILX91" s="74" t="s">
        <v>27</v>
      </c>
      <c r="ILY91" s="74" t="s">
        <v>24</v>
      </c>
      <c r="ILZ91" s="75" t="s">
        <v>25</v>
      </c>
      <c r="IMA91" s="76">
        <f>IFERROR(VLOOKUP(ILZ91,'[1]List KPI'!$A$103:$F$118,6,0),"")</f>
        <v>1.0416666666666666E-2</v>
      </c>
      <c r="IMB91" s="76">
        <v>0.86944444444444446</v>
      </c>
      <c r="IMC91" s="76">
        <v>0.86944444444444446</v>
      </c>
      <c r="IMD91" s="77" t="str">
        <f t="shared" si="191"/>
        <v>O</v>
      </c>
      <c r="IME91" s="74" t="s">
        <v>28</v>
      </c>
      <c r="IMF91" s="75" t="s">
        <v>23</v>
      </c>
      <c r="IMG91" s="78">
        <f>IFERROR(VLOOKUP(IMF91,'[1]List KPI'!$M$3:$N$8,2,0),"")</f>
        <v>2.0833333333333332E-2</v>
      </c>
      <c r="IMH91" s="76">
        <v>0.89444444444444449</v>
      </c>
      <c r="IMI91" s="77" t="str">
        <f t="shared" si="192"/>
        <v>O</v>
      </c>
      <c r="IMJ91" s="79">
        <v>5</v>
      </c>
      <c r="IMK91" s="75">
        <v>1276006</v>
      </c>
      <c r="IML91" s="80"/>
      <c r="IMM91" s="81">
        <v>0.86944444444444446</v>
      </c>
      <c r="IMN91" s="74" t="s">
        <v>27</v>
      </c>
      <c r="IMO91" s="74" t="s">
        <v>24</v>
      </c>
      <c r="IMP91" s="75" t="s">
        <v>25</v>
      </c>
      <c r="IMQ91" s="76">
        <f>IFERROR(VLOOKUP(IMP91,'[1]List KPI'!$A$103:$F$118,6,0),"")</f>
        <v>1.0416666666666666E-2</v>
      </c>
      <c r="IMR91" s="76">
        <v>0.86944444444444446</v>
      </c>
      <c r="IMS91" s="76">
        <v>0.86944444444444446</v>
      </c>
      <c r="IMT91" s="77" t="str">
        <f t="shared" si="191"/>
        <v>O</v>
      </c>
      <c r="IMU91" s="74" t="s">
        <v>28</v>
      </c>
      <c r="IMV91" s="75" t="s">
        <v>23</v>
      </c>
      <c r="IMW91" s="78">
        <f>IFERROR(VLOOKUP(IMV91,'[1]List KPI'!$M$3:$N$8,2,0),"")</f>
        <v>2.0833333333333332E-2</v>
      </c>
      <c r="IMX91" s="76">
        <v>0.89444444444444449</v>
      </c>
      <c r="IMY91" s="77" t="str">
        <f t="shared" si="192"/>
        <v>O</v>
      </c>
      <c r="IMZ91" s="79">
        <v>5</v>
      </c>
      <c r="INA91" s="75">
        <v>1276006</v>
      </c>
      <c r="INB91" s="80"/>
      <c r="INC91" s="81">
        <v>0.86944444444444446</v>
      </c>
      <c r="IND91" s="74" t="s">
        <v>27</v>
      </c>
      <c r="INE91" s="74" t="s">
        <v>24</v>
      </c>
      <c r="INF91" s="75" t="s">
        <v>25</v>
      </c>
      <c r="ING91" s="76">
        <f>IFERROR(VLOOKUP(INF91,'[1]List KPI'!$A$103:$F$118,6,0),"")</f>
        <v>1.0416666666666666E-2</v>
      </c>
      <c r="INH91" s="76">
        <v>0.86944444444444446</v>
      </c>
      <c r="INI91" s="76">
        <v>0.86944444444444446</v>
      </c>
      <c r="INJ91" s="77" t="str">
        <f t="shared" si="191"/>
        <v>O</v>
      </c>
      <c r="INK91" s="74" t="s">
        <v>28</v>
      </c>
      <c r="INL91" s="75" t="s">
        <v>23</v>
      </c>
      <c r="INM91" s="78">
        <f>IFERROR(VLOOKUP(INL91,'[1]List KPI'!$M$3:$N$8,2,0),"")</f>
        <v>2.0833333333333332E-2</v>
      </c>
      <c r="INN91" s="76">
        <v>0.89444444444444449</v>
      </c>
      <c r="INO91" s="77" t="str">
        <f t="shared" si="192"/>
        <v>O</v>
      </c>
      <c r="INP91" s="79">
        <v>5</v>
      </c>
      <c r="INQ91" s="75">
        <v>1276006</v>
      </c>
      <c r="INR91" s="80"/>
      <c r="INS91" s="81">
        <v>0.86944444444444446</v>
      </c>
      <c r="INT91" s="74" t="s">
        <v>27</v>
      </c>
      <c r="INU91" s="74" t="s">
        <v>24</v>
      </c>
      <c r="INV91" s="75" t="s">
        <v>25</v>
      </c>
      <c r="INW91" s="76">
        <f>IFERROR(VLOOKUP(INV91,'[1]List KPI'!$A$103:$F$118,6,0),"")</f>
        <v>1.0416666666666666E-2</v>
      </c>
      <c r="INX91" s="76">
        <v>0.86944444444444446</v>
      </c>
      <c r="INY91" s="76">
        <v>0.86944444444444446</v>
      </c>
      <c r="INZ91" s="77" t="str">
        <f t="shared" ref="INZ91:IPV91" si="193">IF(INY91="","",IF(INY91&gt;IOH91,"O","P"))</f>
        <v>O</v>
      </c>
      <c r="IOA91" s="74" t="s">
        <v>28</v>
      </c>
      <c r="IOB91" s="75" t="s">
        <v>23</v>
      </c>
      <c r="IOC91" s="78">
        <f>IFERROR(VLOOKUP(IOB91,'[1]List KPI'!$M$3:$N$8,2,0),"")</f>
        <v>2.0833333333333332E-2</v>
      </c>
      <c r="IOD91" s="76">
        <v>0.89444444444444449</v>
      </c>
      <c r="IOE91" s="77" t="str">
        <f t="shared" ref="IOE91:IQA91" si="194">IF(IOD91="","",IF(IOD91&gt;IOI91,"O","P"))</f>
        <v>O</v>
      </c>
      <c r="IOF91" s="79">
        <v>5</v>
      </c>
      <c r="IOG91" s="75">
        <v>1276006</v>
      </c>
      <c r="IOH91" s="80"/>
      <c r="IOI91" s="81">
        <v>0.86944444444444446</v>
      </c>
      <c r="IOJ91" s="74" t="s">
        <v>27</v>
      </c>
      <c r="IOK91" s="74" t="s">
        <v>24</v>
      </c>
      <c r="IOL91" s="75" t="s">
        <v>25</v>
      </c>
      <c r="IOM91" s="76">
        <f>IFERROR(VLOOKUP(IOL91,'[1]List KPI'!$A$103:$F$118,6,0),"")</f>
        <v>1.0416666666666666E-2</v>
      </c>
      <c r="ION91" s="76">
        <v>0.86944444444444446</v>
      </c>
      <c r="IOO91" s="76">
        <v>0.86944444444444446</v>
      </c>
      <c r="IOP91" s="77" t="str">
        <f t="shared" si="193"/>
        <v>O</v>
      </c>
      <c r="IOQ91" s="74" t="s">
        <v>28</v>
      </c>
      <c r="IOR91" s="75" t="s">
        <v>23</v>
      </c>
      <c r="IOS91" s="78">
        <f>IFERROR(VLOOKUP(IOR91,'[1]List KPI'!$M$3:$N$8,2,0),"")</f>
        <v>2.0833333333333332E-2</v>
      </c>
      <c r="IOT91" s="76">
        <v>0.89444444444444449</v>
      </c>
      <c r="IOU91" s="77" t="str">
        <f t="shared" si="194"/>
        <v>O</v>
      </c>
      <c r="IOV91" s="79">
        <v>5</v>
      </c>
      <c r="IOW91" s="75">
        <v>1276006</v>
      </c>
      <c r="IOX91" s="80"/>
      <c r="IOY91" s="81">
        <v>0.86944444444444446</v>
      </c>
      <c r="IOZ91" s="74" t="s">
        <v>27</v>
      </c>
      <c r="IPA91" s="74" t="s">
        <v>24</v>
      </c>
      <c r="IPB91" s="75" t="s">
        <v>25</v>
      </c>
      <c r="IPC91" s="76">
        <f>IFERROR(VLOOKUP(IPB91,'[1]List KPI'!$A$103:$F$118,6,0),"")</f>
        <v>1.0416666666666666E-2</v>
      </c>
      <c r="IPD91" s="76">
        <v>0.86944444444444446</v>
      </c>
      <c r="IPE91" s="76">
        <v>0.86944444444444446</v>
      </c>
      <c r="IPF91" s="77" t="str">
        <f t="shared" si="193"/>
        <v>O</v>
      </c>
      <c r="IPG91" s="74" t="s">
        <v>28</v>
      </c>
      <c r="IPH91" s="75" t="s">
        <v>23</v>
      </c>
      <c r="IPI91" s="78">
        <f>IFERROR(VLOOKUP(IPH91,'[1]List KPI'!$M$3:$N$8,2,0),"")</f>
        <v>2.0833333333333332E-2</v>
      </c>
      <c r="IPJ91" s="76">
        <v>0.89444444444444449</v>
      </c>
      <c r="IPK91" s="77" t="str">
        <f t="shared" si="194"/>
        <v>O</v>
      </c>
      <c r="IPL91" s="79">
        <v>5</v>
      </c>
      <c r="IPM91" s="75">
        <v>1276006</v>
      </c>
      <c r="IPN91" s="80"/>
      <c r="IPO91" s="81">
        <v>0.86944444444444446</v>
      </c>
      <c r="IPP91" s="74" t="s">
        <v>27</v>
      </c>
      <c r="IPQ91" s="74" t="s">
        <v>24</v>
      </c>
      <c r="IPR91" s="75" t="s">
        <v>25</v>
      </c>
      <c r="IPS91" s="76">
        <f>IFERROR(VLOOKUP(IPR91,'[1]List KPI'!$A$103:$F$118,6,0),"")</f>
        <v>1.0416666666666666E-2</v>
      </c>
      <c r="IPT91" s="76">
        <v>0.86944444444444446</v>
      </c>
      <c r="IPU91" s="76">
        <v>0.86944444444444446</v>
      </c>
      <c r="IPV91" s="77" t="str">
        <f t="shared" si="193"/>
        <v>O</v>
      </c>
      <c r="IPW91" s="74" t="s">
        <v>28</v>
      </c>
      <c r="IPX91" s="75" t="s">
        <v>23</v>
      </c>
      <c r="IPY91" s="78">
        <f>IFERROR(VLOOKUP(IPX91,'[1]List KPI'!$M$3:$N$8,2,0),"")</f>
        <v>2.0833333333333332E-2</v>
      </c>
      <c r="IPZ91" s="76">
        <v>0.89444444444444449</v>
      </c>
      <c r="IQA91" s="77" t="str">
        <f t="shared" si="194"/>
        <v>O</v>
      </c>
      <c r="IQB91" s="79">
        <v>5</v>
      </c>
      <c r="IQC91" s="75">
        <v>1276006</v>
      </c>
      <c r="IQD91" s="80"/>
      <c r="IQE91" s="81">
        <v>0.86944444444444446</v>
      </c>
      <c r="IQF91" s="74" t="s">
        <v>27</v>
      </c>
      <c r="IQG91" s="74" t="s">
        <v>24</v>
      </c>
      <c r="IQH91" s="75" t="s">
        <v>25</v>
      </c>
      <c r="IQI91" s="76">
        <f>IFERROR(VLOOKUP(IQH91,'[1]List KPI'!$A$103:$F$118,6,0),"")</f>
        <v>1.0416666666666666E-2</v>
      </c>
      <c r="IQJ91" s="76">
        <v>0.86944444444444446</v>
      </c>
      <c r="IQK91" s="76">
        <v>0.86944444444444446</v>
      </c>
      <c r="IQL91" s="77" t="str">
        <f t="shared" ref="IQL91:ISH91" si="195">IF(IQK91="","",IF(IQK91&gt;IQT91,"O","P"))</f>
        <v>O</v>
      </c>
      <c r="IQM91" s="74" t="s">
        <v>28</v>
      </c>
      <c r="IQN91" s="75" t="s">
        <v>23</v>
      </c>
      <c r="IQO91" s="78">
        <f>IFERROR(VLOOKUP(IQN91,'[1]List KPI'!$M$3:$N$8,2,0),"")</f>
        <v>2.0833333333333332E-2</v>
      </c>
      <c r="IQP91" s="76">
        <v>0.89444444444444449</v>
      </c>
      <c r="IQQ91" s="77" t="str">
        <f t="shared" ref="IQQ91:ISM91" si="196">IF(IQP91="","",IF(IQP91&gt;IQU91,"O","P"))</f>
        <v>O</v>
      </c>
      <c r="IQR91" s="79">
        <v>5</v>
      </c>
      <c r="IQS91" s="75">
        <v>1276006</v>
      </c>
      <c r="IQT91" s="80"/>
      <c r="IQU91" s="81">
        <v>0.86944444444444446</v>
      </c>
      <c r="IQV91" s="74" t="s">
        <v>27</v>
      </c>
      <c r="IQW91" s="74" t="s">
        <v>24</v>
      </c>
      <c r="IQX91" s="75" t="s">
        <v>25</v>
      </c>
      <c r="IQY91" s="76">
        <f>IFERROR(VLOOKUP(IQX91,'[1]List KPI'!$A$103:$F$118,6,0),"")</f>
        <v>1.0416666666666666E-2</v>
      </c>
      <c r="IQZ91" s="76">
        <v>0.86944444444444446</v>
      </c>
      <c r="IRA91" s="76">
        <v>0.86944444444444446</v>
      </c>
      <c r="IRB91" s="77" t="str">
        <f t="shared" si="195"/>
        <v>O</v>
      </c>
      <c r="IRC91" s="74" t="s">
        <v>28</v>
      </c>
      <c r="IRD91" s="75" t="s">
        <v>23</v>
      </c>
      <c r="IRE91" s="78">
        <f>IFERROR(VLOOKUP(IRD91,'[1]List KPI'!$M$3:$N$8,2,0),"")</f>
        <v>2.0833333333333332E-2</v>
      </c>
      <c r="IRF91" s="76">
        <v>0.89444444444444449</v>
      </c>
      <c r="IRG91" s="77" t="str">
        <f t="shared" si="196"/>
        <v>O</v>
      </c>
      <c r="IRH91" s="79">
        <v>5</v>
      </c>
      <c r="IRI91" s="75">
        <v>1276006</v>
      </c>
      <c r="IRJ91" s="80"/>
      <c r="IRK91" s="81">
        <v>0.86944444444444446</v>
      </c>
      <c r="IRL91" s="74" t="s">
        <v>27</v>
      </c>
      <c r="IRM91" s="74" t="s">
        <v>24</v>
      </c>
      <c r="IRN91" s="75" t="s">
        <v>25</v>
      </c>
      <c r="IRO91" s="76">
        <f>IFERROR(VLOOKUP(IRN91,'[1]List KPI'!$A$103:$F$118,6,0),"")</f>
        <v>1.0416666666666666E-2</v>
      </c>
      <c r="IRP91" s="76">
        <v>0.86944444444444446</v>
      </c>
      <c r="IRQ91" s="76">
        <v>0.86944444444444446</v>
      </c>
      <c r="IRR91" s="77" t="str">
        <f t="shared" si="195"/>
        <v>O</v>
      </c>
      <c r="IRS91" s="74" t="s">
        <v>28</v>
      </c>
      <c r="IRT91" s="75" t="s">
        <v>23</v>
      </c>
      <c r="IRU91" s="78">
        <f>IFERROR(VLOOKUP(IRT91,'[1]List KPI'!$M$3:$N$8,2,0),"")</f>
        <v>2.0833333333333332E-2</v>
      </c>
      <c r="IRV91" s="76">
        <v>0.89444444444444449</v>
      </c>
      <c r="IRW91" s="77" t="str">
        <f t="shared" si="196"/>
        <v>O</v>
      </c>
      <c r="IRX91" s="79">
        <v>5</v>
      </c>
      <c r="IRY91" s="75">
        <v>1276006</v>
      </c>
      <c r="IRZ91" s="80"/>
      <c r="ISA91" s="81">
        <v>0.86944444444444446</v>
      </c>
      <c r="ISB91" s="74" t="s">
        <v>27</v>
      </c>
      <c r="ISC91" s="74" t="s">
        <v>24</v>
      </c>
      <c r="ISD91" s="75" t="s">
        <v>25</v>
      </c>
      <c r="ISE91" s="76">
        <f>IFERROR(VLOOKUP(ISD91,'[1]List KPI'!$A$103:$F$118,6,0),"")</f>
        <v>1.0416666666666666E-2</v>
      </c>
      <c r="ISF91" s="76">
        <v>0.86944444444444446</v>
      </c>
      <c r="ISG91" s="76">
        <v>0.86944444444444446</v>
      </c>
      <c r="ISH91" s="77" t="str">
        <f t="shared" si="195"/>
        <v>O</v>
      </c>
      <c r="ISI91" s="74" t="s">
        <v>28</v>
      </c>
      <c r="ISJ91" s="75" t="s">
        <v>23</v>
      </c>
      <c r="ISK91" s="78">
        <f>IFERROR(VLOOKUP(ISJ91,'[1]List KPI'!$M$3:$N$8,2,0),"")</f>
        <v>2.0833333333333332E-2</v>
      </c>
      <c r="ISL91" s="76">
        <v>0.89444444444444449</v>
      </c>
      <c r="ISM91" s="77" t="str">
        <f t="shared" si="196"/>
        <v>O</v>
      </c>
      <c r="ISN91" s="79">
        <v>5</v>
      </c>
      <c r="ISO91" s="75">
        <v>1276006</v>
      </c>
      <c r="ISP91" s="80"/>
      <c r="ISQ91" s="81">
        <v>0.86944444444444446</v>
      </c>
      <c r="ISR91" s="74" t="s">
        <v>27</v>
      </c>
      <c r="ISS91" s="74" t="s">
        <v>24</v>
      </c>
      <c r="IST91" s="75" t="s">
        <v>25</v>
      </c>
      <c r="ISU91" s="76">
        <f>IFERROR(VLOOKUP(IST91,'[1]List KPI'!$A$103:$F$118,6,0),"")</f>
        <v>1.0416666666666666E-2</v>
      </c>
      <c r="ISV91" s="76">
        <v>0.86944444444444446</v>
      </c>
      <c r="ISW91" s="76">
        <v>0.86944444444444446</v>
      </c>
      <c r="ISX91" s="77" t="str">
        <f t="shared" ref="ISX91:IUT91" si="197">IF(ISW91="","",IF(ISW91&gt;ITF91,"O","P"))</f>
        <v>O</v>
      </c>
      <c r="ISY91" s="74" t="s">
        <v>28</v>
      </c>
      <c r="ISZ91" s="75" t="s">
        <v>23</v>
      </c>
      <c r="ITA91" s="78">
        <f>IFERROR(VLOOKUP(ISZ91,'[1]List KPI'!$M$3:$N$8,2,0),"")</f>
        <v>2.0833333333333332E-2</v>
      </c>
      <c r="ITB91" s="76">
        <v>0.89444444444444449</v>
      </c>
      <c r="ITC91" s="77" t="str">
        <f t="shared" ref="ITC91:IUY91" si="198">IF(ITB91="","",IF(ITB91&gt;ITG91,"O","P"))</f>
        <v>O</v>
      </c>
      <c r="ITD91" s="79">
        <v>5</v>
      </c>
      <c r="ITE91" s="75">
        <v>1276006</v>
      </c>
      <c r="ITF91" s="80"/>
      <c r="ITG91" s="81">
        <v>0.86944444444444446</v>
      </c>
      <c r="ITH91" s="74" t="s">
        <v>27</v>
      </c>
      <c r="ITI91" s="74" t="s">
        <v>24</v>
      </c>
      <c r="ITJ91" s="75" t="s">
        <v>25</v>
      </c>
      <c r="ITK91" s="76">
        <f>IFERROR(VLOOKUP(ITJ91,'[1]List KPI'!$A$103:$F$118,6,0),"")</f>
        <v>1.0416666666666666E-2</v>
      </c>
      <c r="ITL91" s="76">
        <v>0.86944444444444446</v>
      </c>
      <c r="ITM91" s="76">
        <v>0.86944444444444446</v>
      </c>
      <c r="ITN91" s="77" t="str">
        <f t="shared" si="197"/>
        <v>O</v>
      </c>
      <c r="ITO91" s="74" t="s">
        <v>28</v>
      </c>
      <c r="ITP91" s="75" t="s">
        <v>23</v>
      </c>
      <c r="ITQ91" s="78">
        <f>IFERROR(VLOOKUP(ITP91,'[1]List KPI'!$M$3:$N$8,2,0),"")</f>
        <v>2.0833333333333332E-2</v>
      </c>
      <c r="ITR91" s="76">
        <v>0.89444444444444449</v>
      </c>
      <c r="ITS91" s="77" t="str">
        <f t="shared" si="198"/>
        <v>O</v>
      </c>
      <c r="ITT91" s="79">
        <v>5</v>
      </c>
      <c r="ITU91" s="75">
        <v>1276006</v>
      </c>
      <c r="ITV91" s="80"/>
      <c r="ITW91" s="81">
        <v>0.86944444444444446</v>
      </c>
      <c r="ITX91" s="74" t="s">
        <v>27</v>
      </c>
      <c r="ITY91" s="74" t="s">
        <v>24</v>
      </c>
      <c r="ITZ91" s="75" t="s">
        <v>25</v>
      </c>
      <c r="IUA91" s="76">
        <f>IFERROR(VLOOKUP(ITZ91,'[1]List KPI'!$A$103:$F$118,6,0),"")</f>
        <v>1.0416666666666666E-2</v>
      </c>
      <c r="IUB91" s="76">
        <v>0.86944444444444446</v>
      </c>
      <c r="IUC91" s="76">
        <v>0.86944444444444446</v>
      </c>
      <c r="IUD91" s="77" t="str">
        <f t="shared" si="197"/>
        <v>O</v>
      </c>
      <c r="IUE91" s="74" t="s">
        <v>28</v>
      </c>
      <c r="IUF91" s="75" t="s">
        <v>23</v>
      </c>
      <c r="IUG91" s="78">
        <f>IFERROR(VLOOKUP(IUF91,'[1]List KPI'!$M$3:$N$8,2,0),"")</f>
        <v>2.0833333333333332E-2</v>
      </c>
      <c r="IUH91" s="76">
        <v>0.89444444444444449</v>
      </c>
      <c r="IUI91" s="77" t="str">
        <f t="shared" si="198"/>
        <v>O</v>
      </c>
      <c r="IUJ91" s="79">
        <v>5</v>
      </c>
      <c r="IUK91" s="75">
        <v>1276006</v>
      </c>
      <c r="IUL91" s="80"/>
      <c r="IUM91" s="81">
        <v>0.86944444444444446</v>
      </c>
      <c r="IUN91" s="74" t="s">
        <v>27</v>
      </c>
      <c r="IUO91" s="74" t="s">
        <v>24</v>
      </c>
      <c r="IUP91" s="75" t="s">
        <v>25</v>
      </c>
      <c r="IUQ91" s="76">
        <f>IFERROR(VLOOKUP(IUP91,'[1]List KPI'!$A$103:$F$118,6,0),"")</f>
        <v>1.0416666666666666E-2</v>
      </c>
      <c r="IUR91" s="76">
        <v>0.86944444444444446</v>
      </c>
      <c r="IUS91" s="76">
        <v>0.86944444444444446</v>
      </c>
      <c r="IUT91" s="77" t="str">
        <f t="shared" si="197"/>
        <v>O</v>
      </c>
      <c r="IUU91" s="74" t="s">
        <v>28</v>
      </c>
      <c r="IUV91" s="75" t="s">
        <v>23</v>
      </c>
      <c r="IUW91" s="78">
        <f>IFERROR(VLOOKUP(IUV91,'[1]List KPI'!$M$3:$N$8,2,0),"")</f>
        <v>2.0833333333333332E-2</v>
      </c>
      <c r="IUX91" s="76">
        <v>0.89444444444444449</v>
      </c>
      <c r="IUY91" s="77" t="str">
        <f t="shared" si="198"/>
        <v>O</v>
      </c>
      <c r="IUZ91" s="79">
        <v>5</v>
      </c>
      <c r="IVA91" s="75">
        <v>1276006</v>
      </c>
      <c r="IVB91" s="80"/>
      <c r="IVC91" s="81">
        <v>0.86944444444444446</v>
      </c>
      <c r="IVD91" s="74" t="s">
        <v>27</v>
      </c>
      <c r="IVE91" s="74" t="s">
        <v>24</v>
      </c>
      <c r="IVF91" s="75" t="s">
        <v>25</v>
      </c>
      <c r="IVG91" s="76">
        <f>IFERROR(VLOOKUP(IVF91,'[1]List KPI'!$A$103:$F$118,6,0),"")</f>
        <v>1.0416666666666666E-2</v>
      </c>
      <c r="IVH91" s="76">
        <v>0.86944444444444446</v>
      </c>
      <c r="IVI91" s="76">
        <v>0.86944444444444446</v>
      </c>
      <c r="IVJ91" s="77" t="str">
        <f t="shared" ref="IVJ91:IXF91" si="199">IF(IVI91="","",IF(IVI91&gt;IVR91,"O","P"))</f>
        <v>O</v>
      </c>
      <c r="IVK91" s="74" t="s">
        <v>28</v>
      </c>
      <c r="IVL91" s="75" t="s">
        <v>23</v>
      </c>
      <c r="IVM91" s="78">
        <f>IFERROR(VLOOKUP(IVL91,'[1]List KPI'!$M$3:$N$8,2,0),"")</f>
        <v>2.0833333333333332E-2</v>
      </c>
      <c r="IVN91" s="76">
        <v>0.89444444444444449</v>
      </c>
      <c r="IVO91" s="77" t="str">
        <f t="shared" ref="IVO91:IXK91" si="200">IF(IVN91="","",IF(IVN91&gt;IVS91,"O","P"))</f>
        <v>O</v>
      </c>
      <c r="IVP91" s="79">
        <v>5</v>
      </c>
      <c r="IVQ91" s="75">
        <v>1276006</v>
      </c>
      <c r="IVR91" s="80"/>
      <c r="IVS91" s="81">
        <v>0.86944444444444446</v>
      </c>
      <c r="IVT91" s="74" t="s">
        <v>27</v>
      </c>
      <c r="IVU91" s="74" t="s">
        <v>24</v>
      </c>
      <c r="IVV91" s="75" t="s">
        <v>25</v>
      </c>
      <c r="IVW91" s="76">
        <f>IFERROR(VLOOKUP(IVV91,'[1]List KPI'!$A$103:$F$118,6,0),"")</f>
        <v>1.0416666666666666E-2</v>
      </c>
      <c r="IVX91" s="76">
        <v>0.86944444444444446</v>
      </c>
      <c r="IVY91" s="76">
        <v>0.86944444444444446</v>
      </c>
      <c r="IVZ91" s="77" t="str">
        <f t="shared" si="199"/>
        <v>O</v>
      </c>
      <c r="IWA91" s="74" t="s">
        <v>28</v>
      </c>
      <c r="IWB91" s="75" t="s">
        <v>23</v>
      </c>
      <c r="IWC91" s="78">
        <f>IFERROR(VLOOKUP(IWB91,'[1]List KPI'!$M$3:$N$8,2,0),"")</f>
        <v>2.0833333333333332E-2</v>
      </c>
      <c r="IWD91" s="76">
        <v>0.89444444444444449</v>
      </c>
      <c r="IWE91" s="77" t="str">
        <f t="shared" si="200"/>
        <v>O</v>
      </c>
      <c r="IWF91" s="79">
        <v>5</v>
      </c>
      <c r="IWG91" s="75">
        <v>1276006</v>
      </c>
      <c r="IWH91" s="80"/>
      <c r="IWI91" s="81">
        <v>0.86944444444444446</v>
      </c>
      <c r="IWJ91" s="74" t="s">
        <v>27</v>
      </c>
      <c r="IWK91" s="74" t="s">
        <v>24</v>
      </c>
      <c r="IWL91" s="75" t="s">
        <v>25</v>
      </c>
      <c r="IWM91" s="76">
        <f>IFERROR(VLOOKUP(IWL91,'[1]List KPI'!$A$103:$F$118,6,0),"")</f>
        <v>1.0416666666666666E-2</v>
      </c>
      <c r="IWN91" s="76">
        <v>0.86944444444444446</v>
      </c>
      <c r="IWO91" s="76">
        <v>0.86944444444444446</v>
      </c>
      <c r="IWP91" s="77" t="str">
        <f t="shared" si="199"/>
        <v>O</v>
      </c>
      <c r="IWQ91" s="74" t="s">
        <v>28</v>
      </c>
      <c r="IWR91" s="75" t="s">
        <v>23</v>
      </c>
      <c r="IWS91" s="78">
        <f>IFERROR(VLOOKUP(IWR91,'[1]List KPI'!$M$3:$N$8,2,0),"")</f>
        <v>2.0833333333333332E-2</v>
      </c>
      <c r="IWT91" s="76">
        <v>0.89444444444444449</v>
      </c>
      <c r="IWU91" s="77" t="str">
        <f t="shared" si="200"/>
        <v>O</v>
      </c>
      <c r="IWV91" s="79">
        <v>5</v>
      </c>
      <c r="IWW91" s="75">
        <v>1276006</v>
      </c>
      <c r="IWX91" s="80"/>
      <c r="IWY91" s="81">
        <v>0.86944444444444446</v>
      </c>
      <c r="IWZ91" s="74" t="s">
        <v>27</v>
      </c>
      <c r="IXA91" s="74" t="s">
        <v>24</v>
      </c>
      <c r="IXB91" s="75" t="s">
        <v>25</v>
      </c>
      <c r="IXC91" s="76">
        <f>IFERROR(VLOOKUP(IXB91,'[1]List KPI'!$A$103:$F$118,6,0),"")</f>
        <v>1.0416666666666666E-2</v>
      </c>
      <c r="IXD91" s="76">
        <v>0.86944444444444446</v>
      </c>
      <c r="IXE91" s="76">
        <v>0.86944444444444446</v>
      </c>
      <c r="IXF91" s="77" t="str">
        <f t="shared" si="199"/>
        <v>O</v>
      </c>
      <c r="IXG91" s="74" t="s">
        <v>28</v>
      </c>
      <c r="IXH91" s="75" t="s">
        <v>23</v>
      </c>
      <c r="IXI91" s="78">
        <f>IFERROR(VLOOKUP(IXH91,'[1]List KPI'!$M$3:$N$8,2,0),"")</f>
        <v>2.0833333333333332E-2</v>
      </c>
      <c r="IXJ91" s="76">
        <v>0.89444444444444449</v>
      </c>
      <c r="IXK91" s="77" t="str">
        <f t="shared" si="200"/>
        <v>O</v>
      </c>
      <c r="IXL91" s="79">
        <v>5</v>
      </c>
      <c r="IXM91" s="75">
        <v>1276006</v>
      </c>
      <c r="IXN91" s="80"/>
      <c r="IXO91" s="81">
        <v>0.86944444444444446</v>
      </c>
      <c r="IXP91" s="74" t="s">
        <v>27</v>
      </c>
      <c r="IXQ91" s="74" t="s">
        <v>24</v>
      </c>
      <c r="IXR91" s="75" t="s">
        <v>25</v>
      </c>
      <c r="IXS91" s="76">
        <f>IFERROR(VLOOKUP(IXR91,'[1]List KPI'!$A$103:$F$118,6,0),"")</f>
        <v>1.0416666666666666E-2</v>
      </c>
      <c r="IXT91" s="76">
        <v>0.86944444444444446</v>
      </c>
      <c r="IXU91" s="76">
        <v>0.86944444444444446</v>
      </c>
      <c r="IXV91" s="77" t="str">
        <f t="shared" ref="IXV91:IZR91" si="201">IF(IXU91="","",IF(IXU91&gt;IYD91,"O","P"))</f>
        <v>O</v>
      </c>
      <c r="IXW91" s="74" t="s">
        <v>28</v>
      </c>
      <c r="IXX91" s="75" t="s">
        <v>23</v>
      </c>
      <c r="IXY91" s="78">
        <f>IFERROR(VLOOKUP(IXX91,'[1]List KPI'!$M$3:$N$8,2,0),"")</f>
        <v>2.0833333333333332E-2</v>
      </c>
      <c r="IXZ91" s="76">
        <v>0.89444444444444449</v>
      </c>
      <c r="IYA91" s="77" t="str">
        <f t="shared" ref="IYA91:IZW91" si="202">IF(IXZ91="","",IF(IXZ91&gt;IYE91,"O","P"))</f>
        <v>O</v>
      </c>
      <c r="IYB91" s="79">
        <v>5</v>
      </c>
      <c r="IYC91" s="75">
        <v>1276006</v>
      </c>
      <c r="IYD91" s="80"/>
      <c r="IYE91" s="81">
        <v>0.86944444444444446</v>
      </c>
      <c r="IYF91" s="74" t="s">
        <v>27</v>
      </c>
      <c r="IYG91" s="74" t="s">
        <v>24</v>
      </c>
      <c r="IYH91" s="75" t="s">
        <v>25</v>
      </c>
      <c r="IYI91" s="76">
        <f>IFERROR(VLOOKUP(IYH91,'[1]List KPI'!$A$103:$F$118,6,0),"")</f>
        <v>1.0416666666666666E-2</v>
      </c>
      <c r="IYJ91" s="76">
        <v>0.86944444444444446</v>
      </c>
      <c r="IYK91" s="76">
        <v>0.86944444444444446</v>
      </c>
      <c r="IYL91" s="77" t="str">
        <f t="shared" si="201"/>
        <v>O</v>
      </c>
      <c r="IYM91" s="74" t="s">
        <v>28</v>
      </c>
      <c r="IYN91" s="75" t="s">
        <v>23</v>
      </c>
      <c r="IYO91" s="78">
        <f>IFERROR(VLOOKUP(IYN91,'[1]List KPI'!$M$3:$N$8,2,0),"")</f>
        <v>2.0833333333333332E-2</v>
      </c>
      <c r="IYP91" s="76">
        <v>0.89444444444444449</v>
      </c>
      <c r="IYQ91" s="77" t="str">
        <f t="shared" si="202"/>
        <v>O</v>
      </c>
      <c r="IYR91" s="79">
        <v>5</v>
      </c>
      <c r="IYS91" s="75">
        <v>1276006</v>
      </c>
      <c r="IYT91" s="80"/>
      <c r="IYU91" s="81">
        <v>0.86944444444444446</v>
      </c>
      <c r="IYV91" s="74" t="s">
        <v>27</v>
      </c>
      <c r="IYW91" s="74" t="s">
        <v>24</v>
      </c>
      <c r="IYX91" s="75" t="s">
        <v>25</v>
      </c>
      <c r="IYY91" s="76">
        <f>IFERROR(VLOOKUP(IYX91,'[1]List KPI'!$A$103:$F$118,6,0),"")</f>
        <v>1.0416666666666666E-2</v>
      </c>
      <c r="IYZ91" s="76">
        <v>0.86944444444444446</v>
      </c>
      <c r="IZA91" s="76">
        <v>0.86944444444444446</v>
      </c>
      <c r="IZB91" s="77" t="str">
        <f t="shared" si="201"/>
        <v>O</v>
      </c>
      <c r="IZC91" s="74" t="s">
        <v>28</v>
      </c>
      <c r="IZD91" s="75" t="s">
        <v>23</v>
      </c>
      <c r="IZE91" s="78">
        <f>IFERROR(VLOOKUP(IZD91,'[1]List KPI'!$M$3:$N$8,2,0),"")</f>
        <v>2.0833333333333332E-2</v>
      </c>
      <c r="IZF91" s="76">
        <v>0.89444444444444449</v>
      </c>
      <c r="IZG91" s="77" t="str">
        <f t="shared" si="202"/>
        <v>O</v>
      </c>
      <c r="IZH91" s="79">
        <v>5</v>
      </c>
      <c r="IZI91" s="75">
        <v>1276006</v>
      </c>
      <c r="IZJ91" s="80"/>
      <c r="IZK91" s="81">
        <v>0.86944444444444446</v>
      </c>
      <c r="IZL91" s="74" t="s">
        <v>27</v>
      </c>
      <c r="IZM91" s="74" t="s">
        <v>24</v>
      </c>
      <c r="IZN91" s="75" t="s">
        <v>25</v>
      </c>
      <c r="IZO91" s="76">
        <f>IFERROR(VLOOKUP(IZN91,'[1]List KPI'!$A$103:$F$118,6,0),"")</f>
        <v>1.0416666666666666E-2</v>
      </c>
      <c r="IZP91" s="76">
        <v>0.86944444444444446</v>
      </c>
      <c r="IZQ91" s="76">
        <v>0.86944444444444446</v>
      </c>
      <c r="IZR91" s="77" t="str">
        <f t="shared" si="201"/>
        <v>O</v>
      </c>
      <c r="IZS91" s="74" t="s">
        <v>28</v>
      </c>
      <c r="IZT91" s="75" t="s">
        <v>23</v>
      </c>
      <c r="IZU91" s="78">
        <f>IFERROR(VLOOKUP(IZT91,'[1]List KPI'!$M$3:$N$8,2,0),"")</f>
        <v>2.0833333333333332E-2</v>
      </c>
      <c r="IZV91" s="76">
        <v>0.89444444444444449</v>
      </c>
      <c r="IZW91" s="77" t="str">
        <f t="shared" si="202"/>
        <v>O</v>
      </c>
      <c r="IZX91" s="79">
        <v>5</v>
      </c>
      <c r="IZY91" s="75">
        <v>1276006</v>
      </c>
      <c r="IZZ91" s="80"/>
      <c r="JAA91" s="81">
        <v>0.86944444444444446</v>
      </c>
      <c r="JAB91" s="74" t="s">
        <v>27</v>
      </c>
      <c r="JAC91" s="74" t="s">
        <v>24</v>
      </c>
      <c r="JAD91" s="75" t="s">
        <v>25</v>
      </c>
      <c r="JAE91" s="76">
        <f>IFERROR(VLOOKUP(JAD91,'[1]List KPI'!$A$103:$F$118,6,0),"")</f>
        <v>1.0416666666666666E-2</v>
      </c>
      <c r="JAF91" s="76">
        <v>0.86944444444444446</v>
      </c>
      <c r="JAG91" s="76">
        <v>0.86944444444444446</v>
      </c>
      <c r="JAH91" s="77" t="str">
        <f t="shared" ref="JAH91:JCD91" si="203">IF(JAG91="","",IF(JAG91&gt;JAP91,"O","P"))</f>
        <v>O</v>
      </c>
      <c r="JAI91" s="74" t="s">
        <v>28</v>
      </c>
      <c r="JAJ91" s="75" t="s">
        <v>23</v>
      </c>
      <c r="JAK91" s="78">
        <f>IFERROR(VLOOKUP(JAJ91,'[1]List KPI'!$M$3:$N$8,2,0),"")</f>
        <v>2.0833333333333332E-2</v>
      </c>
      <c r="JAL91" s="76">
        <v>0.89444444444444449</v>
      </c>
      <c r="JAM91" s="77" t="str">
        <f t="shared" ref="JAM91:JCI91" si="204">IF(JAL91="","",IF(JAL91&gt;JAQ91,"O","P"))</f>
        <v>O</v>
      </c>
      <c r="JAN91" s="79">
        <v>5</v>
      </c>
      <c r="JAO91" s="75">
        <v>1276006</v>
      </c>
      <c r="JAP91" s="80"/>
      <c r="JAQ91" s="81">
        <v>0.86944444444444446</v>
      </c>
      <c r="JAR91" s="74" t="s">
        <v>27</v>
      </c>
      <c r="JAS91" s="74" t="s">
        <v>24</v>
      </c>
      <c r="JAT91" s="75" t="s">
        <v>25</v>
      </c>
      <c r="JAU91" s="76">
        <f>IFERROR(VLOOKUP(JAT91,'[1]List KPI'!$A$103:$F$118,6,0),"")</f>
        <v>1.0416666666666666E-2</v>
      </c>
      <c r="JAV91" s="76">
        <v>0.86944444444444446</v>
      </c>
      <c r="JAW91" s="76">
        <v>0.86944444444444446</v>
      </c>
      <c r="JAX91" s="77" t="str">
        <f t="shared" si="203"/>
        <v>O</v>
      </c>
      <c r="JAY91" s="74" t="s">
        <v>28</v>
      </c>
      <c r="JAZ91" s="75" t="s">
        <v>23</v>
      </c>
      <c r="JBA91" s="78">
        <f>IFERROR(VLOOKUP(JAZ91,'[1]List KPI'!$M$3:$N$8,2,0),"")</f>
        <v>2.0833333333333332E-2</v>
      </c>
      <c r="JBB91" s="76">
        <v>0.89444444444444449</v>
      </c>
      <c r="JBC91" s="77" t="str">
        <f t="shared" si="204"/>
        <v>O</v>
      </c>
      <c r="JBD91" s="79">
        <v>5</v>
      </c>
      <c r="JBE91" s="75">
        <v>1276006</v>
      </c>
      <c r="JBF91" s="80"/>
      <c r="JBG91" s="81">
        <v>0.86944444444444446</v>
      </c>
      <c r="JBH91" s="74" t="s">
        <v>27</v>
      </c>
      <c r="JBI91" s="74" t="s">
        <v>24</v>
      </c>
      <c r="JBJ91" s="75" t="s">
        <v>25</v>
      </c>
      <c r="JBK91" s="76">
        <f>IFERROR(VLOOKUP(JBJ91,'[1]List KPI'!$A$103:$F$118,6,0),"")</f>
        <v>1.0416666666666666E-2</v>
      </c>
      <c r="JBL91" s="76">
        <v>0.86944444444444446</v>
      </c>
      <c r="JBM91" s="76">
        <v>0.86944444444444446</v>
      </c>
      <c r="JBN91" s="77" t="str">
        <f t="shared" si="203"/>
        <v>O</v>
      </c>
      <c r="JBO91" s="74" t="s">
        <v>28</v>
      </c>
      <c r="JBP91" s="75" t="s">
        <v>23</v>
      </c>
      <c r="JBQ91" s="78">
        <f>IFERROR(VLOOKUP(JBP91,'[1]List KPI'!$M$3:$N$8,2,0),"")</f>
        <v>2.0833333333333332E-2</v>
      </c>
      <c r="JBR91" s="76">
        <v>0.89444444444444449</v>
      </c>
      <c r="JBS91" s="77" t="str">
        <f t="shared" si="204"/>
        <v>O</v>
      </c>
      <c r="JBT91" s="79">
        <v>5</v>
      </c>
      <c r="JBU91" s="75">
        <v>1276006</v>
      </c>
      <c r="JBV91" s="80"/>
      <c r="JBW91" s="81">
        <v>0.86944444444444446</v>
      </c>
      <c r="JBX91" s="74" t="s">
        <v>27</v>
      </c>
      <c r="JBY91" s="74" t="s">
        <v>24</v>
      </c>
      <c r="JBZ91" s="75" t="s">
        <v>25</v>
      </c>
      <c r="JCA91" s="76">
        <f>IFERROR(VLOOKUP(JBZ91,'[1]List KPI'!$A$103:$F$118,6,0),"")</f>
        <v>1.0416666666666666E-2</v>
      </c>
      <c r="JCB91" s="76">
        <v>0.86944444444444446</v>
      </c>
      <c r="JCC91" s="76">
        <v>0.86944444444444446</v>
      </c>
      <c r="JCD91" s="77" t="str">
        <f t="shared" si="203"/>
        <v>O</v>
      </c>
      <c r="JCE91" s="74" t="s">
        <v>28</v>
      </c>
      <c r="JCF91" s="75" t="s">
        <v>23</v>
      </c>
      <c r="JCG91" s="78">
        <f>IFERROR(VLOOKUP(JCF91,'[1]List KPI'!$M$3:$N$8,2,0),"")</f>
        <v>2.0833333333333332E-2</v>
      </c>
      <c r="JCH91" s="76">
        <v>0.89444444444444449</v>
      </c>
      <c r="JCI91" s="77" t="str">
        <f t="shared" si="204"/>
        <v>O</v>
      </c>
      <c r="JCJ91" s="79">
        <v>5</v>
      </c>
      <c r="JCK91" s="75">
        <v>1276006</v>
      </c>
      <c r="JCL91" s="80"/>
      <c r="JCM91" s="81">
        <v>0.86944444444444446</v>
      </c>
      <c r="JCN91" s="74" t="s">
        <v>27</v>
      </c>
      <c r="JCO91" s="74" t="s">
        <v>24</v>
      </c>
      <c r="JCP91" s="75" t="s">
        <v>25</v>
      </c>
      <c r="JCQ91" s="76">
        <f>IFERROR(VLOOKUP(JCP91,'[1]List KPI'!$A$103:$F$118,6,0),"")</f>
        <v>1.0416666666666666E-2</v>
      </c>
      <c r="JCR91" s="76">
        <v>0.86944444444444446</v>
      </c>
      <c r="JCS91" s="76">
        <v>0.86944444444444446</v>
      </c>
      <c r="JCT91" s="77" t="str">
        <f t="shared" ref="JCT91:JEP91" si="205">IF(JCS91="","",IF(JCS91&gt;JDB91,"O","P"))</f>
        <v>O</v>
      </c>
      <c r="JCU91" s="74" t="s">
        <v>28</v>
      </c>
      <c r="JCV91" s="75" t="s">
        <v>23</v>
      </c>
      <c r="JCW91" s="78">
        <f>IFERROR(VLOOKUP(JCV91,'[1]List KPI'!$M$3:$N$8,2,0),"")</f>
        <v>2.0833333333333332E-2</v>
      </c>
      <c r="JCX91" s="76">
        <v>0.89444444444444449</v>
      </c>
      <c r="JCY91" s="77" t="str">
        <f t="shared" ref="JCY91:JEU91" si="206">IF(JCX91="","",IF(JCX91&gt;JDC91,"O","P"))</f>
        <v>O</v>
      </c>
      <c r="JCZ91" s="79">
        <v>5</v>
      </c>
      <c r="JDA91" s="75">
        <v>1276006</v>
      </c>
      <c r="JDB91" s="80"/>
      <c r="JDC91" s="81">
        <v>0.86944444444444446</v>
      </c>
      <c r="JDD91" s="74" t="s">
        <v>27</v>
      </c>
      <c r="JDE91" s="74" t="s">
        <v>24</v>
      </c>
      <c r="JDF91" s="75" t="s">
        <v>25</v>
      </c>
      <c r="JDG91" s="76">
        <f>IFERROR(VLOOKUP(JDF91,'[1]List KPI'!$A$103:$F$118,6,0),"")</f>
        <v>1.0416666666666666E-2</v>
      </c>
      <c r="JDH91" s="76">
        <v>0.86944444444444446</v>
      </c>
      <c r="JDI91" s="76">
        <v>0.86944444444444446</v>
      </c>
      <c r="JDJ91" s="77" t="str">
        <f t="shared" si="205"/>
        <v>O</v>
      </c>
      <c r="JDK91" s="74" t="s">
        <v>28</v>
      </c>
      <c r="JDL91" s="75" t="s">
        <v>23</v>
      </c>
      <c r="JDM91" s="78">
        <f>IFERROR(VLOOKUP(JDL91,'[1]List KPI'!$M$3:$N$8,2,0),"")</f>
        <v>2.0833333333333332E-2</v>
      </c>
      <c r="JDN91" s="76">
        <v>0.89444444444444449</v>
      </c>
      <c r="JDO91" s="77" t="str">
        <f t="shared" si="206"/>
        <v>O</v>
      </c>
      <c r="JDP91" s="79">
        <v>5</v>
      </c>
      <c r="JDQ91" s="75">
        <v>1276006</v>
      </c>
      <c r="JDR91" s="80"/>
      <c r="JDS91" s="81">
        <v>0.86944444444444446</v>
      </c>
      <c r="JDT91" s="74" t="s">
        <v>27</v>
      </c>
      <c r="JDU91" s="74" t="s">
        <v>24</v>
      </c>
      <c r="JDV91" s="75" t="s">
        <v>25</v>
      </c>
      <c r="JDW91" s="76">
        <f>IFERROR(VLOOKUP(JDV91,'[1]List KPI'!$A$103:$F$118,6,0),"")</f>
        <v>1.0416666666666666E-2</v>
      </c>
      <c r="JDX91" s="76">
        <v>0.86944444444444446</v>
      </c>
      <c r="JDY91" s="76">
        <v>0.86944444444444446</v>
      </c>
      <c r="JDZ91" s="77" t="str">
        <f t="shared" si="205"/>
        <v>O</v>
      </c>
      <c r="JEA91" s="74" t="s">
        <v>28</v>
      </c>
      <c r="JEB91" s="75" t="s">
        <v>23</v>
      </c>
      <c r="JEC91" s="78">
        <f>IFERROR(VLOOKUP(JEB91,'[1]List KPI'!$M$3:$N$8,2,0),"")</f>
        <v>2.0833333333333332E-2</v>
      </c>
      <c r="JED91" s="76">
        <v>0.89444444444444449</v>
      </c>
      <c r="JEE91" s="77" t="str">
        <f t="shared" si="206"/>
        <v>O</v>
      </c>
      <c r="JEF91" s="79">
        <v>5</v>
      </c>
      <c r="JEG91" s="75">
        <v>1276006</v>
      </c>
      <c r="JEH91" s="80"/>
      <c r="JEI91" s="81">
        <v>0.86944444444444446</v>
      </c>
      <c r="JEJ91" s="74" t="s">
        <v>27</v>
      </c>
      <c r="JEK91" s="74" t="s">
        <v>24</v>
      </c>
      <c r="JEL91" s="75" t="s">
        <v>25</v>
      </c>
      <c r="JEM91" s="76">
        <f>IFERROR(VLOOKUP(JEL91,'[1]List KPI'!$A$103:$F$118,6,0),"")</f>
        <v>1.0416666666666666E-2</v>
      </c>
      <c r="JEN91" s="76">
        <v>0.86944444444444446</v>
      </c>
      <c r="JEO91" s="76">
        <v>0.86944444444444446</v>
      </c>
      <c r="JEP91" s="77" t="str">
        <f t="shared" si="205"/>
        <v>O</v>
      </c>
      <c r="JEQ91" s="74" t="s">
        <v>28</v>
      </c>
      <c r="JER91" s="75" t="s">
        <v>23</v>
      </c>
      <c r="JES91" s="78">
        <f>IFERROR(VLOOKUP(JER91,'[1]List KPI'!$M$3:$N$8,2,0),"")</f>
        <v>2.0833333333333332E-2</v>
      </c>
      <c r="JET91" s="76">
        <v>0.89444444444444449</v>
      </c>
      <c r="JEU91" s="77" t="str">
        <f t="shared" si="206"/>
        <v>O</v>
      </c>
      <c r="JEV91" s="79">
        <v>5</v>
      </c>
      <c r="JEW91" s="75">
        <v>1276006</v>
      </c>
      <c r="JEX91" s="80"/>
      <c r="JEY91" s="81">
        <v>0.86944444444444446</v>
      </c>
      <c r="JEZ91" s="74" t="s">
        <v>27</v>
      </c>
      <c r="JFA91" s="74" t="s">
        <v>24</v>
      </c>
      <c r="JFB91" s="75" t="s">
        <v>25</v>
      </c>
      <c r="JFC91" s="76">
        <f>IFERROR(VLOOKUP(JFB91,'[1]List KPI'!$A$103:$F$118,6,0),"")</f>
        <v>1.0416666666666666E-2</v>
      </c>
      <c r="JFD91" s="76">
        <v>0.86944444444444446</v>
      </c>
      <c r="JFE91" s="76">
        <v>0.86944444444444446</v>
      </c>
      <c r="JFF91" s="77" t="str">
        <f t="shared" ref="JFF91:JHB91" si="207">IF(JFE91="","",IF(JFE91&gt;JFN91,"O","P"))</f>
        <v>O</v>
      </c>
      <c r="JFG91" s="74" t="s">
        <v>28</v>
      </c>
      <c r="JFH91" s="75" t="s">
        <v>23</v>
      </c>
      <c r="JFI91" s="78">
        <f>IFERROR(VLOOKUP(JFH91,'[1]List KPI'!$M$3:$N$8,2,0),"")</f>
        <v>2.0833333333333332E-2</v>
      </c>
      <c r="JFJ91" s="76">
        <v>0.89444444444444449</v>
      </c>
      <c r="JFK91" s="77" t="str">
        <f t="shared" ref="JFK91:JHG91" si="208">IF(JFJ91="","",IF(JFJ91&gt;JFO91,"O","P"))</f>
        <v>O</v>
      </c>
      <c r="JFL91" s="79">
        <v>5</v>
      </c>
      <c r="JFM91" s="75">
        <v>1276006</v>
      </c>
      <c r="JFN91" s="80"/>
      <c r="JFO91" s="81">
        <v>0.86944444444444446</v>
      </c>
      <c r="JFP91" s="74" t="s">
        <v>27</v>
      </c>
      <c r="JFQ91" s="74" t="s">
        <v>24</v>
      </c>
      <c r="JFR91" s="75" t="s">
        <v>25</v>
      </c>
      <c r="JFS91" s="76">
        <f>IFERROR(VLOOKUP(JFR91,'[1]List KPI'!$A$103:$F$118,6,0),"")</f>
        <v>1.0416666666666666E-2</v>
      </c>
      <c r="JFT91" s="76">
        <v>0.86944444444444446</v>
      </c>
      <c r="JFU91" s="76">
        <v>0.86944444444444446</v>
      </c>
      <c r="JFV91" s="77" t="str">
        <f t="shared" si="207"/>
        <v>O</v>
      </c>
      <c r="JFW91" s="74" t="s">
        <v>28</v>
      </c>
      <c r="JFX91" s="75" t="s">
        <v>23</v>
      </c>
      <c r="JFY91" s="78">
        <f>IFERROR(VLOOKUP(JFX91,'[1]List KPI'!$M$3:$N$8,2,0),"")</f>
        <v>2.0833333333333332E-2</v>
      </c>
      <c r="JFZ91" s="76">
        <v>0.89444444444444449</v>
      </c>
      <c r="JGA91" s="77" t="str">
        <f t="shared" si="208"/>
        <v>O</v>
      </c>
      <c r="JGB91" s="79">
        <v>5</v>
      </c>
      <c r="JGC91" s="75">
        <v>1276006</v>
      </c>
      <c r="JGD91" s="80"/>
      <c r="JGE91" s="81">
        <v>0.86944444444444446</v>
      </c>
      <c r="JGF91" s="74" t="s">
        <v>27</v>
      </c>
      <c r="JGG91" s="74" t="s">
        <v>24</v>
      </c>
      <c r="JGH91" s="75" t="s">
        <v>25</v>
      </c>
      <c r="JGI91" s="76">
        <f>IFERROR(VLOOKUP(JGH91,'[1]List KPI'!$A$103:$F$118,6,0),"")</f>
        <v>1.0416666666666666E-2</v>
      </c>
      <c r="JGJ91" s="76">
        <v>0.86944444444444446</v>
      </c>
      <c r="JGK91" s="76">
        <v>0.86944444444444446</v>
      </c>
      <c r="JGL91" s="77" t="str">
        <f t="shared" si="207"/>
        <v>O</v>
      </c>
      <c r="JGM91" s="74" t="s">
        <v>28</v>
      </c>
      <c r="JGN91" s="75" t="s">
        <v>23</v>
      </c>
      <c r="JGO91" s="78">
        <f>IFERROR(VLOOKUP(JGN91,'[1]List KPI'!$M$3:$N$8,2,0),"")</f>
        <v>2.0833333333333332E-2</v>
      </c>
      <c r="JGP91" s="76">
        <v>0.89444444444444449</v>
      </c>
      <c r="JGQ91" s="77" t="str">
        <f t="shared" si="208"/>
        <v>O</v>
      </c>
      <c r="JGR91" s="79">
        <v>5</v>
      </c>
      <c r="JGS91" s="75">
        <v>1276006</v>
      </c>
      <c r="JGT91" s="80"/>
      <c r="JGU91" s="81">
        <v>0.86944444444444446</v>
      </c>
      <c r="JGV91" s="74" t="s">
        <v>27</v>
      </c>
      <c r="JGW91" s="74" t="s">
        <v>24</v>
      </c>
      <c r="JGX91" s="75" t="s">
        <v>25</v>
      </c>
      <c r="JGY91" s="76">
        <f>IFERROR(VLOOKUP(JGX91,'[1]List KPI'!$A$103:$F$118,6,0),"")</f>
        <v>1.0416666666666666E-2</v>
      </c>
      <c r="JGZ91" s="76">
        <v>0.86944444444444446</v>
      </c>
      <c r="JHA91" s="76">
        <v>0.86944444444444446</v>
      </c>
      <c r="JHB91" s="77" t="str">
        <f t="shared" si="207"/>
        <v>O</v>
      </c>
      <c r="JHC91" s="74" t="s">
        <v>28</v>
      </c>
      <c r="JHD91" s="75" t="s">
        <v>23</v>
      </c>
      <c r="JHE91" s="78">
        <f>IFERROR(VLOOKUP(JHD91,'[1]List KPI'!$M$3:$N$8,2,0),"")</f>
        <v>2.0833333333333332E-2</v>
      </c>
      <c r="JHF91" s="76">
        <v>0.89444444444444449</v>
      </c>
      <c r="JHG91" s="77" t="str">
        <f t="shared" si="208"/>
        <v>O</v>
      </c>
      <c r="JHH91" s="79">
        <v>5</v>
      </c>
      <c r="JHI91" s="75">
        <v>1276006</v>
      </c>
      <c r="JHJ91" s="80"/>
      <c r="JHK91" s="81">
        <v>0.86944444444444446</v>
      </c>
      <c r="JHL91" s="74" t="s">
        <v>27</v>
      </c>
      <c r="JHM91" s="74" t="s">
        <v>24</v>
      </c>
      <c r="JHN91" s="75" t="s">
        <v>25</v>
      </c>
      <c r="JHO91" s="76">
        <f>IFERROR(VLOOKUP(JHN91,'[1]List KPI'!$A$103:$F$118,6,0),"")</f>
        <v>1.0416666666666666E-2</v>
      </c>
      <c r="JHP91" s="76">
        <v>0.86944444444444446</v>
      </c>
      <c r="JHQ91" s="76">
        <v>0.86944444444444446</v>
      </c>
      <c r="JHR91" s="77" t="str">
        <f t="shared" ref="JHR91:JJN91" si="209">IF(JHQ91="","",IF(JHQ91&gt;JHZ91,"O","P"))</f>
        <v>O</v>
      </c>
      <c r="JHS91" s="74" t="s">
        <v>28</v>
      </c>
      <c r="JHT91" s="75" t="s">
        <v>23</v>
      </c>
      <c r="JHU91" s="78">
        <f>IFERROR(VLOOKUP(JHT91,'[1]List KPI'!$M$3:$N$8,2,0),"")</f>
        <v>2.0833333333333332E-2</v>
      </c>
      <c r="JHV91" s="76">
        <v>0.89444444444444449</v>
      </c>
      <c r="JHW91" s="77" t="str">
        <f t="shared" ref="JHW91:JJS91" si="210">IF(JHV91="","",IF(JHV91&gt;JIA91,"O","P"))</f>
        <v>O</v>
      </c>
      <c r="JHX91" s="79">
        <v>5</v>
      </c>
      <c r="JHY91" s="75">
        <v>1276006</v>
      </c>
      <c r="JHZ91" s="80"/>
      <c r="JIA91" s="81">
        <v>0.86944444444444446</v>
      </c>
      <c r="JIB91" s="74" t="s">
        <v>27</v>
      </c>
      <c r="JIC91" s="74" t="s">
        <v>24</v>
      </c>
      <c r="JID91" s="75" t="s">
        <v>25</v>
      </c>
      <c r="JIE91" s="76">
        <f>IFERROR(VLOOKUP(JID91,'[1]List KPI'!$A$103:$F$118,6,0),"")</f>
        <v>1.0416666666666666E-2</v>
      </c>
      <c r="JIF91" s="76">
        <v>0.86944444444444446</v>
      </c>
      <c r="JIG91" s="76">
        <v>0.86944444444444446</v>
      </c>
      <c r="JIH91" s="77" t="str">
        <f t="shared" si="209"/>
        <v>O</v>
      </c>
      <c r="JII91" s="74" t="s">
        <v>28</v>
      </c>
      <c r="JIJ91" s="75" t="s">
        <v>23</v>
      </c>
      <c r="JIK91" s="78">
        <f>IFERROR(VLOOKUP(JIJ91,'[1]List KPI'!$M$3:$N$8,2,0),"")</f>
        <v>2.0833333333333332E-2</v>
      </c>
      <c r="JIL91" s="76">
        <v>0.89444444444444449</v>
      </c>
      <c r="JIM91" s="77" t="str">
        <f t="shared" si="210"/>
        <v>O</v>
      </c>
      <c r="JIN91" s="79">
        <v>5</v>
      </c>
      <c r="JIO91" s="75">
        <v>1276006</v>
      </c>
      <c r="JIP91" s="80"/>
      <c r="JIQ91" s="81">
        <v>0.86944444444444446</v>
      </c>
      <c r="JIR91" s="74" t="s">
        <v>27</v>
      </c>
      <c r="JIS91" s="74" t="s">
        <v>24</v>
      </c>
      <c r="JIT91" s="75" t="s">
        <v>25</v>
      </c>
      <c r="JIU91" s="76">
        <f>IFERROR(VLOOKUP(JIT91,'[1]List KPI'!$A$103:$F$118,6,0),"")</f>
        <v>1.0416666666666666E-2</v>
      </c>
      <c r="JIV91" s="76">
        <v>0.86944444444444446</v>
      </c>
      <c r="JIW91" s="76">
        <v>0.86944444444444446</v>
      </c>
      <c r="JIX91" s="77" t="str">
        <f t="shared" si="209"/>
        <v>O</v>
      </c>
      <c r="JIY91" s="74" t="s">
        <v>28</v>
      </c>
      <c r="JIZ91" s="75" t="s">
        <v>23</v>
      </c>
      <c r="JJA91" s="78">
        <f>IFERROR(VLOOKUP(JIZ91,'[1]List KPI'!$M$3:$N$8,2,0),"")</f>
        <v>2.0833333333333332E-2</v>
      </c>
      <c r="JJB91" s="76">
        <v>0.89444444444444449</v>
      </c>
      <c r="JJC91" s="77" t="str">
        <f t="shared" si="210"/>
        <v>O</v>
      </c>
      <c r="JJD91" s="79">
        <v>5</v>
      </c>
      <c r="JJE91" s="75">
        <v>1276006</v>
      </c>
      <c r="JJF91" s="80"/>
      <c r="JJG91" s="81">
        <v>0.86944444444444446</v>
      </c>
      <c r="JJH91" s="74" t="s">
        <v>27</v>
      </c>
      <c r="JJI91" s="74" t="s">
        <v>24</v>
      </c>
      <c r="JJJ91" s="75" t="s">
        <v>25</v>
      </c>
      <c r="JJK91" s="76">
        <f>IFERROR(VLOOKUP(JJJ91,'[1]List KPI'!$A$103:$F$118,6,0),"")</f>
        <v>1.0416666666666666E-2</v>
      </c>
      <c r="JJL91" s="76">
        <v>0.86944444444444446</v>
      </c>
      <c r="JJM91" s="76">
        <v>0.86944444444444446</v>
      </c>
      <c r="JJN91" s="77" t="str">
        <f t="shared" si="209"/>
        <v>O</v>
      </c>
      <c r="JJO91" s="74" t="s">
        <v>28</v>
      </c>
      <c r="JJP91" s="75" t="s">
        <v>23</v>
      </c>
      <c r="JJQ91" s="78">
        <f>IFERROR(VLOOKUP(JJP91,'[1]List KPI'!$M$3:$N$8,2,0),"")</f>
        <v>2.0833333333333332E-2</v>
      </c>
      <c r="JJR91" s="76">
        <v>0.89444444444444449</v>
      </c>
      <c r="JJS91" s="77" t="str">
        <f t="shared" si="210"/>
        <v>O</v>
      </c>
      <c r="JJT91" s="79">
        <v>5</v>
      </c>
      <c r="JJU91" s="75">
        <v>1276006</v>
      </c>
      <c r="JJV91" s="80"/>
      <c r="JJW91" s="81">
        <v>0.86944444444444446</v>
      </c>
      <c r="JJX91" s="74" t="s">
        <v>27</v>
      </c>
      <c r="JJY91" s="74" t="s">
        <v>24</v>
      </c>
      <c r="JJZ91" s="75" t="s">
        <v>25</v>
      </c>
      <c r="JKA91" s="76">
        <f>IFERROR(VLOOKUP(JJZ91,'[1]List KPI'!$A$103:$F$118,6,0),"")</f>
        <v>1.0416666666666666E-2</v>
      </c>
      <c r="JKB91" s="76">
        <v>0.86944444444444446</v>
      </c>
      <c r="JKC91" s="76">
        <v>0.86944444444444446</v>
      </c>
      <c r="JKD91" s="77" t="str">
        <f t="shared" ref="JKD91:JLZ91" si="211">IF(JKC91="","",IF(JKC91&gt;JKL91,"O","P"))</f>
        <v>O</v>
      </c>
      <c r="JKE91" s="74" t="s">
        <v>28</v>
      </c>
      <c r="JKF91" s="75" t="s">
        <v>23</v>
      </c>
      <c r="JKG91" s="78">
        <f>IFERROR(VLOOKUP(JKF91,'[1]List KPI'!$M$3:$N$8,2,0),"")</f>
        <v>2.0833333333333332E-2</v>
      </c>
      <c r="JKH91" s="76">
        <v>0.89444444444444449</v>
      </c>
      <c r="JKI91" s="77" t="str">
        <f t="shared" ref="JKI91:JME91" si="212">IF(JKH91="","",IF(JKH91&gt;JKM91,"O","P"))</f>
        <v>O</v>
      </c>
      <c r="JKJ91" s="79">
        <v>5</v>
      </c>
      <c r="JKK91" s="75">
        <v>1276006</v>
      </c>
      <c r="JKL91" s="80"/>
      <c r="JKM91" s="81">
        <v>0.86944444444444446</v>
      </c>
      <c r="JKN91" s="74" t="s">
        <v>27</v>
      </c>
      <c r="JKO91" s="74" t="s">
        <v>24</v>
      </c>
      <c r="JKP91" s="75" t="s">
        <v>25</v>
      </c>
      <c r="JKQ91" s="76">
        <f>IFERROR(VLOOKUP(JKP91,'[1]List KPI'!$A$103:$F$118,6,0),"")</f>
        <v>1.0416666666666666E-2</v>
      </c>
      <c r="JKR91" s="76">
        <v>0.86944444444444446</v>
      </c>
      <c r="JKS91" s="76">
        <v>0.86944444444444446</v>
      </c>
      <c r="JKT91" s="77" t="str">
        <f t="shared" si="211"/>
        <v>O</v>
      </c>
      <c r="JKU91" s="74" t="s">
        <v>28</v>
      </c>
      <c r="JKV91" s="75" t="s">
        <v>23</v>
      </c>
      <c r="JKW91" s="78">
        <f>IFERROR(VLOOKUP(JKV91,'[1]List KPI'!$M$3:$N$8,2,0),"")</f>
        <v>2.0833333333333332E-2</v>
      </c>
      <c r="JKX91" s="76">
        <v>0.89444444444444449</v>
      </c>
      <c r="JKY91" s="77" t="str">
        <f t="shared" si="212"/>
        <v>O</v>
      </c>
      <c r="JKZ91" s="79">
        <v>5</v>
      </c>
      <c r="JLA91" s="75">
        <v>1276006</v>
      </c>
      <c r="JLB91" s="80"/>
      <c r="JLC91" s="81">
        <v>0.86944444444444446</v>
      </c>
      <c r="JLD91" s="74" t="s">
        <v>27</v>
      </c>
      <c r="JLE91" s="74" t="s">
        <v>24</v>
      </c>
      <c r="JLF91" s="75" t="s">
        <v>25</v>
      </c>
      <c r="JLG91" s="76">
        <f>IFERROR(VLOOKUP(JLF91,'[1]List KPI'!$A$103:$F$118,6,0),"")</f>
        <v>1.0416666666666666E-2</v>
      </c>
      <c r="JLH91" s="76">
        <v>0.86944444444444446</v>
      </c>
      <c r="JLI91" s="76">
        <v>0.86944444444444446</v>
      </c>
      <c r="JLJ91" s="77" t="str">
        <f t="shared" si="211"/>
        <v>O</v>
      </c>
      <c r="JLK91" s="74" t="s">
        <v>28</v>
      </c>
      <c r="JLL91" s="75" t="s">
        <v>23</v>
      </c>
      <c r="JLM91" s="78">
        <f>IFERROR(VLOOKUP(JLL91,'[1]List KPI'!$M$3:$N$8,2,0),"")</f>
        <v>2.0833333333333332E-2</v>
      </c>
      <c r="JLN91" s="76">
        <v>0.89444444444444449</v>
      </c>
      <c r="JLO91" s="77" t="str">
        <f t="shared" si="212"/>
        <v>O</v>
      </c>
      <c r="JLP91" s="79">
        <v>5</v>
      </c>
      <c r="JLQ91" s="75">
        <v>1276006</v>
      </c>
      <c r="JLR91" s="80"/>
      <c r="JLS91" s="81">
        <v>0.86944444444444446</v>
      </c>
      <c r="JLT91" s="74" t="s">
        <v>27</v>
      </c>
      <c r="JLU91" s="74" t="s">
        <v>24</v>
      </c>
      <c r="JLV91" s="75" t="s">
        <v>25</v>
      </c>
      <c r="JLW91" s="76">
        <f>IFERROR(VLOOKUP(JLV91,'[1]List KPI'!$A$103:$F$118,6,0),"")</f>
        <v>1.0416666666666666E-2</v>
      </c>
      <c r="JLX91" s="76">
        <v>0.86944444444444446</v>
      </c>
      <c r="JLY91" s="76">
        <v>0.86944444444444446</v>
      </c>
      <c r="JLZ91" s="77" t="str">
        <f t="shared" si="211"/>
        <v>O</v>
      </c>
      <c r="JMA91" s="74" t="s">
        <v>28</v>
      </c>
      <c r="JMB91" s="75" t="s">
        <v>23</v>
      </c>
      <c r="JMC91" s="78">
        <f>IFERROR(VLOOKUP(JMB91,'[1]List KPI'!$M$3:$N$8,2,0),"")</f>
        <v>2.0833333333333332E-2</v>
      </c>
      <c r="JMD91" s="76">
        <v>0.89444444444444449</v>
      </c>
      <c r="JME91" s="77" t="str">
        <f t="shared" si="212"/>
        <v>O</v>
      </c>
      <c r="JMF91" s="79">
        <v>5</v>
      </c>
      <c r="JMG91" s="75">
        <v>1276006</v>
      </c>
      <c r="JMH91" s="80"/>
      <c r="JMI91" s="81">
        <v>0.86944444444444446</v>
      </c>
      <c r="JMJ91" s="74" t="s">
        <v>27</v>
      </c>
      <c r="JMK91" s="74" t="s">
        <v>24</v>
      </c>
      <c r="JML91" s="75" t="s">
        <v>25</v>
      </c>
      <c r="JMM91" s="76">
        <f>IFERROR(VLOOKUP(JML91,'[1]List KPI'!$A$103:$F$118,6,0),"")</f>
        <v>1.0416666666666666E-2</v>
      </c>
      <c r="JMN91" s="76">
        <v>0.86944444444444446</v>
      </c>
      <c r="JMO91" s="76">
        <v>0.86944444444444446</v>
      </c>
      <c r="JMP91" s="77" t="str">
        <f t="shared" ref="JMP91:JOL91" si="213">IF(JMO91="","",IF(JMO91&gt;JMX91,"O","P"))</f>
        <v>O</v>
      </c>
      <c r="JMQ91" s="74" t="s">
        <v>28</v>
      </c>
      <c r="JMR91" s="75" t="s">
        <v>23</v>
      </c>
      <c r="JMS91" s="78">
        <f>IFERROR(VLOOKUP(JMR91,'[1]List KPI'!$M$3:$N$8,2,0),"")</f>
        <v>2.0833333333333332E-2</v>
      </c>
      <c r="JMT91" s="76">
        <v>0.89444444444444449</v>
      </c>
      <c r="JMU91" s="77" t="str">
        <f t="shared" ref="JMU91:JOQ91" si="214">IF(JMT91="","",IF(JMT91&gt;JMY91,"O","P"))</f>
        <v>O</v>
      </c>
      <c r="JMV91" s="79">
        <v>5</v>
      </c>
      <c r="JMW91" s="75">
        <v>1276006</v>
      </c>
      <c r="JMX91" s="80"/>
      <c r="JMY91" s="81">
        <v>0.86944444444444446</v>
      </c>
      <c r="JMZ91" s="74" t="s">
        <v>27</v>
      </c>
      <c r="JNA91" s="74" t="s">
        <v>24</v>
      </c>
      <c r="JNB91" s="75" t="s">
        <v>25</v>
      </c>
      <c r="JNC91" s="76">
        <f>IFERROR(VLOOKUP(JNB91,'[1]List KPI'!$A$103:$F$118,6,0),"")</f>
        <v>1.0416666666666666E-2</v>
      </c>
      <c r="JND91" s="76">
        <v>0.86944444444444446</v>
      </c>
      <c r="JNE91" s="76">
        <v>0.86944444444444446</v>
      </c>
      <c r="JNF91" s="77" t="str">
        <f t="shared" si="213"/>
        <v>O</v>
      </c>
      <c r="JNG91" s="74" t="s">
        <v>28</v>
      </c>
      <c r="JNH91" s="75" t="s">
        <v>23</v>
      </c>
      <c r="JNI91" s="78">
        <f>IFERROR(VLOOKUP(JNH91,'[1]List KPI'!$M$3:$N$8,2,0),"")</f>
        <v>2.0833333333333332E-2</v>
      </c>
      <c r="JNJ91" s="76">
        <v>0.89444444444444449</v>
      </c>
      <c r="JNK91" s="77" t="str">
        <f t="shared" si="214"/>
        <v>O</v>
      </c>
      <c r="JNL91" s="79">
        <v>5</v>
      </c>
      <c r="JNM91" s="75">
        <v>1276006</v>
      </c>
      <c r="JNN91" s="80"/>
      <c r="JNO91" s="81">
        <v>0.86944444444444446</v>
      </c>
      <c r="JNP91" s="74" t="s">
        <v>27</v>
      </c>
      <c r="JNQ91" s="74" t="s">
        <v>24</v>
      </c>
      <c r="JNR91" s="75" t="s">
        <v>25</v>
      </c>
      <c r="JNS91" s="76">
        <f>IFERROR(VLOOKUP(JNR91,'[1]List KPI'!$A$103:$F$118,6,0),"")</f>
        <v>1.0416666666666666E-2</v>
      </c>
      <c r="JNT91" s="76">
        <v>0.86944444444444446</v>
      </c>
      <c r="JNU91" s="76">
        <v>0.86944444444444446</v>
      </c>
      <c r="JNV91" s="77" t="str">
        <f t="shared" si="213"/>
        <v>O</v>
      </c>
      <c r="JNW91" s="74" t="s">
        <v>28</v>
      </c>
      <c r="JNX91" s="75" t="s">
        <v>23</v>
      </c>
      <c r="JNY91" s="78">
        <f>IFERROR(VLOOKUP(JNX91,'[1]List KPI'!$M$3:$N$8,2,0),"")</f>
        <v>2.0833333333333332E-2</v>
      </c>
      <c r="JNZ91" s="76">
        <v>0.89444444444444449</v>
      </c>
      <c r="JOA91" s="77" t="str">
        <f t="shared" si="214"/>
        <v>O</v>
      </c>
      <c r="JOB91" s="79">
        <v>5</v>
      </c>
      <c r="JOC91" s="75">
        <v>1276006</v>
      </c>
      <c r="JOD91" s="80"/>
      <c r="JOE91" s="81">
        <v>0.86944444444444446</v>
      </c>
      <c r="JOF91" s="74" t="s">
        <v>27</v>
      </c>
      <c r="JOG91" s="74" t="s">
        <v>24</v>
      </c>
      <c r="JOH91" s="75" t="s">
        <v>25</v>
      </c>
      <c r="JOI91" s="76">
        <f>IFERROR(VLOOKUP(JOH91,'[1]List KPI'!$A$103:$F$118,6,0),"")</f>
        <v>1.0416666666666666E-2</v>
      </c>
      <c r="JOJ91" s="76">
        <v>0.86944444444444446</v>
      </c>
      <c r="JOK91" s="76">
        <v>0.86944444444444446</v>
      </c>
      <c r="JOL91" s="77" t="str">
        <f t="shared" si="213"/>
        <v>O</v>
      </c>
      <c r="JOM91" s="74" t="s">
        <v>28</v>
      </c>
      <c r="JON91" s="75" t="s">
        <v>23</v>
      </c>
      <c r="JOO91" s="78">
        <f>IFERROR(VLOOKUP(JON91,'[1]List KPI'!$M$3:$N$8,2,0),"")</f>
        <v>2.0833333333333332E-2</v>
      </c>
      <c r="JOP91" s="76">
        <v>0.89444444444444449</v>
      </c>
      <c r="JOQ91" s="77" t="str">
        <f t="shared" si="214"/>
        <v>O</v>
      </c>
      <c r="JOR91" s="79">
        <v>5</v>
      </c>
      <c r="JOS91" s="75">
        <v>1276006</v>
      </c>
      <c r="JOT91" s="80"/>
      <c r="JOU91" s="81">
        <v>0.86944444444444446</v>
      </c>
      <c r="JOV91" s="74" t="s">
        <v>27</v>
      </c>
      <c r="JOW91" s="74" t="s">
        <v>24</v>
      </c>
      <c r="JOX91" s="75" t="s">
        <v>25</v>
      </c>
      <c r="JOY91" s="76">
        <f>IFERROR(VLOOKUP(JOX91,'[1]List KPI'!$A$103:$F$118,6,0),"")</f>
        <v>1.0416666666666666E-2</v>
      </c>
      <c r="JOZ91" s="76">
        <v>0.86944444444444446</v>
      </c>
      <c r="JPA91" s="76">
        <v>0.86944444444444446</v>
      </c>
      <c r="JPB91" s="77" t="str">
        <f t="shared" ref="JPB91:JQX91" si="215">IF(JPA91="","",IF(JPA91&gt;JPJ91,"O","P"))</f>
        <v>O</v>
      </c>
      <c r="JPC91" s="74" t="s">
        <v>28</v>
      </c>
      <c r="JPD91" s="75" t="s">
        <v>23</v>
      </c>
      <c r="JPE91" s="78">
        <f>IFERROR(VLOOKUP(JPD91,'[1]List KPI'!$M$3:$N$8,2,0),"")</f>
        <v>2.0833333333333332E-2</v>
      </c>
      <c r="JPF91" s="76">
        <v>0.89444444444444449</v>
      </c>
      <c r="JPG91" s="77" t="str">
        <f t="shared" ref="JPG91:JRC91" si="216">IF(JPF91="","",IF(JPF91&gt;JPK91,"O","P"))</f>
        <v>O</v>
      </c>
      <c r="JPH91" s="79">
        <v>5</v>
      </c>
      <c r="JPI91" s="75">
        <v>1276006</v>
      </c>
      <c r="JPJ91" s="80"/>
      <c r="JPK91" s="81">
        <v>0.86944444444444446</v>
      </c>
      <c r="JPL91" s="74" t="s">
        <v>27</v>
      </c>
      <c r="JPM91" s="74" t="s">
        <v>24</v>
      </c>
      <c r="JPN91" s="75" t="s">
        <v>25</v>
      </c>
      <c r="JPO91" s="76">
        <f>IFERROR(VLOOKUP(JPN91,'[1]List KPI'!$A$103:$F$118,6,0),"")</f>
        <v>1.0416666666666666E-2</v>
      </c>
      <c r="JPP91" s="76">
        <v>0.86944444444444446</v>
      </c>
      <c r="JPQ91" s="76">
        <v>0.86944444444444446</v>
      </c>
      <c r="JPR91" s="77" t="str">
        <f t="shared" si="215"/>
        <v>O</v>
      </c>
      <c r="JPS91" s="74" t="s">
        <v>28</v>
      </c>
      <c r="JPT91" s="75" t="s">
        <v>23</v>
      </c>
      <c r="JPU91" s="78">
        <f>IFERROR(VLOOKUP(JPT91,'[1]List KPI'!$M$3:$N$8,2,0),"")</f>
        <v>2.0833333333333332E-2</v>
      </c>
      <c r="JPV91" s="76">
        <v>0.89444444444444449</v>
      </c>
      <c r="JPW91" s="77" t="str">
        <f t="shared" si="216"/>
        <v>O</v>
      </c>
      <c r="JPX91" s="79">
        <v>5</v>
      </c>
      <c r="JPY91" s="75">
        <v>1276006</v>
      </c>
      <c r="JPZ91" s="80"/>
      <c r="JQA91" s="81">
        <v>0.86944444444444446</v>
      </c>
      <c r="JQB91" s="74" t="s">
        <v>27</v>
      </c>
      <c r="JQC91" s="74" t="s">
        <v>24</v>
      </c>
      <c r="JQD91" s="75" t="s">
        <v>25</v>
      </c>
      <c r="JQE91" s="76">
        <f>IFERROR(VLOOKUP(JQD91,'[1]List KPI'!$A$103:$F$118,6,0),"")</f>
        <v>1.0416666666666666E-2</v>
      </c>
      <c r="JQF91" s="76">
        <v>0.86944444444444446</v>
      </c>
      <c r="JQG91" s="76">
        <v>0.86944444444444446</v>
      </c>
      <c r="JQH91" s="77" t="str">
        <f t="shared" si="215"/>
        <v>O</v>
      </c>
      <c r="JQI91" s="74" t="s">
        <v>28</v>
      </c>
      <c r="JQJ91" s="75" t="s">
        <v>23</v>
      </c>
      <c r="JQK91" s="78">
        <f>IFERROR(VLOOKUP(JQJ91,'[1]List KPI'!$M$3:$N$8,2,0),"")</f>
        <v>2.0833333333333332E-2</v>
      </c>
      <c r="JQL91" s="76">
        <v>0.89444444444444449</v>
      </c>
      <c r="JQM91" s="77" t="str">
        <f t="shared" si="216"/>
        <v>O</v>
      </c>
      <c r="JQN91" s="79">
        <v>5</v>
      </c>
      <c r="JQO91" s="75">
        <v>1276006</v>
      </c>
      <c r="JQP91" s="80"/>
      <c r="JQQ91" s="81">
        <v>0.86944444444444446</v>
      </c>
      <c r="JQR91" s="74" t="s">
        <v>27</v>
      </c>
      <c r="JQS91" s="74" t="s">
        <v>24</v>
      </c>
      <c r="JQT91" s="75" t="s">
        <v>25</v>
      </c>
      <c r="JQU91" s="76">
        <f>IFERROR(VLOOKUP(JQT91,'[1]List KPI'!$A$103:$F$118,6,0),"")</f>
        <v>1.0416666666666666E-2</v>
      </c>
      <c r="JQV91" s="76">
        <v>0.86944444444444446</v>
      </c>
      <c r="JQW91" s="76">
        <v>0.86944444444444446</v>
      </c>
      <c r="JQX91" s="77" t="str">
        <f t="shared" si="215"/>
        <v>O</v>
      </c>
      <c r="JQY91" s="74" t="s">
        <v>28</v>
      </c>
      <c r="JQZ91" s="75" t="s">
        <v>23</v>
      </c>
      <c r="JRA91" s="78">
        <f>IFERROR(VLOOKUP(JQZ91,'[1]List KPI'!$M$3:$N$8,2,0),"")</f>
        <v>2.0833333333333332E-2</v>
      </c>
      <c r="JRB91" s="76">
        <v>0.89444444444444449</v>
      </c>
      <c r="JRC91" s="77" t="str">
        <f t="shared" si="216"/>
        <v>O</v>
      </c>
      <c r="JRD91" s="79">
        <v>5</v>
      </c>
      <c r="JRE91" s="75">
        <v>1276006</v>
      </c>
      <c r="JRF91" s="80"/>
      <c r="JRG91" s="81">
        <v>0.86944444444444446</v>
      </c>
      <c r="JRH91" s="74" t="s">
        <v>27</v>
      </c>
      <c r="JRI91" s="74" t="s">
        <v>24</v>
      </c>
      <c r="JRJ91" s="75" t="s">
        <v>25</v>
      </c>
      <c r="JRK91" s="76">
        <f>IFERROR(VLOOKUP(JRJ91,'[1]List KPI'!$A$103:$F$118,6,0),"")</f>
        <v>1.0416666666666666E-2</v>
      </c>
      <c r="JRL91" s="76">
        <v>0.86944444444444446</v>
      </c>
      <c r="JRM91" s="76">
        <v>0.86944444444444446</v>
      </c>
      <c r="JRN91" s="77" t="str">
        <f t="shared" ref="JRN91:JTJ91" si="217">IF(JRM91="","",IF(JRM91&gt;JRV91,"O","P"))</f>
        <v>O</v>
      </c>
      <c r="JRO91" s="74" t="s">
        <v>28</v>
      </c>
      <c r="JRP91" s="75" t="s">
        <v>23</v>
      </c>
      <c r="JRQ91" s="78">
        <f>IFERROR(VLOOKUP(JRP91,'[1]List KPI'!$M$3:$N$8,2,0),"")</f>
        <v>2.0833333333333332E-2</v>
      </c>
      <c r="JRR91" s="76">
        <v>0.89444444444444449</v>
      </c>
      <c r="JRS91" s="77" t="str">
        <f t="shared" ref="JRS91:JTO91" si="218">IF(JRR91="","",IF(JRR91&gt;JRW91,"O","P"))</f>
        <v>O</v>
      </c>
      <c r="JRT91" s="79">
        <v>5</v>
      </c>
      <c r="JRU91" s="75">
        <v>1276006</v>
      </c>
      <c r="JRV91" s="80"/>
      <c r="JRW91" s="81">
        <v>0.86944444444444446</v>
      </c>
      <c r="JRX91" s="74" t="s">
        <v>27</v>
      </c>
      <c r="JRY91" s="74" t="s">
        <v>24</v>
      </c>
      <c r="JRZ91" s="75" t="s">
        <v>25</v>
      </c>
      <c r="JSA91" s="76">
        <f>IFERROR(VLOOKUP(JRZ91,'[1]List KPI'!$A$103:$F$118,6,0),"")</f>
        <v>1.0416666666666666E-2</v>
      </c>
      <c r="JSB91" s="76">
        <v>0.86944444444444446</v>
      </c>
      <c r="JSC91" s="76">
        <v>0.86944444444444446</v>
      </c>
      <c r="JSD91" s="77" t="str">
        <f t="shared" si="217"/>
        <v>O</v>
      </c>
      <c r="JSE91" s="74" t="s">
        <v>28</v>
      </c>
      <c r="JSF91" s="75" t="s">
        <v>23</v>
      </c>
      <c r="JSG91" s="78">
        <f>IFERROR(VLOOKUP(JSF91,'[1]List KPI'!$M$3:$N$8,2,0),"")</f>
        <v>2.0833333333333332E-2</v>
      </c>
      <c r="JSH91" s="76">
        <v>0.89444444444444449</v>
      </c>
      <c r="JSI91" s="77" t="str">
        <f t="shared" si="218"/>
        <v>O</v>
      </c>
      <c r="JSJ91" s="79">
        <v>5</v>
      </c>
      <c r="JSK91" s="75">
        <v>1276006</v>
      </c>
      <c r="JSL91" s="80"/>
      <c r="JSM91" s="81">
        <v>0.86944444444444446</v>
      </c>
      <c r="JSN91" s="74" t="s">
        <v>27</v>
      </c>
      <c r="JSO91" s="74" t="s">
        <v>24</v>
      </c>
      <c r="JSP91" s="75" t="s">
        <v>25</v>
      </c>
      <c r="JSQ91" s="76">
        <f>IFERROR(VLOOKUP(JSP91,'[1]List KPI'!$A$103:$F$118,6,0),"")</f>
        <v>1.0416666666666666E-2</v>
      </c>
      <c r="JSR91" s="76">
        <v>0.86944444444444446</v>
      </c>
      <c r="JSS91" s="76">
        <v>0.86944444444444446</v>
      </c>
      <c r="JST91" s="77" t="str">
        <f t="shared" si="217"/>
        <v>O</v>
      </c>
      <c r="JSU91" s="74" t="s">
        <v>28</v>
      </c>
      <c r="JSV91" s="75" t="s">
        <v>23</v>
      </c>
      <c r="JSW91" s="78">
        <f>IFERROR(VLOOKUP(JSV91,'[1]List KPI'!$M$3:$N$8,2,0),"")</f>
        <v>2.0833333333333332E-2</v>
      </c>
      <c r="JSX91" s="76">
        <v>0.89444444444444449</v>
      </c>
      <c r="JSY91" s="77" t="str">
        <f t="shared" si="218"/>
        <v>O</v>
      </c>
      <c r="JSZ91" s="79">
        <v>5</v>
      </c>
      <c r="JTA91" s="75">
        <v>1276006</v>
      </c>
      <c r="JTB91" s="80"/>
      <c r="JTC91" s="81">
        <v>0.86944444444444446</v>
      </c>
      <c r="JTD91" s="74" t="s">
        <v>27</v>
      </c>
      <c r="JTE91" s="74" t="s">
        <v>24</v>
      </c>
      <c r="JTF91" s="75" t="s">
        <v>25</v>
      </c>
      <c r="JTG91" s="76">
        <f>IFERROR(VLOOKUP(JTF91,'[1]List KPI'!$A$103:$F$118,6,0),"")</f>
        <v>1.0416666666666666E-2</v>
      </c>
      <c r="JTH91" s="76">
        <v>0.86944444444444446</v>
      </c>
      <c r="JTI91" s="76">
        <v>0.86944444444444446</v>
      </c>
      <c r="JTJ91" s="77" t="str">
        <f t="shared" si="217"/>
        <v>O</v>
      </c>
      <c r="JTK91" s="74" t="s">
        <v>28</v>
      </c>
      <c r="JTL91" s="75" t="s">
        <v>23</v>
      </c>
      <c r="JTM91" s="78">
        <f>IFERROR(VLOOKUP(JTL91,'[1]List KPI'!$M$3:$N$8,2,0),"")</f>
        <v>2.0833333333333332E-2</v>
      </c>
      <c r="JTN91" s="76">
        <v>0.89444444444444449</v>
      </c>
      <c r="JTO91" s="77" t="str">
        <f t="shared" si="218"/>
        <v>O</v>
      </c>
      <c r="JTP91" s="79">
        <v>5</v>
      </c>
      <c r="JTQ91" s="75">
        <v>1276006</v>
      </c>
      <c r="JTR91" s="80"/>
      <c r="JTS91" s="81">
        <v>0.86944444444444446</v>
      </c>
      <c r="JTT91" s="74" t="s">
        <v>27</v>
      </c>
      <c r="JTU91" s="74" t="s">
        <v>24</v>
      </c>
      <c r="JTV91" s="75" t="s">
        <v>25</v>
      </c>
      <c r="JTW91" s="76">
        <f>IFERROR(VLOOKUP(JTV91,'[1]List KPI'!$A$103:$F$118,6,0),"")</f>
        <v>1.0416666666666666E-2</v>
      </c>
      <c r="JTX91" s="76">
        <v>0.86944444444444446</v>
      </c>
      <c r="JTY91" s="76">
        <v>0.86944444444444446</v>
      </c>
      <c r="JTZ91" s="77" t="str">
        <f t="shared" ref="JTZ91:JVV91" si="219">IF(JTY91="","",IF(JTY91&gt;JUH91,"O","P"))</f>
        <v>O</v>
      </c>
      <c r="JUA91" s="74" t="s">
        <v>28</v>
      </c>
      <c r="JUB91" s="75" t="s">
        <v>23</v>
      </c>
      <c r="JUC91" s="78">
        <f>IFERROR(VLOOKUP(JUB91,'[1]List KPI'!$M$3:$N$8,2,0),"")</f>
        <v>2.0833333333333332E-2</v>
      </c>
      <c r="JUD91" s="76">
        <v>0.89444444444444449</v>
      </c>
      <c r="JUE91" s="77" t="str">
        <f t="shared" ref="JUE91:JWA91" si="220">IF(JUD91="","",IF(JUD91&gt;JUI91,"O","P"))</f>
        <v>O</v>
      </c>
      <c r="JUF91" s="79">
        <v>5</v>
      </c>
      <c r="JUG91" s="75">
        <v>1276006</v>
      </c>
      <c r="JUH91" s="80"/>
      <c r="JUI91" s="81">
        <v>0.86944444444444446</v>
      </c>
      <c r="JUJ91" s="74" t="s">
        <v>27</v>
      </c>
      <c r="JUK91" s="74" t="s">
        <v>24</v>
      </c>
      <c r="JUL91" s="75" t="s">
        <v>25</v>
      </c>
      <c r="JUM91" s="76">
        <f>IFERROR(VLOOKUP(JUL91,'[1]List KPI'!$A$103:$F$118,6,0),"")</f>
        <v>1.0416666666666666E-2</v>
      </c>
      <c r="JUN91" s="76">
        <v>0.86944444444444446</v>
      </c>
      <c r="JUO91" s="76">
        <v>0.86944444444444446</v>
      </c>
      <c r="JUP91" s="77" t="str">
        <f t="shared" si="219"/>
        <v>O</v>
      </c>
      <c r="JUQ91" s="74" t="s">
        <v>28</v>
      </c>
      <c r="JUR91" s="75" t="s">
        <v>23</v>
      </c>
      <c r="JUS91" s="78">
        <f>IFERROR(VLOOKUP(JUR91,'[1]List KPI'!$M$3:$N$8,2,0),"")</f>
        <v>2.0833333333333332E-2</v>
      </c>
      <c r="JUT91" s="76">
        <v>0.89444444444444449</v>
      </c>
      <c r="JUU91" s="77" t="str">
        <f t="shared" si="220"/>
        <v>O</v>
      </c>
      <c r="JUV91" s="79">
        <v>5</v>
      </c>
      <c r="JUW91" s="75">
        <v>1276006</v>
      </c>
      <c r="JUX91" s="80"/>
      <c r="JUY91" s="81">
        <v>0.86944444444444446</v>
      </c>
      <c r="JUZ91" s="74" t="s">
        <v>27</v>
      </c>
      <c r="JVA91" s="74" t="s">
        <v>24</v>
      </c>
      <c r="JVB91" s="75" t="s">
        <v>25</v>
      </c>
      <c r="JVC91" s="76">
        <f>IFERROR(VLOOKUP(JVB91,'[1]List KPI'!$A$103:$F$118,6,0),"")</f>
        <v>1.0416666666666666E-2</v>
      </c>
      <c r="JVD91" s="76">
        <v>0.86944444444444446</v>
      </c>
      <c r="JVE91" s="76">
        <v>0.86944444444444446</v>
      </c>
      <c r="JVF91" s="77" t="str">
        <f t="shared" si="219"/>
        <v>O</v>
      </c>
      <c r="JVG91" s="74" t="s">
        <v>28</v>
      </c>
      <c r="JVH91" s="75" t="s">
        <v>23</v>
      </c>
      <c r="JVI91" s="78">
        <f>IFERROR(VLOOKUP(JVH91,'[1]List KPI'!$M$3:$N$8,2,0),"")</f>
        <v>2.0833333333333332E-2</v>
      </c>
      <c r="JVJ91" s="76">
        <v>0.89444444444444449</v>
      </c>
      <c r="JVK91" s="77" t="str">
        <f t="shared" si="220"/>
        <v>O</v>
      </c>
      <c r="JVL91" s="79">
        <v>5</v>
      </c>
      <c r="JVM91" s="75">
        <v>1276006</v>
      </c>
      <c r="JVN91" s="80"/>
      <c r="JVO91" s="81">
        <v>0.86944444444444446</v>
      </c>
      <c r="JVP91" s="74" t="s">
        <v>27</v>
      </c>
      <c r="JVQ91" s="74" t="s">
        <v>24</v>
      </c>
      <c r="JVR91" s="75" t="s">
        <v>25</v>
      </c>
      <c r="JVS91" s="76">
        <f>IFERROR(VLOOKUP(JVR91,'[1]List KPI'!$A$103:$F$118,6,0),"")</f>
        <v>1.0416666666666666E-2</v>
      </c>
      <c r="JVT91" s="76">
        <v>0.86944444444444446</v>
      </c>
      <c r="JVU91" s="76">
        <v>0.86944444444444446</v>
      </c>
      <c r="JVV91" s="77" t="str">
        <f t="shared" si="219"/>
        <v>O</v>
      </c>
      <c r="JVW91" s="74" t="s">
        <v>28</v>
      </c>
      <c r="JVX91" s="75" t="s">
        <v>23</v>
      </c>
      <c r="JVY91" s="78">
        <f>IFERROR(VLOOKUP(JVX91,'[1]List KPI'!$M$3:$N$8,2,0),"")</f>
        <v>2.0833333333333332E-2</v>
      </c>
      <c r="JVZ91" s="76">
        <v>0.89444444444444449</v>
      </c>
      <c r="JWA91" s="77" t="str">
        <f t="shared" si="220"/>
        <v>O</v>
      </c>
      <c r="JWB91" s="79">
        <v>5</v>
      </c>
      <c r="JWC91" s="75">
        <v>1276006</v>
      </c>
      <c r="JWD91" s="80"/>
      <c r="JWE91" s="81">
        <v>0.86944444444444446</v>
      </c>
      <c r="JWF91" s="74" t="s">
        <v>27</v>
      </c>
      <c r="JWG91" s="74" t="s">
        <v>24</v>
      </c>
      <c r="JWH91" s="75" t="s">
        <v>25</v>
      </c>
      <c r="JWI91" s="76">
        <f>IFERROR(VLOOKUP(JWH91,'[1]List KPI'!$A$103:$F$118,6,0),"")</f>
        <v>1.0416666666666666E-2</v>
      </c>
      <c r="JWJ91" s="76">
        <v>0.86944444444444446</v>
      </c>
      <c r="JWK91" s="76">
        <v>0.86944444444444446</v>
      </c>
      <c r="JWL91" s="77" t="str">
        <f t="shared" ref="JWL91:JYH91" si="221">IF(JWK91="","",IF(JWK91&gt;JWT91,"O","P"))</f>
        <v>O</v>
      </c>
      <c r="JWM91" s="74" t="s">
        <v>28</v>
      </c>
      <c r="JWN91" s="75" t="s">
        <v>23</v>
      </c>
      <c r="JWO91" s="78">
        <f>IFERROR(VLOOKUP(JWN91,'[1]List KPI'!$M$3:$N$8,2,0),"")</f>
        <v>2.0833333333333332E-2</v>
      </c>
      <c r="JWP91" s="76">
        <v>0.89444444444444449</v>
      </c>
      <c r="JWQ91" s="77" t="str">
        <f t="shared" ref="JWQ91:JYM91" si="222">IF(JWP91="","",IF(JWP91&gt;JWU91,"O","P"))</f>
        <v>O</v>
      </c>
      <c r="JWR91" s="79">
        <v>5</v>
      </c>
      <c r="JWS91" s="75">
        <v>1276006</v>
      </c>
      <c r="JWT91" s="80"/>
      <c r="JWU91" s="81">
        <v>0.86944444444444446</v>
      </c>
      <c r="JWV91" s="74" t="s">
        <v>27</v>
      </c>
      <c r="JWW91" s="74" t="s">
        <v>24</v>
      </c>
      <c r="JWX91" s="75" t="s">
        <v>25</v>
      </c>
      <c r="JWY91" s="76">
        <f>IFERROR(VLOOKUP(JWX91,'[1]List KPI'!$A$103:$F$118,6,0),"")</f>
        <v>1.0416666666666666E-2</v>
      </c>
      <c r="JWZ91" s="76">
        <v>0.86944444444444446</v>
      </c>
      <c r="JXA91" s="76">
        <v>0.86944444444444446</v>
      </c>
      <c r="JXB91" s="77" t="str">
        <f t="shared" si="221"/>
        <v>O</v>
      </c>
      <c r="JXC91" s="74" t="s">
        <v>28</v>
      </c>
      <c r="JXD91" s="75" t="s">
        <v>23</v>
      </c>
      <c r="JXE91" s="78">
        <f>IFERROR(VLOOKUP(JXD91,'[1]List KPI'!$M$3:$N$8,2,0),"")</f>
        <v>2.0833333333333332E-2</v>
      </c>
      <c r="JXF91" s="76">
        <v>0.89444444444444449</v>
      </c>
      <c r="JXG91" s="77" t="str">
        <f t="shared" si="222"/>
        <v>O</v>
      </c>
      <c r="JXH91" s="79">
        <v>5</v>
      </c>
      <c r="JXI91" s="75">
        <v>1276006</v>
      </c>
      <c r="JXJ91" s="80"/>
      <c r="JXK91" s="81">
        <v>0.86944444444444446</v>
      </c>
      <c r="JXL91" s="74" t="s">
        <v>27</v>
      </c>
      <c r="JXM91" s="74" t="s">
        <v>24</v>
      </c>
      <c r="JXN91" s="75" t="s">
        <v>25</v>
      </c>
      <c r="JXO91" s="76">
        <f>IFERROR(VLOOKUP(JXN91,'[1]List KPI'!$A$103:$F$118,6,0),"")</f>
        <v>1.0416666666666666E-2</v>
      </c>
      <c r="JXP91" s="76">
        <v>0.86944444444444446</v>
      </c>
      <c r="JXQ91" s="76">
        <v>0.86944444444444446</v>
      </c>
      <c r="JXR91" s="77" t="str">
        <f t="shared" si="221"/>
        <v>O</v>
      </c>
      <c r="JXS91" s="74" t="s">
        <v>28</v>
      </c>
      <c r="JXT91" s="75" t="s">
        <v>23</v>
      </c>
      <c r="JXU91" s="78">
        <f>IFERROR(VLOOKUP(JXT91,'[1]List KPI'!$M$3:$N$8,2,0),"")</f>
        <v>2.0833333333333332E-2</v>
      </c>
      <c r="JXV91" s="76">
        <v>0.89444444444444449</v>
      </c>
      <c r="JXW91" s="77" t="str">
        <f t="shared" si="222"/>
        <v>O</v>
      </c>
      <c r="JXX91" s="79">
        <v>5</v>
      </c>
      <c r="JXY91" s="75">
        <v>1276006</v>
      </c>
      <c r="JXZ91" s="80"/>
      <c r="JYA91" s="81">
        <v>0.86944444444444446</v>
      </c>
      <c r="JYB91" s="74" t="s">
        <v>27</v>
      </c>
      <c r="JYC91" s="74" t="s">
        <v>24</v>
      </c>
      <c r="JYD91" s="75" t="s">
        <v>25</v>
      </c>
      <c r="JYE91" s="76">
        <f>IFERROR(VLOOKUP(JYD91,'[1]List KPI'!$A$103:$F$118,6,0),"")</f>
        <v>1.0416666666666666E-2</v>
      </c>
      <c r="JYF91" s="76">
        <v>0.86944444444444446</v>
      </c>
      <c r="JYG91" s="76">
        <v>0.86944444444444446</v>
      </c>
      <c r="JYH91" s="77" t="str">
        <f t="shared" si="221"/>
        <v>O</v>
      </c>
      <c r="JYI91" s="74" t="s">
        <v>28</v>
      </c>
      <c r="JYJ91" s="75" t="s">
        <v>23</v>
      </c>
      <c r="JYK91" s="78">
        <f>IFERROR(VLOOKUP(JYJ91,'[1]List KPI'!$M$3:$N$8,2,0),"")</f>
        <v>2.0833333333333332E-2</v>
      </c>
      <c r="JYL91" s="76">
        <v>0.89444444444444449</v>
      </c>
      <c r="JYM91" s="77" t="str">
        <f t="shared" si="222"/>
        <v>O</v>
      </c>
      <c r="JYN91" s="79">
        <v>5</v>
      </c>
      <c r="JYO91" s="75">
        <v>1276006</v>
      </c>
      <c r="JYP91" s="80"/>
      <c r="JYQ91" s="81">
        <v>0.86944444444444446</v>
      </c>
      <c r="JYR91" s="74" t="s">
        <v>27</v>
      </c>
      <c r="JYS91" s="74" t="s">
        <v>24</v>
      </c>
      <c r="JYT91" s="75" t="s">
        <v>25</v>
      </c>
      <c r="JYU91" s="76">
        <f>IFERROR(VLOOKUP(JYT91,'[1]List KPI'!$A$103:$F$118,6,0),"")</f>
        <v>1.0416666666666666E-2</v>
      </c>
      <c r="JYV91" s="76">
        <v>0.86944444444444446</v>
      </c>
      <c r="JYW91" s="76">
        <v>0.86944444444444446</v>
      </c>
      <c r="JYX91" s="77" t="str">
        <f t="shared" ref="JYX91:KAT91" si="223">IF(JYW91="","",IF(JYW91&gt;JZF91,"O","P"))</f>
        <v>O</v>
      </c>
      <c r="JYY91" s="74" t="s">
        <v>28</v>
      </c>
      <c r="JYZ91" s="75" t="s">
        <v>23</v>
      </c>
      <c r="JZA91" s="78">
        <f>IFERROR(VLOOKUP(JYZ91,'[1]List KPI'!$M$3:$N$8,2,0),"")</f>
        <v>2.0833333333333332E-2</v>
      </c>
      <c r="JZB91" s="76">
        <v>0.89444444444444449</v>
      </c>
      <c r="JZC91" s="77" t="str">
        <f t="shared" ref="JZC91:KAY91" si="224">IF(JZB91="","",IF(JZB91&gt;JZG91,"O","P"))</f>
        <v>O</v>
      </c>
      <c r="JZD91" s="79">
        <v>5</v>
      </c>
      <c r="JZE91" s="75">
        <v>1276006</v>
      </c>
      <c r="JZF91" s="80"/>
      <c r="JZG91" s="81">
        <v>0.86944444444444446</v>
      </c>
      <c r="JZH91" s="74" t="s">
        <v>27</v>
      </c>
      <c r="JZI91" s="74" t="s">
        <v>24</v>
      </c>
      <c r="JZJ91" s="75" t="s">
        <v>25</v>
      </c>
      <c r="JZK91" s="76">
        <f>IFERROR(VLOOKUP(JZJ91,'[1]List KPI'!$A$103:$F$118,6,0),"")</f>
        <v>1.0416666666666666E-2</v>
      </c>
      <c r="JZL91" s="76">
        <v>0.86944444444444446</v>
      </c>
      <c r="JZM91" s="76">
        <v>0.86944444444444446</v>
      </c>
      <c r="JZN91" s="77" t="str">
        <f t="shared" si="223"/>
        <v>O</v>
      </c>
      <c r="JZO91" s="74" t="s">
        <v>28</v>
      </c>
      <c r="JZP91" s="75" t="s">
        <v>23</v>
      </c>
      <c r="JZQ91" s="78">
        <f>IFERROR(VLOOKUP(JZP91,'[1]List KPI'!$M$3:$N$8,2,0),"")</f>
        <v>2.0833333333333332E-2</v>
      </c>
      <c r="JZR91" s="76">
        <v>0.89444444444444449</v>
      </c>
      <c r="JZS91" s="77" t="str">
        <f t="shared" si="224"/>
        <v>O</v>
      </c>
      <c r="JZT91" s="79">
        <v>5</v>
      </c>
      <c r="JZU91" s="75">
        <v>1276006</v>
      </c>
      <c r="JZV91" s="80"/>
      <c r="JZW91" s="81">
        <v>0.86944444444444446</v>
      </c>
      <c r="JZX91" s="74" t="s">
        <v>27</v>
      </c>
      <c r="JZY91" s="74" t="s">
        <v>24</v>
      </c>
      <c r="JZZ91" s="75" t="s">
        <v>25</v>
      </c>
      <c r="KAA91" s="76">
        <f>IFERROR(VLOOKUP(JZZ91,'[1]List KPI'!$A$103:$F$118,6,0),"")</f>
        <v>1.0416666666666666E-2</v>
      </c>
      <c r="KAB91" s="76">
        <v>0.86944444444444446</v>
      </c>
      <c r="KAC91" s="76">
        <v>0.86944444444444446</v>
      </c>
      <c r="KAD91" s="77" t="str">
        <f t="shared" si="223"/>
        <v>O</v>
      </c>
      <c r="KAE91" s="74" t="s">
        <v>28</v>
      </c>
      <c r="KAF91" s="75" t="s">
        <v>23</v>
      </c>
      <c r="KAG91" s="78">
        <f>IFERROR(VLOOKUP(KAF91,'[1]List KPI'!$M$3:$N$8,2,0),"")</f>
        <v>2.0833333333333332E-2</v>
      </c>
      <c r="KAH91" s="76">
        <v>0.89444444444444449</v>
      </c>
      <c r="KAI91" s="77" t="str">
        <f t="shared" si="224"/>
        <v>O</v>
      </c>
      <c r="KAJ91" s="79">
        <v>5</v>
      </c>
      <c r="KAK91" s="75">
        <v>1276006</v>
      </c>
      <c r="KAL91" s="80"/>
      <c r="KAM91" s="81">
        <v>0.86944444444444446</v>
      </c>
      <c r="KAN91" s="74" t="s">
        <v>27</v>
      </c>
      <c r="KAO91" s="74" t="s">
        <v>24</v>
      </c>
      <c r="KAP91" s="75" t="s">
        <v>25</v>
      </c>
      <c r="KAQ91" s="76">
        <f>IFERROR(VLOOKUP(KAP91,'[1]List KPI'!$A$103:$F$118,6,0),"")</f>
        <v>1.0416666666666666E-2</v>
      </c>
      <c r="KAR91" s="76">
        <v>0.86944444444444446</v>
      </c>
      <c r="KAS91" s="76">
        <v>0.86944444444444446</v>
      </c>
      <c r="KAT91" s="77" t="str">
        <f t="shared" si="223"/>
        <v>O</v>
      </c>
      <c r="KAU91" s="74" t="s">
        <v>28</v>
      </c>
      <c r="KAV91" s="75" t="s">
        <v>23</v>
      </c>
      <c r="KAW91" s="78">
        <f>IFERROR(VLOOKUP(KAV91,'[1]List KPI'!$M$3:$N$8,2,0),"")</f>
        <v>2.0833333333333332E-2</v>
      </c>
      <c r="KAX91" s="76">
        <v>0.89444444444444449</v>
      </c>
      <c r="KAY91" s="77" t="str">
        <f t="shared" si="224"/>
        <v>O</v>
      </c>
      <c r="KAZ91" s="79">
        <v>5</v>
      </c>
      <c r="KBA91" s="75">
        <v>1276006</v>
      </c>
      <c r="KBB91" s="80"/>
      <c r="KBC91" s="81">
        <v>0.86944444444444446</v>
      </c>
      <c r="KBD91" s="74" t="s">
        <v>27</v>
      </c>
      <c r="KBE91" s="74" t="s">
        <v>24</v>
      </c>
      <c r="KBF91" s="75" t="s">
        <v>25</v>
      </c>
      <c r="KBG91" s="76">
        <f>IFERROR(VLOOKUP(KBF91,'[1]List KPI'!$A$103:$F$118,6,0),"")</f>
        <v>1.0416666666666666E-2</v>
      </c>
      <c r="KBH91" s="76">
        <v>0.86944444444444446</v>
      </c>
      <c r="KBI91" s="76">
        <v>0.86944444444444446</v>
      </c>
      <c r="KBJ91" s="77" t="str">
        <f t="shared" ref="KBJ91:KDF91" si="225">IF(KBI91="","",IF(KBI91&gt;KBR91,"O","P"))</f>
        <v>O</v>
      </c>
      <c r="KBK91" s="74" t="s">
        <v>28</v>
      </c>
      <c r="KBL91" s="75" t="s">
        <v>23</v>
      </c>
      <c r="KBM91" s="78">
        <f>IFERROR(VLOOKUP(KBL91,'[1]List KPI'!$M$3:$N$8,2,0),"")</f>
        <v>2.0833333333333332E-2</v>
      </c>
      <c r="KBN91" s="76">
        <v>0.89444444444444449</v>
      </c>
      <c r="KBO91" s="77" t="str">
        <f t="shared" ref="KBO91:KDK91" si="226">IF(KBN91="","",IF(KBN91&gt;KBS91,"O","P"))</f>
        <v>O</v>
      </c>
      <c r="KBP91" s="79">
        <v>5</v>
      </c>
      <c r="KBQ91" s="75">
        <v>1276006</v>
      </c>
      <c r="KBR91" s="80"/>
      <c r="KBS91" s="81">
        <v>0.86944444444444446</v>
      </c>
      <c r="KBT91" s="74" t="s">
        <v>27</v>
      </c>
      <c r="KBU91" s="74" t="s">
        <v>24</v>
      </c>
      <c r="KBV91" s="75" t="s">
        <v>25</v>
      </c>
      <c r="KBW91" s="76">
        <f>IFERROR(VLOOKUP(KBV91,'[1]List KPI'!$A$103:$F$118,6,0),"")</f>
        <v>1.0416666666666666E-2</v>
      </c>
      <c r="KBX91" s="76">
        <v>0.86944444444444446</v>
      </c>
      <c r="KBY91" s="76">
        <v>0.86944444444444446</v>
      </c>
      <c r="KBZ91" s="77" t="str">
        <f t="shared" si="225"/>
        <v>O</v>
      </c>
      <c r="KCA91" s="74" t="s">
        <v>28</v>
      </c>
      <c r="KCB91" s="75" t="s">
        <v>23</v>
      </c>
      <c r="KCC91" s="78">
        <f>IFERROR(VLOOKUP(KCB91,'[1]List KPI'!$M$3:$N$8,2,0),"")</f>
        <v>2.0833333333333332E-2</v>
      </c>
      <c r="KCD91" s="76">
        <v>0.89444444444444449</v>
      </c>
      <c r="KCE91" s="77" t="str">
        <f t="shared" si="226"/>
        <v>O</v>
      </c>
      <c r="KCF91" s="79">
        <v>5</v>
      </c>
      <c r="KCG91" s="75">
        <v>1276006</v>
      </c>
      <c r="KCH91" s="80"/>
      <c r="KCI91" s="81">
        <v>0.86944444444444446</v>
      </c>
      <c r="KCJ91" s="74" t="s">
        <v>27</v>
      </c>
      <c r="KCK91" s="74" t="s">
        <v>24</v>
      </c>
      <c r="KCL91" s="75" t="s">
        <v>25</v>
      </c>
      <c r="KCM91" s="76">
        <f>IFERROR(VLOOKUP(KCL91,'[1]List KPI'!$A$103:$F$118,6,0),"")</f>
        <v>1.0416666666666666E-2</v>
      </c>
      <c r="KCN91" s="76">
        <v>0.86944444444444446</v>
      </c>
      <c r="KCO91" s="76">
        <v>0.86944444444444446</v>
      </c>
      <c r="KCP91" s="77" t="str">
        <f t="shared" si="225"/>
        <v>O</v>
      </c>
      <c r="KCQ91" s="74" t="s">
        <v>28</v>
      </c>
      <c r="KCR91" s="75" t="s">
        <v>23</v>
      </c>
      <c r="KCS91" s="78">
        <f>IFERROR(VLOOKUP(KCR91,'[1]List KPI'!$M$3:$N$8,2,0),"")</f>
        <v>2.0833333333333332E-2</v>
      </c>
      <c r="KCT91" s="76">
        <v>0.89444444444444449</v>
      </c>
      <c r="KCU91" s="77" t="str">
        <f t="shared" si="226"/>
        <v>O</v>
      </c>
      <c r="KCV91" s="79">
        <v>5</v>
      </c>
      <c r="KCW91" s="75">
        <v>1276006</v>
      </c>
      <c r="KCX91" s="80"/>
      <c r="KCY91" s="81">
        <v>0.86944444444444446</v>
      </c>
      <c r="KCZ91" s="74" t="s">
        <v>27</v>
      </c>
      <c r="KDA91" s="74" t="s">
        <v>24</v>
      </c>
      <c r="KDB91" s="75" t="s">
        <v>25</v>
      </c>
      <c r="KDC91" s="76">
        <f>IFERROR(VLOOKUP(KDB91,'[1]List KPI'!$A$103:$F$118,6,0),"")</f>
        <v>1.0416666666666666E-2</v>
      </c>
      <c r="KDD91" s="76">
        <v>0.86944444444444446</v>
      </c>
      <c r="KDE91" s="76">
        <v>0.86944444444444446</v>
      </c>
      <c r="KDF91" s="77" t="str">
        <f t="shared" si="225"/>
        <v>O</v>
      </c>
      <c r="KDG91" s="74" t="s">
        <v>28</v>
      </c>
      <c r="KDH91" s="75" t="s">
        <v>23</v>
      </c>
      <c r="KDI91" s="78">
        <f>IFERROR(VLOOKUP(KDH91,'[1]List KPI'!$M$3:$N$8,2,0),"")</f>
        <v>2.0833333333333332E-2</v>
      </c>
      <c r="KDJ91" s="76">
        <v>0.89444444444444449</v>
      </c>
      <c r="KDK91" s="77" t="str">
        <f t="shared" si="226"/>
        <v>O</v>
      </c>
      <c r="KDL91" s="79">
        <v>5</v>
      </c>
      <c r="KDM91" s="75">
        <v>1276006</v>
      </c>
      <c r="KDN91" s="80"/>
      <c r="KDO91" s="81">
        <v>0.86944444444444446</v>
      </c>
      <c r="KDP91" s="74" t="s">
        <v>27</v>
      </c>
      <c r="KDQ91" s="74" t="s">
        <v>24</v>
      </c>
      <c r="KDR91" s="75" t="s">
        <v>25</v>
      </c>
      <c r="KDS91" s="76">
        <f>IFERROR(VLOOKUP(KDR91,'[1]List KPI'!$A$103:$F$118,6,0),"")</f>
        <v>1.0416666666666666E-2</v>
      </c>
      <c r="KDT91" s="76">
        <v>0.86944444444444446</v>
      </c>
      <c r="KDU91" s="76">
        <v>0.86944444444444446</v>
      </c>
      <c r="KDV91" s="77" t="str">
        <f t="shared" ref="KDV91:KFR91" si="227">IF(KDU91="","",IF(KDU91&gt;KED91,"O","P"))</f>
        <v>O</v>
      </c>
      <c r="KDW91" s="74" t="s">
        <v>28</v>
      </c>
      <c r="KDX91" s="75" t="s">
        <v>23</v>
      </c>
      <c r="KDY91" s="78">
        <f>IFERROR(VLOOKUP(KDX91,'[1]List KPI'!$M$3:$N$8,2,0),"")</f>
        <v>2.0833333333333332E-2</v>
      </c>
      <c r="KDZ91" s="76">
        <v>0.89444444444444449</v>
      </c>
      <c r="KEA91" s="77" t="str">
        <f t="shared" ref="KEA91:KFW91" si="228">IF(KDZ91="","",IF(KDZ91&gt;KEE91,"O","P"))</f>
        <v>O</v>
      </c>
      <c r="KEB91" s="79">
        <v>5</v>
      </c>
      <c r="KEC91" s="75">
        <v>1276006</v>
      </c>
      <c r="KED91" s="80"/>
      <c r="KEE91" s="81">
        <v>0.86944444444444446</v>
      </c>
      <c r="KEF91" s="74" t="s">
        <v>27</v>
      </c>
      <c r="KEG91" s="74" t="s">
        <v>24</v>
      </c>
      <c r="KEH91" s="75" t="s">
        <v>25</v>
      </c>
      <c r="KEI91" s="76">
        <f>IFERROR(VLOOKUP(KEH91,'[1]List KPI'!$A$103:$F$118,6,0),"")</f>
        <v>1.0416666666666666E-2</v>
      </c>
      <c r="KEJ91" s="76">
        <v>0.86944444444444446</v>
      </c>
      <c r="KEK91" s="76">
        <v>0.86944444444444446</v>
      </c>
      <c r="KEL91" s="77" t="str">
        <f t="shared" si="227"/>
        <v>O</v>
      </c>
      <c r="KEM91" s="74" t="s">
        <v>28</v>
      </c>
      <c r="KEN91" s="75" t="s">
        <v>23</v>
      </c>
      <c r="KEO91" s="78">
        <f>IFERROR(VLOOKUP(KEN91,'[1]List KPI'!$M$3:$N$8,2,0),"")</f>
        <v>2.0833333333333332E-2</v>
      </c>
      <c r="KEP91" s="76">
        <v>0.89444444444444449</v>
      </c>
      <c r="KEQ91" s="77" t="str">
        <f t="shared" si="228"/>
        <v>O</v>
      </c>
      <c r="KER91" s="79">
        <v>5</v>
      </c>
      <c r="KES91" s="75">
        <v>1276006</v>
      </c>
      <c r="KET91" s="80"/>
      <c r="KEU91" s="81">
        <v>0.86944444444444446</v>
      </c>
      <c r="KEV91" s="74" t="s">
        <v>27</v>
      </c>
      <c r="KEW91" s="74" t="s">
        <v>24</v>
      </c>
      <c r="KEX91" s="75" t="s">
        <v>25</v>
      </c>
      <c r="KEY91" s="76">
        <f>IFERROR(VLOOKUP(KEX91,'[1]List KPI'!$A$103:$F$118,6,0),"")</f>
        <v>1.0416666666666666E-2</v>
      </c>
      <c r="KEZ91" s="76">
        <v>0.86944444444444446</v>
      </c>
      <c r="KFA91" s="76">
        <v>0.86944444444444446</v>
      </c>
      <c r="KFB91" s="77" t="str">
        <f t="shared" si="227"/>
        <v>O</v>
      </c>
      <c r="KFC91" s="74" t="s">
        <v>28</v>
      </c>
      <c r="KFD91" s="75" t="s">
        <v>23</v>
      </c>
      <c r="KFE91" s="78">
        <f>IFERROR(VLOOKUP(KFD91,'[1]List KPI'!$M$3:$N$8,2,0),"")</f>
        <v>2.0833333333333332E-2</v>
      </c>
      <c r="KFF91" s="76">
        <v>0.89444444444444449</v>
      </c>
      <c r="KFG91" s="77" t="str">
        <f t="shared" si="228"/>
        <v>O</v>
      </c>
      <c r="KFH91" s="79">
        <v>5</v>
      </c>
      <c r="KFI91" s="75">
        <v>1276006</v>
      </c>
      <c r="KFJ91" s="80"/>
      <c r="KFK91" s="81">
        <v>0.86944444444444446</v>
      </c>
      <c r="KFL91" s="74" t="s">
        <v>27</v>
      </c>
      <c r="KFM91" s="74" t="s">
        <v>24</v>
      </c>
      <c r="KFN91" s="75" t="s">
        <v>25</v>
      </c>
      <c r="KFO91" s="76">
        <f>IFERROR(VLOOKUP(KFN91,'[1]List KPI'!$A$103:$F$118,6,0),"")</f>
        <v>1.0416666666666666E-2</v>
      </c>
      <c r="KFP91" s="76">
        <v>0.86944444444444446</v>
      </c>
      <c r="KFQ91" s="76">
        <v>0.86944444444444446</v>
      </c>
      <c r="KFR91" s="77" t="str">
        <f t="shared" si="227"/>
        <v>O</v>
      </c>
      <c r="KFS91" s="74" t="s">
        <v>28</v>
      </c>
      <c r="KFT91" s="75" t="s">
        <v>23</v>
      </c>
      <c r="KFU91" s="78">
        <f>IFERROR(VLOOKUP(KFT91,'[1]List KPI'!$M$3:$N$8,2,0),"")</f>
        <v>2.0833333333333332E-2</v>
      </c>
      <c r="KFV91" s="76">
        <v>0.89444444444444449</v>
      </c>
      <c r="KFW91" s="77" t="str">
        <f t="shared" si="228"/>
        <v>O</v>
      </c>
      <c r="KFX91" s="79">
        <v>5</v>
      </c>
      <c r="KFY91" s="75">
        <v>1276006</v>
      </c>
      <c r="KFZ91" s="80"/>
      <c r="KGA91" s="81">
        <v>0.86944444444444446</v>
      </c>
      <c r="KGB91" s="74" t="s">
        <v>27</v>
      </c>
      <c r="KGC91" s="74" t="s">
        <v>24</v>
      </c>
      <c r="KGD91" s="75" t="s">
        <v>25</v>
      </c>
      <c r="KGE91" s="76">
        <f>IFERROR(VLOOKUP(KGD91,'[1]List KPI'!$A$103:$F$118,6,0),"")</f>
        <v>1.0416666666666666E-2</v>
      </c>
      <c r="KGF91" s="76">
        <v>0.86944444444444446</v>
      </c>
      <c r="KGG91" s="76">
        <v>0.86944444444444446</v>
      </c>
      <c r="KGH91" s="77" t="str">
        <f t="shared" ref="KGH91:KID91" si="229">IF(KGG91="","",IF(KGG91&gt;KGP91,"O","P"))</f>
        <v>O</v>
      </c>
      <c r="KGI91" s="74" t="s">
        <v>28</v>
      </c>
      <c r="KGJ91" s="75" t="s">
        <v>23</v>
      </c>
      <c r="KGK91" s="78">
        <f>IFERROR(VLOOKUP(KGJ91,'[1]List KPI'!$M$3:$N$8,2,0),"")</f>
        <v>2.0833333333333332E-2</v>
      </c>
      <c r="KGL91" s="76">
        <v>0.89444444444444449</v>
      </c>
      <c r="KGM91" s="77" t="str">
        <f t="shared" ref="KGM91:KII91" si="230">IF(KGL91="","",IF(KGL91&gt;KGQ91,"O","P"))</f>
        <v>O</v>
      </c>
      <c r="KGN91" s="79">
        <v>5</v>
      </c>
      <c r="KGO91" s="75">
        <v>1276006</v>
      </c>
      <c r="KGP91" s="80"/>
      <c r="KGQ91" s="81">
        <v>0.86944444444444446</v>
      </c>
      <c r="KGR91" s="74" t="s">
        <v>27</v>
      </c>
      <c r="KGS91" s="74" t="s">
        <v>24</v>
      </c>
      <c r="KGT91" s="75" t="s">
        <v>25</v>
      </c>
      <c r="KGU91" s="76">
        <f>IFERROR(VLOOKUP(KGT91,'[1]List KPI'!$A$103:$F$118,6,0),"")</f>
        <v>1.0416666666666666E-2</v>
      </c>
      <c r="KGV91" s="76">
        <v>0.86944444444444446</v>
      </c>
      <c r="KGW91" s="76">
        <v>0.86944444444444446</v>
      </c>
      <c r="KGX91" s="77" t="str">
        <f t="shared" si="229"/>
        <v>O</v>
      </c>
      <c r="KGY91" s="74" t="s">
        <v>28</v>
      </c>
      <c r="KGZ91" s="75" t="s">
        <v>23</v>
      </c>
      <c r="KHA91" s="78">
        <f>IFERROR(VLOOKUP(KGZ91,'[1]List KPI'!$M$3:$N$8,2,0),"")</f>
        <v>2.0833333333333332E-2</v>
      </c>
      <c r="KHB91" s="76">
        <v>0.89444444444444449</v>
      </c>
      <c r="KHC91" s="77" t="str">
        <f t="shared" si="230"/>
        <v>O</v>
      </c>
      <c r="KHD91" s="79">
        <v>5</v>
      </c>
      <c r="KHE91" s="75">
        <v>1276006</v>
      </c>
      <c r="KHF91" s="80"/>
      <c r="KHG91" s="81">
        <v>0.86944444444444446</v>
      </c>
      <c r="KHH91" s="74" t="s">
        <v>27</v>
      </c>
      <c r="KHI91" s="74" t="s">
        <v>24</v>
      </c>
      <c r="KHJ91" s="75" t="s">
        <v>25</v>
      </c>
      <c r="KHK91" s="76">
        <f>IFERROR(VLOOKUP(KHJ91,'[1]List KPI'!$A$103:$F$118,6,0),"")</f>
        <v>1.0416666666666666E-2</v>
      </c>
      <c r="KHL91" s="76">
        <v>0.86944444444444446</v>
      </c>
      <c r="KHM91" s="76">
        <v>0.86944444444444446</v>
      </c>
      <c r="KHN91" s="77" t="str">
        <f t="shared" si="229"/>
        <v>O</v>
      </c>
      <c r="KHO91" s="74" t="s">
        <v>28</v>
      </c>
      <c r="KHP91" s="75" t="s">
        <v>23</v>
      </c>
      <c r="KHQ91" s="78">
        <f>IFERROR(VLOOKUP(KHP91,'[1]List KPI'!$M$3:$N$8,2,0),"")</f>
        <v>2.0833333333333332E-2</v>
      </c>
      <c r="KHR91" s="76">
        <v>0.89444444444444449</v>
      </c>
      <c r="KHS91" s="77" t="str">
        <f t="shared" si="230"/>
        <v>O</v>
      </c>
      <c r="KHT91" s="79">
        <v>5</v>
      </c>
      <c r="KHU91" s="75">
        <v>1276006</v>
      </c>
      <c r="KHV91" s="80"/>
      <c r="KHW91" s="81">
        <v>0.86944444444444446</v>
      </c>
      <c r="KHX91" s="74" t="s">
        <v>27</v>
      </c>
      <c r="KHY91" s="74" t="s">
        <v>24</v>
      </c>
      <c r="KHZ91" s="75" t="s">
        <v>25</v>
      </c>
      <c r="KIA91" s="76">
        <f>IFERROR(VLOOKUP(KHZ91,'[1]List KPI'!$A$103:$F$118,6,0),"")</f>
        <v>1.0416666666666666E-2</v>
      </c>
      <c r="KIB91" s="76">
        <v>0.86944444444444446</v>
      </c>
      <c r="KIC91" s="76">
        <v>0.86944444444444446</v>
      </c>
      <c r="KID91" s="77" t="str">
        <f t="shared" si="229"/>
        <v>O</v>
      </c>
      <c r="KIE91" s="74" t="s">
        <v>28</v>
      </c>
      <c r="KIF91" s="75" t="s">
        <v>23</v>
      </c>
      <c r="KIG91" s="78">
        <f>IFERROR(VLOOKUP(KIF91,'[1]List KPI'!$M$3:$N$8,2,0),"")</f>
        <v>2.0833333333333332E-2</v>
      </c>
      <c r="KIH91" s="76">
        <v>0.89444444444444449</v>
      </c>
      <c r="KII91" s="77" t="str">
        <f t="shared" si="230"/>
        <v>O</v>
      </c>
      <c r="KIJ91" s="79">
        <v>5</v>
      </c>
      <c r="KIK91" s="75">
        <v>1276006</v>
      </c>
      <c r="KIL91" s="80"/>
      <c r="KIM91" s="81">
        <v>0.86944444444444446</v>
      </c>
      <c r="KIN91" s="74" t="s">
        <v>27</v>
      </c>
      <c r="KIO91" s="74" t="s">
        <v>24</v>
      </c>
      <c r="KIP91" s="75" t="s">
        <v>25</v>
      </c>
      <c r="KIQ91" s="76">
        <f>IFERROR(VLOOKUP(KIP91,'[1]List KPI'!$A$103:$F$118,6,0),"")</f>
        <v>1.0416666666666666E-2</v>
      </c>
      <c r="KIR91" s="76">
        <v>0.86944444444444446</v>
      </c>
      <c r="KIS91" s="76">
        <v>0.86944444444444446</v>
      </c>
      <c r="KIT91" s="77" t="str">
        <f t="shared" ref="KIT91:KKP91" si="231">IF(KIS91="","",IF(KIS91&gt;KJB91,"O","P"))</f>
        <v>O</v>
      </c>
      <c r="KIU91" s="74" t="s">
        <v>28</v>
      </c>
      <c r="KIV91" s="75" t="s">
        <v>23</v>
      </c>
      <c r="KIW91" s="78">
        <f>IFERROR(VLOOKUP(KIV91,'[1]List KPI'!$M$3:$N$8,2,0),"")</f>
        <v>2.0833333333333332E-2</v>
      </c>
      <c r="KIX91" s="76">
        <v>0.89444444444444449</v>
      </c>
      <c r="KIY91" s="77" t="str">
        <f t="shared" ref="KIY91:KKU91" si="232">IF(KIX91="","",IF(KIX91&gt;KJC91,"O","P"))</f>
        <v>O</v>
      </c>
      <c r="KIZ91" s="79">
        <v>5</v>
      </c>
      <c r="KJA91" s="75">
        <v>1276006</v>
      </c>
      <c r="KJB91" s="80"/>
      <c r="KJC91" s="81">
        <v>0.86944444444444446</v>
      </c>
      <c r="KJD91" s="74" t="s">
        <v>27</v>
      </c>
      <c r="KJE91" s="74" t="s">
        <v>24</v>
      </c>
      <c r="KJF91" s="75" t="s">
        <v>25</v>
      </c>
      <c r="KJG91" s="76">
        <f>IFERROR(VLOOKUP(KJF91,'[1]List KPI'!$A$103:$F$118,6,0),"")</f>
        <v>1.0416666666666666E-2</v>
      </c>
      <c r="KJH91" s="76">
        <v>0.86944444444444446</v>
      </c>
      <c r="KJI91" s="76">
        <v>0.86944444444444446</v>
      </c>
      <c r="KJJ91" s="77" t="str">
        <f t="shared" si="231"/>
        <v>O</v>
      </c>
      <c r="KJK91" s="74" t="s">
        <v>28</v>
      </c>
      <c r="KJL91" s="75" t="s">
        <v>23</v>
      </c>
      <c r="KJM91" s="78">
        <f>IFERROR(VLOOKUP(KJL91,'[1]List KPI'!$M$3:$N$8,2,0),"")</f>
        <v>2.0833333333333332E-2</v>
      </c>
      <c r="KJN91" s="76">
        <v>0.89444444444444449</v>
      </c>
      <c r="KJO91" s="77" t="str">
        <f t="shared" si="232"/>
        <v>O</v>
      </c>
      <c r="KJP91" s="79">
        <v>5</v>
      </c>
      <c r="KJQ91" s="75">
        <v>1276006</v>
      </c>
      <c r="KJR91" s="80"/>
      <c r="KJS91" s="81">
        <v>0.86944444444444446</v>
      </c>
      <c r="KJT91" s="74" t="s">
        <v>27</v>
      </c>
      <c r="KJU91" s="74" t="s">
        <v>24</v>
      </c>
      <c r="KJV91" s="75" t="s">
        <v>25</v>
      </c>
      <c r="KJW91" s="76">
        <f>IFERROR(VLOOKUP(KJV91,'[1]List KPI'!$A$103:$F$118,6,0),"")</f>
        <v>1.0416666666666666E-2</v>
      </c>
      <c r="KJX91" s="76">
        <v>0.86944444444444446</v>
      </c>
      <c r="KJY91" s="76">
        <v>0.86944444444444446</v>
      </c>
      <c r="KJZ91" s="77" t="str">
        <f t="shared" si="231"/>
        <v>O</v>
      </c>
      <c r="KKA91" s="74" t="s">
        <v>28</v>
      </c>
      <c r="KKB91" s="75" t="s">
        <v>23</v>
      </c>
      <c r="KKC91" s="78">
        <f>IFERROR(VLOOKUP(KKB91,'[1]List KPI'!$M$3:$N$8,2,0),"")</f>
        <v>2.0833333333333332E-2</v>
      </c>
      <c r="KKD91" s="76">
        <v>0.89444444444444449</v>
      </c>
      <c r="KKE91" s="77" t="str">
        <f t="shared" si="232"/>
        <v>O</v>
      </c>
      <c r="KKF91" s="79">
        <v>5</v>
      </c>
      <c r="KKG91" s="75">
        <v>1276006</v>
      </c>
      <c r="KKH91" s="80"/>
      <c r="KKI91" s="81">
        <v>0.86944444444444446</v>
      </c>
      <c r="KKJ91" s="74" t="s">
        <v>27</v>
      </c>
      <c r="KKK91" s="74" t="s">
        <v>24</v>
      </c>
      <c r="KKL91" s="75" t="s">
        <v>25</v>
      </c>
      <c r="KKM91" s="76">
        <f>IFERROR(VLOOKUP(KKL91,'[1]List KPI'!$A$103:$F$118,6,0),"")</f>
        <v>1.0416666666666666E-2</v>
      </c>
      <c r="KKN91" s="76">
        <v>0.86944444444444446</v>
      </c>
      <c r="KKO91" s="76">
        <v>0.86944444444444446</v>
      </c>
      <c r="KKP91" s="77" t="str">
        <f t="shared" si="231"/>
        <v>O</v>
      </c>
      <c r="KKQ91" s="74" t="s">
        <v>28</v>
      </c>
      <c r="KKR91" s="75" t="s">
        <v>23</v>
      </c>
      <c r="KKS91" s="78">
        <f>IFERROR(VLOOKUP(KKR91,'[1]List KPI'!$M$3:$N$8,2,0),"")</f>
        <v>2.0833333333333332E-2</v>
      </c>
      <c r="KKT91" s="76">
        <v>0.89444444444444449</v>
      </c>
      <c r="KKU91" s="77" t="str">
        <f t="shared" si="232"/>
        <v>O</v>
      </c>
      <c r="KKV91" s="79">
        <v>5</v>
      </c>
      <c r="KKW91" s="75">
        <v>1276006</v>
      </c>
      <c r="KKX91" s="80"/>
      <c r="KKY91" s="81">
        <v>0.86944444444444446</v>
      </c>
      <c r="KKZ91" s="74" t="s">
        <v>27</v>
      </c>
      <c r="KLA91" s="74" t="s">
        <v>24</v>
      </c>
      <c r="KLB91" s="75" t="s">
        <v>25</v>
      </c>
      <c r="KLC91" s="76">
        <f>IFERROR(VLOOKUP(KLB91,'[1]List KPI'!$A$103:$F$118,6,0),"")</f>
        <v>1.0416666666666666E-2</v>
      </c>
      <c r="KLD91" s="76">
        <v>0.86944444444444446</v>
      </c>
      <c r="KLE91" s="76">
        <v>0.86944444444444446</v>
      </c>
      <c r="KLF91" s="77" t="str">
        <f t="shared" ref="KLF91:KNB91" si="233">IF(KLE91="","",IF(KLE91&gt;KLN91,"O","P"))</f>
        <v>O</v>
      </c>
      <c r="KLG91" s="74" t="s">
        <v>28</v>
      </c>
      <c r="KLH91" s="75" t="s">
        <v>23</v>
      </c>
      <c r="KLI91" s="78">
        <f>IFERROR(VLOOKUP(KLH91,'[1]List KPI'!$M$3:$N$8,2,0),"")</f>
        <v>2.0833333333333332E-2</v>
      </c>
      <c r="KLJ91" s="76">
        <v>0.89444444444444449</v>
      </c>
      <c r="KLK91" s="77" t="str">
        <f t="shared" ref="KLK91:KNG91" si="234">IF(KLJ91="","",IF(KLJ91&gt;KLO91,"O","P"))</f>
        <v>O</v>
      </c>
      <c r="KLL91" s="79">
        <v>5</v>
      </c>
      <c r="KLM91" s="75">
        <v>1276006</v>
      </c>
      <c r="KLN91" s="80"/>
      <c r="KLO91" s="81">
        <v>0.86944444444444446</v>
      </c>
      <c r="KLP91" s="74" t="s">
        <v>27</v>
      </c>
      <c r="KLQ91" s="74" t="s">
        <v>24</v>
      </c>
      <c r="KLR91" s="75" t="s">
        <v>25</v>
      </c>
      <c r="KLS91" s="76">
        <f>IFERROR(VLOOKUP(KLR91,'[1]List KPI'!$A$103:$F$118,6,0),"")</f>
        <v>1.0416666666666666E-2</v>
      </c>
      <c r="KLT91" s="76">
        <v>0.86944444444444446</v>
      </c>
      <c r="KLU91" s="76">
        <v>0.86944444444444446</v>
      </c>
      <c r="KLV91" s="77" t="str">
        <f t="shared" si="233"/>
        <v>O</v>
      </c>
      <c r="KLW91" s="74" t="s">
        <v>28</v>
      </c>
      <c r="KLX91" s="75" t="s">
        <v>23</v>
      </c>
      <c r="KLY91" s="78">
        <f>IFERROR(VLOOKUP(KLX91,'[1]List KPI'!$M$3:$N$8,2,0),"")</f>
        <v>2.0833333333333332E-2</v>
      </c>
      <c r="KLZ91" s="76">
        <v>0.89444444444444449</v>
      </c>
      <c r="KMA91" s="77" t="str">
        <f t="shared" si="234"/>
        <v>O</v>
      </c>
      <c r="KMB91" s="79">
        <v>5</v>
      </c>
      <c r="KMC91" s="75">
        <v>1276006</v>
      </c>
      <c r="KMD91" s="80"/>
      <c r="KME91" s="81">
        <v>0.86944444444444446</v>
      </c>
      <c r="KMF91" s="74" t="s">
        <v>27</v>
      </c>
      <c r="KMG91" s="74" t="s">
        <v>24</v>
      </c>
      <c r="KMH91" s="75" t="s">
        <v>25</v>
      </c>
      <c r="KMI91" s="76">
        <f>IFERROR(VLOOKUP(KMH91,'[1]List KPI'!$A$103:$F$118,6,0),"")</f>
        <v>1.0416666666666666E-2</v>
      </c>
      <c r="KMJ91" s="76">
        <v>0.86944444444444446</v>
      </c>
      <c r="KMK91" s="76">
        <v>0.86944444444444446</v>
      </c>
      <c r="KML91" s="77" t="str">
        <f t="shared" si="233"/>
        <v>O</v>
      </c>
      <c r="KMM91" s="74" t="s">
        <v>28</v>
      </c>
      <c r="KMN91" s="75" t="s">
        <v>23</v>
      </c>
      <c r="KMO91" s="78">
        <f>IFERROR(VLOOKUP(KMN91,'[1]List KPI'!$M$3:$N$8,2,0),"")</f>
        <v>2.0833333333333332E-2</v>
      </c>
      <c r="KMP91" s="76">
        <v>0.89444444444444449</v>
      </c>
      <c r="KMQ91" s="77" t="str">
        <f t="shared" si="234"/>
        <v>O</v>
      </c>
      <c r="KMR91" s="79">
        <v>5</v>
      </c>
      <c r="KMS91" s="75">
        <v>1276006</v>
      </c>
      <c r="KMT91" s="80"/>
      <c r="KMU91" s="81">
        <v>0.86944444444444446</v>
      </c>
      <c r="KMV91" s="74" t="s">
        <v>27</v>
      </c>
      <c r="KMW91" s="74" t="s">
        <v>24</v>
      </c>
      <c r="KMX91" s="75" t="s">
        <v>25</v>
      </c>
      <c r="KMY91" s="76">
        <f>IFERROR(VLOOKUP(KMX91,'[1]List KPI'!$A$103:$F$118,6,0),"")</f>
        <v>1.0416666666666666E-2</v>
      </c>
      <c r="KMZ91" s="76">
        <v>0.86944444444444446</v>
      </c>
      <c r="KNA91" s="76">
        <v>0.86944444444444446</v>
      </c>
      <c r="KNB91" s="77" t="str">
        <f t="shared" si="233"/>
        <v>O</v>
      </c>
      <c r="KNC91" s="74" t="s">
        <v>28</v>
      </c>
      <c r="KND91" s="75" t="s">
        <v>23</v>
      </c>
      <c r="KNE91" s="78">
        <f>IFERROR(VLOOKUP(KND91,'[1]List KPI'!$M$3:$N$8,2,0),"")</f>
        <v>2.0833333333333332E-2</v>
      </c>
      <c r="KNF91" s="76">
        <v>0.89444444444444449</v>
      </c>
      <c r="KNG91" s="77" t="str">
        <f t="shared" si="234"/>
        <v>O</v>
      </c>
      <c r="KNH91" s="79">
        <v>5</v>
      </c>
      <c r="KNI91" s="75">
        <v>1276006</v>
      </c>
      <c r="KNJ91" s="80"/>
      <c r="KNK91" s="81">
        <v>0.86944444444444446</v>
      </c>
      <c r="KNL91" s="74" t="s">
        <v>27</v>
      </c>
      <c r="KNM91" s="74" t="s">
        <v>24</v>
      </c>
      <c r="KNN91" s="75" t="s">
        <v>25</v>
      </c>
      <c r="KNO91" s="76">
        <f>IFERROR(VLOOKUP(KNN91,'[1]List KPI'!$A$103:$F$118,6,0),"")</f>
        <v>1.0416666666666666E-2</v>
      </c>
      <c r="KNP91" s="76">
        <v>0.86944444444444446</v>
      </c>
      <c r="KNQ91" s="76">
        <v>0.86944444444444446</v>
      </c>
      <c r="KNR91" s="77" t="str">
        <f t="shared" ref="KNR91:KPN91" si="235">IF(KNQ91="","",IF(KNQ91&gt;KNZ91,"O","P"))</f>
        <v>O</v>
      </c>
      <c r="KNS91" s="74" t="s">
        <v>28</v>
      </c>
      <c r="KNT91" s="75" t="s">
        <v>23</v>
      </c>
      <c r="KNU91" s="78">
        <f>IFERROR(VLOOKUP(KNT91,'[1]List KPI'!$M$3:$N$8,2,0),"")</f>
        <v>2.0833333333333332E-2</v>
      </c>
      <c r="KNV91" s="76">
        <v>0.89444444444444449</v>
      </c>
      <c r="KNW91" s="77" t="str">
        <f t="shared" ref="KNW91:KPS91" si="236">IF(KNV91="","",IF(KNV91&gt;KOA91,"O","P"))</f>
        <v>O</v>
      </c>
      <c r="KNX91" s="79">
        <v>5</v>
      </c>
      <c r="KNY91" s="75">
        <v>1276006</v>
      </c>
      <c r="KNZ91" s="80"/>
      <c r="KOA91" s="81">
        <v>0.86944444444444446</v>
      </c>
      <c r="KOB91" s="74" t="s">
        <v>27</v>
      </c>
      <c r="KOC91" s="74" t="s">
        <v>24</v>
      </c>
      <c r="KOD91" s="75" t="s">
        <v>25</v>
      </c>
      <c r="KOE91" s="76">
        <f>IFERROR(VLOOKUP(KOD91,'[1]List KPI'!$A$103:$F$118,6,0),"")</f>
        <v>1.0416666666666666E-2</v>
      </c>
      <c r="KOF91" s="76">
        <v>0.86944444444444446</v>
      </c>
      <c r="KOG91" s="76">
        <v>0.86944444444444446</v>
      </c>
      <c r="KOH91" s="77" t="str">
        <f t="shared" si="235"/>
        <v>O</v>
      </c>
      <c r="KOI91" s="74" t="s">
        <v>28</v>
      </c>
      <c r="KOJ91" s="75" t="s">
        <v>23</v>
      </c>
      <c r="KOK91" s="78">
        <f>IFERROR(VLOOKUP(KOJ91,'[1]List KPI'!$M$3:$N$8,2,0),"")</f>
        <v>2.0833333333333332E-2</v>
      </c>
      <c r="KOL91" s="76">
        <v>0.89444444444444449</v>
      </c>
      <c r="KOM91" s="77" t="str">
        <f t="shared" si="236"/>
        <v>O</v>
      </c>
      <c r="KON91" s="79">
        <v>5</v>
      </c>
      <c r="KOO91" s="75">
        <v>1276006</v>
      </c>
      <c r="KOP91" s="80"/>
      <c r="KOQ91" s="81">
        <v>0.86944444444444446</v>
      </c>
      <c r="KOR91" s="74" t="s">
        <v>27</v>
      </c>
      <c r="KOS91" s="74" t="s">
        <v>24</v>
      </c>
      <c r="KOT91" s="75" t="s">
        <v>25</v>
      </c>
      <c r="KOU91" s="76">
        <f>IFERROR(VLOOKUP(KOT91,'[1]List KPI'!$A$103:$F$118,6,0),"")</f>
        <v>1.0416666666666666E-2</v>
      </c>
      <c r="KOV91" s="76">
        <v>0.86944444444444446</v>
      </c>
      <c r="KOW91" s="76">
        <v>0.86944444444444446</v>
      </c>
      <c r="KOX91" s="77" t="str">
        <f t="shared" si="235"/>
        <v>O</v>
      </c>
      <c r="KOY91" s="74" t="s">
        <v>28</v>
      </c>
      <c r="KOZ91" s="75" t="s">
        <v>23</v>
      </c>
      <c r="KPA91" s="78">
        <f>IFERROR(VLOOKUP(KOZ91,'[1]List KPI'!$M$3:$N$8,2,0),"")</f>
        <v>2.0833333333333332E-2</v>
      </c>
      <c r="KPB91" s="76">
        <v>0.89444444444444449</v>
      </c>
      <c r="KPC91" s="77" t="str">
        <f t="shared" si="236"/>
        <v>O</v>
      </c>
      <c r="KPD91" s="79">
        <v>5</v>
      </c>
      <c r="KPE91" s="75">
        <v>1276006</v>
      </c>
      <c r="KPF91" s="80"/>
      <c r="KPG91" s="81">
        <v>0.86944444444444446</v>
      </c>
      <c r="KPH91" s="74" t="s">
        <v>27</v>
      </c>
      <c r="KPI91" s="74" t="s">
        <v>24</v>
      </c>
      <c r="KPJ91" s="75" t="s">
        <v>25</v>
      </c>
      <c r="KPK91" s="76">
        <f>IFERROR(VLOOKUP(KPJ91,'[1]List KPI'!$A$103:$F$118,6,0),"")</f>
        <v>1.0416666666666666E-2</v>
      </c>
      <c r="KPL91" s="76">
        <v>0.86944444444444446</v>
      </c>
      <c r="KPM91" s="76">
        <v>0.86944444444444446</v>
      </c>
      <c r="KPN91" s="77" t="str">
        <f t="shared" si="235"/>
        <v>O</v>
      </c>
      <c r="KPO91" s="74" t="s">
        <v>28</v>
      </c>
      <c r="KPP91" s="75" t="s">
        <v>23</v>
      </c>
      <c r="KPQ91" s="78">
        <f>IFERROR(VLOOKUP(KPP91,'[1]List KPI'!$M$3:$N$8,2,0),"")</f>
        <v>2.0833333333333332E-2</v>
      </c>
      <c r="KPR91" s="76">
        <v>0.89444444444444449</v>
      </c>
      <c r="KPS91" s="77" t="str">
        <f t="shared" si="236"/>
        <v>O</v>
      </c>
      <c r="KPT91" s="79">
        <v>5</v>
      </c>
      <c r="KPU91" s="75">
        <v>1276006</v>
      </c>
      <c r="KPV91" s="80"/>
      <c r="KPW91" s="81">
        <v>0.86944444444444446</v>
      </c>
      <c r="KPX91" s="74" t="s">
        <v>27</v>
      </c>
      <c r="KPY91" s="74" t="s">
        <v>24</v>
      </c>
      <c r="KPZ91" s="75" t="s">
        <v>25</v>
      </c>
      <c r="KQA91" s="76">
        <f>IFERROR(VLOOKUP(KPZ91,'[1]List KPI'!$A$103:$F$118,6,0),"")</f>
        <v>1.0416666666666666E-2</v>
      </c>
      <c r="KQB91" s="76">
        <v>0.86944444444444446</v>
      </c>
      <c r="KQC91" s="76">
        <v>0.86944444444444446</v>
      </c>
      <c r="KQD91" s="77" t="str">
        <f t="shared" ref="KQD91:KRZ91" si="237">IF(KQC91="","",IF(KQC91&gt;KQL91,"O","P"))</f>
        <v>O</v>
      </c>
      <c r="KQE91" s="74" t="s">
        <v>28</v>
      </c>
      <c r="KQF91" s="75" t="s">
        <v>23</v>
      </c>
      <c r="KQG91" s="78">
        <f>IFERROR(VLOOKUP(KQF91,'[1]List KPI'!$M$3:$N$8,2,0),"")</f>
        <v>2.0833333333333332E-2</v>
      </c>
      <c r="KQH91" s="76">
        <v>0.89444444444444449</v>
      </c>
      <c r="KQI91" s="77" t="str">
        <f t="shared" ref="KQI91:KSE91" si="238">IF(KQH91="","",IF(KQH91&gt;KQM91,"O","P"))</f>
        <v>O</v>
      </c>
      <c r="KQJ91" s="79">
        <v>5</v>
      </c>
      <c r="KQK91" s="75">
        <v>1276006</v>
      </c>
      <c r="KQL91" s="80"/>
      <c r="KQM91" s="81">
        <v>0.86944444444444446</v>
      </c>
      <c r="KQN91" s="74" t="s">
        <v>27</v>
      </c>
      <c r="KQO91" s="74" t="s">
        <v>24</v>
      </c>
      <c r="KQP91" s="75" t="s">
        <v>25</v>
      </c>
      <c r="KQQ91" s="76">
        <f>IFERROR(VLOOKUP(KQP91,'[1]List KPI'!$A$103:$F$118,6,0),"")</f>
        <v>1.0416666666666666E-2</v>
      </c>
      <c r="KQR91" s="76">
        <v>0.86944444444444446</v>
      </c>
      <c r="KQS91" s="76">
        <v>0.86944444444444446</v>
      </c>
      <c r="KQT91" s="77" t="str">
        <f t="shared" si="237"/>
        <v>O</v>
      </c>
      <c r="KQU91" s="74" t="s">
        <v>28</v>
      </c>
      <c r="KQV91" s="75" t="s">
        <v>23</v>
      </c>
      <c r="KQW91" s="78">
        <f>IFERROR(VLOOKUP(KQV91,'[1]List KPI'!$M$3:$N$8,2,0),"")</f>
        <v>2.0833333333333332E-2</v>
      </c>
      <c r="KQX91" s="76">
        <v>0.89444444444444449</v>
      </c>
      <c r="KQY91" s="77" t="str">
        <f t="shared" si="238"/>
        <v>O</v>
      </c>
      <c r="KQZ91" s="79">
        <v>5</v>
      </c>
      <c r="KRA91" s="75">
        <v>1276006</v>
      </c>
      <c r="KRB91" s="80"/>
      <c r="KRC91" s="81">
        <v>0.86944444444444446</v>
      </c>
      <c r="KRD91" s="74" t="s">
        <v>27</v>
      </c>
      <c r="KRE91" s="74" t="s">
        <v>24</v>
      </c>
      <c r="KRF91" s="75" t="s">
        <v>25</v>
      </c>
      <c r="KRG91" s="76">
        <f>IFERROR(VLOOKUP(KRF91,'[1]List KPI'!$A$103:$F$118,6,0),"")</f>
        <v>1.0416666666666666E-2</v>
      </c>
      <c r="KRH91" s="76">
        <v>0.86944444444444446</v>
      </c>
      <c r="KRI91" s="76">
        <v>0.86944444444444446</v>
      </c>
      <c r="KRJ91" s="77" t="str">
        <f t="shared" si="237"/>
        <v>O</v>
      </c>
      <c r="KRK91" s="74" t="s">
        <v>28</v>
      </c>
      <c r="KRL91" s="75" t="s">
        <v>23</v>
      </c>
      <c r="KRM91" s="78">
        <f>IFERROR(VLOOKUP(KRL91,'[1]List KPI'!$M$3:$N$8,2,0),"")</f>
        <v>2.0833333333333332E-2</v>
      </c>
      <c r="KRN91" s="76">
        <v>0.89444444444444449</v>
      </c>
      <c r="KRO91" s="77" t="str">
        <f t="shared" si="238"/>
        <v>O</v>
      </c>
      <c r="KRP91" s="79">
        <v>5</v>
      </c>
      <c r="KRQ91" s="75">
        <v>1276006</v>
      </c>
      <c r="KRR91" s="80"/>
      <c r="KRS91" s="81">
        <v>0.86944444444444446</v>
      </c>
      <c r="KRT91" s="74" t="s">
        <v>27</v>
      </c>
      <c r="KRU91" s="74" t="s">
        <v>24</v>
      </c>
      <c r="KRV91" s="75" t="s">
        <v>25</v>
      </c>
      <c r="KRW91" s="76">
        <f>IFERROR(VLOOKUP(KRV91,'[1]List KPI'!$A$103:$F$118,6,0),"")</f>
        <v>1.0416666666666666E-2</v>
      </c>
      <c r="KRX91" s="76">
        <v>0.86944444444444446</v>
      </c>
      <c r="KRY91" s="76">
        <v>0.86944444444444446</v>
      </c>
      <c r="KRZ91" s="77" t="str">
        <f t="shared" si="237"/>
        <v>O</v>
      </c>
      <c r="KSA91" s="74" t="s">
        <v>28</v>
      </c>
      <c r="KSB91" s="75" t="s">
        <v>23</v>
      </c>
      <c r="KSC91" s="78">
        <f>IFERROR(VLOOKUP(KSB91,'[1]List KPI'!$M$3:$N$8,2,0),"")</f>
        <v>2.0833333333333332E-2</v>
      </c>
      <c r="KSD91" s="76">
        <v>0.89444444444444449</v>
      </c>
      <c r="KSE91" s="77" t="str">
        <f t="shared" si="238"/>
        <v>O</v>
      </c>
      <c r="KSF91" s="79">
        <v>5</v>
      </c>
      <c r="KSG91" s="75">
        <v>1276006</v>
      </c>
      <c r="KSH91" s="80"/>
      <c r="KSI91" s="81">
        <v>0.86944444444444446</v>
      </c>
      <c r="KSJ91" s="74" t="s">
        <v>27</v>
      </c>
      <c r="KSK91" s="74" t="s">
        <v>24</v>
      </c>
      <c r="KSL91" s="75" t="s">
        <v>25</v>
      </c>
      <c r="KSM91" s="76">
        <f>IFERROR(VLOOKUP(KSL91,'[1]List KPI'!$A$103:$F$118,6,0),"")</f>
        <v>1.0416666666666666E-2</v>
      </c>
      <c r="KSN91" s="76">
        <v>0.86944444444444446</v>
      </c>
      <c r="KSO91" s="76">
        <v>0.86944444444444446</v>
      </c>
      <c r="KSP91" s="77" t="str">
        <f t="shared" ref="KSP91:KUL91" si="239">IF(KSO91="","",IF(KSO91&gt;KSX91,"O","P"))</f>
        <v>O</v>
      </c>
      <c r="KSQ91" s="74" t="s">
        <v>28</v>
      </c>
      <c r="KSR91" s="75" t="s">
        <v>23</v>
      </c>
      <c r="KSS91" s="78">
        <f>IFERROR(VLOOKUP(KSR91,'[1]List KPI'!$M$3:$N$8,2,0),"")</f>
        <v>2.0833333333333332E-2</v>
      </c>
      <c r="KST91" s="76">
        <v>0.89444444444444449</v>
      </c>
      <c r="KSU91" s="77" t="str">
        <f t="shared" ref="KSU91:KUQ91" si="240">IF(KST91="","",IF(KST91&gt;KSY91,"O","P"))</f>
        <v>O</v>
      </c>
      <c r="KSV91" s="79">
        <v>5</v>
      </c>
      <c r="KSW91" s="75">
        <v>1276006</v>
      </c>
      <c r="KSX91" s="80"/>
      <c r="KSY91" s="81">
        <v>0.86944444444444446</v>
      </c>
      <c r="KSZ91" s="74" t="s">
        <v>27</v>
      </c>
      <c r="KTA91" s="74" t="s">
        <v>24</v>
      </c>
      <c r="KTB91" s="75" t="s">
        <v>25</v>
      </c>
      <c r="KTC91" s="76">
        <f>IFERROR(VLOOKUP(KTB91,'[1]List KPI'!$A$103:$F$118,6,0),"")</f>
        <v>1.0416666666666666E-2</v>
      </c>
      <c r="KTD91" s="76">
        <v>0.86944444444444446</v>
      </c>
      <c r="KTE91" s="76">
        <v>0.86944444444444446</v>
      </c>
      <c r="KTF91" s="77" t="str">
        <f t="shared" si="239"/>
        <v>O</v>
      </c>
      <c r="KTG91" s="74" t="s">
        <v>28</v>
      </c>
      <c r="KTH91" s="75" t="s">
        <v>23</v>
      </c>
      <c r="KTI91" s="78">
        <f>IFERROR(VLOOKUP(KTH91,'[1]List KPI'!$M$3:$N$8,2,0),"")</f>
        <v>2.0833333333333332E-2</v>
      </c>
      <c r="KTJ91" s="76">
        <v>0.89444444444444449</v>
      </c>
      <c r="KTK91" s="77" t="str">
        <f t="shared" si="240"/>
        <v>O</v>
      </c>
      <c r="KTL91" s="79">
        <v>5</v>
      </c>
      <c r="KTM91" s="75">
        <v>1276006</v>
      </c>
      <c r="KTN91" s="80"/>
      <c r="KTO91" s="81">
        <v>0.86944444444444446</v>
      </c>
      <c r="KTP91" s="74" t="s">
        <v>27</v>
      </c>
      <c r="KTQ91" s="74" t="s">
        <v>24</v>
      </c>
      <c r="KTR91" s="75" t="s">
        <v>25</v>
      </c>
      <c r="KTS91" s="76">
        <f>IFERROR(VLOOKUP(KTR91,'[1]List KPI'!$A$103:$F$118,6,0),"")</f>
        <v>1.0416666666666666E-2</v>
      </c>
      <c r="KTT91" s="76">
        <v>0.86944444444444446</v>
      </c>
      <c r="KTU91" s="76">
        <v>0.86944444444444446</v>
      </c>
      <c r="KTV91" s="77" t="str">
        <f t="shared" si="239"/>
        <v>O</v>
      </c>
      <c r="KTW91" s="74" t="s">
        <v>28</v>
      </c>
      <c r="KTX91" s="75" t="s">
        <v>23</v>
      </c>
      <c r="KTY91" s="78">
        <f>IFERROR(VLOOKUP(KTX91,'[1]List KPI'!$M$3:$N$8,2,0),"")</f>
        <v>2.0833333333333332E-2</v>
      </c>
      <c r="KTZ91" s="76">
        <v>0.89444444444444449</v>
      </c>
      <c r="KUA91" s="77" t="str">
        <f t="shared" si="240"/>
        <v>O</v>
      </c>
      <c r="KUB91" s="79">
        <v>5</v>
      </c>
      <c r="KUC91" s="75">
        <v>1276006</v>
      </c>
      <c r="KUD91" s="80"/>
      <c r="KUE91" s="81">
        <v>0.86944444444444446</v>
      </c>
      <c r="KUF91" s="74" t="s">
        <v>27</v>
      </c>
      <c r="KUG91" s="74" t="s">
        <v>24</v>
      </c>
      <c r="KUH91" s="75" t="s">
        <v>25</v>
      </c>
      <c r="KUI91" s="76">
        <f>IFERROR(VLOOKUP(KUH91,'[1]List KPI'!$A$103:$F$118,6,0),"")</f>
        <v>1.0416666666666666E-2</v>
      </c>
      <c r="KUJ91" s="76">
        <v>0.86944444444444446</v>
      </c>
      <c r="KUK91" s="76">
        <v>0.86944444444444446</v>
      </c>
      <c r="KUL91" s="77" t="str">
        <f t="shared" si="239"/>
        <v>O</v>
      </c>
      <c r="KUM91" s="74" t="s">
        <v>28</v>
      </c>
      <c r="KUN91" s="75" t="s">
        <v>23</v>
      </c>
      <c r="KUO91" s="78">
        <f>IFERROR(VLOOKUP(KUN91,'[1]List KPI'!$M$3:$N$8,2,0),"")</f>
        <v>2.0833333333333332E-2</v>
      </c>
      <c r="KUP91" s="76">
        <v>0.89444444444444449</v>
      </c>
      <c r="KUQ91" s="77" t="str">
        <f t="shared" si="240"/>
        <v>O</v>
      </c>
      <c r="KUR91" s="79">
        <v>5</v>
      </c>
      <c r="KUS91" s="75">
        <v>1276006</v>
      </c>
      <c r="KUT91" s="80"/>
      <c r="KUU91" s="81">
        <v>0.86944444444444446</v>
      </c>
      <c r="KUV91" s="74" t="s">
        <v>27</v>
      </c>
      <c r="KUW91" s="74" t="s">
        <v>24</v>
      </c>
      <c r="KUX91" s="75" t="s">
        <v>25</v>
      </c>
      <c r="KUY91" s="76">
        <f>IFERROR(VLOOKUP(KUX91,'[1]List KPI'!$A$103:$F$118,6,0),"")</f>
        <v>1.0416666666666666E-2</v>
      </c>
      <c r="KUZ91" s="76">
        <v>0.86944444444444446</v>
      </c>
      <c r="KVA91" s="76">
        <v>0.86944444444444446</v>
      </c>
      <c r="KVB91" s="77" t="str">
        <f t="shared" ref="KVB91:KWX91" si="241">IF(KVA91="","",IF(KVA91&gt;KVJ91,"O","P"))</f>
        <v>O</v>
      </c>
      <c r="KVC91" s="74" t="s">
        <v>28</v>
      </c>
      <c r="KVD91" s="75" t="s">
        <v>23</v>
      </c>
      <c r="KVE91" s="78">
        <f>IFERROR(VLOOKUP(KVD91,'[1]List KPI'!$M$3:$N$8,2,0),"")</f>
        <v>2.0833333333333332E-2</v>
      </c>
      <c r="KVF91" s="76">
        <v>0.89444444444444449</v>
      </c>
      <c r="KVG91" s="77" t="str">
        <f t="shared" ref="KVG91:KXC91" si="242">IF(KVF91="","",IF(KVF91&gt;KVK91,"O","P"))</f>
        <v>O</v>
      </c>
      <c r="KVH91" s="79">
        <v>5</v>
      </c>
      <c r="KVI91" s="75">
        <v>1276006</v>
      </c>
      <c r="KVJ91" s="80"/>
      <c r="KVK91" s="81">
        <v>0.86944444444444446</v>
      </c>
      <c r="KVL91" s="74" t="s">
        <v>27</v>
      </c>
      <c r="KVM91" s="74" t="s">
        <v>24</v>
      </c>
      <c r="KVN91" s="75" t="s">
        <v>25</v>
      </c>
      <c r="KVO91" s="76">
        <f>IFERROR(VLOOKUP(KVN91,'[1]List KPI'!$A$103:$F$118,6,0),"")</f>
        <v>1.0416666666666666E-2</v>
      </c>
      <c r="KVP91" s="76">
        <v>0.86944444444444446</v>
      </c>
      <c r="KVQ91" s="76">
        <v>0.86944444444444446</v>
      </c>
      <c r="KVR91" s="77" t="str">
        <f t="shared" si="241"/>
        <v>O</v>
      </c>
      <c r="KVS91" s="74" t="s">
        <v>28</v>
      </c>
      <c r="KVT91" s="75" t="s">
        <v>23</v>
      </c>
      <c r="KVU91" s="78">
        <f>IFERROR(VLOOKUP(KVT91,'[1]List KPI'!$M$3:$N$8,2,0),"")</f>
        <v>2.0833333333333332E-2</v>
      </c>
      <c r="KVV91" s="76">
        <v>0.89444444444444449</v>
      </c>
      <c r="KVW91" s="77" t="str">
        <f t="shared" si="242"/>
        <v>O</v>
      </c>
      <c r="KVX91" s="79">
        <v>5</v>
      </c>
      <c r="KVY91" s="75">
        <v>1276006</v>
      </c>
      <c r="KVZ91" s="80"/>
      <c r="KWA91" s="81">
        <v>0.86944444444444446</v>
      </c>
      <c r="KWB91" s="74" t="s">
        <v>27</v>
      </c>
      <c r="KWC91" s="74" t="s">
        <v>24</v>
      </c>
      <c r="KWD91" s="75" t="s">
        <v>25</v>
      </c>
      <c r="KWE91" s="76">
        <f>IFERROR(VLOOKUP(KWD91,'[1]List KPI'!$A$103:$F$118,6,0),"")</f>
        <v>1.0416666666666666E-2</v>
      </c>
      <c r="KWF91" s="76">
        <v>0.86944444444444446</v>
      </c>
      <c r="KWG91" s="76">
        <v>0.86944444444444446</v>
      </c>
      <c r="KWH91" s="77" t="str">
        <f t="shared" si="241"/>
        <v>O</v>
      </c>
      <c r="KWI91" s="74" t="s">
        <v>28</v>
      </c>
      <c r="KWJ91" s="75" t="s">
        <v>23</v>
      </c>
      <c r="KWK91" s="78">
        <f>IFERROR(VLOOKUP(KWJ91,'[1]List KPI'!$M$3:$N$8,2,0),"")</f>
        <v>2.0833333333333332E-2</v>
      </c>
      <c r="KWL91" s="76">
        <v>0.89444444444444449</v>
      </c>
      <c r="KWM91" s="77" t="str">
        <f t="shared" si="242"/>
        <v>O</v>
      </c>
      <c r="KWN91" s="79">
        <v>5</v>
      </c>
      <c r="KWO91" s="75">
        <v>1276006</v>
      </c>
      <c r="KWP91" s="80"/>
      <c r="KWQ91" s="81">
        <v>0.86944444444444446</v>
      </c>
      <c r="KWR91" s="74" t="s">
        <v>27</v>
      </c>
      <c r="KWS91" s="74" t="s">
        <v>24</v>
      </c>
      <c r="KWT91" s="75" t="s">
        <v>25</v>
      </c>
      <c r="KWU91" s="76">
        <f>IFERROR(VLOOKUP(KWT91,'[1]List KPI'!$A$103:$F$118,6,0),"")</f>
        <v>1.0416666666666666E-2</v>
      </c>
      <c r="KWV91" s="76">
        <v>0.86944444444444446</v>
      </c>
      <c r="KWW91" s="76">
        <v>0.86944444444444446</v>
      </c>
      <c r="KWX91" s="77" t="str">
        <f t="shared" si="241"/>
        <v>O</v>
      </c>
      <c r="KWY91" s="74" t="s">
        <v>28</v>
      </c>
      <c r="KWZ91" s="75" t="s">
        <v>23</v>
      </c>
      <c r="KXA91" s="78">
        <f>IFERROR(VLOOKUP(KWZ91,'[1]List KPI'!$M$3:$N$8,2,0),"")</f>
        <v>2.0833333333333332E-2</v>
      </c>
      <c r="KXB91" s="76">
        <v>0.89444444444444449</v>
      </c>
      <c r="KXC91" s="77" t="str">
        <f t="shared" si="242"/>
        <v>O</v>
      </c>
      <c r="KXD91" s="79">
        <v>5</v>
      </c>
      <c r="KXE91" s="75">
        <v>1276006</v>
      </c>
      <c r="KXF91" s="80"/>
      <c r="KXG91" s="81">
        <v>0.86944444444444446</v>
      </c>
      <c r="KXH91" s="74" t="s">
        <v>27</v>
      </c>
      <c r="KXI91" s="74" t="s">
        <v>24</v>
      </c>
      <c r="KXJ91" s="75" t="s">
        <v>25</v>
      </c>
      <c r="KXK91" s="76">
        <f>IFERROR(VLOOKUP(KXJ91,'[1]List KPI'!$A$103:$F$118,6,0),"")</f>
        <v>1.0416666666666666E-2</v>
      </c>
      <c r="KXL91" s="76">
        <v>0.86944444444444446</v>
      </c>
      <c r="KXM91" s="76">
        <v>0.86944444444444446</v>
      </c>
      <c r="KXN91" s="77" t="str">
        <f t="shared" ref="KXN91:KZJ91" si="243">IF(KXM91="","",IF(KXM91&gt;KXV91,"O","P"))</f>
        <v>O</v>
      </c>
      <c r="KXO91" s="74" t="s">
        <v>28</v>
      </c>
      <c r="KXP91" s="75" t="s">
        <v>23</v>
      </c>
      <c r="KXQ91" s="78">
        <f>IFERROR(VLOOKUP(KXP91,'[1]List KPI'!$M$3:$N$8,2,0),"")</f>
        <v>2.0833333333333332E-2</v>
      </c>
      <c r="KXR91" s="76">
        <v>0.89444444444444449</v>
      </c>
      <c r="KXS91" s="77" t="str">
        <f t="shared" ref="KXS91:KZO91" si="244">IF(KXR91="","",IF(KXR91&gt;KXW91,"O","P"))</f>
        <v>O</v>
      </c>
      <c r="KXT91" s="79">
        <v>5</v>
      </c>
      <c r="KXU91" s="75">
        <v>1276006</v>
      </c>
      <c r="KXV91" s="80"/>
      <c r="KXW91" s="81">
        <v>0.86944444444444446</v>
      </c>
      <c r="KXX91" s="74" t="s">
        <v>27</v>
      </c>
      <c r="KXY91" s="74" t="s">
        <v>24</v>
      </c>
      <c r="KXZ91" s="75" t="s">
        <v>25</v>
      </c>
      <c r="KYA91" s="76">
        <f>IFERROR(VLOOKUP(KXZ91,'[1]List KPI'!$A$103:$F$118,6,0),"")</f>
        <v>1.0416666666666666E-2</v>
      </c>
      <c r="KYB91" s="76">
        <v>0.86944444444444446</v>
      </c>
      <c r="KYC91" s="76">
        <v>0.86944444444444446</v>
      </c>
      <c r="KYD91" s="77" t="str">
        <f t="shared" si="243"/>
        <v>O</v>
      </c>
      <c r="KYE91" s="74" t="s">
        <v>28</v>
      </c>
      <c r="KYF91" s="75" t="s">
        <v>23</v>
      </c>
      <c r="KYG91" s="78">
        <f>IFERROR(VLOOKUP(KYF91,'[1]List KPI'!$M$3:$N$8,2,0),"")</f>
        <v>2.0833333333333332E-2</v>
      </c>
      <c r="KYH91" s="76">
        <v>0.89444444444444449</v>
      </c>
      <c r="KYI91" s="77" t="str">
        <f t="shared" si="244"/>
        <v>O</v>
      </c>
      <c r="KYJ91" s="79">
        <v>5</v>
      </c>
      <c r="KYK91" s="75">
        <v>1276006</v>
      </c>
      <c r="KYL91" s="80"/>
      <c r="KYM91" s="81">
        <v>0.86944444444444446</v>
      </c>
      <c r="KYN91" s="74" t="s">
        <v>27</v>
      </c>
      <c r="KYO91" s="74" t="s">
        <v>24</v>
      </c>
      <c r="KYP91" s="75" t="s">
        <v>25</v>
      </c>
      <c r="KYQ91" s="76">
        <f>IFERROR(VLOOKUP(KYP91,'[1]List KPI'!$A$103:$F$118,6,0),"")</f>
        <v>1.0416666666666666E-2</v>
      </c>
      <c r="KYR91" s="76">
        <v>0.86944444444444446</v>
      </c>
      <c r="KYS91" s="76">
        <v>0.86944444444444446</v>
      </c>
      <c r="KYT91" s="77" t="str">
        <f t="shared" si="243"/>
        <v>O</v>
      </c>
      <c r="KYU91" s="74" t="s">
        <v>28</v>
      </c>
      <c r="KYV91" s="75" t="s">
        <v>23</v>
      </c>
      <c r="KYW91" s="78">
        <f>IFERROR(VLOOKUP(KYV91,'[1]List KPI'!$M$3:$N$8,2,0),"")</f>
        <v>2.0833333333333332E-2</v>
      </c>
      <c r="KYX91" s="76">
        <v>0.89444444444444449</v>
      </c>
      <c r="KYY91" s="77" t="str">
        <f t="shared" si="244"/>
        <v>O</v>
      </c>
      <c r="KYZ91" s="79">
        <v>5</v>
      </c>
      <c r="KZA91" s="75">
        <v>1276006</v>
      </c>
      <c r="KZB91" s="80"/>
      <c r="KZC91" s="81">
        <v>0.86944444444444446</v>
      </c>
      <c r="KZD91" s="74" t="s">
        <v>27</v>
      </c>
      <c r="KZE91" s="74" t="s">
        <v>24</v>
      </c>
      <c r="KZF91" s="75" t="s">
        <v>25</v>
      </c>
      <c r="KZG91" s="76">
        <f>IFERROR(VLOOKUP(KZF91,'[1]List KPI'!$A$103:$F$118,6,0),"")</f>
        <v>1.0416666666666666E-2</v>
      </c>
      <c r="KZH91" s="76">
        <v>0.86944444444444446</v>
      </c>
      <c r="KZI91" s="76">
        <v>0.86944444444444446</v>
      </c>
      <c r="KZJ91" s="77" t="str">
        <f t="shared" si="243"/>
        <v>O</v>
      </c>
      <c r="KZK91" s="74" t="s">
        <v>28</v>
      </c>
      <c r="KZL91" s="75" t="s">
        <v>23</v>
      </c>
      <c r="KZM91" s="78">
        <f>IFERROR(VLOOKUP(KZL91,'[1]List KPI'!$M$3:$N$8,2,0),"")</f>
        <v>2.0833333333333332E-2</v>
      </c>
      <c r="KZN91" s="76">
        <v>0.89444444444444449</v>
      </c>
      <c r="KZO91" s="77" t="str">
        <f t="shared" si="244"/>
        <v>O</v>
      </c>
      <c r="KZP91" s="79">
        <v>5</v>
      </c>
      <c r="KZQ91" s="75">
        <v>1276006</v>
      </c>
      <c r="KZR91" s="80"/>
      <c r="KZS91" s="81">
        <v>0.86944444444444446</v>
      </c>
      <c r="KZT91" s="74" t="s">
        <v>27</v>
      </c>
      <c r="KZU91" s="74" t="s">
        <v>24</v>
      </c>
      <c r="KZV91" s="75" t="s">
        <v>25</v>
      </c>
      <c r="KZW91" s="76">
        <f>IFERROR(VLOOKUP(KZV91,'[1]List KPI'!$A$103:$F$118,6,0),"")</f>
        <v>1.0416666666666666E-2</v>
      </c>
      <c r="KZX91" s="76">
        <v>0.86944444444444446</v>
      </c>
      <c r="KZY91" s="76">
        <v>0.86944444444444446</v>
      </c>
      <c r="KZZ91" s="77" t="str">
        <f t="shared" ref="KZZ91:LBV91" si="245">IF(KZY91="","",IF(KZY91&gt;LAH91,"O","P"))</f>
        <v>O</v>
      </c>
      <c r="LAA91" s="74" t="s">
        <v>28</v>
      </c>
      <c r="LAB91" s="75" t="s">
        <v>23</v>
      </c>
      <c r="LAC91" s="78">
        <f>IFERROR(VLOOKUP(LAB91,'[1]List KPI'!$M$3:$N$8,2,0),"")</f>
        <v>2.0833333333333332E-2</v>
      </c>
      <c r="LAD91" s="76">
        <v>0.89444444444444449</v>
      </c>
      <c r="LAE91" s="77" t="str">
        <f t="shared" ref="LAE91:LCA91" si="246">IF(LAD91="","",IF(LAD91&gt;LAI91,"O","P"))</f>
        <v>O</v>
      </c>
      <c r="LAF91" s="79">
        <v>5</v>
      </c>
      <c r="LAG91" s="75">
        <v>1276006</v>
      </c>
      <c r="LAH91" s="80"/>
      <c r="LAI91" s="81">
        <v>0.86944444444444446</v>
      </c>
      <c r="LAJ91" s="74" t="s">
        <v>27</v>
      </c>
      <c r="LAK91" s="74" t="s">
        <v>24</v>
      </c>
      <c r="LAL91" s="75" t="s">
        <v>25</v>
      </c>
      <c r="LAM91" s="76">
        <f>IFERROR(VLOOKUP(LAL91,'[1]List KPI'!$A$103:$F$118,6,0),"")</f>
        <v>1.0416666666666666E-2</v>
      </c>
      <c r="LAN91" s="76">
        <v>0.86944444444444446</v>
      </c>
      <c r="LAO91" s="76">
        <v>0.86944444444444446</v>
      </c>
      <c r="LAP91" s="77" t="str">
        <f t="shared" si="245"/>
        <v>O</v>
      </c>
      <c r="LAQ91" s="74" t="s">
        <v>28</v>
      </c>
      <c r="LAR91" s="75" t="s">
        <v>23</v>
      </c>
      <c r="LAS91" s="78">
        <f>IFERROR(VLOOKUP(LAR91,'[1]List KPI'!$M$3:$N$8,2,0),"")</f>
        <v>2.0833333333333332E-2</v>
      </c>
      <c r="LAT91" s="76">
        <v>0.89444444444444449</v>
      </c>
      <c r="LAU91" s="77" t="str">
        <f t="shared" si="246"/>
        <v>O</v>
      </c>
      <c r="LAV91" s="79">
        <v>5</v>
      </c>
      <c r="LAW91" s="75">
        <v>1276006</v>
      </c>
      <c r="LAX91" s="80"/>
      <c r="LAY91" s="81">
        <v>0.86944444444444446</v>
      </c>
      <c r="LAZ91" s="74" t="s">
        <v>27</v>
      </c>
      <c r="LBA91" s="74" t="s">
        <v>24</v>
      </c>
      <c r="LBB91" s="75" t="s">
        <v>25</v>
      </c>
      <c r="LBC91" s="76">
        <f>IFERROR(VLOOKUP(LBB91,'[1]List KPI'!$A$103:$F$118,6,0),"")</f>
        <v>1.0416666666666666E-2</v>
      </c>
      <c r="LBD91" s="76">
        <v>0.86944444444444446</v>
      </c>
      <c r="LBE91" s="76">
        <v>0.86944444444444446</v>
      </c>
      <c r="LBF91" s="77" t="str">
        <f t="shared" si="245"/>
        <v>O</v>
      </c>
      <c r="LBG91" s="74" t="s">
        <v>28</v>
      </c>
      <c r="LBH91" s="75" t="s">
        <v>23</v>
      </c>
      <c r="LBI91" s="78">
        <f>IFERROR(VLOOKUP(LBH91,'[1]List KPI'!$M$3:$N$8,2,0),"")</f>
        <v>2.0833333333333332E-2</v>
      </c>
      <c r="LBJ91" s="76">
        <v>0.89444444444444449</v>
      </c>
      <c r="LBK91" s="77" t="str">
        <f t="shared" si="246"/>
        <v>O</v>
      </c>
      <c r="LBL91" s="79">
        <v>5</v>
      </c>
      <c r="LBM91" s="75">
        <v>1276006</v>
      </c>
      <c r="LBN91" s="80"/>
      <c r="LBO91" s="81">
        <v>0.86944444444444446</v>
      </c>
      <c r="LBP91" s="74" t="s">
        <v>27</v>
      </c>
      <c r="LBQ91" s="74" t="s">
        <v>24</v>
      </c>
      <c r="LBR91" s="75" t="s">
        <v>25</v>
      </c>
      <c r="LBS91" s="76">
        <f>IFERROR(VLOOKUP(LBR91,'[1]List KPI'!$A$103:$F$118,6,0),"")</f>
        <v>1.0416666666666666E-2</v>
      </c>
      <c r="LBT91" s="76">
        <v>0.86944444444444446</v>
      </c>
      <c r="LBU91" s="76">
        <v>0.86944444444444446</v>
      </c>
      <c r="LBV91" s="77" t="str">
        <f t="shared" si="245"/>
        <v>O</v>
      </c>
      <c r="LBW91" s="74" t="s">
        <v>28</v>
      </c>
      <c r="LBX91" s="75" t="s">
        <v>23</v>
      </c>
      <c r="LBY91" s="78">
        <f>IFERROR(VLOOKUP(LBX91,'[1]List KPI'!$M$3:$N$8,2,0),"")</f>
        <v>2.0833333333333332E-2</v>
      </c>
      <c r="LBZ91" s="76">
        <v>0.89444444444444449</v>
      </c>
      <c r="LCA91" s="77" t="str">
        <f t="shared" si="246"/>
        <v>O</v>
      </c>
      <c r="LCB91" s="79">
        <v>5</v>
      </c>
      <c r="LCC91" s="75">
        <v>1276006</v>
      </c>
      <c r="LCD91" s="80"/>
      <c r="LCE91" s="81">
        <v>0.86944444444444446</v>
      </c>
      <c r="LCF91" s="74" t="s">
        <v>27</v>
      </c>
      <c r="LCG91" s="74" t="s">
        <v>24</v>
      </c>
      <c r="LCH91" s="75" t="s">
        <v>25</v>
      </c>
      <c r="LCI91" s="76">
        <f>IFERROR(VLOOKUP(LCH91,'[1]List KPI'!$A$103:$F$118,6,0),"")</f>
        <v>1.0416666666666666E-2</v>
      </c>
      <c r="LCJ91" s="76">
        <v>0.86944444444444446</v>
      </c>
      <c r="LCK91" s="76">
        <v>0.86944444444444446</v>
      </c>
      <c r="LCL91" s="77" t="str">
        <f t="shared" ref="LCL91:LEH91" si="247">IF(LCK91="","",IF(LCK91&gt;LCT91,"O","P"))</f>
        <v>O</v>
      </c>
      <c r="LCM91" s="74" t="s">
        <v>28</v>
      </c>
      <c r="LCN91" s="75" t="s">
        <v>23</v>
      </c>
      <c r="LCO91" s="78">
        <f>IFERROR(VLOOKUP(LCN91,'[1]List KPI'!$M$3:$N$8,2,0),"")</f>
        <v>2.0833333333333332E-2</v>
      </c>
      <c r="LCP91" s="76">
        <v>0.89444444444444449</v>
      </c>
      <c r="LCQ91" s="77" t="str">
        <f t="shared" ref="LCQ91:LEM91" si="248">IF(LCP91="","",IF(LCP91&gt;LCU91,"O","P"))</f>
        <v>O</v>
      </c>
      <c r="LCR91" s="79">
        <v>5</v>
      </c>
      <c r="LCS91" s="75">
        <v>1276006</v>
      </c>
      <c r="LCT91" s="80"/>
      <c r="LCU91" s="81">
        <v>0.86944444444444446</v>
      </c>
      <c r="LCV91" s="74" t="s">
        <v>27</v>
      </c>
      <c r="LCW91" s="74" t="s">
        <v>24</v>
      </c>
      <c r="LCX91" s="75" t="s">
        <v>25</v>
      </c>
      <c r="LCY91" s="76">
        <f>IFERROR(VLOOKUP(LCX91,'[1]List KPI'!$A$103:$F$118,6,0),"")</f>
        <v>1.0416666666666666E-2</v>
      </c>
      <c r="LCZ91" s="76">
        <v>0.86944444444444446</v>
      </c>
      <c r="LDA91" s="76">
        <v>0.86944444444444446</v>
      </c>
      <c r="LDB91" s="77" t="str">
        <f t="shared" si="247"/>
        <v>O</v>
      </c>
      <c r="LDC91" s="74" t="s">
        <v>28</v>
      </c>
      <c r="LDD91" s="75" t="s">
        <v>23</v>
      </c>
      <c r="LDE91" s="78">
        <f>IFERROR(VLOOKUP(LDD91,'[1]List KPI'!$M$3:$N$8,2,0),"")</f>
        <v>2.0833333333333332E-2</v>
      </c>
      <c r="LDF91" s="76">
        <v>0.89444444444444449</v>
      </c>
      <c r="LDG91" s="77" t="str">
        <f t="shared" si="248"/>
        <v>O</v>
      </c>
      <c r="LDH91" s="79">
        <v>5</v>
      </c>
      <c r="LDI91" s="75">
        <v>1276006</v>
      </c>
      <c r="LDJ91" s="80"/>
      <c r="LDK91" s="81">
        <v>0.86944444444444446</v>
      </c>
      <c r="LDL91" s="74" t="s">
        <v>27</v>
      </c>
      <c r="LDM91" s="74" t="s">
        <v>24</v>
      </c>
      <c r="LDN91" s="75" t="s">
        <v>25</v>
      </c>
      <c r="LDO91" s="76">
        <f>IFERROR(VLOOKUP(LDN91,'[1]List KPI'!$A$103:$F$118,6,0),"")</f>
        <v>1.0416666666666666E-2</v>
      </c>
      <c r="LDP91" s="76">
        <v>0.86944444444444446</v>
      </c>
      <c r="LDQ91" s="76">
        <v>0.86944444444444446</v>
      </c>
      <c r="LDR91" s="77" t="str">
        <f t="shared" si="247"/>
        <v>O</v>
      </c>
      <c r="LDS91" s="74" t="s">
        <v>28</v>
      </c>
      <c r="LDT91" s="75" t="s">
        <v>23</v>
      </c>
      <c r="LDU91" s="78">
        <f>IFERROR(VLOOKUP(LDT91,'[1]List KPI'!$M$3:$N$8,2,0),"")</f>
        <v>2.0833333333333332E-2</v>
      </c>
      <c r="LDV91" s="76">
        <v>0.89444444444444449</v>
      </c>
      <c r="LDW91" s="77" t="str">
        <f t="shared" si="248"/>
        <v>O</v>
      </c>
      <c r="LDX91" s="79">
        <v>5</v>
      </c>
      <c r="LDY91" s="75">
        <v>1276006</v>
      </c>
      <c r="LDZ91" s="80"/>
      <c r="LEA91" s="81">
        <v>0.86944444444444446</v>
      </c>
      <c r="LEB91" s="74" t="s">
        <v>27</v>
      </c>
      <c r="LEC91" s="74" t="s">
        <v>24</v>
      </c>
      <c r="LED91" s="75" t="s">
        <v>25</v>
      </c>
      <c r="LEE91" s="76">
        <f>IFERROR(VLOOKUP(LED91,'[1]List KPI'!$A$103:$F$118,6,0),"")</f>
        <v>1.0416666666666666E-2</v>
      </c>
      <c r="LEF91" s="76">
        <v>0.86944444444444446</v>
      </c>
      <c r="LEG91" s="76">
        <v>0.86944444444444446</v>
      </c>
      <c r="LEH91" s="77" t="str">
        <f t="shared" si="247"/>
        <v>O</v>
      </c>
      <c r="LEI91" s="74" t="s">
        <v>28</v>
      </c>
      <c r="LEJ91" s="75" t="s">
        <v>23</v>
      </c>
      <c r="LEK91" s="78">
        <f>IFERROR(VLOOKUP(LEJ91,'[1]List KPI'!$M$3:$N$8,2,0),"")</f>
        <v>2.0833333333333332E-2</v>
      </c>
      <c r="LEL91" s="76">
        <v>0.89444444444444449</v>
      </c>
      <c r="LEM91" s="77" t="str">
        <f t="shared" si="248"/>
        <v>O</v>
      </c>
      <c r="LEN91" s="79">
        <v>5</v>
      </c>
      <c r="LEO91" s="75">
        <v>1276006</v>
      </c>
      <c r="LEP91" s="80"/>
      <c r="LEQ91" s="81">
        <v>0.86944444444444446</v>
      </c>
      <c r="LER91" s="74" t="s">
        <v>27</v>
      </c>
      <c r="LES91" s="74" t="s">
        <v>24</v>
      </c>
      <c r="LET91" s="75" t="s">
        <v>25</v>
      </c>
      <c r="LEU91" s="76">
        <f>IFERROR(VLOOKUP(LET91,'[1]List KPI'!$A$103:$F$118,6,0),"")</f>
        <v>1.0416666666666666E-2</v>
      </c>
      <c r="LEV91" s="76">
        <v>0.86944444444444446</v>
      </c>
      <c r="LEW91" s="76">
        <v>0.86944444444444446</v>
      </c>
      <c r="LEX91" s="77" t="str">
        <f t="shared" ref="LEX91:LGT91" si="249">IF(LEW91="","",IF(LEW91&gt;LFF91,"O","P"))</f>
        <v>O</v>
      </c>
      <c r="LEY91" s="74" t="s">
        <v>28</v>
      </c>
      <c r="LEZ91" s="75" t="s">
        <v>23</v>
      </c>
      <c r="LFA91" s="78">
        <f>IFERROR(VLOOKUP(LEZ91,'[1]List KPI'!$M$3:$N$8,2,0),"")</f>
        <v>2.0833333333333332E-2</v>
      </c>
      <c r="LFB91" s="76">
        <v>0.89444444444444449</v>
      </c>
      <c r="LFC91" s="77" t="str">
        <f t="shared" ref="LFC91:LGY91" si="250">IF(LFB91="","",IF(LFB91&gt;LFG91,"O","P"))</f>
        <v>O</v>
      </c>
      <c r="LFD91" s="79">
        <v>5</v>
      </c>
      <c r="LFE91" s="75">
        <v>1276006</v>
      </c>
      <c r="LFF91" s="80"/>
      <c r="LFG91" s="81">
        <v>0.86944444444444446</v>
      </c>
      <c r="LFH91" s="74" t="s">
        <v>27</v>
      </c>
      <c r="LFI91" s="74" t="s">
        <v>24</v>
      </c>
      <c r="LFJ91" s="75" t="s">
        <v>25</v>
      </c>
      <c r="LFK91" s="76">
        <f>IFERROR(VLOOKUP(LFJ91,'[1]List KPI'!$A$103:$F$118,6,0),"")</f>
        <v>1.0416666666666666E-2</v>
      </c>
      <c r="LFL91" s="76">
        <v>0.86944444444444446</v>
      </c>
      <c r="LFM91" s="76">
        <v>0.86944444444444446</v>
      </c>
      <c r="LFN91" s="77" t="str">
        <f t="shared" si="249"/>
        <v>O</v>
      </c>
      <c r="LFO91" s="74" t="s">
        <v>28</v>
      </c>
      <c r="LFP91" s="75" t="s">
        <v>23</v>
      </c>
      <c r="LFQ91" s="78">
        <f>IFERROR(VLOOKUP(LFP91,'[1]List KPI'!$M$3:$N$8,2,0),"")</f>
        <v>2.0833333333333332E-2</v>
      </c>
      <c r="LFR91" s="76">
        <v>0.89444444444444449</v>
      </c>
      <c r="LFS91" s="77" t="str">
        <f t="shared" si="250"/>
        <v>O</v>
      </c>
      <c r="LFT91" s="79">
        <v>5</v>
      </c>
      <c r="LFU91" s="75">
        <v>1276006</v>
      </c>
      <c r="LFV91" s="80"/>
      <c r="LFW91" s="81">
        <v>0.86944444444444446</v>
      </c>
      <c r="LFX91" s="74" t="s">
        <v>27</v>
      </c>
      <c r="LFY91" s="74" t="s">
        <v>24</v>
      </c>
      <c r="LFZ91" s="75" t="s">
        <v>25</v>
      </c>
      <c r="LGA91" s="76">
        <f>IFERROR(VLOOKUP(LFZ91,'[1]List KPI'!$A$103:$F$118,6,0),"")</f>
        <v>1.0416666666666666E-2</v>
      </c>
      <c r="LGB91" s="76">
        <v>0.86944444444444446</v>
      </c>
      <c r="LGC91" s="76">
        <v>0.86944444444444446</v>
      </c>
      <c r="LGD91" s="77" t="str">
        <f t="shared" si="249"/>
        <v>O</v>
      </c>
      <c r="LGE91" s="74" t="s">
        <v>28</v>
      </c>
      <c r="LGF91" s="75" t="s">
        <v>23</v>
      </c>
      <c r="LGG91" s="78">
        <f>IFERROR(VLOOKUP(LGF91,'[1]List KPI'!$M$3:$N$8,2,0),"")</f>
        <v>2.0833333333333332E-2</v>
      </c>
      <c r="LGH91" s="76">
        <v>0.89444444444444449</v>
      </c>
      <c r="LGI91" s="77" t="str">
        <f t="shared" si="250"/>
        <v>O</v>
      </c>
      <c r="LGJ91" s="79">
        <v>5</v>
      </c>
      <c r="LGK91" s="75">
        <v>1276006</v>
      </c>
      <c r="LGL91" s="80"/>
      <c r="LGM91" s="81">
        <v>0.86944444444444446</v>
      </c>
      <c r="LGN91" s="74" t="s">
        <v>27</v>
      </c>
      <c r="LGO91" s="74" t="s">
        <v>24</v>
      </c>
      <c r="LGP91" s="75" t="s">
        <v>25</v>
      </c>
      <c r="LGQ91" s="76">
        <f>IFERROR(VLOOKUP(LGP91,'[1]List KPI'!$A$103:$F$118,6,0),"")</f>
        <v>1.0416666666666666E-2</v>
      </c>
      <c r="LGR91" s="76">
        <v>0.86944444444444446</v>
      </c>
      <c r="LGS91" s="76">
        <v>0.86944444444444446</v>
      </c>
      <c r="LGT91" s="77" t="str">
        <f t="shared" si="249"/>
        <v>O</v>
      </c>
      <c r="LGU91" s="74" t="s">
        <v>28</v>
      </c>
      <c r="LGV91" s="75" t="s">
        <v>23</v>
      </c>
      <c r="LGW91" s="78">
        <f>IFERROR(VLOOKUP(LGV91,'[1]List KPI'!$M$3:$N$8,2,0),"")</f>
        <v>2.0833333333333332E-2</v>
      </c>
      <c r="LGX91" s="76">
        <v>0.89444444444444449</v>
      </c>
      <c r="LGY91" s="77" t="str">
        <f t="shared" si="250"/>
        <v>O</v>
      </c>
      <c r="LGZ91" s="79">
        <v>5</v>
      </c>
      <c r="LHA91" s="75">
        <v>1276006</v>
      </c>
      <c r="LHB91" s="80"/>
      <c r="LHC91" s="81">
        <v>0.86944444444444446</v>
      </c>
      <c r="LHD91" s="74" t="s">
        <v>27</v>
      </c>
      <c r="LHE91" s="74" t="s">
        <v>24</v>
      </c>
      <c r="LHF91" s="75" t="s">
        <v>25</v>
      </c>
      <c r="LHG91" s="76">
        <f>IFERROR(VLOOKUP(LHF91,'[1]List KPI'!$A$103:$F$118,6,0),"")</f>
        <v>1.0416666666666666E-2</v>
      </c>
      <c r="LHH91" s="76">
        <v>0.86944444444444446</v>
      </c>
      <c r="LHI91" s="76">
        <v>0.86944444444444446</v>
      </c>
      <c r="LHJ91" s="77" t="str">
        <f t="shared" ref="LHJ91:LJF91" si="251">IF(LHI91="","",IF(LHI91&gt;LHR91,"O","P"))</f>
        <v>O</v>
      </c>
      <c r="LHK91" s="74" t="s">
        <v>28</v>
      </c>
      <c r="LHL91" s="75" t="s">
        <v>23</v>
      </c>
      <c r="LHM91" s="78">
        <f>IFERROR(VLOOKUP(LHL91,'[1]List KPI'!$M$3:$N$8,2,0),"")</f>
        <v>2.0833333333333332E-2</v>
      </c>
      <c r="LHN91" s="76">
        <v>0.89444444444444449</v>
      </c>
      <c r="LHO91" s="77" t="str">
        <f t="shared" ref="LHO91:LJK91" si="252">IF(LHN91="","",IF(LHN91&gt;LHS91,"O","P"))</f>
        <v>O</v>
      </c>
      <c r="LHP91" s="79">
        <v>5</v>
      </c>
      <c r="LHQ91" s="75">
        <v>1276006</v>
      </c>
      <c r="LHR91" s="80"/>
      <c r="LHS91" s="81">
        <v>0.86944444444444446</v>
      </c>
      <c r="LHT91" s="74" t="s">
        <v>27</v>
      </c>
      <c r="LHU91" s="74" t="s">
        <v>24</v>
      </c>
      <c r="LHV91" s="75" t="s">
        <v>25</v>
      </c>
      <c r="LHW91" s="76">
        <f>IFERROR(VLOOKUP(LHV91,'[1]List KPI'!$A$103:$F$118,6,0),"")</f>
        <v>1.0416666666666666E-2</v>
      </c>
      <c r="LHX91" s="76">
        <v>0.86944444444444446</v>
      </c>
      <c r="LHY91" s="76">
        <v>0.86944444444444446</v>
      </c>
      <c r="LHZ91" s="77" t="str">
        <f t="shared" si="251"/>
        <v>O</v>
      </c>
      <c r="LIA91" s="74" t="s">
        <v>28</v>
      </c>
      <c r="LIB91" s="75" t="s">
        <v>23</v>
      </c>
      <c r="LIC91" s="78">
        <f>IFERROR(VLOOKUP(LIB91,'[1]List KPI'!$M$3:$N$8,2,0),"")</f>
        <v>2.0833333333333332E-2</v>
      </c>
      <c r="LID91" s="76">
        <v>0.89444444444444449</v>
      </c>
      <c r="LIE91" s="77" t="str">
        <f t="shared" si="252"/>
        <v>O</v>
      </c>
      <c r="LIF91" s="79">
        <v>5</v>
      </c>
      <c r="LIG91" s="75">
        <v>1276006</v>
      </c>
      <c r="LIH91" s="80"/>
      <c r="LII91" s="81">
        <v>0.86944444444444446</v>
      </c>
      <c r="LIJ91" s="74" t="s">
        <v>27</v>
      </c>
      <c r="LIK91" s="74" t="s">
        <v>24</v>
      </c>
      <c r="LIL91" s="75" t="s">
        <v>25</v>
      </c>
      <c r="LIM91" s="76">
        <f>IFERROR(VLOOKUP(LIL91,'[1]List KPI'!$A$103:$F$118,6,0),"")</f>
        <v>1.0416666666666666E-2</v>
      </c>
      <c r="LIN91" s="76">
        <v>0.86944444444444446</v>
      </c>
      <c r="LIO91" s="76">
        <v>0.86944444444444446</v>
      </c>
      <c r="LIP91" s="77" t="str">
        <f t="shared" si="251"/>
        <v>O</v>
      </c>
      <c r="LIQ91" s="74" t="s">
        <v>28</v>
      </c>
      <c r="LIR91" s="75" t="s">
        <v>23</v>
      </c>
      <c r="LIS91" s="78">
        <f>IFERROR(VLOOKUP(LIR91,'[1]List KPI'!$M$3:$N$8,2,0),"")</f>
        <v>2.0833333333333332E-2</v>
      </c>
      <c r="LIT91" s="76">
        <v>0.89444444444444449</v>
      </c>
      <c r="LIU91" s="77" t="str">
        <f t="shared" si="252"/>
        <v>O</v>
      </c>
      <c r="LIV91" s="79">
        <v>5</v>
      </c>
      <c r="LIW91" s="75">
        <v>1276006</v>
      </c>
      <c r="LIX91" s="80"/>
      <c r="LIY91" s="81">
        <v>0.86944444444444446</v>
      </c>
      <c r="LIZ91" s="74" t="s">
        <v>27</v>
      </c>
      <c r="LJA91" s="74" t="s">
        <v>24</v>
      </c>
      <c r="LJB91" s="75" t="s">
        <v>25</v>
      </c>
      <c r="LJC91" s="76">
        <f>IFERROR(VLOOKUP(LJB91,'[1]List KPI'!$A$103:$F$118,6,0),"")</f>
        <v>1.0416666666666666E-2</v>
      </c>
      <c r="LJD91" s="76">
        <v>0.86944444444444446</v>
      </c>
      <c r="LJE91" s="76">
        <v>0.86944444444444446</v>
      </c>
      <c r="LJF91" s="77" t="str">
        <f t="shared" si="251"/>
        <v>O</v>
      </c>
      <c r="LJG91" s="74" t="s">
        <v>28</v>
      </c>
      <c r="LJH91" s="75" t="s">
        <v>23</v>
      </c>
      <c r="LJI91" s="78">
        <f>IFERROR(VLOOKUP(LJH91,'[1]List KPI'!$M$3:$N$8,2,0),"")</f>
        <v>2.0833333333333332E-2</v>
      </c>
      <c r="LJJ91" s="76">
        <v>0.89444444444444449</v>
      </c>
      <c r="LJK91" s="77" t="str">
        <f t="shared" si="252"/>
        <v>O</v>
      </c>
      <c r="LJL91" s="79">
        <v>5</v>
      </c>
      <c r="LJM91" s="75">
        <v>1276006</v>
      </c>
      <c r="LJN91" s="80"/>
      <c r="LJO91" s="81">
        <v>0.86944444444444446</v>
      </c>
      <c r="LJP91" s="74" t="s">
        <v>27</v>
      </c>
      <c r="LJQ91" s="74" t="s">
        <v>24</v>
      </c>
      <c r="LJR91" s="75" t="s">
        <v>25</v>
      </c>
      <c r="LJS91" s="76">
        <f>IFERROR(VLOOKUP(LJR91,'[1]List KPI'!$A$103:$F$118,6,0),"")</f>
        <v>1.0416666666666666E-2</v>
      </c>
      <c r="LJT91" s="76">
        <v>0.86944444444444446</v>
      </c>
      <c r="LJU91" s="76">
        <v>0.86944444444444446</v>
      </c>
      <c r="LJV91" s="77" t="str">
        <f t="shared" ref="LJV91:LLR91" si="253">IF(LJU91="","",IF(LJU91&gt;LKD91,"O","P"))</f>
        <v>O</v>
      </c>
      <c r="LJW91" s="74" t="s">
        <v>28</v>
      </c>
      <c r="LJX91" s="75" t="s">
        <v>23</v>
      </c>
      <c r="LJY91" s="78">
        <f>IFERROR(VLOOKUP(LJX91,'[1]List KPI'!$M$3:$N$8,2,0),"")</f>
        <v>2.0833333333333332E-2</v>
      </c>
      <c r="LJZ91" s="76">
        <v>0.89444444444444449</v>
      </c>
      <c r="LKA91" s="77" t="str">
        <f t="shared" ref="LKA91:LLW91" si="254">IF(LJZ91="","",IF(LJZ91&gt;LKE91,"O","P"))</f>
        <v>O</v>
      </c>
      <c r="LKB91" s="79">
        <v>5</v>
      </c>
      <c r="LKC91" s="75">
        <v>1276006</v>
      </c>
      <c r="LKD91" s="80"/>
      <c r="LKE91" s="81">
        <v>0.86944444444444446</v>
      </c>
      <c r="LKF91" s="74" t="s">
        <v>27</v>
      </c>
      <c r="LKG91" s="74" t="s">
        <v>24</v>
      </c>
      <c r="LKH91" s="75" t="s">
        <v>25</v>
      </c>
      <c r="LKI91" s="76">
        <f>IFERROR(VLOOKUP(LKH91,'[1]List KPI'!$A$103:$F$118,6,0),"")</f>
        <v>1.0416666666666666E-2</v>
      </c>
      <c r="LKJ91" s="76">
        <v>0.86944444444444446</v>
      </c>
      <c r="LKK91" s="76">
        <v>0.86944444444444446</v>
      </c>
      <c r="LKL91" s="77" t="str">
        <f t="shared" si="253"/>
        <v>O</v>
      </c>
      <c r="LKM91" s="74" t="s">
        <v>28</v>
      </c>
      <c r="LKN91" s="75" t="s">
        <v>23</v>
      </c>
      <c r="LKO91" s="78">
        <f>IFERROR(VLOOKUP(LKN91,'[1]List KPI'!$M$3:$N$8,2,0),"")</f>
        <v>2.0833333333333332E-2</v>
      </c>
      <c r="LKP91" s="76">
        <v>0.89444444444444449</v>
      </c>
      <c r="LKQ91" s="77" t="str">
        <f t="shared" si="254"/>
        <v>O</v>
      </c>
      <c r="LKR91" s="79">
        <v>5</v>
      </c>
      <c r="LKS91" s="75">
        <v>1276006</v>
      </c>
      <c r="LKT91" s="80"/>
      <c r="LKU91" s="81">
        <v>0.86944444444444446</v>
      </c>
      <c r="LKV91" s="74" t="s">
        <v>27</v>
      </c>
      <c r="LKW91" s="74" t="s">
        <v>24</v>
      </c>
      <c r="LKX91" s="75" t="s">
        <v>25</v>
      </c>
      <c r="LKY91" s="76">
        <f>IFERROR(VLOOKUP(LKX91,'[1]List KPI'!$A$103:$F$118,6,0),"")</f>
        <v>1.0416666666666666E-2</v>
      </c>
      <c r="LKZ91" s="76">
        <v>0.86944444444444446</v>
      </c>
      <c r="LLA91" s="76">
        <v>0.86944444444444446</v>
      </c>
      <c r="LLB91" s="77" t="str">
        <f t="shared" si="253"/>
        <v>O</v>
      </c>
      <c r="LLC91" s="74" t="s">
        <v>28</v>
      </c>
      <c r="LLD91" s="75" t="s">
        <v>23</v>
      </c>
      <c r="LLE91" s="78">
        <f>IFERROR(VLOOKUP(LLD91,'[1]List KPI'!$M$3:$N$8,2,0),"")</f>
        <v>2.0833333333333332E-2</v>
      </c>
      <c r="LLF91" s="76">
        <v>0.89444444444444449</v>
      </c>
      <c r="LLG91" s="77" t="str">
        <f t="shared" si="254"/>
        <v>O</v>
      </c>
      <c r="LLH91" s="79">
        <v>5</v>
      </c>
      <c r="LLI91" s="75">
        <v>1276006</v>
      </c>
      <c r="LLJ91" s="80"/>
      <c r="LLK91" s="81">
        <v>0.86944444444444446</v>
      </c>
      <c r="LLL91" s="74" t="s">
        <v>27</v>
      </c>
      <c r="LLM91" s="74" t="s">
        <v>24</v>
      </c>
      <c r="LLN91" s="75" t="s">
        <v>25</v>
      </c>
      <c r="LLO91" s="76">
        <f>IFERROR(VLOOKUP(LLN91,'[1]List KPI'!$A$103:$F$118,6,0),"")</f>
        <v>1.0416666666666666E-2</v>
      </c>
      <c r="LLP91" s="76">
        <v>0.86944444444444446</v>
      </c>
      <c r="LLQ91" s="76">
        <v>0.86944444444444446</v>
      </c>
      <c r="LLR91" s="77" t="str">
        <f t="shared" si="253"/>
        <v>O</v>
      </c>
      <c r="LLS91" s="74" t="s">
        <v>28</v>
      </c>
      <c r="LLT91" s="75" t="s">
        <v>23</v>
      </c>
      <c r="LLU91" s="78">
        <f>IFERROR(VLOOKUP(LLT91,'[1]List KPI'!$M$3:$N$8,2,0),"")</f>
        <v>2.0833333333333332E-2</v>
      </c>
      <c r="LLV91" s="76">
        <v>0.89444444444444449</v>
      </c>
      <c r="LLW91" s="77" t="str">
        <f t="shared" si="254"/>
        <v>O</v>
      </c>
      <c r="LLX91" s="79">
        <v>5</v>
      </c>
      <c r="LLY91" s="75">
        <v>1276006</v>
      </c>
      <c r="LLZ91" s="80"/>
      <c r="LMA91" s="81">
        <v>0.86944444444444446</v>
      </c>
      <c r="LMB91" s="74" t="s">
        <v>27</v>
      </c>
      <c r="LMC91" s="74" t="s">
        <v>24</v>
      </c>
      <c r="LMD91" s="75" t="s">
        <v>25</v>
      </c>
      <c r="LME91" s="76">
        <f>IFERROR(VLOOKUP(LMD91,'[1]List KPI'!$A$103:$F$118,6,0),"")</f>
        <v>1.0416666666666666E-2</v>
      </c>
      <c r="LMF91" s="76">
        <v>0.86944444444444446</v>
      </c>
      <c r="LMG91" s="76">
        <v>0.86944444444444446</v>
      </c>
      <c r="LMH91" s="77" t="str">
        <f t="shared" ref="LMH91:LOD91" si="255">IF(LMG91="","",IF(LMG91&gt;LMP91,"O","P"))</f>
        <v>O</v>
      </c>
      <c r="LMI91" s="74" t="s">
        <v>28</v>
      </c>
      <c r="LMJ91" s="75" t="s">
        <v>23</v>
      </c>
      <c r="LMK91" s="78">
        <f>IFERROR(VLOOKUP(LMJ91,'[1]List KPI'!$M$3:$N$8,2,0),"")</f>
        <v>2.0833333333333332E-2</v>
      </c>
      <c r="LML91" s="76">
        <v>0.89444444444444449</v>
      </c>
      <c r="LMM91" s="77" t="str">
        <f t="shared" ref="LMM91:LOI91" si="256">IF(LML91="","",IF(LML91&gt;LMQ91,"O","P"))</f>
        <v>O</v>
      </c>
      <c r="LMN91" s="79">
        <v>5</v>
      </c>
      <c r="LMO91" s="75">
        <v>1276006</v>
      </c>
      <c r="LMP91" s="80"/>
      <c r="LMQ91" s="81">
        <v>0.86944444444444446</v>
      </c>
      <c r="LMR91" s="74" t="s">
        <v>27</v>
      </c>
      <c r="LMS91" s="74" t="s">
        <v>24</v>
      </c>
      <c r="LMT91" s="75" t="s">
        <v>25</v>
      </c>
      <c r="LMU91" s="76">
        <f>IFERROR(VLOOKUP(LMT91,'[1]List KPI'!$A$103:$F$118,6,0),"")</f>
        <v>1.0416666666666666E-2</v>
      </c>
      <c r="LMV91" s="76">
        <v>0.86944444444444446</v>
      </c>
      <c r="LMW91" s="76">
        <v>0.86944444444444446</v>
      </c>
      <c r="LMX91" s="77" t="str">
        <f t="shared" si="255"/>
        <v>O</v>
      </c>
      <c r="LMY91" s="74" t="s">
        <v>28</v>
      </c>
      <c r="LMZ91" s="75" t="s">
        <v>23</v>
      </c>
      <c r="LNA91" s="78">
        <f>IFERROR(VLOOKUP(LMZ91,'[1]List KPI'!$M$3:$N$8,2,0),"")</f>
        <v>2.0833333333333332E-2</v>
      </c>
      <c r="LNB91" s="76">
        <v>0.89444444444444449</v>
      </c>
      <c r="LNC91" s="77" t="str">
        <f t="shared" si="256"/>
        <v>O</v>
      </c>
      <c r="LND91" s="79">
        <v>5</v>
      </c>
      <c r="LNE91" s="75">
        <v>1276006</v>
      </c>
      <c r="LNF91" s="80"/>
      <c r="LNG91" s="81">
        <v>0.86944444444444446</v>
      </c>
      <c r="LNH91" s="74" t="s">
        <v>27</v>
      </c>
      <c r="LNI91" s="74" t="s">
        <v>24</v>
      </c>
      <c r="LNJ91" s="75" t="s">
        <v>25</v>
      </c>
      <c r="LNK91" s="76">
        <f>IFERROR(VLOOKUP(LNJ91,'[1]List KPI'!$A$103:$F$118,6,0),"")</f>
        <v>1.0416666666666666E-2</v>
      </c>
      <c r="LNL91" s="76">
        <v>0.86944444444444446</v>
      </c>
      <c r="LNM91" s="76">
        <v>0.86944444444444446</v>
      </c>
      <c r="LNN91" s="77" t="str">
        <f t="shared" si="255"/>
        <v>O</v>
      </c>
      <c r="LNO91" s="74" t="s">
        <v>28</v>
      </c>
      <c r="LNP91" s="75" t="s">
        <v>23</v>
      </c>
      <c r="LNQ91" s="78">
        <f>IFERROR(VLOOKUP(LNP91,'[1]List KPI'!$M$3:$N$8,2,0),"")</f>
        <v>2.0833333333333332E-2</v>
      </c>
      <c r="LNR91" s="76">
        <v>0.89444444444444449</v>
      </c>
      <c r="LNS91" s="77" t="str">
        <f t="shared" si="256"/>
        <v>O</v>
      </c>
      <c r="LNT91" s="79">
        <v>5</v>
      </c>
      <c r="LNU91" s="75">
        <v>1276006</v>
      </c>
      <c r="LNV91" s="80"/>
      <c r="LNW91" s="81">
        <v>0.86944444444444446</v>
      </c>
      <c r="LNX91" s="74" t="s">
        <v>27</v>
      </c>
      <c r="LNY91" s="74" t="s">
        <v>24</v>
      </c>
      <c r="LNZ91" s="75" t="s">
        <v>25</v>
      </c>
      <c r="LOA91" s="76">
        <f>IFERROR(VLOOKUP(LNZ91,'[1]List KPI'!$A$103:$F$118,6,0),"")</f>
        <v>1.0416666666666666E-2</v>
      </c>
      <c r="LOB91" s="76">
        <v>0.86944444444444446</v>
      </c>
      <c r="LOC91" s="76">
        <v>0.86944444444444446</v>
      </c>
      <c r="LOD91" s="77" t="str">
        <f t="shared" si="255"/>
        <v>O</v>
      </c>
      <c r="LOE91" s="74" t="s">
        <v>28</v>
      </c>
      <c r="LOF91" s="75" t="s">
        <v>23</v>
      </c>
      <c r="LOG91" s="78">
        <f>IFERROR(VLOOKUP(LOF91,'[1]List KPI'!$M$3:$N$8,2,0),"")</f>
        <v>2.0833333333333332E-2</v>
      </c>
      <c r="LOH91" s="76">
        <v>0.89444444444444449</v>
      </c>
      <c r="LOI91" s="77" t="str">
        <f t="shared" si="256"/>
        <v>O</v>
      </c>
      <c r="LOJ91" s="79">
        <v>5</v>
      </c>
      <c r="LOK91" s="75">
        <v>1276006</v>
      </c>
      <c r="LOL91" s="80"/>
      <c r="LOM91" s="81">
        <v>0.86944444444444446</v>
      </c>
      <c r="LON91" s="74" t="s">
        <v>27</v>
      </c>
      <c r="LOO91" s="74" t="s">
        <v>24</v>
      </c>
      <c r="LOP91" s="75" t="s">
        <v>25</v>
      </c>
      <c r="LOQ91" s="76">
        <f>IFERROR(VLOOKUP(LOP91,'[1]List KPI'!$A$103:$F$118,6,0),"")</f>
        <v>1.0416666666666666E-2</v>
      </c>
      <c r="LOR91" s="76">
        <v>0.86944444444444446</v>
      </c>
      <c r="LOS91" s="76">
        <v>0.86944444444444446</v>
      </c>
      <c r="LOT91" s="77" t="str">
        <f t="shared" ref="LOT91:LQP91" si="257">IF(LOS91="","",IF(LOS91&gt;LPB91,"O","P"))</f>
        <v>O</v>
      </c>
      <c r="LOU91" s="74" t="s">
        <v>28</v>
      </c>
      <c r="LOV91" s="75" t="s">
        <v>23</v>
      </c>
      <c r="LOW91" s="78">
        <f>IFERROR(VLOOKUP(LOV91,'[1]List KPI'!$M$3:$N$8,2,0),"")</f>
        <v>2.0833333333333332E-2</v>
      </c>
      <c r="LOX91" s="76">
        <v>0.89444444444444449</v>
      </c>
      <c r="LOY91" s="77" t="str">
        <f t="shared" ref="LOY91:LQU91" si="258">IF(LOX91="","",IF(LOX91&gt;LPC91,"O","P"))</f>
        <v>O</v>
      </c>
      <c r="LOZ91" s="79">
        <v>5</v>
      </c>
      <c r="LPA91" s="75">
        <v>1276006</v>
      </c>
      <c r="LPB91" s="80"/>
      <c r="LPC91" s="81">
        <v>0.86944444444444446</v>
      </c>
      <c r="LPD91" s="74" t="s">
        <v>27</v>
      </c>
      <c r="LPE91" s="74" t="s">
        <v>24</v>
      </c>
      <c r="LPF91" s="75" t="s">
        <v>25</v>
      </c>
      <c r="LPG91" s="76">
        <f>IFERROR(VLOOKUP(LPF91,'[1]List KPI'!$A$103:$F$118,6,0),"")</f>
        <v>1.0416666666666666E-2</v>
      </c>
      <c r="LPH91" s="76">
        <v>0.86944444444444446</v>
      </c>
      <c r="LPI91" s="76">
        <v>0.86944444444444446</v>
      </c>
      <c r="LPJ91" s="77" t="str">
        <f t="shared" si="257"/>
        <v>O</v>
      </c>
      <c r="LPK91" s="74" t="s">
        <v>28</v>
      </c>
      <c r="LPL91" s="75" t="s">
        <v>23</v>
      </c>
      <c r="LPM91" s="78">
        <f>IFERROR(VLOOKUP(LPL91,'[1]List KPI'!$M$3:$N$8,2,0),"")</f>
        <v>2.0833333333333332E-2</v>
      </c>
      <c r="LPN91" s="76">
        <v>0.89444444444444449</v>
      </c>
      <c r="LPO91" s="77" t="str">
        <f t="shared" si="258"/>
        <v>O</v>
      </c>
      <c r="LPP91" s="79">
        <v>5</v>
      </c>
      <c r="LPQ91" s="75">
        <v>1276006</v>
      </c>
      <c r="LPR91" s="80"/>
      <c r="LPS91" s="81">
        <v>0.86944444444444446</v>
      </c>
      <c r="LPT91" s="74" t="s">
        <v>27</v>
      </c>
      <c r="LPU91" s="74" t="s">
        <v>24</v>
      </c>
      <c r="LPV91" s="75" t="s">
        <v>25</v>
      </c>
      <c r="LPW91" s="76">
        <f>IFERROR(VLOOKUP(LPV91,'[1]List KPI'!$A$103:$F$118,6,0),"")</f>
        <v>1.0416666666666666E-2</v>
      </c>
      <c r="LPX91" s="76">
        <v>0.86944444444444446</v>
      </c>
      <c r="LPY91" s="76">
        <v>0.86944444444444446</v>
      </c>
      <c r="LPZ91" s="77" t="str">
        <f t="shared" si="257"/>
        <v>O</v>
      </c>
      <c r="LQA91" s="74" t="s">
        <v>28</v>
      </c>
      <c r="LQB91" s="75" t="s">
        <v>23</v>
      </c>
      <c r="LQC91" s="78">
        <f>IFERROR(VLOOKUP(LQB91,'[1]List KPI'!$M$3:$N$8,2,0),"")</f>
        <v>2.0833333333333332E-2</v>
      </c>
      <c r="LQD91" s="76">
        <v>0.89444444444444449</v>
      </c>
      <c r="LQE91" s="77" t="str">
        <f t="shared" si="258"/>
        <v>O</v>
      </c>
      <c r="LQF91" s="79">
        <v>5</v>
      </c>
      <c r="LQG91" s="75">
        <v>1276006</v>
      </c>
      <c r="LQH91" s="80"/>
      <c r="LQI91" s="81">
        <v>0.86944444444444446</v>
      </c>
      <c r="LQJ91" s="74" t="s">
        <v>27</v>
      </c>
      <c r="LQK91" s="74" t="s">
        <v>24</v>
      </c>
      <c r="LQL91" s="75" t="s">
        <v>25</v>
      </c>
      <c r="LQM91" s="76">
        <f>IFERROR(VLOOKUP(LQL91,'[1]List KPI'!$A$103:$F$118,6,0),"")</f>
        <v>1.0416666666666666E-2</v>
      </c>
      <c r="LQN91" s="76">
        <v>0.86944444444444446</v>
      </c>
      <c r="LQO91" s="76">
        <v>0.86944444444444446</v>
      </c>
      <c r="LQP91" s="77" t="str">
        <f t="shared" si="257"/>
        <v>O</v>
      </c>
      <c r="LQQ91" s="74" t="s">
        <v>28</v>
      </c>
      <c r="LQR91" s="75" t="s">
        <v>23</v>
      </c>
      <c r="LQS91" s="78">
        <f>IFERROR(VLOOKUP(LQR91,'[1]List KPI'!$M$3:$N$8,2,0),"")</f>
        <v>2.0833333333333332E-2</v>
      </c>
      <c r="LQT91" s="76">
        <v>0.89444444444444449</v>
      </c>
      <c r="LQU91" s="77" t="str">
        <f t="shared" si="258"/>
        <v>O</v>
      </c>
      <c r="LQV91" s="79">
        <v>5</v>
      </c>
      <c r="LQW91" s="75">
        <v>1276006</v>
      </c>
      <c r="LQX91" s="80"/>
      <c r="LQY91" s="81">
        <v>0.86944444444444446</v>
      </c>
      <c r="LQZ91" s="74" t="s">
        <v>27</v>
      </c>
      <c r="LRA91" s="74" t="s">
        <v>24</v>
      </c>
      <c r="LRB91" s="75" t="s">
        <v>25</v>
      </c>
      <c r="LRC91" s="76">
        <f>IFERROR(VLOOKUP(LRB91,'[1]List KPI'!$A$103:$F$118,6,0),"")</f>
        <v>1.0416666666666666E-2</v>
      </c>
      <c r="LRD91" s="76">
        <v>0.86944444444444446</v>
      </c>
      <c r="LRE91" s="76">
        <v>0.86944444444444446</v>
      </c>
      <c r="LRF91" s="77" t="str">
        <f t="shared" ref="LRF91:LTB91" si="259">IF(LRE91="","",IF(LRE91&gt;LRN91,"O","P"))</f>
        <v>O</v>
      </c>
      <c r="LRG91" s="74" t="s">
        <v>28</v>
      </c>
      <c r="LRH91" s="75" t="s">
        <v>23</v>
      </c>
      <c r="LRI91" s="78">
        <f>IFERROR(VLOOKUP(LRH91,'[1]List KPI'!$M$3:$N$8,2,0),"")</f>
        <v>2.0833333333333332E-2</v>
      </c>
      <c r="LRJ91" s="76">
        <v>0.89444444444444449</v>
      </c>
      <c r="LRK91" s="77" t="str">
        <f t="shared" ref="LRK91:LTG91" si="260">IF(LRJ91="","",IF(LRJ91&gt;LRO91,"O","P"))</f>
        <v>O</v>
      </c>
      <c r="LRL91" s="79">
        <v>5</v>
      </c>
      <c r="LRM91" s="75">
        <v>1276006</v>
      </c>
      <c r="LRN91" s="80"/>
      <c r="LRO91" s="81">
        <v>0.86944444444444446</v>
      </c>
      <c r="LRP91" s="74" t="s">
        <v>27</v>
      </c>
      <c r="LRQ91" s="74" t="s">
        <v>24</v>
      </c>
      <c r="LRR91" s="75" t="s">
        <v>25</v>
      </c>
      <c r="LRS91" s="76">
        <f>IFERROR(VLOOKUP(LRR91,'[1]List KPI'!$A$103:$F$118,6,0),"")</f>
        <v>1.0416666666666666E-2</v>
      </c>
      <c r="LRT91" s="76">
        <v>0.86944444444444446</v>
      </c>
      <c r="LRU91" s="76">
        <v>0.86944444444444446</v>
      </c>
      <c r="LRV91" s="77" t="str">
        <f t="shared" si="259"/>
        <v>O</v>
      </c>
      <c r="LRW91" s="74" t="s">
        <v>28</v>
      </c>
      <c r="LRX91" s="75" t="s">
        <v>23</v>
      </c>
      <c r="LRY91" s="78">
        <f>IFERROR(VLOOKUP(LRX91,'[1]List KPI'!$M$3:$N$8,2,0),"")</f>
        <v>2.0833333333333332E-2</v>
      </c>
      <c r="LRZ91" s="76">
        <v>0.89444444444444449</v>
      </c>
      <c r="LSA91" s="77" t="str">
        <f t="shared" si="260"/>
        <v>O</v>
      </c>
      <c r="LSB91" s="79">
        <v>5</v>
      </c>
      <c r="LSC91" s="75">
        <v>1276006</v>
      </c>
      <c r="LSD91" s="80"/>
      <c r="LSE91" s="81">
        <v>0.86944444444444446</v>
      </c>
      <c r="LSF91" s="74" t="s">
        <v>27</v>
      </c>
      <c r="LSG91" s="74" t="s">
        <v>24</v>
      </c>
      <c r="LSH91" s="75" t="s">
        <v>25</v>
      </c>
      <c r="LSI91" s="76">
        <f>IFERROR(VLOOKUP(LSH91,'[1]List KPI'!$A$103:$F$118,6,0),"")</f>
        <v>1.0416666666666666E-2</v>
      </c>
      <c r="LSJ91" s="76">
        <v>0.86944444444444446</v>
      </c>
      <c r="LSK91" s="76">
        <v>0.86944444444444446</v>
      </c>
      <c r="LSL91" s="77" t="str">
        <f t="shared" si="259"/>
        <v>O</v>
      </c>
      <c r="LSM91" s="74" t="s">
        <v>28</v>
      </c>
      <c r="LSN91" s="75" t="s">
        <v>23</v>
      </c>
      <c r="LSO91" s="78">
        <f>IFERROR(VLOOKUP(LSN91,'[1]List KPI'!$M$3:$N$8,2,0),"")</f>
        <v>2.0833333333333332E-2</v>
      </c>
      <c r="LSP91" s="76">
        <v>0.89444444444444449</v>
      </c>
      <c r="LSQ91" s="77" t="str">
        <f t="shared" si="260"/>
        <v>O</v>
      </c>
      <c r="LSR91" s="79">
        <v>5</v>
      </c>
      <c r="LSS91" s="75">
        <v>1276006</v>
      </c>
      <c r="LST91" s="80"/>
      <c r="LSU91" s="81">
        <v>0.86944444444444446</v>
      </c>
      <c r="LSV91" s="74" t="s">
        <v>27</v>
      </c>
      <c r="LSW91" s="74" t="s">
        <v>24</v>
      </c>
      <c r="LSX91" s="75" t="s">
        <v>25</v>
      </c>
      <c r="LSY91" s="76">
        <f>IFERROR(VLOOKUP(LSX91,'[1]List KPI'!$A$103:$F$118,6,0),"")</f>
        <v>1.0416666666666666E-2</v>
      </c>
      <c r="LSZ91" s="76">
        <v>0.86944444444444446</v>
      </c>
      <c r="LTA91" s="76">
        <v>0.86944444444444446</v>
      </c>
      <c r="LTB91" s="77" t="str">
        <f t="shared" si="259"/>
        <v>O</v>
      </c>
      <c r="LTC91" s="74" t="s">
        <v>28</v>
      </c>
      <c r="LTD91" s="75" t="s">
        <v>23</v>
      </c>
      <c r="LTE91" s="78">
        <f>IFERROR(VLOOKUP(LTD91,'[1]List KPI'!$M$3:$N$8,2,0),"")</f>
        <v>2.0833333333333332E-2</v>
      </c>
      <c r="LTF91" s="76">
        <v>0.89444444444444449</v>
      </c>
      <c r="LTG91" s="77" t="str">
        <f t="shared" si="260"/>
        <v>O</v>
      </c>
      <c r="LTH91" s="79">
        <v>5</v>
      </c>
      <c r="LTI91" s="75">
        <v>1276006</v>
      </c>
      <c r="LTJ91" s="80"/>
      <c r="LTK91" s="81">
        <v>0.86944444444444446</v>
      </c>
      <c r="LTL91" s="74" t="s">
        <v>27</v>
      </c>
      <c r="LTM91" s="74" t="s">
        <v>24</v>
      </c>
      <c r="LTN91" s="75" t="s">
        <v>25</v>
      </c>
      <c r="LTO91" s="76">
        <f>IFERROR(VLOOKUP(LTN91,'[1]List KPI'!$A$103:$F$118,6,0),"")</f>
        <v>1.0416666666666666E-2</v>
      </c>
      <c r="LTP91" s="76">
        <v>0.86944444444444446</v>
      </c>
      <c r="LTQ91" s="76">
        <v>0.86944444444444446</v>
      </c>
      <c r="LTR91" s="77" t="str">
        <f t="shared" ref="LTR91:LVN91" si="261">IF(LTQ91="","",IF(LTQ91&gt;LTZ91,"O","P"))</f>
        <v>O</v>
      </c>
      <c r="LTS91" s="74" t="s">
        <v>28</v>
      </c>
      <c r="LTT91" s="75" t="s">
        <v>23</v>
      </c>
      <c r="LTU91" s="78">
        <f>IFERROR(VLOOKUP(LTT91,'[1]List KPI'!$M$3:$N$8,2,0),"")</f>
        <v>2.0833333333333332E-2</v>
      </c>
      <c r="LTV91" s="76">
        <v>0.89444444444444449</v>
      </c>
      <c r="LTW91" s="77" t="str">
        <f t="shared" ref="LTW91:LVS91" si="262">IF(LTV91="","",IF(LTV91&gt;LUA91,"O","P"))</f>
        <v>O</v>
      </c>
      <c r="LTX91" s="79">
        <v>5</v>
      </c>
      <c r="LTY91" s="75">
        <v>1276006</v>
      </c>
      <c r="LTZ91" s="80"/>
      <c r="LUA91" s="81">
        <v>0.86944444444444446</v>
      </c>
      <c r="LUB91" s="74" t="s">
        <v>27</v>
      </c>
      <c r="LUC91" s="74" t="s">
        <v>24</v>
      </c>
      <c r="LUD91" s="75" t="s">
        <v>25</v>
      </c>
      <c r="LUE91" s="76">
        <f>IFERROR(VLOOKUP(LUD91,'[1]List KPI'!$A$103:$F$118,6,0),"")</f>
        <v>1.0416666666666666E-2</v>
      </c>
      <c r="LUF91" s="76">
        <v>0.86944444444444446</v>
      </c>
      <c r="LUG91" s="76">
        <v>0.86944444444444446</v>
      </c>
      <c r="LUH91" s="77" t="str">
        <f t="shared" si="261"/>
        <v>O</v>
      </c>
      <c r="LUI91" s="74" t="s">
        <v>28</v>
      </c>
      <c r="LUJ91" s="75" t="s">
        <v>23</v>
      </c>
      <c r="LUK91" s="78">
        <f>IFERROR(VLOOKUP(LUJ91,'[1]List KPI'!$M$3:$N$8,2,0),"")</f>
        <v>2.0833333333333332E-2</v>
      </c>
      <c r="LUL91" s="76">
        <v>0.89444444444444449</v>
      </c>
      <c r="LUM91" s="77" t="str">
        <f t="shared" si="262"/>
        <v>O</v>
      </c>
      <c r="LUN91" s="79">
        <v>5</v>
      </c>
      <c r="LUO91" s="75">
        <v>1276006</v>
      </c>
      <c r="LUP91" s="80"/>
      <c r="LUQ91" s="81">
        <v>0.86944444444444446</v>
      </c>
      <c r="LUR91" s="74" t="s">
        <v>27</v>
      </c>
      <c r="LUS91" s="74" t="s">
        <v>24</v>
      </c>
      <c r="LUT91" s="75" t="s">
        <v>25</v>
      </c>
      <c r="LUU91" s="76">
        <f>IFERROR(VLOOKUP(LUT91,'[1]List KPI'!$A$103:$F$118,6,0),"")</f>
        <v>1.0416666666666666E-2</v>
      </c>
      <c r="LUV91" s="76">
        <v>0.86944444444444446</v>
      </c>
      <c r="LUW91" s="76">
        <v>0.86944444444444446</v>
      </c>
      <c r="LUX91" s="77" t="str">
        <f t="shared" si="261"/>
        <v>O</v>
      </c>
      <c r="LUY91" s="74" t="s">
        <v>28</v>
      </c>
      <c r="LUZ91" s="75" t="s">
        <v>23</v>
      </c>
      <c r="LVA91" s="78">
        <f>IFERROR(VLOOKUP(LUZ91,'[1]List KPI'!$M$3:$N$8,2,0),"")</f>
        <v>2.0833333333333332E-2</v>
      </c>
      <c r="LVB91" s="76">
        <v>0.89444444444444449</v>
      </c>
      <c r="LVC91" s="77" t="str">
        <f t="shared" si="262"/>
        <v>O</v>
      </c>
      <c r="LVD91" s="79">
        <v>5</v>
      </c>
      <c r="LVE91" s="75">
        <v>1276006</v>
      </c>
      <c r="LVF91" s="80"/>
      <c r="LVG91" s="81">
        <v>0.86944444444444446</v>
      </c>
      <c r="LVH91" s="74" t="s">
        <v>27</v>
      </c>
      <c r="LVI91" s="74" t="s">
        <v>24</v>
      </c>
      <c r="LVJ91" s="75" t="s">
        <v>25</v>
      </c>
      <c r="LVK91" s="76">
        <f>IFERROR(VLOOKUP(LVJ91,'[1]List KPI'!$A$103:$F$118,6,0),"")</f>
        <v>1.0416666666666666E-2</v>
      </c>
      <c r="LVL91" s="76">
        <v>0.86944444444444446</v>
      </c>
      <c r="LVM91" s="76">
        <v>0.86944444444444446</v>
      </c>
      <c r="LVN91" s="77" t="str">
        <f t="shared" si="261"/>
        <v>O</v>
      </c>
      <c r="LVO91" s="74" t="s">
        <v>28</v>
      </c>
      <c r="LVP91" s="75" t="s">
        <v>23</v>
      </c>
      <c r="LVQ91" s="78">
        <f>IFERROR(VLOOKUP(LVP91,'[1]List KPI'!$M$3:$N$8,2,0),"")</f>
        <v>2.0833333333333332E-2</v>
      </c>
      <c r="LVR91" s="76">
        <v>0.89444444444444449</v>
      </c>
      <c r="LVS91" s="77" t="str">
        <f t="shared" si="262"/>
        <v>O</v>
      </c>
      <c r="LVT91" s="79">
        <v>5</v>
      </c>
      <c r="LVU91" s="75">
        <v>1276006</v>
      </c>
      <c r="LVV91" s="80"/>
      <c r="LVW91" s="81">
        <v>0.86944444444444446</v>
      </c>
      <c r="LVX91" s="74" t="s">
        <v>27</v>
      </c>
      <c r="LVY91" s="74" t="s">
        <v>24</v>
      </c>
      <c r="LVZ91" s="75" t="s">
        <v>25</v>
      </c>
      <c r="LWA91" s="76">
        <f>IFERROR(VLOOKUP(LVZ91,'[1]List KPI'!$A$103:$F$118,6,0),"")</f>
        <v>1.0416666666666666E-2</v>
      </c>
      <c r="LWB91" s="76">
        <v>0.86944444444444446</v>
      </c>
      <c r="LWC91" s="76">
        <v>0.86944444444444446</v>
      </c>
      <c r="LWD91" s="77" t="str">
        <f t="shared" ref="LWD91:LXZ91" si="263">IF(LWC91="","",IF(LWC91&gt;LWL91,"O","P"))</f>
        <v>O</v>
      </c>
      <c r="LWE91" s="74" t="s">
        <v>28</v>
      </c>
      <c r="LWF91" s="75" t="s">
        <v>23</v>
      </c>
      <c r="LWG91" s="78">
        <f>IFERROR(VLOOKUP(LWF91,'[1]List KPI'!$M$3:$N$8,2,0),"")</f>
        <v>2.0833333333333332E-2</v>
      </c>
      <c r="LWH91" s="76">
        <v>0.89444444444444449</v>
      </c>
      <c r="LWI91" s="77" t="str">
        <f t="shared" ref="LWI91:LYE91" si="264">IF(LWH91="","",IF(LWH91&gt;LWM91,"O","P"))</f>
        <v>O</v>
      </c>
      <c r="LWJ91" s="79">
        <v>5</v>
      </c>
      <c r="LWK91" s="75">
        <v>1276006</v>
      </c>
      <c r="LWL91" s="80"/>
      <c r="LWM91" s="81">
        <v>0.86944444444444446</v>
      </c>
      <c r="LWN91" s="74" t="s">
        <v>27</v>
      </c>
      <c r="LWO91" s="74" t="s">
        <v>24</v>
      </c>
      <c r="LWP91" s="75" t="s">
        <v>25</v>
      </c>
      <c r="LWQ91" s="76">
        <f>IFERROR(VLOOKUP(LWP91,'[1]List KPI'!$A$103:$F$118,6,0),"")</f>
        <v>1.0416666666666666E-2</v>
      </c>
      <c r="LWR91" s="76">
        <v>0.86944444444444446</v>
      </c>
      <c r="LWS91" s="76">
        <v>0.86944444444444446</v>
      </c>
      <c r="LWT91" s="77" t="str">
        <f t="shared" si="263"/>
        <v>O</v>
      </c>
      <c r="LWU91" s="74" t="s">
        <v>28</v>
      </c>
      <c r="LWV91" s="75" t="s">
        <v>23</v>
      </c>
      <c r="LWW91" s="78">
        <f>IFERROR(VLOOKUP(LWV91,'[1]List KPI'!$M$3:$N$8,2,0),"")</f>
        <v>2.0833333333333332E-2</v>
      </c>
      <c r="LWX91" s="76">
        <v>0.89444444444444449</v>
      </c>
      <c r="LWY91" s="77" t="str">
        <f t="shared" si="264"/>
        <v>O</v>
      </c>
      <c r="LWZ91" s="79">
        <v>5</v>
      </c>
      <c r="LXA91" s="75">
        <v>1276006</v>
      </c>
      <c r="LXB91" s="80"/>
      <c r="LXC91" s="81">
        <v>0.86944444444444446</v>
      </c>
      <c r="LXD91" s="74" t="s">
        <v>27</v>
      </c>
      <c r="LXE91" s="74" t="s">
        <v>24</v>
      </c>
      <c r="LXF91" s="75" t="s">
        <v>25</v>
      </c>
      <c r="LXG91" s="76">
        <f>IFERROR(VLOOKUP(LXF91,'[1]List KPI'!$A$103:$F$118,6,0),"")</f>
        <v>1.0416666666666666E-2</v>
      </c>
      <c r="LXH91" s="76">
        <v>0.86944444444444446</v>
      </c>
      <c r="LXI91" s="76">
        <v>0.86944444444444446</v>
      </c>
      <c r="LXJ91" s="77" t="str">
        <f t="shared" si="263"/>
        <v>O</v>
      </c>
      <c r="LXK91" s="74" t="s">
        <v>28</v>
      </c>
      <c r="LXL91" s="75" t="s">
        <v>23</v>
      </c>
      <c r="LXM91" s="78">
        <f>IFERROR(VLOOKUP(LXL91,'[1]List KPI'!$M$3:$N$8,2,0),"")</f>
        <v>2.0833333333333332E-2</v>
      </c>
      <c r="LXN91" s="76">
        <v>0.89444444444444449</v>
      </c>
      <c r="LXO91" s="77" t="str">
        <f t="shared" si="264"/>
        <v>O</v>
      </c>
      <c r="LXP91" s="79">
        <v>5</v>
      </c>
      <c r="LXQ91" s="75">
        <v>1276006</v>
      </c>
      <c r="LXR91" s="80"/>
      <c r="LXS91" s="81">
        <v>0.86944444444444446</v>
      </c>
      <c r="LXT91" s="74" t="s">
        <v>27</v>
      </c>
      <c r="LXU91" s="74" t="s">
        <v>24</v>
      </c>
      <c r="LXV91" s="75" t="s">
        <v>25</v>
      </c>
      <c r="LXW91" s="76">
        <f>IFERROR(VLOOKUP(LXV91,'[1]List KPI'!$A$103:$F$118,6,0),"")</f>
        <v>1.0416666666666666E-2</v>
      </c>
      <c r="LXX91" s="76">
        <v>0.86944444444444446</v>
      </c>
      <c r="LXY91" s="76">
        <v>0.86944444444444446</v>
      </c>
      <c r="LXZ91" s="77" t="str">
        <f t="shared" si="263"/>
        <v>O</v>
      </c>
      <c r="LYA91" s="74" t="s">
        <v>28</v>
      </c>
      <c r="LYB91" s="75" t="s">
        <v>23</v>
      </c>
      <c r="LYC91" s="78">
        <f>IFERROR(VLOOKUP(LYB91,'[1]List KPI'!$M$3:$N$8,2,0),"")</f>
        <v>2.0833333333333332E-2</v>
      </c>
      <c r="LYD91" s="76">
        <v>0.89444444444444449</v>
      </c>
      <c r="LYE91" s="77" t="str">
        <f t="shared" si="264"/>
        <v>O</v>
      </c>
      <c r="LYF91" s="79">
        <v>5</v>
      </c>
      <c r="LYG91" s="75">
        <v>1276006</v>
      </c>
      <c r="LYH91" s="80"/>
      <c r="LYI91" s="81">
        <v>0.86944444444444446</v>
      </c>
      <c r="LYJ91" s="74" t="s">
        <v>27</v>
      </c>
      <c r="LYK91" s="74" t="s">
        <v>24</v>
      </c>
      <c r="LYL91" s="75" t="s">
        <v>25</v>
      </c>
      <c r="LYM91" s="76">
        <f>IFERROR(VLOOKUP(LYL91,'[1]List KPI'!$A$103:$F$118,6,0),"")</f>
        <v>1.0416666666666666E-2</v>
      </c>
      <c r="LYN91" s="76">
        <v>0.86944444444444446</v>
      </c>
      <c r="LYO91" s="76">
        <v>0.86944444444444446</v>
      </c>
      <c r="LYP91" s="77" t="str">
        <f t="shared" ref="LYP91:MAL91" si="265">IF(LYO91="","",IF(LYO91&gt;LYX91,"O","P"))</f>
        <v>O</v>
      </c>
      <c r="LYQ91" s="74" t="s">
        <v>28</v>
      </c>
      <c r="LYR91" s="75" t="s">
        <v>23</v>
      </c>
      <c r="LYS91" s="78">
        <f>IFERROR(VLOOKUP(LYR91,'[1]List KPI'!$M$3:$N$8,2,0),"")</f>
        <v>2.0833333333333332E-2</v>
      </c>
      <c r="LYT91" s="76">
        <v>0.89444444444444449</v>
      </c>
      <c r="LYU91" s="77" t="str">
        <f t="shared" ref="LYU91:MAQ91" si="266">IF(LYT91="","",IF(LYT91&gt;LYY91,"O","P"))</f>
        <v>O</v>
      </c>
      <c r="LYV91" s="79">
        <v>5</v>
      </c>
      <c r="LYW91" s="75">
        <v>1276006</v>
      </c>
      <c r="LYX91" s="80"/>
      <c r="LYY91" s="81">
        <v>0.86944444444444446</v>
      </c>
      <c r="LYZ91" s="74" t="s">
        <v>27</v>
      </c>
      <c r="LZA91" s="74" t="s">
        <v>24</v>
      </c>
      <c r="LZB91" s="75" t="s">
        <v>25</v>
      </c>
      <c r="LZC91" s="76">
        <f>IFERROR(VLOOKUP(LZB91,'[1]List KPI'!$A$103:$F$118,6,0),"")</f>
        <v>1.0416666666666666E-2</v>
      </c>
      <c r="LZD91" s="76">
        <v>0.86944444444444446</v>
      </c>
      <c r="LZE91" s="76">
        <v>0.86944444444444446</v>
      </c>
      <c r="LZF91" s="77" t="str">
        <f t="shared" si="265"/>
        <v>O</v>
      </c>
      <c r="LZG91" s="74" t="s">
        <v>28</v>
      </c>
      <c r="LZH91" s="75" t="s">
        <v>23</v>
      </c>
      <c r="LZI91" s="78">
        <f>IFERROR(VLOOKUP(LZH91,'[1]List KPI'!$M$3:$N$8,2,0),"")</f>
        <v>2.0833333333333332E-2</v>
      </c>
      <c r="LZJ91" s="76">
        <v>0.89444444444444449</v>
      </c>
      <c r="LZK91" s="77" t="str">
        <f t="shared" si="266"/>
        <v>O</v>
      </c>
      <c r="LZL91" s="79">
        <v>5</v>
      </c>
      <c r="LZM91" s="75">
        <v>1276006</v>
      </c>
      <c r="LZN91" s="80"/>
      <c r="LZO91" s="81">
        <v>0.86944444444444446</v>
      </c>
      <c r="LZP91" s="74" t="s">
        <v>27</v>
      </c>
      <c r="LZQ91" s="74" t="s">
        <v>24</v>
      </c>
      <c r="LZR91" s="75" t="s">
        <v>25</v>
      </c>
      <c r="LZS91" s="76">
        <f>IFERROR(VLOOKUP(LZR91,'[1]List KPI'!$A$103:$F$118,6,0),"")</f>
        <v>1.0416666666666666E-2</v>
      </c>
      <c r="LZT91" s="76">
        <v>0.86944444444444446</v>
      </c>
      <c r="LZU91" s="76">
        <v>0.86944444444444446</v>
      </c>
      <c r="LZV91" s="77" t="str">
        <f t="shared" si="265"/>
        <v>O</v>
      </c>
      <c r="LZW91" s="74" t="s">
        <v>28</v>
      </c>
      <c r="LZX91" s="75" t="s">
        <v>23</v>
      </c>
      <c r="LZY91" s="78">
        <f>IFERROR(VLOOKUP(LZX91,'[1]List KPI'!$M$3:$N$8,2,0),"")</f>
        <v>2.0833333333333332E-2</v>
      </c>
      <c r="LZZ91" s="76">
        <v>0.89444444444444449</v>
      </c>
      <c r="MAA91" s="77" t="str">
        <f t="shared" si="266"/>
        <v>O</v>
      </c>
      <c r="MAB91" s="79">
        <v>5</v>
      </c>
      <c r="MAC91" s="75">
        <v>1276006</v>
      </c>
      <c r="MAD91" s="80"/>
      <c r="MAE91" s="81">
        <v>0.86944444444444446</v>
      </c>
      <c r="MAF91" s="74" t="s">
        <v>27</v>
      </c>
      <c r="MAG91" s="74" t="s">
        <v>24</v>
      </c>
      <c r="MAH91" s="75" t="s">
        <v>25</v>
      </c>
      <c r="MAI91" s="76">
        <f>IFERROR(VLOOKUP(MAH91,'[1]List KPI'!$A$103:$F$118,6,0),"")</f>
        <v>1.0416666666666666E-2</v>
      </c>
      <c r="MAJ91" s="76">
        <v>0.86944444444444446</v>
      </c>
      <c r="MAK91" s="76">
        <v>0.86944444444444446</v>
      </c>
      <c r="MAL91" s="77" t="str">
        <f t="shared" si="265"/>
        <v>O</v>
      </c>
      <c r="MAM91" s="74" t="s">
        <v>28</v>
      </c>
      <c r="MAN91" s="75" t="s">
        <v>23</v>
      </c>
      <c r="MAO91" s="78">
        <f>IFERROR(VLOOKUP(MAN91,'[1]List KPI'!$M$3:$N$8,2,0),"")</f>
        <v>2.0833333333333332E-2</v>
      </c>
      <c r="MAP91" s="76">
        <v>0.89444444444444449</v>
      </c>
      <c r="MAQ91" s="77" t="str">
        <f t="shared" si="266"/>
        <v>O</v>
      </c>
      <c r="MAR91" s="79">
        <v>5</v>
      </c>
      <c r="MAS91" s="75">
        <v>1276006</v>
      </c>
      <c r="MAT91" s="80"/>
      <c r="MAU91" s="81">
        <v>0.86944444444444446</v>
      </c>
      <c r="MAV91" s="74" t="s">
        <v>27</v>
      </c>
      <c r="MAW91" s="74" t="s">
        <v>24</v>
      </c>
      <c r="MAX91" s="75" t="s">
        <v>25</v>
      </c>
      <c r="MAY91" s="76">
        <f>IFERROR(VLOOKUP(MAX91,'[1]List KPI'!$A$103:$F$118,6,0),"")</f>
        <v>1.0416666666666666E-2</v>
      </c>
      <c r="MAZ91" s="76">
        <v>0.86944444444444446</v>
      </c>
      <c r="MBA91" s="76">
        <v>0.86944444444444446</v>
      </c>
      <c r="MBB91" s="77" t="str">
        <f t="shared" ref="MBB91:MCX91" si="267">IF(MBA91="","",IF(MBA91&gt;MBJ91,"O","P"))</f>
        <v>O</v>
      </c>
      <c r="MBC91" s="74" t="s">
        <v>28</v>
      </c>
      <c r="MBD91" s="75" t="s">
        <v>23</v>
      </c>
      <c r="MBE91" s="78">
        <f>IFERROR(VLOOKUP(MBD91,'[1]List KPI'!$M$3:$N$8,2,0),"")</f>
        <v>2.0833333333333332E-2</v>
      </c>
      <c r="MBF91" s="76">
        <v>0.89444444444444449</v>
      </c>
      <c r="MBG91" s="77" t="str">
        <f t="shared" ref="MBG91:MDC91" si="268">IF(MBF91="","",IF(MBF91&gt;MBK91,"O","P"))</f>
        <v>O</v>
      </c>
      <c r="MBH91" s="79">
        <v>5</v>
      </c>
      <c r="MBI91" s="75">
        <v>1276006</v>
      </c>
      <c r="MBJ91" s="80"/>
      <c r="MBK91" s="81">
        <v>0.86944444444444446</v>
      </c>
      <c r="MBL91" s="74" t="s">
        <v>27</v>
      </c>
      <c r="MBM91" s="74" t="s">
        <v>24</v>
      </c>
      <c r="MBN91" s="75" t="s">
        <v>25</v>
      </c>
      <c r="MBO91" s="76">
        <f>IFERROR(VLOOKUP(MBN91,'[1]List KPI'!$A$103:$F$118,6,0),"")</f>
        <v>1.0416666666666666E-2</v>
      </c>
      <c r="MBP91" s="76">
        <v>0.86944444444444446</v>
      </c>
      <c r="MBQ91" s="76">
        <v>0.86944444444444446</v>
      </c>
      <c r="MBR91" s="77" t="str">
        <f t="shared" si="267"/>
        <v>O</v>
      </c>
      <c r="MBS91" s="74" t="s">
        <v>28</v>
      </c>
      <c r="MBT91" s="75" t="s">
        <v>23</v>
      </c>
      <c r="MBU91" s="78">
        <f>IFERROR(VLOOKUP(MBT91,'[1]List KPI'!$M$3:$N$8,2,0),"")</f>
        <v>2.0833333333333332E-2</v>
      </c>
      <c r="MBV91" s="76">
        <v>0.89444444444444449</v>
      </c>
      <c r="MBW91" s="77" t="str">
        <f t="shared" si="268"/>
        <v>O</v>
      </c>
      <c r="MBX91" s="79">
        <v>5</v>
      </c>
      <c r="MBY91" s="75">
        <v>1276006</v>
      </c>
      <c r="MBZ91" s="80"/>
      <c r="MCA91" s="81">
        <v>0.86944444444444446</v>
      </c>
      <c r="MCB91" s="74" t="s">
        <v>27</v>
      </c>
      <c r="MCC91" s="74" t="s">
        <v>24</v>
      </c>
      <c r="MCD91" s="75" t="s">
        <v>25</v>
      </c>
      <c r="MCE91" s="76">
        <f>IFERROR(VLOOKUP(MCD91,'[1]List KPI'!$A$103:$F$118,6,0),"")</f>
        <v>1.0416666666666666E-2</v>
      </c>
      <c r="MCF91" s="76">
        <v>0.86944444444444446</v>
      </c>
      <c r="MCG91" s="76">
        <v>0.86944444444444446</v>
      </c>
      <c r="MCH91" s="77" t="str">
        <f t="shared" si="267"/>
        <v>O</v>
      </c>
      <c r="MCI91" s="74" t="s">
        <v>28</v>
      </c>
      <c r="MCJ91" s="75" t="s">
        <v>23</v>
      </c>
      <c r="MCK91" s="78">
        <f>IFERROR(VLOOKUP(MCJ91,'[1]List KPI'!$M$3:$N$8,2,0),"")</f>
        <v>2.0833333333333332E-2</v>
      </c>
      <c r="MCL91" s="76">
        <v>0.89444444444444449</v>
      </c>
      <c r="MCM91" s="77" t="str">
        <f t="shared" si="268"/>
        <v>O</v>
      </c>
      <c r="MCN91" s="79">
        <v>5</v>
      </c>
      <c r="MCO91" s="75">
        <v>1276006</v>
      </c>
      <c r="MCP91" s="80"/>
      <c r="MCQ91" s="81">
        <v>0.86944444444444446</v>
      </c>
      <c r="MCR91" s="74" t="s">
        <v>27</v>
      </c>
      <c r="MCS91" s="74" t="s">
        <v>24</v>
      </c>
      <c r="MCT91" s="75" t="s">
        <v>25</v>
      </c>
      <c r="MCU91" s="76">
        <f>IFERROR(VLOOKUP(MCT91,'[1]List KPI'!$A$103:$F$118,6,0),"")</f>
        <v>1.0416666666666666E-2</v>
      </c>
      <c r="MCV91" s="76">
        <v>0.86944444444444446</v>
      </c>
      <c r="MCW91" s="76">
        <v>0.86944444444444446</v>
      </c>
      <c r="MCX91" s="77" t="str">
        <f t="shared" si="267"/>
        <v>O</v>
      </c>
      <c r="MCY91" s="74" t="s">
        <v>28</v>
      </c>
      <c r="MCZ91" s="75" t="s">
        <v>23</v>
      </c>
      <c r="MDA91" s="78">
        <f>IFERROR(VLOOKUP(MCZ91,'[1]List KPI'!$M$3:$N$8,2,0),"")</f>
        <v>2.0833333333333332E-2</v>
      </c>
      <c r="MDB91" s="76">
        <v>0.89444444444444449</v>
      </c>
      <c r="MDC91" s="77" t="str">
        <f t="shared" si="268"/>
        <v>O</v>
      </c>
      <c r="MDD91" s="79">
        <v>5</v>
      </c>
      <c r="MDE91" s="75">
        <v>1276006</v>
      </c>
      <c r="MDF91" s="80"/>
      <c r="MDG91" s="81">
        <v>0.86944444444444446</v>
      </c>
      <c r="MDH91" s="74" t="s">
        <v>27</v>
      </c>
      <c r="MDI91" s="74" t="s">
        <v>24</v>
      </c>
      <c r="MDJ91" s="75" t="s">
        <v>25</v>
      </c>
      <c r="MDK91" s="76">
        <f>IFERROR(VLOOKUP(MDJ91,'[1]List KPI'!$A$103:$F$118,6,0),"")</f>
        <v>1.0416666666666666E-2</v>
      </c>
      <c r="MDL91" s="76">
        <v>0.86944444444444446</v>
      </c>
      <c r="MDM91" s="76">
        <v>0.86944444444444446</v>
      </c>
      <c r="MDN91" s="77" t="str">
        <f t="shared" ref="MDN91:MFJ91" si="269">IF(MDM91="","",IF(MDM91&gt;MDV91,"O","P"))</f>
        <v>O</v>
      </c>
      <c r="MDO91" s="74" t="s">
        <v>28</v>
      </c>
      <c r="MDP91" s="75" t="s">
        <v>23</v>
      </c>
      <c r="MDQ91" s="78">
        <f>IFERROR(VLOOKUP(MDP91,'[1]List KPI'!$M$3:$N$8,2,0),"")</f>
        <v>2.0833333333333332E-2</v>
      </c>
      <c r="MDR91" s="76">
        <v>0.89444444444444449</v>
      </c>
      <c r="MDS91" s="77" t="str">
        <f t="shared" ref="MDS91:MFO91" si="270">IF(MDR91="","",IF(MDR91&gt;MDW91,"O","P"))</f>
        <v>O</v>
      </c>
      <c r="MDT91" s="79">
        <v>5</v>
      </c>
      <c r="MDU91" s="75">
        <v>1276006</v>
      </c>
      <c r="MDV91" s="80"/>
      <c r="MDW91" s="81">
        <v>0.86944444444444446</v>
      </c>
      <c r="MDX91" s="74" t="s">
        <v>27</v>
      </c>
      <c r="MDY91" s="74" t="s">
        <v>24</v>
      </c>
      <c r="MDZ91" s="75" t="s">
        <v>25</v>
      </c>
      <c r="MEA91" s="76">
        <f>IFERROR(VLOOKUP(MDZ91,'[1]List KPI'!$A$103:$F$118,6,0),"")</f>
        <v>1.0416666666666666E-2</v>
      </c>
      <c r="MEB91" s="76">
        <v>0.86944444444444446</v>
      </c>
      <c r="MEC91" s="76">
        <v>0.86944444444444446</v>
      </c>
      <c r="MED91" s="77" t="str">
        <f t="shared" si="269"/>
        <v>O</v>
      </c>
      <c r="MEE91" s="74" t="s">
        <v>28</v>
      </c>
      <c r="MEF91" s="75" t="s">
        <v>23</v>
      </c>
      <c r="MEG91" s="78">
        <f>IFERROR(VLOOKUP(MEF91,'[1]List KPI'!$M$3:$N$8,2,0),"")</f>
        <v>2.0833333333333332E-2</v>
      </c>
      <c r="MEH91" s="76">
        <v>0.89444444444444449</v>
      </c>
      <c r="MEI91" s="77" t="str">
        <f t="shared" si="270"/>
        <v>O</v>
      </c>
      <c r="MEJ91" s="79">
        <v>5</v>
      </c>
      <c r="MEK91" s="75">
        <v>1276006</v>
      </c>
      <c r="MEL91" s="80"/>
      <c r="MEM91" s="81">
        <v>0.86944444444444446</v>
      </c>
      <c r="MEN91" s="74" t="s">
        <v>27</v>
      </c>
      <c r="MEO91" s="74" t="s">
        <v>24</v>
      </c>
      <c r="MEP91" s="75" t="s">
        <v>25</v>
      </c>
      <c r="MEQ91" s="76">
        <f>IFERROR(VLOOKUP(MEP91,'[1]List KPI'!$A$103:$F$118,6,0),"")</f>
        <v>1.0416666666666666E-2</v>
      </c>
      <c r="MER91" s="76">
        <v>0.86944444444444446</v>
      </c>
      <c r="MES91" s="76">
        <v>0.86944444444444446</v>
      </c>
      <c r="MET91" s="77" t="str">
        <f t="shared" si="269"/>
        <v>O</v>
      </c>
      <c r="MEU91" s="74" t="s">
        <v>28</v>
      </c>
      <c r="MEV91" s="75" t="s">
        <v>23</v>
      </c>
      <c r="MEW91" s="78">
        <f>IFERROR(VLOOKUP(MEV91,'[1]List KPI'!$M$3:$N$8,2,0),"")</f>
        <v>2.0833333333333332E-2</v>
      </c>
      <c r="MEX91" s="76">
        <v>0.89444444444444449</v>
      </c>
      <c r="MEY91" s="77" t="str">
        <f t="shared" si="270"/>
        <v>O</v>
      </c>
      <c r="MEZ91" s="79">
        <v>5</v>
      </c>
      <c r="MFA91" s="75">
        <v>1276006</v>
      </c>
      <c r="MFB91" s="80"/>
      <c r="MFC91" s="81">
        <v>0.86944444444444446</v>
      </c>
      <c r="MFD91" s="74" t="s">
        <v>27</v>
      </c>
      <c r="MFE91" s="74" t="s">
        <v>24</v>
      </c>
      <c r="MFF91" s="75" t="s">
        <v>25</v>
      </c>
      <c r="MFG91" s="76">
        <f>IFERROR(VLOOKUP(MFF91,'[1]List KPI'!$A$103:$F$118,6,0),"")</f>
        <v>1.0416666666666666E-2</v>
      </c>
      <c r="MFH91" s="76">
        <v>0.86944444444444446</v>
      </c>
      <c r="MFI91" s="76">
        <v>0.86944444444444446</v>
      </c>
      <c r="MFJ91" s="77" t="str">
        <f t="shared" si="269"/>
        <v>O</v>
      </c>
      <c r="MFK91" s="74" t="s">
        <v>28</v>
      </c>
      <c r="MFL91" s="75" t="s">
        <v>23</v>
      </c>
      <c r="MFM91" s="78">
        <f>IFERROR(VLOOKUP(MFL91,'[1]List KPI'!$M$3:$N$8,2,0),"")</f>
        <v>2.0833333333333332E-2</v>
      </c>
      <c r="MFN91" s="76">
        <v>0.89444444444444449</v>
      </c>
      <c r="MFO91" s="77" t="str">
        <f t="shared" si="270"/>
        <v>O</v>
      </c>
      <c r="MFP91" s="79">
        <v>5</v>
      </c>
      <c r="MFQ91" s="75">
        <v>1276006</v>
      </c>
      <c r="MFR91" s="80"/>
      <c r="MFS91" s="81">
        <v>0.86944444444444446</v>
      </c>
      <c r="MFT91" s="74" t="s">
        <v>27</v>
      </c>
      <c r="MFU91" s="74" t="s">
        <v>24</v>
      </c>
      <c r="MFV91" s="75" t="s">
        <v>25</v>
      </c>
      <c r="MFW91" s="76">
        <f>IFERROR(VLOOKUP(MFV91,'[1]List KPI'!$A$103:$F$118,6,0),"")</f>
        <v>1.0416666666666666E-2</v>
      </c>
      <c r="MFX91" s="76">
        <v>0.86944444444444446</v>
      </c>
      <c r="MFY91" s="76">
        <v>0.86944444444444446</v>
      </c>
      <c r="MFZ91" s="77" t="str">
        <f t="shared" ref="MFZ91:MHV91" si="271">IF(MFY91="","",IF(MFY91&gt;MGH91,"O","P"))</f>
        <v>O</v>
      </c>
      <c r="MGA91" s="74" t="s">
        <v>28</v>
      </c>
      <c r="MGB91" s="75" t="s">
        <v>23</v>
      </c>
      <c r="MGC91" s="78">
        <f>IFERROR(VLOOKUP(MGB91,'[1]List KPI'!$M$3:$N$8,2,0),"")</f>
        <v>2.0833333333333332E-2</v>
      </c>
      <c r="MGD91" s="76">
        <v>0.89444444444444449</v>
      </c>
      <c r="MGE91" s="77" t="str">
        <f t="shared" ref="MGE91:MIA91" si="272">IF(MGD91="","",IF(MGD91&gt;MGI91,"O","P"))</f>
        <v>O</v>
      </c>
      <c r="MGF91" s="79">
        <v>5</v>
      </c>
      <c r="MGG91" s="75">
        <v>1276006</v>
      </c>
      <c r="MGH91" s="80"/>
      <c r="MGI91" s="81">
        <v>0.86944444444444446</v>
      </c>
      <c r="MGJ91" s="74" t="s">
        <v>27</v>
      </c>
      <c r="MGK91" s="74" t="s">
        <v>24</v>
      </c>
      <c r="MGL91" s="75" t="s">
        <v>25</v>
      </c>
      <c r="MGM91" s="76">
        <f>IFERROR(VLOOKUP(MGL91,'[1]List KPI'!$A$103:$F$118,6,0),"")</f>
        <v>1.0416666666666666E-2</v>
      </c>
      <c r="MGN91" s="76">
        <v>0.86944444444444446</v>
      </c>
      <c r="MGO91" s="76">
        <v>0.86944444444444446</v>
      </c>
      <c r="MGP91" s="77" t="str">
        <f t="shared" si="271"/>
        <v>O</v>
      </c>
      <c r="MGQ91" s="74" t="s">
        <v>28</v>
      </c>
      <c r="MGR91" s="75" t="s">
        <v>23</v>
      </c>
      <c r="MGS91" s="78">
        <f>IFERROR(VLOOKUP(MGR91,'[1]List KPI'!$M$3:$N$8,2,0),"")</f>
        <v>2.0833333333333332E-2</v>
      </c>
      <c r="MGT91" s="76">
        <v>0.89444444444444449</v>
      </c>
      <c r="MGU91" s="77" t="str">
        <f t="shared" si="272"/>
        <v>O</v>
      </c>
      <c r="MGV91" s="79">
        <v>5</v>
      </c>
      <c r="MGW91" s="75">
        <v>1276006</v>
      </c>
      <c r="MGX91" s="80"/>
      <c r="MGY91" s="81">
        <v>0.86944444444444446</v>
      </c>
      <c r="MGZ91" s="74" t="s">
        <v>27</v>
      </c>
      <c r="MHA91" s="74" t="s">
        <v>24</v>
      </c>
      <c r="MHB91" s="75" t="s">
        <v>25</v>
      </c>
      <c r="MHC91" s="76">
        <f>IFERROR(VLOOKUP(MHB91,'[1]List KPI'!$A$103:$F$118,6,0),"")</f>
        <v>1.0416666666666666E-2</v>
      </c>
      <c r="MHD91" s="76">
        <v>0.86944444444444446</v>
      </c>
      <c r="MHE91" s="76">
        <v>0.86944444444444446</v>
      </c>
      <c r="MHF91" s="77" t="str">
        <f t="shared" si="271"/>
        <v>O</v>
      </c>
      <c r="MHG91" s="74" t="s">
        <v>28</v>
      </c>
      <c r="MHH91" s="75" t="s">
        <v>23</v>
      </c>
      <c r="MHI91" s="78">
        <f>IFERROR(VLOOKUP(MHH91,'[1]List KPI'!$M$3:$N$8,2,0),"")</f>
        <v>2.0833333333333332E-2</v>
      </c>
      <c r="MHJ91" s="76">
        <v>0.89444444444444449</v>
      </c>
      <c r="MHK91" s="77" t="str">
        <f t="shared" si="272"/>
        <v>O</v>
      </c>
      <c r="MHL91" s="79">
        <v>5</v>
      </c>
      <c r="MHM91" s="75">
        <v>1276006</v>
      </c>
      <c r="MHN91" s="80"/>
      <c r="MHO91" s="81">
        <v>0.86944444444444446</v>
      </c>
      <c r="MHP91" s="74" t="s">
        <v>27</v>
      </c>
      <c r="MHQ91" s="74" t="s">
        <v>24</v>
      </c>
      <c r="MHR91" s="75" t="s">
        <v>25</v>
      </c>
      <c r="MHS91" s="76">
        <f>IFERROR(VLOOKUP(MHR91,'[1]List KPI'!$A$103:$F$118,6,0),"")</f>
        <v>1.0416666666666666E-2</v>
      </c>
      <c r="MHT91" s="76">
        <v>0.86944444444444446</v>
      </c>
      <c r="MHU91" s="76">
        <v>0.86944444444444446</v>
      </c>
      <c r="MHV91" s="77" t="str">
        <f t="shared" si="271"/>
        <v>O</v>
      </c>
      <c r="MHW91" s="74" t="s">
        <v>28</v>
      </c>
      <c r="MHX91" s="75" t="s">
        <v>23</v>
      </c>
      <c r="MHY91" s="78">
        <f>IFERROR(VLOOKUP(MHX91,'[1]List KPI'!$M$3:$N$8,2,0),"")</f>
        <v>2.0833333333333332E-2</v>
      </c>
      <c r="MHZ91" s="76">
        <v>0.89444444444444449</v>
      </c>
      <c r="MIA91" s="77" t="str">
        <f t="shared" si="272"/>
        <v>O</v>
      </c>
      <c r="MIB91" s="79">
        <v>5</v>
      </c>
      <c r="MIC91" s="75">
        <v>1276006</v>
      </c>
      <c r="MID91" s="80"/>
      <c r="MIE91" s="81">
        <v>0.86944444444444446</v>
      </c>
      <c r="MIF91" s="74" t="s">
        <v>27</v>
      </c>
      <c r="MIG91" s="74" t="s">
        <v>24</v>
      </c>
      <c r="MIH91" s="75" t="s">
        <v>25</v>
      </c>
      <c r="MII91" s="76">
        <f>IFERROR(VLOOKUP(MIH91,'[1]List KPI'!$A$103:$F$118,6,0),"")</f>
        <v>1.0416666666666666E-2</v>
      </c>
      <c r="MIJ91" s="76">
        <v>0.86944444444444446</v>
      </c>
      <c r="MIK91" s="76">
        <v>0.86944444444444446</v>
      </c>
      <c r="MIL91" s="77" t="str">
        <f t="shared" ref="MIL91:MKH91" si="273">IF(MIK91="","",IF(MIK91&gt;MIT91,"O","P"))</f>
        <v>O</v>
      </c>
      <c r="MIM91" s="74" t="s">
        <v>28</v>
      </c>
      <c r="MIN91" s="75" t="s">
        <v>23</v>
      </c>
      <c r="MIO91" s="78">
        <f>IFERROR(VLOOKUP(MIN91,'[1]List KPI'!$M$3:$N$8,2,0),"")</f>
        <v>2.0833333333333332E-2</v>
      </c>
      <c r="MIP91" s="76">
        <v>0.89444444444444449</v>
      </c>
      <c r="MIQ91" s="77" t="str">
        <f t="shared" ref="MIQ91:MKM91" si="274">IF(MIP91="","",IF(MIP91&gt;MIU91,"O","P"))</f>
        <v>O</v>
      </c>
      <c r="MIR91" s="79">
        <v>5</v>
      </c>
      <c r="MIS91" s="75">
        <v>1276006</v>
      </c>
      <c r="MIT91" s="80"/>
      <c r="MIU91" s="81">
        <v>0.86944444444444446</v>
      </c>
      <c r="MIV91" s="74" t="s">
        <v>27</v>
      </c>
      <c r="MIW91" s="74" t="s">
        <v>24</v>
      </c>
      <c r="MIX91" s="75" t="s">
        <v>25</v>
      </c>
      <c r="MIY91" s="76">
        <f>IFERROR(VLOOKUP(MIX91,'[1]List KPI'!$A$103:$F$118,6,0),"")</f>
        <v>1.0416666666666666E-2</v>
      </c>
      <c r="MIZ91" s="76">
        <v>0.86944444444444446</v>
      </c>
      <c r="MJA91" s="76">
        <v>0.86944444444444446</v>
      </c>
      <c r="MJB91" s="77" t="str">
        <f t="shared" si="273"/>
        <v>O</v>
      </c>
      <c r="MJC91" s="74" t="s">
        <v>28</v>
      </c>
      <c r="MJD91" s="75" t="s">
        <v>23</v>
      </c>
      <c r="MJE91" s="78">
        <f>IFERROR(VLOOKUP(MJD91,'[1]List KPI'!$M$3:$N$8,2,0),"")</f>
        <v>2.0833333333333332E-2</v>
      </c>
      <c r="MJF91" s="76">
        <v>0.89444444444444449</v>
      </c>
      <c r="MJG91" s="77" t="str">
        <f t="shared" si="274"/>
        <v>O</v>
      </c>
      <c r="MJH91" s="79">
        <v>5</v>
      </c>
      <c r="MJI91" s="75">
        <v>1276006</v>
      </c>
      <c r="MJJ91" s="80"/>
      <c r="MJK91" s="81">
        <v>0.86944444444444446</v>
      </c>
      <c r="MJL91" s="74" t="s">
        <v>27</v>
      </c>
      <c r="MJM91" s="74" t="s">
        <v>24</v>
      </c>
      <c r="MJN91" s="75" t="s">
        <v>25</v>
      </c>
      <c r="MJO91" s="76">
        <f>IFERROR(VLOOKUP(MJN91,'[1]List KPI'!$A$103:$F$118,6,0),"")</f>
        <v>1.0416666666666666E-2</v>
      </c>
      <c r="MJP91" s="76">
        <v>0.86944444444444446</v>
      </c>
      <c r="MJQ91" s="76">
        <v>0.86944444444444446</v>
      </c>
      <c r="MJR91" s="77" t="str">
        <f t="shared" si="273"/>
        <v>O</v>
      </c>
      <c r="MJS91" s="74" t="s">
        <v>28</v>
      </c>
      <c r="MJT91" s="75" t="s">
        <v>23</v>
      </c>
      <c r="MJU91" s="78">
        <f>IFERROR(VLOOKUP(MJT91,'[1]List KPI'!$M$3:$N$8,2,0),"")</f>
        <v>2.0833333333333332E-2</v>
      </c>
      <c r="MJV91" s="76">
        <v>0.89444444444444449</v>
      </c>
      <c r="MJW91" s="77" t="str">
        <f t="shared" si="274"/>
        <v>O</v>
      </c>
      <c r="MJX91" s="79">
        <v>5</v>
      </c>
      <c r="MJY91" s="75">
        <v>1276006</v>
      </c>
      <c r="MJZ91" s="80"/>
      <c r="MKA91" s="81">
        <v>0.86944444444444446</v>
      </c>
      <c r="MKB91" s="74" t="s">
        <v>27</v>
      </c>
      <c r="MKC91" s="74" t="s">
        <v>24</v>
      </c>
      <c r="MKD91" s="75" t="s">
        <v>25</v>
      </c>
      <c r="MKE91" s="76">
        <f>IFERROR(VLOOKUP(MKD91,'[1]List KPI'!$A$103:$F$118,6,0),"")</f>
        <v>1.0416666666666666E-2</v>
      </c>
      <c r="MKF91" s="76">
        <v>0.86944444444444446</v>
      </c>
      <c r="MKG91" s="76">
        <v>0.86944444444444446</v>
      </c>
      <c r="MKH91" s="77" t="str">
        <f t="shared" si="273"/>
        <v>O</v>
      </c>
      <c r="MKI91" s="74" t="s">
        <v>28</v>
      </c>
      <c r="MKJ91" s="75" t="s">
        <v>23</v>
      </c>
      <c r="MKK91" s="78">
        <f>IFERROR(VLOOKUP(MKJ91,'[1]List KPI'!$M$3:$N$8,2,0),"")</f>
        <v>2.0833333333333332E-2</v>
      </c>
      <c r="MKL91" s="76">
        <v>0.89444444444444449</v>
      </c>
      <c r="MKM91" s="77" t="str">
        <f t="shared" si="274"/>
        <v>O</v>
      </c>
      <c r="MKN91" s="79">
        <v>5</v>
      </c>
      <c r="MKO91" s="75">
        <v>1276006</v>
      </c>
      <c r="MKP91" s="80"/>
      <c r="MKQ91" s="81">
        <v>0.86944444444444446</v>
      </c>
      <c r="MKR91" s="74" t="s">
        <v>27</v>
      </c>
      <c r="MKS91" s="74" t="s">
        <v>24</v>
      </c>
      <c r="MKT91" s="75" t="s">
        <v>25</v>
      </c>
      <c r="MKU91" s="76">
        <f>IFERROR(VLOOKUP(MKT91,'[1]List KPI'!$A$103:$F$118,6,0),"")</f>
        <v>1.0416666666666666E-2</v>
      </c>
      <c r="MKV91" s="76">
        <v>0.86944444444444446</v>
      </c>
      <c r="MKW91" s="76">
        <v>0.86944444444444446</v>
      </c>
      <c r="MKX91" s="77" t="str">
        <f t="shared" ref="MKX91:MMT91" si="275">IF(MKW91="","",IF(MKW91&gt;MLF91,"O","P"))</f>
        <v>O</v>
      </c>
      <c r="MKY91" s="74" t="s">
        <v>28</v>
      </c>
      <c r="MKZ91" s="75" t="s">
        <v>23</v>
      </c>
      <c r="MLA91" s="78">
        <f>IFERROR(VLOOKUP(MKZ91,'[1]List KPI'!$M$3:$N$8,2,0),"")</f>
        <v>2.0833333333333332E-2</v>
      </c>
      <c r="MLB91" s="76">
        <v>0.89444444444444449</v>
      </c>
      <c r="MLC91" s="77" t="str">
        <f t="shared" ref="MLC91:MMY91" si="276">IF(MLB91="","",IF(MLB91&gt;MLG91,"O","P"))</f>
        <v>O</v>
      </c>
      <c r="MLD91" s="79">
        <v>5</v>
      </c>
      <c r="MLE91" s="75">
        <v>1276006</v>
      </c>
      <c r="MLF91" s="80"/>
      <c r="MLG91" s="81">
        <v>0.86944444444444446</v>
      </c>
      <c r="MLH91" s="74" t="s">
        <v>27</v>
      </c>
      <c r="MLI91" s="74" t="s">
        <v>24</v>
      </c>
      <c r="MLJ91" s="75" t="s">
        <v>25</v>
      </c>
      <c r="MLK91" s="76">
        <f>IFERROR(VLOOKUP(MLJ91,'[1]List KPI'!$A$103:$F$118,6,0),"")</f>
        <v>1.0416666666666666E-2</v>
      </c>
      <c r="MLL91" s="76">
        <v>0.86944444444444446</v>
      </c>
      <c r="MLM91" s="76">
        <v>0.86944444444444446</v>
      </c>
      <c r="MLN91" s="77" t="str">
        <f t="shared" si="275"/>
        <v>O</v>
      </c>
      <c r="MLO91" s="74" t="s">
        <v>28</v>
      </c>
      <c r="MLP91" s="75" t="s">
        <v>23</v>
      </c>
      <c r="MLQ91" s="78">
        <f>IFERROR(VLOOKUP(MLP91,'[1]List KPI'!$M$3:$N$8,2,0),"")</f>
        <v>2.0833333333333332E-2</v>
      </c>
      <c r="MLR91" s="76">
        <v>0.89444444444444449</v>
      </c>
      <c r="MLS91" s="77" t="str">
        <f t="shared" si="276"/>
        <v>O</v>
      </c>
      <c r="MLT91" s="79">
        <v>5</v>
      </c>
      <c r="MLU91" s="75">
        <v>1276006</v>
      </c>
      <c r="MLV91" s="80"/>
      <c r="MLW91" s="81">
        <v>0.86944444444444446</v>
      </c>
      <c r="MLX91" s="74" t="s">
        <v>27</v>
      </c>
      <c r="MLY91" s="74" t="s">
        <v>24</v>
      </c>
      <c r="MLZ91" s="75" t="s">
        <v>25</v>
      </c>
      <c r="MMA91" s="76">
        <f>IFERROR(VLOOKUP(MLZ91,'[1]List KPI'!$A$103:$F$118,6,0),"")</f>
        <v>1.0416666666666666E-2</v>
      </c>
      <c r="MMB91" s="76">
        <v>0.86944444444444446</v>
      </c>
      <c r="MMC91" s="76">
        <v>0.86944444444444446</v>
      </c>
      <c r="MMD91" s="77" t="str">
        <f t="shared" si="275"/>
        <v>O</v>
      </c>
      <c r="MME91" s="74" t="s">
        <v>28</v>
      </c>
      <c r="MMF91" s="75" t="s">
        <v>23</v>
      </c>
      <c r="MMG91" s="78">
        <f>IFERROR(VLOOKUP(MMF91,'[1]List KPI'!$M$3:$N$8,2,0),"")</f>
        <v>2.0833333333333332E-2</v>
      </c>
      <c r="MMH91" s="76">
        <v>0.89444444444444449</v>
      </c>
      <c r="MMI91" s="77" t="str">
        <f t="shared" si="276"/>
        <v>O</v>
      </c>
      <c r="MMJ91" s="79">
        <v>5</v>
      </c>
      <c r="MMK91" s="75">
        <v>1276006</v>
      </c>
      <c r="MML91" s="80"/>
      <c r="MMM91" s="81">
        <v>0.86944444444444446</v>
      </c>
      <c r="MMN91" s="74" t="s">
        <v>27</v>
      </c>
      <c r="MMO91" s="74" t="s">
        <v>24</v>
      </c>
      <c r="MMP91" s="75" t="s">
        <v>25</v>
      </c>
      <c r="MMQ91" s="76">
        <f>IFERROR(VLOOKUP(MMP91,'[1]List KPI'!$A$103:$F$118,6,0),"")</f>
        <v>1.0416666666666666E-2</v>
      </c>
      <c r="MMR91" s="76">
        <v>0.86944444444444446</v>
      </c>
      <c r="MMS91" s="76">
        <v>0.86944444444444446</v>
      </c>
      <c r="MMT91" s="77" t="str">
        <f t="shared" si="275"/>
        <v>O</v>
      </c>
      <c r="MMU91" s="74" t="s">
        <v>28</v>
      </c>
      <c r="MMV91" s="75" t="s">
        <v>23</v>
      </c>
      <c r="MMW91" s="78">
        <f>IFERROR(VLOOKUP(MMV91,'[1]List KPI'!$M$3:$N$8,2,0),"")</f>
        <v>2.0833333333333332E-2</v>
      </c>
      <c r="MMX91" s="76">
        <v>0.89444444444444449</v>
      </c>
      <c r="MMY91" s="77" t="str">
        <f t="shared" si="276"/>
        <v>O</v>
      </c>
      <c r="MMZ91" s="79">
        <v>5</v>
      </c>
      <c r="MNA91" s="75">
        <v>1276006</v>
      </c>
      <c r="MNB91" s="80"/>
      <c r="MNC91" s="81">
        <v>0.86944444444444446</v>
      </c>
      <c r="MND91" s="74" t="s">
        <v>27</v>
      </c>
      <c r="MNE91" s="74" t="s">
        <v>24</v>
      </c>
      <c r="MNF91" s="75" t="s">
        <v>25</v>
      </c>
      <c r="MNG91" s="76">
        <f>IFERROR(VLOOKUP(MNF91,'[1]List KPI'!$A$103:$F$118,6,0),"")</f>
        <v>1.0416666666666666E-2</v>
      </c>
      <c r="MNH91" s="76">
        <v>0.86944444444444446</v>
      </c>
      <c r="MNI91" s="76">
        <v>0.86944444444444446</v>
      </c>
      <c r="MNJ91" s="77" t="str">
        <f t="shared" ref="MNJ91:MPF91" si="277">IF(MNI91="","",IF(MNI91&gt;MNR91,"O","P"))</f>
        <v>O</v>
      </c>
      <c r="MNK91" s="74" t="s">
        <v>28</v>
      </c>
      <c r="MNL91" s="75" t="s">
        <v>23</v>
      </c>
      <c r="MNM91" s="78">
        <f>IFERROR(VLOOKUP(MNL91,'[1]List KPI'!$M$3:$N$8,2,0),"")</f>
        <v>2.0833333333333332E-2</v>
      </c>
      <c r="MNN91" s="76">
        <v>0.89444444444444449</v>
      </c>
      <c r="MNO91" s="77" t="str">
        <f t="shared" ref="MNO91:MPK91" si="278">IF(MNN91="","",IF(MNN91&gt;MNS91,"O","P"))</f>
        <v>O</v>
      </c>
      <c r="MNP91" s="79">
        <v>5</v>
      </c>
      <c r="MNQ91" s="75">
        <v>1276006</v>
      </c>
      <c r="MNR91" s="80"/>
      <c r="MNS91" s="81">
        <v>0.86944444444444446</v>
      </c>
      <c r="MNT91" s="74" t="s">
        <v>27</v>
      </c>
      <c r="MNU91" s="74" t="s">
        <v>24</v>
      </c>
      <c r="MNV91" s="75" t="s">
        <v>25</v>
      </c>
      <c r="MNW91" s="76">
        <f>IFERROR(VLOOKUP(MNV91,'[1]List KPI'!$A$103:$F$118,6,0),"")</f>
        <v>1.0416666666666666E-2</v>
      </c>
      <c r="MNX91" s="76">
        <v>0.86944444444444446</v>
      </c>
      <c r="MNY91" s="76">
        <v>0.86944444444444446</v>
      </c>
      <c r="MNZ91" s="77" t="str">
        <f t="shared" si="277"/>
        <v>O</v>
      </c>
      <c r="MOA91" s="74" t="s">
        <v>28</v>
      </c>
      <c r="MOB91" s="75" t="s">
        <v>23</v>
      </c>
      <c r="MOC91" s="78">
        <f>IFERROR(VLOOKUP(MOB91,'[1]List KPI'!$M$3:$N$8,2,0),"")</f>
        <v>2.0833333333333332E-2</v>
      </c>
      <c r="MOD91" s="76">
        <v>0.89444444444444449</v>
      </c>
      <c r="MOE91" s="77" t="str">
        <f t="shared" si="278"/>
        <v>O</v>
      </c>
      <c r="MOF91" s="79">
        <v>5</v>
      </c>
      <c r="MOG91" s="75">
        <v>1276006</v>
      </c>
      <c r="MOH91" s="80"/>
      <c r="MOI91" s="81">
        <v>0.86944444444444446</v>
      </c>
      <c r="MOJ91" s="74" t="s">
        <v>27</v>
      </c>
      <c r="MOK91" s="74" t="s">
        <v>24</v>
      </c>
      <c r="MOL91" s="75" t="s">
        <v>25</v>
      </c>
      <c r="MOM91" s="76">
        <f>IFERROR(VLOOKUP(MOL91,'[1]List KPI'!$A$103:$F$118,6,0),"")</f>
        <v>1.0416666666666666E-2</v>
      </c>
      <c r="MON91" s="76">
        <v>0.86944444444444446</v>
      </c>
      <c r="MOO91" s="76">
        <v>0.86944444444444446</v>
      </c>
      <c r="MOP91" s="77" t="str">
        <f t="shared" si="277"/>
        <v>O</v>
      </c>
      <c r="MOQ91" s="74" t="s">
        <v>28</v>
      </c>
      <c r="MOR91" s="75" t="s">
        <v>23</v>
      </c>
      <c r="MOS91" s="78">
        <f>IFERROR(VLOOKUP(MOR91,'[1]List KPI'!$M$3:$N$8,2,0),"")</f>
        <v>2.0833333333333332E-2</v>
      </c>
      <c r="MOT91" s="76">
        <v>0.89444444444444449</v>
      </c>
      <c r="MOU91" s="77" t="str">
        <f t="shared" si="278"/>
        <v>O</v>
      </c>
      <c r="MOV91" s="79">
        <v>5</v>
      </c>
      <c r="MOW91" s="75">
        <v>1276006</v>
      </c>
      <c r="MOX91" s="80"/>
      <c r="MOY91" s="81">
        <v>0.86944444444444446</v>
      </c>
      <c r="MOZ91" s="74" t="s">
        <v>27</v>
      </c>
      <c r="MPA91" s="74" t="s">
        <v>24</v>
      </c>
      <c r="MPB91" s="75" t="s">
        <v>25</v>
      </c>
      <c r="MPC91" s="76">
        <f>IFERROR(VLOOKUP(MPB91,'[1]List KPI'!$A$103:$F$118,6,0),"")</f>
        <v>1.0416666666666666E-2</v>
      </c>
      <c r="MPD91" s="76">
        <v>0.86944444444444446</v>
      </c>
      <c r="MPE91" s="76">
        <v>0.86944444444444446</v>
      </c>
      <c r="MPF91" s="77" t="str">
        <f t="shared" si="277"/>
        <v>O</v>
      </c>
      <c r="MPG91" s="74" t="s">
        <v>28</v>
      </c>
      <c r="MPH91" s="75" t="s">
        <v>23</v>
      </c>
      <c r="MPI91" s="78">
        <f>IFERROR(VLOOKUP(MPH91,'[1]List KPI'!$M$3:$N$8,2,0),"")</f>
        <v>2.0833333333333332E-2</v>
      </c>
      <c r="MPJ91" s="76">
        <v>0.89444444444444449</v>
      </c>
      <c r="MPK91" s="77" t="str">
        <f t="shared" si="278"/>
        <v>O</v>
      </c>
      <c r="MPL91" s="79">
        <v>5</v>
      </c>
      <c r="MPM91" s="75">
        <v>1276006</v>
      </c>
      <c r="MPN91" s="80"/>
      <c r="MPO91" s="81">
        <v>0.86944444444444446</v>
      </c>
      <c r="MPP91" s="74" t="s">
        <v>27</v>
      </c>
      <c r="MPQ91" s="74" t="s">
        <v>24</v>
      </c>
      <c r="MPR91" s="75" t="s">
        <v>25</v>
      </c>
      <c r="MPS91" s="76">
        <f>IFERROR(VLOOKUP(MPR91,'[1]List KPI'!$A$103:$F$118,6,0),"")</f>
        <v>1.0416666666666666E-2</v>
      </c>
      <c r="MPT91" s="76">
        <v>0.86944444444444446</v>
      </c>
      <c r="MPU91" s="76">
        <v>0.86944444444444446</v>
      </c>
      <c r="MPV91" s="77" t="str">
        <f t="shared" ref="MPV91:MRR91" si="279">IF(MPU91="","",IF(MPU91&gt;MQD91,"O","P"))</f>
        <v>O</v>
      </c>
      <c r="MPW91" s="74" t="s">
        <v>28</v>
      </c>
      <c r="MPX91" s="75" t="s">
        <v>23</v>
      </c>
      <c r="MPY91" s="78">
        <f>IFERROR(VLOOKUP(MPX91,'[1]List KPI'!$M$3:$N$8,2,0),"")</f>
        <v>2.0833333333333332E-2</v>
      </c>
      <c r="MPZ91" s="76">
        <v>0.89444444444444449</v>
      </c>
      <c r="MQA91" s="77" t="str">
        <f t="shared" ref="MQA91:MRW91" si="280">IF(MPZ91="","",IF(MPZ91&gt;MQE91,"O","P"))</f>
        <v>O</v>
      </c>
      <c r="MQB91" s="79">
        <v>5</v>
      </c>
      <c r="MQC91" s="75">
        <v>1276006</v>
      </c>
      <c r="MQD91" s="80"/>
      <c r="MQE91" s="81">
        <v>0.86944444444444446</v>
      </c>
      <c r="MQF91" s="74" t="s">
        <v>27</v>
      </c>
      <c r="MQG91" s="74" t="s">
        <v>24</v>
      </c>
      <c r="MQH91" s="75" t="s">
        <v>25</v>
      </c>
      <c r="MQI91" s="76">
        <f>IFERROR(VLOOKUP(MQH91,'[1]List KPI'!$A$103:$F$118,6,0),"")</f>
        <v>1.0416666666666666E-2</v>
      </c>
      <c r="MQJ91" s="76">
        <v>0.86944444444444446</v>
      </c>
      <c r="MQK91" s="76">
        <v>0.86944444444444446</v>
      </c>
      <c r="MQL91" s="77" t="str">
        <f t="shared" si="279"/>
        <v>O</v>
      </c>
      <c r="MQM91" s="74" t="s">
        <v>28</v>
      </c>
      <c r="MQN91" s="75" t="s">
        <v>23</v>
      </c>
      <c r="MQO91" s="78">
        <f>IFERROR(VLOOKUP(MQN91,'[1]List KPI'!$M$3:$N$8,2,0),"")</f>
        <v>2.0833333333333332E-2</v>
      </c>
      <c r="MQP91" s="76">
        <v>0.89444444444444449</v>
      </c>
      <c r="MQQ91" s="77" t="str">
        <f t="shared" si="280"/>
        <v>O</v>
      </c>
      <c r="MQR91" s="79">
        <v>5</v>
      </c>
      <c r="MQS91" s="75">
        <v>1276006</v>
      </c>
      <c r="MQT91" s="80"/>
      <c r="MQU91" s="81">
        <v>0.86944444444444446</v>
      </c>
      <c r="MQV91" s="74" t="s">
        <v>27</v>
      </c>
      <c r="MQW91" s="74" t="s">
        <v>24</v>
      </c>
      <c r="MQX91" s="75" t="s">
        <v>25</v>
      </c>
      <c r="MQY91" s="76">
        <f>IFERROR(VLOOKUP(MQX91,'[1]List KPI'!$A$103:$F$118,6,0),"")</f>
        <v>1.0416666666666666E-2</v>
      </c>
      <c r="MQZ91" s="76">
        <v>0.86944444444444446</v>
      </c>
      <c r="MRA91" s="76">
        <v>0.86944444444444446</v>
      </c>
      <c r="MRB91" s="77" t="str">
        <f t="shared" si="279"/>
        <v>O</v>
      </c>
      <c r="MRC91" s="74" t="s">
        <v>28</v>
      </c>
      <c r="MRD91" s="75" t="s">
        <v>23</v>
      </c>
      <c r="MRE91" s="78">
        <f>IFERROR(VLOOKUP(MRD91,'[1]List KPI'!$M$3:$N$8,2,0),"")</f>
        <v>2.0833333333333332E-2</v>
      </c>
      <c r="MRF91" s="76">
        <v>0.89444444444444449</v>
      </c>
      <c r="MRG91" s="77" t="str">
        <f t="shared" si="280"/>
        <v>O</v>
      </c>
      <c r="MRH91" s="79">
        <v>5</v>
      </c>
      <c r="MRI91" s="75">
        <v>1276006</v>
      </c>
      <c r="MRJ91" s="80"/>
      <c r="MRK91" s="81">
        <v>0.86944444444444446</v>
      </c>
      <c r="MRL91" s="74" t="s">
        <v>27</v>
      </c>
      <c r="MRM91" s="74" t="s">
        <v>24</v>
      </c>
      <c r="MRN91" s="75" t="s">
        <v>25</v>
      </c>
      <c r="MRO91" s="76">
        <f>IFERROR(VLOOKUP(MRN91,'[1]List KPI'!$A$103:$F$118,6,0),"")</f>
        <v>1.0416666666666666E-2</v>
      </c>
      <c r="MRP91" s="76">
        <v>0.86944444444444446</v>
      </c>
      <c r="MRQ91" s="76">
        <v>0.86944444444444446</v>
      </c>
      <c r="MRR91" s="77" t="str">
        <f t="shared" si="279"/>
        <v>O</v>
      </c>
      <c r="MRS91" s="74" t="s">
        <v>28</v>
      </c>
      <c r="MRT91" s="75" t="s">
        <v>23</v>
      </c>
      <c r="MRU91" s="78">
        <f>IFERROR(VLOOKUP(MRT91,'[1]List KPI'!$M$3:$N$8,2,0),"")</f>
        <v>2.0833333333333332E-2</v>
      </c>
      <c r="MRV91" s="76">
        <v>0.89444444444444449</v>
      </c>
      <c r="MRW91" s="77" t="str">
        <f t="shared" si="280"/>
        <v>O</v>
      </c>
      <c r="MRX91" s="79">
        <v>5</v>
      </c>
      <c r="MRY91" s="75">
        <v>1276006</v>
      </c>
      <c r="MRZ91" s="80"/>
      <c r="MSA91" s="81">
        <v>0.86944444444444446</v>
      </c>
      <c r="MSB91" s="74" t="s">
        <v>27</v>
      </c>
      <c r="MSC91" s="74" t="s">
        <v>24</v>
      </c>
      <c r="MSD91" s="75" t="s">
        <v>25</v>
      </c>
      <c r="MSE91" s="76">
        <f>IFERROR(VLOOKUP(MSD91,'[1]List KPI'!$A$103:$F$118,6,0),"")</f>
        <v>1.0416666666666666E-2</v>
      </c>
      <c r="MSF91" s="76">
        <v>0.86944444444444446</v>
      </c>
      <c r="MSG91" s="76">
        <v>0.86944444444444446</v>
      </c>
      <c r="MSH91" s="77" t="str">
        <f t="shared" ref="MSH91:MUD91" si="281">IF(MSG91="","",IF(MSG91&gt;MSP91,"O","P"))</f>
        <v>O</v>
      </c>
      <c r="MSI91" s="74" t="s">
        <v>28</v>
      </c>
      <c r="MSJ91" s="75" t="s">
        <v>23</v>
      </c>
      <c r="MSK91" s="78">
        <f>IFERROR(VLOOKUP(MSJ91,'[1]List KPI'!$M$3:$N$8,2,0),"")</f>
        <v>2.0833333333333332E-2</v>
      </c>
      <c r="MSL91" s="76">
        <v>0.89444444444444449</v>
      </c>
      <c r="MSM91" s="77" t="str">
        <f t="shared" ref="MSM91:MUI91" si="282">IF(MSL91="","",IF(MSL91&gt;MSQ91,"O","P"))</f>
        <v>O</v>
      </c>
      <c r="MSN91" s="79">
        <v>5</v>
      </c>
      <c r="MSO91" s="75">
        <v>1276006</v>
      </c>
      <c r="MSP91" s="80"/>
      <c r="MSQ91" s="81">
        <v>0.86944444444444446</v>
      </c>
      <c r="MSR91" s="74" t="s">
        <v>27</v>
      </c>
      <c r="MSS91" s="74" t="s">
        <v>24</v>
      </c>
      <c r="MST91" s="75" t="s">
        <v>25</v>
      </c>
      <c r="MSU91" s="76">
        <f>IFERROR(VLOOKUP(MST91,'[1]List KPI'!$A$103:$F$118,6,0),"")</f>
        <v>1.0416666666666666E-2</v>
      </c>
      <c r="MSV91" s="76">
        <v>0.86944444444444446</v>
      </c>
      <c r="MSW91" s="76">
        <v>0.86944444444444446</v>
      </c>
      <c r="MSX91" s="77" t="str">
        <f t="shared" si="281"/>
        <v>O</v>
      </c>
      <c r="MSY91" s="74" t="s">
        <v>28</v>
      </c>
      <c r="MSZ91" s="75" t="s">
        <v>23</v>
      </c>
      <c r="MTA91" s="78">
        <f>IFERROR(VLOOKUP(MSZ91,'[1]List KPI'!$M$3:$N$8,2,0),"")</f>
        <v>2.0833333333333332E-2</v>
      </c>
      <c r="MTB91" s="76">
        <v>0.89444444444444449</v>
      </c>
      <c r="MTC91" s="77" t="str">
        <f t="shared" si="282"/>
        <v>O</v>
      </c>
      <c r="MTD91" s="79">
        <v>5</v>
      </c>
      <c r="MTE91" s="75">
        <v>1276006</v>
      </c>
      <c r="MTF91" s="80"/>
      <c r="MTG91" s="81">
        <v>0.86944444444444446</v>
      </c>
      <c r="MTH91" s="74" t="s">
        <v>27</v>
      </c>
      <c r="MTI91" s="74" t="s">
        <v>24</v>
      </c>
      <c r="MTJ91" s="75" t="s">
        <v>25</v>
      </c>
      <c r="MTK91" s="76">
        <f>IFERROR(VLOOKUP(MTJ91,'[1]List KPI'!$A$103:$F$118,6,0),"")</f>
        <v>1.0416666666666666E-2</v>
      </c>
      <c r="MTL91" s="76">
        <v>0.86944444444444446</v>
      </c>
      <c r="MTM91" s="76">
        <v>0.86944444444444446</v>
      </c>
      <c r="MTN91" s="77" t="str">
        <f t="shared" si="281"/>
        <v>O</v>
      </c>
      <c r="MTO91" s="74" t="s">
        <v>28</v>
      </c>
      <c r="MTP91" s="75" t="s">
        <v>23</v>
      </c>
      <c r="MTQ91" s="78">
        <f>IFERROR(VLOOKUP(MTP91,'[1]List KPI'!$M$3:$N$8,2,0),"")</f>
        <v>2.0833333333333332E-2</v>
      </c>
      <c r="MTR91" s="76">
        <v>0.89444444444444449</v>
      </c>
      <c r="MTS91" s="77" t="str">
        <f t="shared" si="282"/>
        <v>O</v>
      </c>
      <c r="MTT91" s="79">
        <v>5</v>
      </c>
      <c r="MTU91" s="75">
        <v>1276006</v>
      </c>
      <c r="MTV91" s="80"/>
      <c r="MTW91" s="81">
        <v>0.86944444444444446</v>
      </c>
      <c r="MTX91" s="74" t="s">
        <v>27</v>
      </c>
      <c r="MTY91" s="74" t="s">
        <v>24</v>
      </c>
      <c r="MTZ91" s="75" t="s">
        <v>25</v>
      </c>
      <c r="MUA91" s="76">
        <f>IFERROR(VLOOKUP(MTZ91,'[1]List KPI'!$A$103:$F$118,6,0),"")</f>
        <v>1.0416666666666666E-2</v>
      </c>
      <c r="MUB91" s="76">
        <v>0.86944444444444446</v>
      </c>
      <c r="MUC91" s="76">
        <v>0.86944444444444446</v>
      </c>
      <c r="MUD91" s="77" t="str">
        <f t="shared" si="281"/>
        <v>O</v>
      </c>
      <c r="MUE91" s="74" t="s">
        <v>28</v>
      </c>
      <c r="MUF91" s="75" t="s">
        <v>23</v>
      </c>
      <c r="MUG91" s="78">
        <f>IFERROR(VLOOKUP(MUF91,'[1]List KPI'!$M$3:$N$8,2,0),"")</f>
        <v>2.0833333333333332E-2</v>
      </c>
      <c r="MUH91" s="76">
        <v>0.89444444444444449</v>
      </c>
      <c r="MUI91" s="77" t="str">
        <f t="shared" si="282"/>
        <v>O</v>
      </c>
      <c r="MUJ91" s="79">
        <v>5</v>
      </c>
      <c r="MUK91" s="75">
        <v>1276006</v>
      </c>
      <c r="MUL91" s="80"/>
      <c r="MUM91" s="81">
        <v>0.86944444444444446</v>
      </c>
      <c r="MUN91" s="74" t="s">
        <v>27</v>
      </c>
      <c r="MUO91" s="74" t="s">
        <v>24</v>
      </c>
      <c r="MUP91" s="75" t="s">
        <v>25</v>
      </c>
      <c r="MUQ91" s="76">
        <f>IFERROR(VLOOKUP(MUP91,'[1]List KPI'!$A$103:$F$118,6,0),"")</f>
        <v>1.0416666666666666E-2</v>
      </c>
      <c r="MUR91" s="76">
        <v>0.86944444444444446</v>
      </c>
      <c r="MUS91" s="76">
        <v>0.86944444444444446</v>
      </c>
      <c r="MUT91" s="77" t="str">
        <f t="shared" ref="MUT91:MWP91" si="283">IF(MUS91="","",IF(MUS91&gt;MVB91,"O","P"))</f>
        <v>O</v>
      </c>
      <c r="MUU91" s="74" t="s">
        <v>28</v>
      </c>
      <c r="MUV91" s="75" t="s">
        <v>23</v>
      </c>
      <c r="MUW91" s="78">
        <f>IFERROR(VLOOKUP(MUV91,'[1]List KPI'!$M$3:$N$8,2,0),"")</f>
        <v>2.0833333333333332E-2</v>
      </c>
      <c r="MUX91" s="76">
        <v>0.89444444444444449</v>
      </c>
      <c r="MUY91" s="77" t="str">
        <f t="shared" ref="MUY91:MWU91" si="284">IF(MUX91="","",IF(MUX91&gt;MVC91,"O","P"))</f>
        <v>O</v>
      </c>
      <c r="MUZ91" s="79">
        <v>5</v>
      </c>
      <c r="MVA91" s="75">
        <v>1276006</v>
      </c>
      <c r="MVB91" s="80"/>
      <c r="MVC91" s="81">
        <v>0.86944444444444446</v>
      </c>
      <c r="MVD91" s="74" t="s">
        <v>27</v>
      </c>
      <c r="MVE91" s="74" t="s">
        <v>24</v>
      </c>
      <c r="MVF91" s="75" t="s">
        <v>25</v>
      </c>
      <c r="MVG91" s="76">
        <f>IFERROR(VLOOKUP(MVF91,'[1]List KPI'!$A$103:$F$118,6,0),"")</f>
        <v>1.0416666666666666E-2</v>
      </c>
      <c r="MVH91" s="76">
        <v>0.86944444444444446</v>
      </c>
      <c r="MVI91" s="76">
        <v>0.86944444444444446</v>
      </c>
      <c r="MVJ91" s="77" t="str">
        <f t="shared" si="283"/>
        <v>O</v>
      </c>
      <c r="MVK91" s="74" t="s">
        <v>28</v>
      </c>
      <c r="MVL91" s="75" t="s">
        <v>23</v>
      </c>
      <c r="MVM91" s="78">
        <f>IFERROR(VLOOKUP(MVL91,'[1]List KPI'!$M$3:$N$8,2,0),"")</f>
        <v>2.0833333333333332E-2</v>
      </c>
      <c r="MVN91" s="76">
        <v>0.89444444444444449</v>
      </c>
      <c r="MVO91" s="77" t="str">
        <f t="shared" si="284"/>
        <v>O</v>
      </c>
      <c r="MVP91" s="79">
        <v>5</v>
      </c>
      <c r="MVQ91" s="75">
        <v>1276006</v>
      </c>
      <c r="MVR91" s="80"/>
      <c r="MVS91" s="81">
        <v>0.86944444444444446</v>
      </c>
      <c r="MVT91" s="74" t="s">
        <v>27</v>
      </c>
      <c r="MVU91" s="74" t="s">
        <v>24</v>
      </c>
      <c r="MVV91" s="75" t="s">
        <v>25</v>
      </c>
      <c r="MVW91" s="76">
        <f>IFERROR(VLOOKUP(MVV91,'[1]List KPI'!$A$103:$F$118,6,0),"")</f>
        <v>1.0416666666666666E-2</v>
      </c>
      <c r="MVX91" s="76">
        <v>0.86944444444444446</v>
      </c>
      <c r="MVY91" s="76">
        <v>0.86944444444444446</v>
      </c>
      <c r="MVZ91" s="77" t="str">
        <f t="shared" si="283"/>
        <v>O</v>
      </c>
      <c r="MWA91" s="74" t="s">
        <v>28</v>
      </c>
      <c r="MWB91" s="75" t="s">
        <v>23</v>
      </c>
      <c r="MWC91" s="78">
        <f>IFERROR(VLOOKUP(MWB91,'[1]List KPI'!$M$3:$N$8,2,0),"")</f>
        <v>2.0833333333333332E-2</v>
      </c>
      <c r="MWD91" s="76">
        <v>0.89444444444444449</v>
      </c>
      <c r="MWE91" s="77" t="str">
        <f t="shared" si="284"/>
        <v>O</v>
      </c>
      <c r="MWF91" s="79">
        <v>5</v>
      </c>
      <c r="MWG91" s="75">
        <v>1276006</v>
      </c>
      <c r="MWH91" s="80"/>
      <c r="MWI91" s="81">
        <v>0.86944444444444446</v>
      </c>
      <c r="MWJ91" s="74" t="s">
        <v>27</v>
      </c>
      <c r="MWK91" s="74" t="s">
        <v>24</v>
      </c>
      <c r="MWL91" s="75" t="s">
        <v>25</v>
      </c>
      <c r="MWM91" s="76">
        <f>IFERROR(VLOOKUP(MWL91,'[1]List KPI'!$A$103:$F$118,6,0),"")</f>
        <v>1.0416666666666666E-2</v>
      </c>
      <c r="MWN91" s="76">
        <v>0.86944444444444446</v>
      </c>
      <c r="MWO91" s="76">
        <v>0.86944444444444446</v>
      </c>
      <c r="MWP91" s="77" t="str">
        <f t="shared" si="283"/>
        <v>O</v>
      </c>
      <c r="MWQ91" s="74" t="s">
        <v>28</v>
      </c>
      <c r="MWR91" s="75" t="s">
        <v>23</v>
      </c>
      <c r="MWS91" s="78">
        <f>IFERROR(VLOOKUP(MWR91,'[1]List KPI'!$M$3:$N$8,2,0),"")</f>
        <v>2.0833333333333332E-2</v>
      </c>
      <c r="MWT91" s="76">
        <v>0.89444444444444449</v>
      </c>
      <c r="MWU91" s="77" t="str">
        <f t="shared" si="284"/>
        <v>O</v>
      </c>
      <c r="MWV91" s="79">
        <v>5</v>
      </c>
      <c r="MWW91" s="75">
        <v>1276006</v>
      </c>
      <c r="MWX91" s="80"/>
      <c r="MWY91" s="81">
        <v>0.86944444444444446</v>
      </c>
      <c r="MWZ91" s="74" t="s">
        <v>27</v>
      </c>
      <c r="MXA91" s="74" t="s">
        <v>24</v>
      </c>
      <c r="MXB91" s="75" t="s">
        <v>25</v>
      </c>
      <c r="MXC91" s="76">
        <f>IFERROR(VLOOKUP(MXB91,'[1]List KPI'!$A$103:$F$118,6,0),"")</f>
        <v>1.0416666666666666E-2</v>
      </c>
      <c r="MXD91" s="76">
        <v>0.86944444444444446</v>
      </c>
      <c r="MXE91" s="76">
        <v>0.86944444444444446</v>
      </c>
      <c r="MXF91" s="77" t="str">
        <f t="shared" ref="MXF91:MZB91" si="285">IF(MXE91="","",IF(MXE91&gt;MXN91,"O","P"))</f>
        <v>O</v>
      </c>
      <c r="MXG91" s="74" t="s">
        <v>28</v>
      </c>
      <c r="MXH91" s="75" t="s">
        <v>23</v>
      </c>
      <c r="MXI91" s="78">
        <f>IFERROR(VLOOKUP(MXH91,'[1]List KPI'!$M$3:$N$8,2,0),"")</f>
        <v>2.0833333333333332E-2</v>
      </c>
      <c r="MXJ91" s="76">
        <v>0.89444444444444449</v>
      </c>
      <c r="MXK91" s="77" t="str">
        <f t="shared" ref="MXK91:MZG91" si="286">IF(MXJ91="","",IF(MXJ91&gt;MXO91,"O","P"))</f>
        <v>O</v>
      </c>
      <c r="MXL91" s="79">
        <v>5</v>
      </c>
      <c r="MXM91" s="75">
        <v>1276006</v>
      </c>
      <c r="MXN91" s="80"/>
      <c r="MXO91" s="81">
        <v>0.86944444444444446</v>
      </c>
      <c r="MXP91" s="74" t="s">
        <v>27</v>
      </c>
      <c r="MXQ91" s="74" t="s">
        <v>24</v>
      </c>
      <c r="MXR91" s="75" t="s">
        <v>25</v>
      </c>
      <c r="MXS91" s="76">
        <f>IFERROR(VLOOKUP(MXR91,'[1]List KPI'!$A$103:$F$118,6,0),"")</f>
        <v>1.0416666666666666E-2</v>
      </c>
      <c r="MXT91" s="76">
        <v>0.86944444444444446</v>
      </c>
      <c r="MXU91" s="76">
        <v>0.86944444444444446</v>
      </c>
      <c r="MXV91" s="77" t="str">
        <f t="shared" si="285"/>
        <v>O</v>
      </c>
      <c r="MXW91" s="74" t="s">
        <v>28</v>
      </c>
      <c r="MXX91" s="75" t="s">
        <v>23</v>
      </c>
      <c r="MXY91" s="78">
        <f>IFERROR(VLOOKUP(MXX91,'[1]List KPI'!$M$3:$N$8,2,0),"")</f>
        <v>2.0833333333333332E-2</v>
      </c>
      <c r="MXZ91" s="76">
        <v>0.89444444444444449</v>
      </c>
      <c r="MYA91" s="77" t="str">
        <f t="shared" si="286"/>
        <v>O</v>
      </c>
      <c r="MYB91" s="79">
        <v>5</v>
      </c>
      <c r="MYC91" s="75">
        <v>1276006</v>
      </c>
      <c r="MYD91" s="80"/>
      <c r="MYE91" s="81">
        <v>0.86944444444444446</v>
      </c>
      <c r="MYF91" s="74" t="s">
        <v>27</v>
      </c>
      <c r="MYG91" s="74" t="s">
        <v>24</v>
      </c>
      <c r="MYH91" s="75" t="s">
        <v>25</v>
      </c>
      <c r="MYI91" s="76">
        <f>IFERROR(VLOOKUP(MYH91,'[1]List KPI'!$A$103:$F$118,6,0),"")</f>
        <v>1.0416666666666666E-2</v>
      </c>
      <c r="MYJ91" s="76">
        <v>0.86944444444444446</v>
      </c>
      <c r="MYK91" s="76">
        <v>0.86944444444444446</v>
      </c>
      <c r="MYL91" s="77" t="str">
        <f t="shared" si="285"/>
        <v>O</v>
      </c>
      <c r="MYM91" s="74" t="s">
        <v>28</v>
      </c>
      <c r="MYN91" s="75" t="s">
        <v>23</v>
      </c>
      <c r="MYO91" s="78">
        <f>IFERROR(VLOOKUP(MYN91,'[1]List KPI'!$M$3:$N$8,2,0),"")</f>
        <v>2.0833333333333332E-2</v>
      </c>
      <c r="MYP91" s="76">
        <v>0.89444444444444449</v>
      </c>
      <c r="MYQ91" s="77" t="str">
        <f t="shared" si="286"/>
        <v>O</v>
      </c>
      <c r="MYR91" s="79">
        <v>5</v>
      </c>
      <c r="MYS91" s="75">
        <v>1276006</v>
      </c>
      <c r="MYT91" s="80"/>
      <c r="MYU91" s="81">
        <v>0.86944444444444446</v>
      </c>
      <c r="MYV91" s="74" t="s">
        <v>27</v>
      </c>
      <c r="MYW91" s="74" t="s">
        <v>24</v>
      </c>
      <c r="MYX91" s="75" t="s">
        <v>25</v>
      </c>
      <c r="MYY91" s="76">
        <f>IFERROR(VLOOKUP(MYX91,'[1]List KPI'!$A$103:$F$118,6,0),"")</f>
        <v>1.0416666666666666E-2</v>
      </c>
      <c r="MYZ91" s="76">
        <v>0.86944444444444446</v>
      </c>
      <c r="MZA91" s="76">
        <v>0.86944444444444446</v>
      </c>
      <c r="MZB91" s="77" t="str">
        <f t="shared" si="285"/>
        <v>O</v>
      </c>
      <c r="MZC91" s="74" t="s">
        <v>28</v>
      </c>
      <c r="MZD91" s="75" t="s">
        <v>23</v>
      </c>
      <c r="MZE91" s="78">
        <f>IFERROR(VLOOKUP(MZD91,'[1]List KPI'!$M$3:$N$8,2,0),"")</f>
        <v>2.0833333333333332E-2</v>
      </c>
      <c r="MZF91" s="76">
        <v>0.89444444444444449</v>
      </c>
      <c r="MZG91" s="77" t="str">
        <f t="shared" si="286"/>
        <v>O</v>
      </c>
      <c r="MZH91" s="79">
        <v>5</v>
      </c>
      <c r="MZI91" s="75">
        <v>1276006</v>
      </c>
      <c r="MZJ91" s="80"/>
      <c r="MZK91" s="81">
        <v>0.86944444444444446</v>
      </c>
      <c r="MZL91" s="74" t="s">
        <v>27</v>
      </c>
      <c r="MZM91" s="74" t="s">
        <v>24</v>
      </c>
      <c r="MZN91" s="75" t="s">
        <v>25</v>
      </c>
      <c r="MZO91" s="76">
        <f>IFERROR(VLOOKUP(MZN91,'[1]List KPI'!$A$103:$F$118,6,0),"")</f>
        <v>1.0416666666666666E-2</v>
      </c>
      <c r="MZP91" s="76">
        <v>0.86944444444444446</v>
      </c>
      <c r="MZQ91" s="76">
        <v>0.86944444444444446</v>
      </c>
      <c r="MZR91" s="77" t="str">
        <f t="shared" ref="MZR91:NBN91" si="287">IF(MZQ91="","",IF(MZQ91&gt;MZZ91,"O","P"))</f>
        <v>O</v>
      </c>
      <c r="MZS91" s="74" t="s">
        <v>28</v>
      </c>
      <c r="MZT91" s="75" t="s">
        <v>23</v>
      </c>
      <c r="MZU91" s="78">
        <f>IFERROR(VLOOKUP(MZT91,'[1]List KPI'!$M$3:$N$8,2,0),"")</f>
        <v>2.0833333333333332E-2</v>
      </c>
      <c r="MZV91" s="76">
        <v>0.89444444444444449</v>
      </c>
      <c r="MZW91" s="77" t="str">
        <f t="shared" ref="MZW91:NBS91" si="288">IF(MZV91="","",IF(MZV91&gt;NAA91,"O","P"))</f>
        <v>O</v>
      </c>
      <c r="MZX91" s="79">
        <v>5</v>
      </c>
      <c r="MZY91" s="75">
        <v>1276006</v>
      </c>
      <c r="MZZ91" s="80"/>
      <c r="NAA91" s="81">
        <v>0.86944444444444446</v>
      </c>
      <c r="NAB91" s="74" t="s">
        <v>27</v>
      </c>
      <c r="NAC91" s="74" t="s">
        <v>24</v>
      </c>
      <c r="NAD91" s="75" t="s">
        <v>25</v>
      </c>
      <c r="NAE91" s="76">
        <f>IFERROR(VLOOKUP(NAD91,'[1]List KPI'!$A$103:$F$118,6,0),"")</f>
        <v>1.0416666666666666E-2</v>
      </c>
      <c r="NAF91" s="76">
        <v>0.86944444444444446</v>
      </c>
      <c r="NAG91" s="76">
        <v>0.86944444444444446</v>
      </c>
      <c r="NAH91" s="77" t="str">
        <f t="shared" si="287"/>
        <v>O</v>
      </c>
      <c r="NAI91" s="74" t="s">
        <v>28</v>
      </c>
      <c r="NAJ91" s="75" t="s">
        <v>23</v>
      </c>
      <c r="NAK91" s="78">
        <f>IFERROR(VLOOKUP(NAJ91,'[1]List KPI'!$M$3:$N$8,2,0),"")</f>
        <v>2.0833333333333332E-2</v>
      </c>
      <c r="NAL91" s="76">
        <v>0.89444444444444449</v>
      </c>
      <c r="NAM91" s="77" t="str">
        <f t="shared" si="288"/>
        <v>O</v>
      </c>
      <c r="NAN91" s="79">
        <v>5</v>
      </c>
      <c r="NAO91" s="75">
        <v>1276006</v>
      </c>
      <c r="NAP91" s="80"/>
      <c r="NAQ91" s="81">
        <v>0.86944444444444446</v>
      </c>
      <c r="NAR91" s="74" t="s">
        <v>27</v>
      </c>
      <c r="NAS91" s="74" t="s">
        <v>24</v>
      </c>
      <c r="NAT91" s="75" t="s">
        <v>25</v>
      </c>
      <c r="NAU91" s="76">
        <f>IFERROR(VLOOKUP(NAT91,'[1]List KPI'!$A$103:$F$118,6,0),"")</f>
        <v>1.0416666666666666E-2</v>
      </c>
      <c r="NAV91" s="76">
        <v>0.86944444444444446</v>
      </c>
      <c r="NAW91" s="76">
        <v>0.86944444444444446</v>
      </c>
      <c r="NAX91" s="77" t="str">
        <f t="shared" si="287"/>
        <v>O</v>
      </c>
      <c r="NAY91" s="74" t="s">
        <v>28</v>
      </c>
      <c r="NAZ91" s="75" t="s">
        <v>23</v>
      </c>
      <c r="NBA91" s="78">
        <f>IFERROR(VLOOKUP(NAZ91,'[1]List KPI'!$M$3:$N$8,2,0),"")</f>
        <v>2.0833333333333332E-2</v>
      </c>
      <c r="NBB91" s="76">
        <v>0.89444444444444449</v>
      </c>
      <c r="NBC91" s="77" t="str">
        <f t="shared" si="288"/>
        <v>O</v>
      </c>
      <c r="NBD91" s="79">
        <v>5</v>
      </c>
      <c r="NBE91" s="75">
        <v>1276006</v>
      </c>
      <c r="NBF91" s="80"/>
      <c r="NBG91" s="81">
        <v>0.86944444444444446</v>
      </c>
      <c r="NBH91" s="74" t="s">
        <v>27</v>
      </c>
      <c r="NBI91" s="74" t="s">
        <v>24</v>
      </c>
      <c r="NBJ91" s="75" t="s">
        <v>25</v>
      </c>
      <c r="NBK91" s="76">
        <f>IFERROR(VLOOKUP(NBJ91,'[1]List KPI'!$A$103:$F$118,6,0),"")</f>
        <v>1.0416666666666666E-2</v>
      </c>
      <c r="NBL91" s="76">
        <v>0.86944444444444446</v>
      </c>
      <c r="NBM91" s="76">
        <v>0.86944444444444446</v>
      </c>
      <c r="NBN91" s="77" t="str">
        <f t="shared" si="287"/>
        <v>O</v>
      </c>
      <c r="NBO91" s="74" t="s">
        <v>28</v>
      </c>
      <c r="NBP91" s="75" t="s">
        <v>23</v>
      </c>
      <c r="NBQ91" s="78">
        <f>IFERROR(VLOOKUP(NBP91,'[1]List KPI'!$M$3:$N$8,2,0),"")</f>
        <v>2.0833333333333332E-2</v>
      </c>
      <c r="NBR91" s="76">
        <v>0.89444444444444449</v>
      </c>
      <c r="NBS91" s="77" t="str">
        <f t="shared" si="288"/>
        <v>O</v>
      </c>
      <c r="NBT91" s="79">
        <v>5</v>
      </c>
      <c r="NBU91" s="75">
        <v>1276006</v>
      </c>
      <c r="NBV91" s="80"/>
      <c r="NBW91" s="81">
        <v>0.86944444444444446</v>
      </c>
      <c r="NBX91" s="74" t="s">
        <v>27</v>
      </c>
      <c r="NBY91" s="74" t="s">
        <v>24</v>
      </c>
      <c r="NBZ91" s="75" t="s">
        <v>25</v>
      </c>
      <c r="NCA91" s="76">
        <f>IFERROR(VLOOKUP(NBZ91,'[1]List KPI'!$A$103:$F$118,6,0),"")</f>
        <v>1.0416666666666666E-2</v>
      </c>
      <c r="NCB91" s="76">
        <v>0.86944444444444446</v>
      </c>
      <c r="NCC91" s="76">
        <v>0.86944444444444446</v>
      </c>
      <c r="NCD91" s="77" t="str">
        <f t="shared" ref="NCD91:NDZ91" si="289">IF(NCC91="","",IF(NCC91&gt;NCL91,"O","P"))</f>
        <v>O</v>
      </c>
      <c r="NCE91" s="74" t="s">
        <v>28</v>
      </c>
      <c r="NCF91" s="75" t="s">
        <v>23</v>
      </c>
      <c r="NCG91" s="78">
        <f>IFERROR(VLOOKUP(NCF91,'[1]List KPI'!$M$3:$N$8,2,0),"")</f>
        <v>2.0833333333333332E-2</v>
      </c>
      <c r="NCH91" s="76">
        <v>0.89444444444444449</v>
      </c>
      <c r="NCI91" s="77" t="str">
        <f t="shared" ref="NCI91:NEE91" si="290">IF(NCH91="","",IF(NCH91&gt;NCM91,"O","P"))</f>
        <v>O</v>
      </c>
      <c r="NCJ91" s="79">
        <v>5</v>
      </c>
      <c r="NCK91" s="75">
        <v>1276006</v>
      </c>
      <c r="NCL91" s="80"/>
      <c r="NCM91" s="81">
        <v>0.86944444444444446</v>
      </c>
      <c r="NCN91" s="74" t="s">
        <v>27</v>
      </c>
      <c r="NCO91" s="74" t="s">
        <v>24</v>
      </c>
      <c r="NCP91" s="75" t="s">
        <v>25</v>
      </c>
      <c r="NCQ91" s="76">
        <f>IFERROR(VLOOKUP(NCP91,'[1]List KPI'!$A$103:$F$118,6,0),"")</f>
        <v>1.0416666666666666E-2</v>
      </c>
      <c r="NCR91" s="76">
        <v>0.86944444444444446</v>
      </c>
      <c r="NCS91" s="76">
        <v>0.86944444444444446</v>
      </c>
      <c r="NCT91" s="77" t="str">
        <f t="shared" si="289"/>
        <v>O</v>
      </c>
      <c r="NCU91" s="74" t="s">
        <v>28</v>
      </c>
      <c r="NCV91" s="75" t="s">
        <v>23</v>
      </c>
      <c r="NCW91" s="78">
        <f>IFERROR(VLOOKUP(NCV91,'[1]List KPI'!$M$3:$N$8,2,0),"")</f>
        <v>2.0833333333333332E-2</v>
      </c>
      <c r="NCX91" s="76">
        <v>0.89444444444444449</v>
      </c>
      <c r="NCY91" s="77" t="str">
        <f t="shared" si="290"/>
        <v>O</v>
      </c>
      <c r="NCZ91" s="79">
        <v>5</v>
      </c>
      <c r="NDA91" s="75">
        <v>1276006</v>
      </c>
      <c r="NDB91" s="80"/>
      <c r="NDC91" s="81">
        <v>0.86944444444444446</v>
      </c>
      <c r="NDD91" s="74" t="s">
        <v>27</v>
      </c>
      <c r="NDE91" s="74" t="s">
        <v>24</v>
      </c>
      <c r="NDF91" s="75" t="s">
        <v>25</v>
      </c>
      <c r="NDG91" s="76">
        <f>IFERROR(VLOOKUP(NDF91,'[1]List KPI'!$A$103:$F$118,6,0),"")</f>
        <v>1.0416666666666666E-2</v>
      </c>
      <c r="NDH91" s="76">
        <v>0.86944444444444446</v>
      </c>
      <c r="NDI91" s="76">
        <v>0.86944444444444446</v>
      </c>
      <c r="NDJ91" s="77" t="str">
        <f t="shared" si="289"/>
        <v>O</v>
      </c>
      <c r="NDK91" s="74" t="s">
        <v>28</v>
      </c>
      <c r="NDL91" s="75" t="s">
        <v>23</v>
      </c>
      <c r="NDM91" s="78">
        <f>IFERROR(VLOOKUP(NDL91,'[1]List KPI'!$M$3:$N$8,2,0),"")</f>
        <v>2.0833333333333332E-2</v>
      </c>
      <c r="NDN91" s="76">
        <v>0.89444444444444449</v>
      </c>
      <c r="NDO91" s="77" t="str">
        <f t="shared" si="290"/>
        <v>O</v>
      </c>
      <c r="NDP91" s="79">
        <v>5</v>
      </c>
      <c r="NDQ91" s="75">
        <v>1276006</v>
      </c>
      <c r="NDR91" s="80"/>
      <c r="NDS91" s="81">
        <v>0.86944444444444446</v>
      </c>
      <c r="NDT91" s="74" t="s">
        <v>27</v>
      </c>
      <c r="NDU91" s="74" t="s">
        <v>24</v>
      </c>
      <c r="NDV91" s="75" t="s">
        <v>25</v>
      </c>
      <c r="NDW91" s="76">
        <f>IFERROR(VLOOKUP(NDV91,'[1]List KPI'!$A$103:$F$118,6,0),"")</f>
        <v>1.0416666666666666E-2</v>
      </c>
      <c r="NDX91" s="76">
        <v>0.86944444444444446</v>
      </c>
      <c r="NDY91" s="76">
        <v>0.86944444444444446</v>
      </c>
      <c r="NDZ91" s="77" t="str">
        <f t="shared" si="289"/>
        <v>O</v>
      </c>
      <c r="NEA91" s="74" t="s">
        <v>28</v>
      </c>
      <c r="NEB91" s="75" t="s">
        <v>23</v>
      </c>
      <c r="NEC91" s="78">
        <f>IFERROR(VLOOKUP(NEB91,'[1]List KPI'!$M$3:$N$8,2,0),"")</f>
        <v>2.0833333333333332E-2</v>
      </c>
      <c r="NED91" s="76">
        <v>0.89444444444444449</v>
      </c>
      <c r="NEE91" s="77" t="str">
        <f t="shared" si="290"/>
        <v>O</v>
      </c>
      <c r="NEF91" s="79">
        <v>5</v>
      </c>
      <c r="NEG91" s="75">
        <v>1276006</v>
      </c>
      <c r="NEH91" s="80"/>
      <c r="NEI91" s="81">
        <v>0.86944444444444446</v>
      </c>
      <c r="NEJ91" s="74" t="s">
        <v>27</v>
      </c>
      <c r="NEK91" s="74" t="s">
        <v>24</v>
      </c>
      <c r="NEL91" s="75" t="s">
        <v>25</v>
      </c>
      <c r="NEM91" s="76">
        <f>IFERROR(VLOOKUP(NEL91,'[1]List KPI'!$A$103:$F$118,6,0),"")</f>
        <v>1.0416666666666666E-2</v>
      </c>
      <c r="NEN91" s="76">
        <v>0.86944444444444446</v>
      </c>
      <c r="NEO91" s="76">
        <v>0.86944444444444446</v>
      </c>
      <c r="NEP91" s="77" t="str">
        <f t="shared" ref="NEP91:NGL91" si="291">IF(NEO91="","",IF(NEO91&gt;NEX91,"O","P"))</f>
        <v>O</v>
      </c>
      <c r="NEQ91" s="74" t="s">
        <v>28</v>
      </c>
      <c r="NER91" s="75" t="s">
        <v>23</v>
      </c>
      <c r="NES91" s="78">
        <f>IFERROR(VLOOKUP(NER91,'[1]List KPI'!$M$3:$N$8,2,0),"")</f>
        <v>2.0833333333333332E-2</v>
      </c>
      <c r="NET91" s="76">
        <v>0.89444444444444449</v>
      </c>
      <c r="NEU91" s="77" t="str">
        <f t="shared" ref="NEU91:NGQ91" si="292">IF(NET91="","",IF(NET91&gt;NEY91,"O","P"))</f>
        <v>O</v>
      </c>
      <c r="NEV91" s="79">
        <v>5</v>
      </c>
      <c r="NEW91" s="75">
        <v>1276006</v>
      </c>
      <c r="NEX91" s="80"/>
      <c r="NEY91" s="81">
        <v>0.86944444444444446</v>
      </c>
      <c r="NEZ91" s="74" t="s">
        <v>27</v>
      </c>
      <c r="NFA91" s="74" t="s">
        <v>24</v>
      </c>
      <c r="NFB91" s="75" t="s">
        <v>25</v>
      </c>
      <c r="NFC91" s="76">
        <f>IFERROR(VLOOKUP(NFB91,'[1]List KPI'!$A$103:$F$118,6,0),"")</f>
        <v>1.0416666666666666E-2</v>
      </c>
      <c r="NFD91" s="76">
        <v>0.86944444444444446</v>
      </c>
      <c r="NFE91" s="76">
        <v>0.86944444444444446</v>
      </c>
      <c r="NFF91" s="77" t="str">
        <f t="shared" si="291"/>
        <v>O</v>
      </c>
      <c r="NFG91" s="74" t="s">
        <v>28</v>
      </c>
      <c r="NFH91" s="75" t="s">
        <v>23</v>
      </c>
      <c r="NFI91" s="78">
        <f>IFERROR(VLOOKUP(NFH91,'[1]List KPI'!$M$3:$N$8,2,0),"")</f>
        <v>2.0833333333333332E-2</v>
      </c>
      <c r="NFJ91" s="76">
        <v>0.89444444444444449</v>
      </c>
      <c r="NFK91" s="77" t="str">
        <f t="shared" si="292"/>
        <v>O</v>
      </c>
      <c r="NFL91" s="79">
        <v>5</v>
      </c>
      <c r="NFM91" s="75">
        <v>1276006</v>
      </c>
      <c r="NFN91" s="80"/>
      <c r="NFO91" s="81">
        <v>0.86944444444444446</v>
      </c>
      <c r="NFP91" s="74" t="s">
        <v>27</v>
      </c>
      <c r="NFQ91" s="74" t="s">
        <v>24</v>
      </c>
      <c r="NFR91" s="75" t="s">
        <v>25</v>
      </c>
      <c r="NFS91" s="76">
        <f>IFERROR(VLOOKUP(NFR91,'[1]List KPI'!$A$103:$F$118,6,0),"")</f>
        <v>1.0416666666666666E-2</v>
      </c>
      <c r="NFT91" s="76">
        <v>0.86944444444444446</v>
      </c>
      <c r="NFU91" s="76">
        <v>0.86944444444444446</v>
      </c>
      <c r="NFV91" s="77" t="str">
        <f t="shared" si="291"/>
        <v>O</v>
      </c>
      <c r="NFW91" s="74" t="s">
        <v>28</v>
      </c>
      <c r="NFX91" s="75" t="s">
        <v>23</v>
      </c>
      <c r="NFY91" s="78">
        <f>IFERROR(VLOOKUP(NFX91,'[1]List KPI'!$M$3:$N$8,2,0),"")</f>
        <v>2.0833333333333332E-2</v>
      </c>
      <c r="NFZ91" s="76">
        <v>0.89444444444444449</v>
      </c>
      <c r="NGA91" s="77" t="str">
        <f t="shared" si="292"/>
        <v>O</v>
      </c>
      <c r="NGB91" s="79">
        <v>5</v>
      </c>
      <c r="NGC91" s="75">
        <v>1276006</v>
      </c>
      <c r="NGD91" s="80"/>
      <c r="NGE91" s="81">
        <v>0.86944444444444446</v>
      </c>
      <c r="NGF91" s="74" t="s">
        <v>27</v>
      </c>
      <c r="NGG91" s="74" t="s">
        <v>24</v>
      </c>
      <c r="NGH91" s="75" t="s">
        <v>25</v>
      </c>
      <c r="NGI91" s="76">
        <f>IFERROR(VLOOKUP(NGH91,'[1]List KPI'!$A$103:$F$118,6,0),"")</f>
        <v>1.0416666666666666E-2</v>
      </c>
      <c r="NGJ91" s="76">
        <v>0.86944444444444446</v>
      </c>
      <c r="NGK91" s="76">
        <v>0.86944444444444446</v>
      </c>
      <c r="NGL91" s="77" t="str">
        <f t="shared" si="291"/>
        <v>O</v>
      </c>
      <c r="NGM91" s="74" t="s">
        <v>28</v>
      </c>
      <c r="NGN91" s="75" t="s">
        <v>23</v>
      </c>
      <c r="NGO91" s="78">
        <f>IFERROR(VLOOKUP(NGN91,'[1]List KPI'!$M$3:$N$8,2,0),"")</f>
        <v>2.0833333333333332E-2</v>
      </c>
      <c r="NGP91" s="76">
        <v>0.89444444444444449</v>
      </c>
      <c r="NGQ91" s="77" t="str">
        <f t="shared" si="292"/>
        <v>O</v>
      </c>
      <c r="NGR91" s="79">
        <v>5</v>
      </c>
      <c r="NGS91" s="75">
        <v>1276006</v>
      </c>
      <c r="NGT91" s="80"/>
      <c r="NGU91" s="81">
        <v>0.86944444444444446</v>
      </c>
      <c r="NGV91" s="74" t="s">
        <v>27</v>
      </c>
      <c r="NGW91" s="74" t="s">
        <v>24</v>
      </c>
      <c r="NGX91" s="75" t="s">
        <v>25</v>
      </c>
      <c r="NGY91" s="76">
        <f>IFERROR(VLOOKUP(NGX91,'[1]List KPI'!$A$103:$F$118,6,0),"")</f>
        <v>1.0416666666666666E-2</v>
      </c>
      <c r="NGZ91" s="76">
        <v>0.86944444444444446</v>
      </c>
      <c r="NHA91" s="76">
        <v>0.86944444444444446</v>
      </c>
      <c r="NHB91" s="77" t="str">
        <f t="shared" ref="NHB91:NIX91" si="293">IF(NHA91="","",IF(NHA91&gt;NHJ91,"O","P"))</f>
        <v>O</v>
      </c>
      <c r="NHC91" s="74" t="s">
        <v>28</v>
      </c>
      <c r="NHD91" s="75" t="s">
        <v>23</v>
      </c>
      <c r="NHE91" s="78">
        <f>IFERROR(VLOOKUP(NHD91,'[1]List KPI'!$M$3:$N$8,2,0),"")</f>
        <v>2.0833333333333332E-2</v>
      </c>
      <c r="NHF91" s="76">
        <v>0.89444444444444449</v>
      </c>
      <c r="NHG91" s="77" t="str">
        <f t="shared" ref="NHG91:NJC91" si="294">IF(NHF91="","",IF(NHF91&gt;NHK91,"O","P"))</f>
        <v>O</v>
      </c>
      <c r="NHH91" s="79">
        <v>5</v>
      </c>
      <c r="NHI91" s="75">
        <v>1276006</v>
      </c>
      <c r="NHJ91" s="80"/>
      <c r="NHK91" s="81">
        <v>0.86944444444444446</v>
      </c>
      <c r="NHL91" s="74" t="s">
        <v>27</v>
      </c>
      <c r="NHM91" s="74" t="s">
        <v>24</v>
      </c>
      <c r="NHN91" s="75" t="s">
        <v>25</v>
      </c>
      <c r="NHO91" s="76">
        <f>IFERROR(VLOOKUP(NHN91,'[1]List KPI'!$A$103:$F$118,6,0),"")</f>
        <v>1.0416666666666666E-2</v>
      </c>
      <c r="NHP91" s="76">
        <v>0.86944444444444446</v>
      </c>
      <c r="NHQ91" s="76">
        <v>0.86944444444444446</v>
      </c>
      <c r="NHR91" s="77" t="str">
        <f t="shared" si="293"/>
        <v>O</v>
      </c>
      <c r="NHS91" s="74" t="s">
        <v>28</v>
      </c>
      <c r="NHT91" s="75" t="s">
        <v>23</v>
      </c>
      <c r="NHU91" s="78">
        <f>IFERROR(VLOOKUP(NHT91,'[1]List KPI'!$M$3:$N$8,2,0),"")</f>
        <v>2.0833333333333332E-2</v>
      </c>
      <c r="NHV91" s="76">
        <v>0.89444444444444449</v>
      </c>
      <c r="NHW91" s="77" t="str">
        <f t="shared" si="294"/>
        <v>O</v>
      </c>
      <c r="NHX91" s="79">
        <v>5</v>
      </c>
      <c r="NHY91" s="75">
        <v>1276006</v>
      </c>
      <c r="NHZ91" s="80"/>
      <c r="NIA91" s="81">
        <v>0.86944444444444446</v>
      </c>
      <c r="NIB91" s="74" t="s">
        <v>27</v>
      </c>
      <c r="NIC91" s="74" t="s">
        <v>24</v>
      </c>
      <c r="NID91" s="75" t="s">
        <v>25</v>
      </c>
      <c r="NIE91" s="76">
        <f>IFERROR(VLOOKUP(NID91,'[1]List KPI'!$A$103:$F$118,6,0),"")</f>
        <v>1.0416666666666666E-2</v>
      </c>
      <c r="NIF91" s="76">
        <v>0.86944444444444446</v>
      </c>
      <c r="NIG91" s="76">
        <v>0.86944444444444446</v>
      </c>
      <c r="NIH91" s="77" t="str">
        <f t="shared" si="293"/>
        <v>O</v>
      </c>
      <c r="NII91" s="74" t="s">
        <v>28</v>
      </c>
      <c r="NIJ91" s="75" t="s">
        <v>23</v>
      </c>
      <c r="NIK91" s="78">
        <f>IFERROR(VLOOKUP(NIJ91,'[1]List KPI'!$M$3:$N$8,2,0),"")</f>
        <v>2.0833333333333332E-2</v>
      </c>
      <c r="NIL91" s="76">
        <v>0.89444444444444449</v>
      </c>
      <c r="NIM91" s="77" t="str">
        <f t="shared" si="294"/>
        <v>O</v>
      </c>
      <c r="NIN91" s="79">
        <v>5</v>
      </c>
      <c r="NIO91" s="75">
        <v>1276006</v>
      </c>
      <c r="NIP91" s="80"/>
      <c r="NIQ91" s="81">
        <v>0.86944444444444446</v>
      </c>
      <c r="NIR91" s="74" t="s">
        <v>27</v>
      </c>
      <c r="NIS91" s="74" t="s">
        <v>24</v>
      </c>
      <c r="NIT91" s="75" t="s">
        <v>25</v>
      </c>
      <c r="NIU91" s="76">
        <f>IFERROR(VLOOKUP(NIT91,'[1]List KPI'!$A$103:$F$118,6,0),"")</f>
        <v>1.0416666666666666E-2</v>
      </c>
      <c r="NIV91" s="76">
        <v>0.86944444444444446</v>
      </c>
      <c r="NIW91" s="76">
        <v>0.86944444444444446</v>
      </c>
      <c r="NIX91" s="77" t="str">
        <f t="shared" si="293"/>
        <v>O</v>
      </c>
      <c r="NIY91" s="74" t="s">
        <v>28</v>
      </c>
      <c r="NIZ91" s="75" t="s">
        <v>23</v>
      </c>
      <c r="NJA91" s="78">
        <f>IFERROR(VLOOKUP(NIZ91,'[1]List KPI'!$M$3:$N$8,2,0),"")</f>
        <v>2.0833333333333332E-2</v>
      </c>
      <c r="NJB91" s="76">
        <v>0.89444444444444449</v>
      </c>
      <c r="NJC91" s="77" t="str">
        <f t="shared" si="294"/>
        <v>O</v>
      </c>
      <c r="NJD91" s="79">
        <v>5</v>
      </c>
      <c r="NJE91" s="75">
        <v>1276006</v>
      </c>
      <c r="NJF91" s="80"/>
      <c r="NJG91" s="81">
        <v>0.86944444444444446</v>
      </c>
      <c r="NJH91" s="74" t="s">
        <v>27</v>
      </c>
      <c r="NJI91" s="74" t="s">
        <v>24</v>
      </c>
      <c r="NJJ91" s="75" t="s">
        <v>25</v>
      </c>
      <c r="NJK91" s="76">
        <f>IFERROR(VLOOKUP(NJJ91,'[1]List KPI'!$A$103:$F$118,6,0),"")</f>
        <v>1.0416666666666666E-2</v>
      </c>
      <c r="NJL91" s="76">
        <v>0.86944444444444446</v>
      </c>
      <c r="NJM91" s="76">
        <v>0.86944444444444446</v>
      </c>
      <c r="NJN91" s="77" t="str">
        <f t="shared" ref="NJN91:NLJ91" si="295">IF(NJM91="","",IF(NJM91&gt;NJV91,"O","P"))</f>
        <v>O</v>
      </c>
      <c r="NJO91" s="74" t="s">
        <v>28</v>
      </c>
      <c r="NJP91" s="75" t="s">
        <v>23</v>
      </c>
      <c r="NJQ91" s="78">
        <f>IFERROR(VLOOKUP(NJP91,'[1]List KPI'!$M$3:$N$8,2,0),"")</f>
        <v>2.0833333333333332E-2</v>
      </c>
      <c r="NJR91" s="76">
        <v>0.89444444444444449</v>
      </c>
      <c r="NJS91" s="77" t="str">
        <f t="shared" ref="NJS91:NLO91" si="296">IF(NJR91="","",IF(NJR91&gt;NJW91,"O","P"))</f>
        <v>O</v>
      </c>
      <c r="NJT91" s="79">
        <v>5</v>
      </c>
      <c r="NJU91" s="75">
        <v>1276006</v>
      </c>
      <c r="NJV91" s="80"/>
      <c r="NJW91" s="81">
        <v>0.86944444444444446</v>
      </c>
      <c r="NJX91" s="74" t="s">
        <v>27</v>
      </c>
      <c r="NJY91" s="74" t="s">
        <v>24</v>
      </c>
      <c r="NJZ91" s="75" t="s">
        <v>25</v>
      </c>
      <c r="NKA91" s="76">
        <f>IFERROR(VLOOKUP(NJZ91,'[1]List KPI'!$A$103:$F$118,6,0),"")</f>
        <v>1.0416666666666666E-2</v>
      </c>
      <c r="NKB91" s="76">
        <v>0.86944444444444446</v>
      </c>
      <c r="NKC91" s="76">
        <v>0.86944444444444446</v>
      </c>
      <c r="NKD91" s="77" t="str">
        <f t="shared" si="295"/>
        <v>O</v>
      </c>
      <c r="NKE91" s="74" t="s">
        <v>28</v>
      </c>
      <c r="NKF91" s="75" t="s">
        <v>23</v>
      </c>
      <c r="NKG91" s="78">
        <f>IFERROR(VLOOKUP(NKF91,'[1]List KPI'!$M$3:$N$8,2,0),"")</f>
        <v>2.0833333333333332E-2</v>
      </c>
      <c r="NKH91" s="76">
        <v>0.89444444444444449</v>
      </c>
      <c r="NKI91" s="77" t="str">
        <f t="shared" si="296"/>
        <v>O</v>
      </c>
      <c r="NKJ91" s="79">
        <v>5</v>
      </c>
      <c r="NKK91" s="75">
        <v>1276006</v>
      </c>
      <c r="NKL91" s="80"/>
      <c r="NKM91" s="81">
        <v>0.86944444444444446</v>
      </c>
      <c r="NKN91" s="74" t="s">
        <v>27</v>
      </c>
      <c r="NKO91" s="74" t="s">
        <v>24</v>
      </c>
      <c r="NKP91" s="75" t="s">
        <v>25</v>
      </c>
      <c r="NKQ91" s="76">
        <f>IFERROR(VLOOKUP(NKP91,'[1]List KPI'!$A$103:$F$118,6,0),"")</f>
        <v>1.0416666666666666E-2</v>
      </c>
      <c r="NKR91" s="76">
        <v>0.86944444444444446</v>
      </c>
      <c r="NKS91" s="76">
        <v>0.86944444444444446</v>
      </c>
      <c r="NKT91" s="77" t="str">
        <f t="shared" si="295"/>
        <v>O</v>
      </c>
      <c r="NKU91" s="74" t="s">
        <v>28</v>
      </c>
      <c r="NKV91" s="75" t="s">
        <v>23</v>
      </c>
      <c r="NKW91" s="78">
        <f>IFERROR(VLOOKUP(NKV91,'[1]List KPI'!$M$3:$N$8,2,0),"")</f>
        <v>2.0833333333333332E-2</v>
      </c>
      <c r="NKX91" s="76">
        <v>0.89444444444444449</v>
      </c>
      <c r="NKY91" s="77" t="str">
        <f t="shared" si="296"/>
        <v>O</v>
      </c>
      <c r="NKZ91" s="79">
        <v>5</v>
      </c>
      <c r="NLA91" s="75">
        <v>1276006</v>
      </c>
      <c r="NLB91" s="80"/>
      <c r="NLC91" s="81">
        <v>0.86944444444444446</v>
      </c>
      <c r="NLD91" s="74" t="s">
        <v>27</v>
      </c>
      <c r="NLE91" s="74" t="s">
        <v>24</v>
      </c>
      <c r="NLF91" s="75" t="s">
        <v>25</v>
      </c>
      <c r="NLG91" s="76">
        <f>IFERROR(VLOOKUP(NLF91,'[1]List KPI'!$A$103:$F$118,6,0),"")</f>
        <v>1.0416666666666666E-2</v>
      </c>
      <c r="NLH91" s="76">
        <v>0.86944444444444446</v>
      </c>
      <c r="NLI91" s="76">
        <v>0.86944444444444446</v>
      </c>
      <c r="NLJ91" s="77" t="str">
        <f t="shared" si="295"/>
        <v>O</v>
      </c>
      <c r="NLK91" s="74" t="s">
        <v>28</v>
      </c>
      <c r="NLL91" s="75" t="s">
        <v>23</v>
      </c>
      <c r="NLM91" s="78">
        <f>IFERROR(VLOOKUP(NLL91,'[1]List KPI'!$M$3:$N$8,2,0),"")</f>
        <v>2.0833333333333332E-2</v>
      </c>
      <c r="NLN91" s="76">
        <v>0.89444444444444449</v>
      </c>
      <c r="NLO91" s="77" t="str">
        <f t="shared" si="296"/>
        <v>O</v>
      </c>
      <c r="NLP91" s="79">
        <v>5</v>
      </c>
      <c r="NLQ91" s="75">
        <v>1276006</v>
      </c>
      <c r="NLR91" s="80"/>
      <c r="NLS91" s="81">
        <v>0.86944444444444446</v>
      </c>
      <c r="NLT91" s="74" t="s">
        <v>27</v>
      </c>
      <c r="NLU91" s="74" t="s">
        <v>24</v>
      </c>
      <c r="NLV91" s="75" t="s">
        <v>25</v>
      </c>
      <c r="NLW91" s="76">
        <f>IFERROR(VLOOKUP(NLV91,'[1]List KPI'!$A$103:$F$118,6,0),"")</f>
        <v>1.0416666666666666E-2</v>
      </c>
      <c r="NLX91" s="76">
        <v>0.86944444444444446</v>
      </c>
      <c r="NLY91" s="76">
        <v>0.86944444444444446</v>
      </c>
      <c r="NLZ91" s="77" t="str">
        <f t="shared" ref="NLZ91:NNV91" si="297">IF(NLY91="","",IF(NLY91&gt;NMH91,"O","P"))</f>
        <v>O</v>
      </c>
      <c r="NMA91" s="74" t="s">
        <v>28</v>
      </c>
      <c r="NMB91" s="75" t="s">
        <v>23</v>
      </c>
      <c r="NMC91" s="78">
        <f>IFERROR(VLOOKUP(NMB91,'[1]List KPI'!$M$3:$N$8,2,0),"")</f>
        <v>2.0833333333333332E-2</v>
      </c>
      <c r="NMD91" s="76">
        <v>0.89444444444444449</v>
      </c>
      <c r="NME91" s="77" t="str">
        <f t="shared" ref="NME91:NOA91" si="298">IF(NMD91="","",IF(NMD91&gt;NMI91,"O","P"))</f>
        <v>O</v>
      </c>
      <c r="NMF91" s="79">
        <v>5</v>
      </c>
      <c r="NMG91" s="75">
        <v>1276006</v>
      </c>
      <c r="NMH91" s="80"/>
      <c r="NMI91" s="81">
        <v>0.86944444444444446</v>
      </c>
      <c r="NMJ91" s="74" t="s">
        <v>27</v>
      </c>
      <c r="NMK91" s="74" t="s">
        <v>24</v>
      </c>
      <c r="NML91" s="75" t="s">
        <v>25</v>
      </c>
      <c r="NMM91" s="76">
        <f>IFERROR(VLOOKUP(NML91,'[1]List KPI'!$A$103:$F$118,6,0),"")</f>
        <v>1.0416666666666666E-2</v>
      </c>
      <c r="NMN91" s="76">
        <v>0.86944444444444446</v>
      </c>
      <c r="NMO91" s="76">
        <v>0.86944444444444446</v>
      </c>
      <c r="NMP91" s="77" t="str">
        <f t="shared" si="297"/>
        <v>O</v>
      </c>
      <c r="NMQ91" s="74" t="s">
        <v>28</v>
      </c>
      <c r="NMR91" s="75" t="s">
        <v>23</v>
      </c>
      <c r="NMS91" s="78">
        <f>IFERROR(VLOOKUP(NMR91,'[1]List KPI'!$M$3:$N$8,2,0),"")</f>
        <v>2.0833333333333332E-2</v>
      </c>
      <c r="NMT91" s="76">
        <v>0.89444444444444449</v>
      </c>
      <c r="NMU91" s="77" t="str">
        <f t="shared" si="298"/>
        <v>O</v>
      </c>
      <c r="NMV91" s="79">
        <v>5</v>
      </c>
      <c r="NMW91" s="75">
        <v>1276006</v>
      </c>
      <c r="NMX91" s="80"/>
      <c r="NMY91" s="81">
        <v>0.86944444444444446</v>
      </c>
      <c r="NMZ91" s="74" t="s">
        <v>27</v>
      </c>
      <c r="NNA91" s="74" t="s">
        <v>24</v>
      </c>
      <c r="NNB91" s="75" t="s">
        <v>25</v>
      </c>
      <c r="NNC91" s="76">
        <f>IFERROR(VLOOKUP(NNB91,'[1]List KPI'!$A$103:$F$118,6,0),"")</f>
        <v>1.0416666666666666E-2</v>
      </c>
      <c r="NND91" s="76">
        <v>0.86944444444444446</v>
      </c>
      <c r="NNE91" s="76">
        <v>0.86944444444444446</v>
      </c>
      <c r="NNF91" s="77" t="str">
        <f t="shared" si="297"/>
        <v>O</v>
      </c>
      <c r="NNG91" s="74" t="s">
        <v>28</v>
      </c>
      <c r="NNH91" s="75" t="s">
        <v>23</v>
      </c>
      <c r="NNI91" s="78">
        <f>IFERROR(VLOOKUP(NNH91,'[1]List KPI'!$M$3:$N$8,2,0),"")</f>
        <v>2.0833333333333332E-2</v>
      </c>
      <c r="NNJ91" s="76">
        <v>0.89444444444444449</v>
      </c>
      <c r="NNK91" s="77" t="str">
        <f t="shared" si="298"/>
        <v>O</v>
      </c>
      <c r="NNL91" s="79">
        <v>5</v>
      </c>
      <c r="NNM91" s="75">
        <v>1276006</v>
      </c>
      <c r="NNN91" s="80"/>
      <c r="NNO91" s="81">
        <v>0.86944444444444446</v>
      </c>
      <c r="NNP91" s="74" t="s">
        <v>27</v>
      </c>
      <c r="NNQ91" s="74" t="s">
        <v>24</v>
      </c>
      <c r="NNR91" s="75" t="s">
        <v>25</v>
      </c>
      <c r="NNS91" s="76">
        <f>IFERROR(VLOOKUP(NNR91,'[1]List KPI'!$A$103:$F$118,6,0),"")</f>
        <v>1.0416666666666666E-2</v>
      </c>
      <c r="NNT91" s="76">
        <v>0.86944444444444446</v>
      </c>
      <c r="NNU91" s="76">
        <v>0.86944444444444446</v>
      </c>
      <c r="NNV91" s="77" t="str">
        <f t="shared" si="297"/>
        <v>O</v>
      </c>
      <c r="NNW91" s="74" t="s">
        <v>28</v>
      </c>
      <c r="NNX91" s="75" t="s">
        <v>23</v>
      </c>
      <c r="NNY91" s="78">
        <f>IFERROR(VLOOKUP(NNX91,'[1]List KPI'!$M$3:$N$8,2,0),"")</f>
        <v>2.0833333333333332E-2</v>
      </c>
      <c r="NNZ91" s="76">
        <v>0.89444444444444449</v>
      </c>
      <c r="NOA91" s="77" t="str">
        <f t="shared" si="298"/>
        <v>O</v>
      </c>
      <c r="NOB91" s="79">
        <v>5</v>
      </c>
      <c r="NOC91" s="75">
        <v>1276006</v>
      </c>
      <c r="NOD91" s="80"/>
      <c r="NOE91" s="81">
        <v>0.86944444444444446</v>
      </c>
      <c r="NOF91" s="74" t="s">
        <v>27</v>
      </c>
      <c r="NOG91" s="74" t="s">
        <v>24</v>
      </c>
      <c r="NOH91" s="75" t="s">
        <v>25</v>
      </c>
      <c r="NOI91" s="76">
        <f>IFERROR(VLOOKUP(NOH91,'[1]List KPI'!$A$103:$F$118,6,0),"")</f>
        <v>1.0416666666666666E-2</v>
      </c>
      <c r="NOJ91" s="76">
        <v>0.86944444444444446</v>
      </c>
      <c r="NOK91" s="76">
        <v>0.86944444444444446</v>
      </c>
      <c r="NOL91" s="77" t="str">
        <f t="shared" ref="NOL91:NQH91" si="299">IF(NOK91="","",IF(NOK91&gt;NOT91,"O","P"))</f>
        <v>O</v>
      </c>
      <c r="NOM91" s="74" t="s">
        <v>28</v>
      </c>
      <c r="NON91" s="75" t="s">
        <v>23</v>
      </c>
      <c r="NOO91" s="78">
        <f>IFERROR(VLOOKUP(NON91,'[1]List KPI'!$M$3:$N$8,2,0),"")</f>
        <v>2.0833333333333332E-2</v>
      </c>
      <c r="NOP91" s="76">
        <v>0.89444444444444449</v>
      </c>
      <c r="NOQ91" s="77" t="str">
        <f t="shared" ref="NOQ91:NQM91" si="300">IF(NOP91="","",IF(NOP91&gt;NOU91,"O","P"))</f>
        <v>O</v>
      </c>
      <c r="NOR91" s="79">
        <v>5</v>
      </c>
      <c r="NOS91" s="75">
        <v>1276006</v>
      </c>
      <c r="NOT91" s="80"/>
      <c r="NOU91" s="81">
        <v>0.86944444444444446</v>
      </c>
      <c r="NOV91" s="74" t="s">
        <v>27</v>
      </c>
      <c r="NOW91" s="74" t="s">
        <v>24</v>
      </c>
      <c r="NOX91" s="75" t="s">
        <v>25</v>
      </c>
      <c r="NOY91" s="76">
        <f>IFERROR(VLOOKUP(NOX91,'[1]List KPI'!$A$103:$F$118,6,0),"")</f>
        <v>1.0416666666666666E-2</v>
      </c>
      <c r="NOZ91" s="76">
        <v>0.86944444444444446</v>
      </c>
      <c r="NPA91" s="76">
        <v>0.86944444444444446</v>
      </c>
      <c r="NPB91" s="77" t="str">
        <f t="shared" si="299"/>
        <v>O</v>
      </c>
      <c r="NPC91" s="74" t="s">
        <v>28</v>
      </c>
      <c r="NPD91" s="75" t="s">
        <v>23</v>
      </c>
      <c r="NPE91" s="78">
        <f>IFERROR(VLOOKUP(NPD91,'[1]List KPI'!$M$3:$N$8,2,0),"")</f>
        <v>2.0833333333333332E-2</v>
      </c>
      <c r="NPF91" s="76">
        <v>0.89444444444444449</v>
      </c>
      <c r="NPG91" s="77" t="str">
        <f t="shared" si="300"/>
        <v>O</v>
      </c>
      <c r="NPH91" s="79">
        <v>5</v>
      </c>
      <c r="NPI91" s="75">
        <v>1276006</v>
      </c>
      <c r="NPJ91" s="80"/>
      <c r="NPK91" s="81">
        <v>0.86944444444444446</v>
      </c>
      <c r="NPL91" s="74" t="s">
        <v>27</v>
      </c>
      <c r="NPM91" s="74" t="s">
        <v>24</v>
      </c>
      <c r="NPN91" s="75" t="s">
        <v>25</v>
      </c>
      <c r="NPO91" s="76">
        <f>IFERROR(VLOOKUP(NPN91,'[1]List KPI'!$A$103:$F$118,6,0),"")</f>
        <v>1.0416666666666666E-2</v>
      </c>
      <c r="NPP91" s="76">
        <v>0.86944444444444446</v>
      </c>
      <c r="NPQ91" s="76">
        <v>0.86944444444444446</v>
      </c>
      <c r="NPR91" s="77" t="str">
        <f t="shared" si="299"/>
        <v>O</v>
      </c>
      <c r="NPS91" s="74" t="s">
        <v>28</v>
      </c>
      <c r="NPT91" s="75" t="s">
        <v>23</v>
      </c>
      <c r="NPU91" s="78">
        <f>IFERROR(VLOOKUP(NPT91,'[1]List KPI'!$M$3:$N$8,2,0),"")</f>
        <v>2.0833333333333332E-2</v>
      </c>
      <c r="NPV91" s="76">
        <v>0.89444444444444449</v>
      </c>
      <c r="NPW91" s="77" t="str">
        <f t="shared" si="300"/>
        <v>O</v>
      </c>
      <c r="NPX91" s="79">
        <v>5</v>
      </c>
      <c r="NPY91" s="75">
        <v>1276006</v>
      </c>
      <c r="NPZ91" s="80"/>
      <c r="NQA91" s="81">
        <v>0.86944444444444446</v>
      </c>
      <c r="NQB91" s="74" t="s">
        <v>27</v>
      </c>
      <c r="NQC91" s="74" t="s">
        <v>24</v>
      </c>
      <c r="NQD91" s="75" t="s">
        <v>25</v>
      </c>
      <c r="NQE91" s="76">
        <f>IFERROR(VLOOKUP(NQD91,'[1]List KPI'!$A$103:$F$118,6,0),"")</f>
        <v>1.0416666666666666E-2</v>
      </c>
      <c r="NQF91" s="76">
        <v>0.86944444444444446</v>
      </c>
      <c r="NQG91" s="76">
        <v>0.86944444444444446</v>
      </c>
      <c r="NQH91" s="77" t="str">
        <f t="shared" si="299"/>
        <v>O</v>
      </c>
      <c r="NQI91" s="74" t="s">
        <v>28</v>
      </c>
      <c r="NQJ91" s="75" t="s">
        <v>23</v>
      </c>
      <c r="NQK91" s="78">
        <f>IFERROR(VLOOKUP(NQJ91,'[1]List KPI'!$M$3:$N$8,2,0),"")</f>
        <v>2.0833333333333332E-2</v>
      </c>
      <c r="NQL91" s="76">
        <v>0.89444444444444449</v>
      </c>
      <c r="NQM91" s="77" t="str">
        <f t="shared" si="300"/>
        <v>O</v>
      </c>
      <c r="NQN91" s="79">
        <v>5</v>
      </c>
      <c r="NQO91" s="75">
        <v>1276006</v>
      </c>
      <c r="NQP91" s="80"/>
      <c r="NQQ91" s="81">
        <v>0.86944444444444446</v>
      </c>
      <c r="NQR91" s="74" t="s">
        <v>27</v>
      </c>
      <c r="NQS91" s="74" t="s">
        <v>24</v>
      </c>
      <c r="NQT91" s="75" t="s">
        <v>25</v>
      </c>
      <c r="NQU91" s="76">
        <f>IFERROR(VLOOKUP(NQT91,'[1]List KPI'!$A$103:$F$118,6,0),"")</f>
        <v>1.0416666666666666E-2</v>
      </c>
      <c r="NQV91" s="76">
        <v>0.86944444444444446</v>
      </c>
      <c r="NQW91" s="76">
        <v>0.86944444444444446</v>
      </c>
      <c r="NQX91" s="77" t="str">
        <f t="shared" ref="NQX91:NST91" si="301">IF(NQW91="","",IF(NQW91&gt;NRF91,"O","P"))</f>
        <v>O</v>
      </c>
      <c r="NQY91" s="74" t="s">
        <v>28</v>
      </c>
      <c r="NQZ91" s="75" t="s">
        <v>23</v>
      </c>
      <c r="NRA91" s="78">
        <f>IFERROR(VLOOKUP(NQZ91,'[1]List KPI'!$M$3:$N$8,2,0),"")</f>
        <v>2.0833333333333332E-2</v>
      </c>
      <c r="NRB91" s="76">
        <v>0.89444444444444449</v>
      </c>
      <c r="NRC91" s="77" t="str">
        <f t="shared" ref="NRC91:NSY91" si="302">IF(NRB91="","",IF(NRB91&gt;NRG91,"O","P"))</f>
        <v>O</v>
      </c>
      <c r="NRD91" s="79">
        <v>5</v>
      </c>
      <c r="NRE91" s="75">
        <v>1276006</v>
      </c>
      <c r="NRF91" s="80"/>
      <c r="NRG91" s="81">
        <v>0.86944444444444446</v>
      </c>
      <c r="NRH91" s="74" t="s">
        <v>27</v>
      </c>
      <c r="NRI91" s="74" t="s">
        <v>24</v>
      </c>
      <c r="NRJ91" s="75" t="s">
        <v>25</v>
      </c>
      <c r="NRK91" s="76">
        <f>IFERROR(VLOOKUP(NRJ91,'[1]List KPI'!$A$103:$F$118,6,0),"")</f>
        <v>1.0416666666666666E-2</v>
      </c>
      <c r="NRL91" s="76">
        <v>0.86944444444444446</v>
      </c>
      <c r="NRM91" s="76">
        <v>0.86944444444444446</v>
      </c>
      <c r="NRN91" s="77" t="str">
        <f t="shared" si="301"/>
        <v>O</v>
      </c>
      <c r="NRO91" s="74" t="s">
        <v>28</v>
      </c>
      <c r="NRP91" s="75" t="s">
        <v>23</v>
      </c>
      <c r="NRQ91" s="78">
        <f>IFERROR(VLOOKUP(NRP91,'[1]List KPI'!$M$3:$N$8,2,0),"")</f>
        <v>2.0833333333333332E-2</v>
      </c>
      <c r="NRR91" s="76">
        <v>0.89444444444444449</v>
      </c>
      <c r="NRS91" s="77" t="str">
        <f t="shared" si="302"/>
        <v>O</v>
      </c>
      <c r="NRT91" s="79">
        <v>5</v>
      </c>
      <c r="NRU91" s="75">
        <v>1276006</v>
      </c>
      <c r="NRV91" s="80"/>
      <c r="NRW91" s="81">
        <v>0.86944444444444446</v>
      </c>
      <c r="NRX91" s="74" t="s">
        <v>27</v>
      </c>
      <c r="NRY91" s="74" t="s">
        <v>24</v>
      </c>
      <c r="NRZ91" s="75" t="s">
        <v>25</v>
      </c>
      <c r="NSA91" s="76">
        <f>IFERROR(VLOOKUP(NRZ91,'[1]List KPI'!$A$103:$F$118,6,0),"")</f>
        <v>1.0416666666666666E-2</v>
      </c>
      <c r="NSB91" s="76">
        <v>0.86944444444444446</v>
      </c>
      <c r="NSC91" s="76">
        <v>0.86944444444444446</v>
      </c>
      <c r="NSD91" s="77" t="str">
        <f t="shared" si="301"/>
        <v>O</v>
      </c>
      <c r="NSE91" s="74" t="s">
        <v>28</v>
      </c>
      <c r="NSF91" s="75" t="s">
        <v>23</v>
      </c>
      <c r="NSG91" s="78">
        <f>IFERROR(VLOOKUP(NSF91,'[1]List KPI'!$M$3:$N$8,2,0),"")</f>
        <v>2.0833333333333332E-2</v>
      </c>
      <c r="NSH91" s="76">
        <v>0.89444444444444449</v>
      </c>
      <c r="NSI91" s="77" t="str">
        <f t="shared" si="302"/>
        <v>O</v>
      </c>
      <c r="NSJ91" s="79">
        <v>5</v>
      </c>
      <c r="NSK91" s="75">
        <v>1276006</v>
      </c>
      <c r="NSL91" s="80"/>
      <c r="NSM91" s="81">
        <v>0.86944444444444446</v>
      </c>
      <c r="NSN91" s="74" t="s">
        <v>27</v>
      </c>
      <c r="NSO91" s="74" t="s">
        <v>24</v>
      </c>
      <c r="NSP91" s="75" t="s">
        <v>25</v>
      </c>
      <c r="NSQ91" s="76">
        <f>IFERROR(VLOOKUP(NSP91,'[1]List KPI'!$A$103:$F$118,6,0),"")</f>
        <v>1.0416666666666666E-2</v>
      </c>
      <c r="NSR91" s="76">
        <v>0.86944444444444446</v>
      </c>
      <c r="NSS91" s="76">
        <v>0.86944444444444446</v>
      </c>
      <c r="NST91" s="77" t="str">
        <f t="shared" si="301"/>
        <v>O</v>
      </c>
      <c r="NSU91" s="74" t="s">
        <v>28</v>
      </c>
      <c r="NSV91" s="75" t="s">
        <v>23</v>
      </c>
      <c r="NSW91" s="78">
        <f>IFERROR(VLOOKUP(NSV91,'[1]List KPI'!$M$3:$N$8,2,0),"")</f>
        <v>2.0833333333333332E-2</v>
      </c>
      <c r="NSX91" s="76">
        <v>0.89444444444444449</v>
      </c>
      <c r="NSY91" s="77" t="str">
        <f t="shared" si="302"/>
        <v>O</v>
      </c>
      <c r="NSZ91" s="79">
        <v>5</v>
      </c>
      <c r="NTA91" s="75">
        <v>1276006</v>
      </c>
      <c r="NTB91" s="80"/>
      <c r="NTC91" s="81">
        <v>0.86944444444444446</v>
      </c>
      <c r="NTD91" s="74" t="s">
        <v>27</v>
      </c>
      <c r="NTE91" s="74" t="s">
        <v>24</v>
      </c>
      <c r="NTF91" s="75" t="s">
        <v>25</v>
      </c>
      <c r="NTG91" s="76">
        <f>IFERROR(VLOOKUP(NTF91,'[1]List KPI'!$A$103:$F$118,6,0),"")</f>
        <v>1.0416666666666666E-2</v>
      </c>
      <c r="NTH91" s="76">
        <v>0.86944444444444446</v>
      </c>
      <c r="NTI91" s="76">
        <v>0.86944444444444446</v>
      </c>
      <c r="NTJ91" s="77" t="str">
        <f t="shared" ref="NTJ91:NVF91" si="303">IF(NTI91="","",IF(NTI91&gt;NTR91,"O","P"))</f>
        <v>O</v>
      </c>
      <c r="NTK91" s="74" t="s">
        <v>28</v>
      </c>
      <c r="NTL91" s="75" t="s">
        <v>23</v>
      </c>
      <c r="NTM91" s="78">
        <f>IFERROR(VLOOKUP(NTL91,'[1]List KPI'!$M$3:$N$8,2,0),"")</f>
        <v>2.0833333333333332E-2</v>
      </c>
      <c r="NTN91" s="76">
        <v>0.89444444444444449</v>
      </c>
      <c r="NTO91" s="77" t="str">
        <f t="shared" ref="NTO91:NVK91" si="304">IF(NTN91="","",IF(NTN91&gt;NTS91,"O","P"))</f>
        <v>O</v>
      </c>
      <c r="NTP91" s="79">
        <v>5</v>
      </c>
      <c r="NTQ91" s="75">
        <v>1276006</v>
      </c>
      <c r="NTR91" s="80"/>
      <c r="NTS91" s="81">
        <v>0.86944444444444446</v>
      </c>
      <c r="NTT91" s="74" t="s">
        <v>27</v>
      </c>
      <c r="NTU91" s="74" t="s">
        <v>24</v>
      </c>
      <c r="NTV91" s="75" t="s">
        <v>25</v>
      </c>
      <c r="NTW91" s="76">
        <f>IFERROR(VLOOKUP(NTV91,'[1]List KPI'!$A$103:$F$118,6,0),"")</f>
        <v>1.0416666666666666E-2</v>
      </c>
      <c r="NTX91" s="76">
        <v>0.86944444444444446</v>
      </c>
      <c r="NTY91" s="76">
        <v>0.86944444444444446</v>
      </c>
      <c r="NTZ91" s="77" t="str">
        <f t="shared" si="303"/>
        <v>O</v>
      </c>
      <c r="NUA91" s="74" t="s">
        <v>28</v>
      </c>
      <c r="NUB91" s="75" t="s">
        <v>23</v>
      </c>
      <c r="NUC91" s="78">
        <f>IFERROR(VLOOKUP(NUB91,'[1]List KPI'!$M$3:$N$8,2,0),"")</f>
        <v>2.0833333333333332E-2</v>
      </c>
      <c r="NUD91" s="76">
        <v>0.89444444444444449</v>
      </c>
      <c r="NUE91" s="77" t="str">
        <f t="shared" si="304"/>
        <v>O</v>
      </c>
      <c r="NUF91" s="79">
        <v>5</v>
      </c>
      <c r="NUG91" s="75">
        <v>1276006</v>
      </c>
      <c r="NUH91" s="80"/>
      <c r="NUI91" s="81">
        <v>0.86944444444444446</v>
      </c>
      <c r="NUJ91" s="74" t="s">
        <v>27</v>
      </c>
      <c r="NUK91" s="74" t="s">
        <v>24</v>
      </c>
      <c r="NUL91" s="75" t="s">
        <v>25</v>
      </c>
      <c r="NUM91" s="76">
        <f>IFERROR(VLOOKUP(NUL91,'[1]List KPI'!$A$103:$F$118,6,0),"")</f>
        <v>1.0416666666666666E-2</v>
      </c>
      <c r="NUN91" s="76">
        <v>0.86944444444444446</v>
      </c>
      <c r="NUO91" s="76">
        <v>0.86944444444444446</v>
      </c>
      <c r="NUP91" s="77" t="str">
        <f t="shared" si="303"/>
        <v>O</v>
      </c>
      <c r="NUQ91" s="74" t="s">
        <v>28</v>
      </c>
      <c r="NUR91" s="75" t="s">
        <v>23</v>
      </c>
      <c r="NUS91" s="78">
        <f>IFERROR(VLOOKUP(NUR91,'[1]List KPI'!$M$3:$N$8,2,0),"")</f>
        <v>2.0833333333333332E-2</v>
      </c>
      <c r="NUT91" s="76">
        <v>0.89444444444444449</v>
      </c>
      <c r="NUU91" s="77" t="str">
        <f t="shared" si="304"/>
        <v>O</v>
      </c>
      <c r="NUV91" s="79">
        <v>5</v>
      </c>
      <c r="NUW91" s="75">
        <v>1276006</v>
      </c>
      <c r="NUX91" s="80"/>
      <c r="NUY91" s="81">
        <v>0.86944444444444446</v>
      </c>
      <c r="NUZ91" s="74" t="s">
        <v>27</v>
      </c>
      <c r="NVA91" s="74" t="s">
        <v>24</v>
      </c>
      <c r="NVB91" s="75" t="s">
        <v>25</v>
      </c>
      <c r="NVC91" s="76">
        <f>IFERROR(VLOOKUP(NVB91,'[1]List KPI'!$A$103:$F$118,6,0),"")</f>
        <v>1.0416666666666666E-2</v>
      </c>
      <c r="NVD91" s="76">
        <v>0.86944444444444446</v>
      </c>
      <c r="NVE91" s="76">
        <v>0.86944444444444446</v>
      </c>
      <c r="NVF91" s="77" t="str">
        <f t="shared" si="303"/>
        <v>O</v>
      </c>
      <c r="NVG91" s="74" t="s">
        <v>28</v>
      </c>
      <c r="NVH91" s="75" t="s">
        <v>23</v>
      </c>
      <c r="NVI91" s="78">
        <f>IFERROR(VLOOKUP(NVH91,'[1]List KPI'!$M$3:$N$8,2,0),"")</f>
        <v>2.0833333333333332E-2</v>
      </c>
      <c r="NVJ91" s="76">
        <v>0.89444444444444449</v>
      </c>
      <c r="NVK91" s="77" t="str">
        <f t="shared" si="304"/>
        <v>O</v>
      </c>
      <c r="NVL91" s="79">
        <v>5</v>
      </c>
      <c r="NVM91" s="75">
        <v>1276006</v>
      </c>
      <c r="NVN91" s="80"/>
      <c r="NVO91" s="81">
        <v>0.86944444444444446</v>
      </c>
      <c r="NVP91" s="74" t="s">
        <v>27</v>
      </c>
      <c r="NVQ91" s="74" t="s">
        <v>24</v>
      </c>
      <c r="NVR91" s="75" t="s">
        <v>25</v>
      </c>
      <c r="NVS91" s="76">
        <f>IFERROR(VLOOKUP(NVR91,'[1]List KPI'!$A$103:$F$118,6,0),"")</f>
        <v>1.0416666666666666E-2</v>
      </c>
      <c r="NVT91" s="76">
        <v>0.86944444444444446</v>
      </c>
      <c r="NVU91" s="76">
        <v>0.86944444444444446</v>
      </c>
      <c r="NVV91" s="77" t="str">
        <f t="shared" ref="NVV91:NXR91" si="305">IF(NVU91="","",IF(NVU91&gt;NWD91,"O","P"))</f>
        <v>O</v>
      </c>
      <c r="NVW91" s="74" t="s">
        <v>28</v>
      </c>
      <c r="NVX91" s="75" t="s">
        <v>23</v>
      </c>
      <c r="NVY91" s="78">
        <f>IFERROR(VLOOKUP(NVX91,'[1]List KPI'!$M$3:$N$8,2,0),"")</f>
        <v>2.0833333333333332E-2</v>
      </c>
      <c r="NVZ91" s="76">
        <v>0.89444444444444449</v>
      </c>
      <c r="NWA91" s="77" t="str">
        <f t="shared" ref="NWA91:NXW91" si="306">IF(NVZ91="","",IF(NVZ91&gt;NWE91,"O","P"))</f>
        <v>O</v>
      </c>
      <c r="NWB91" s="79">
        <v>5</v>
      </c>
      <c r="NWC91" s="75">
        <v>1276006</v>
      </c>
      <c r="NWD91" s="80"/>
      <c r="NWE91" s="81">
        <v>0.86944444444444446</v>
      </c>
      <c r="NWF91" s="74" t="s">
        <v>27</v>
      </c>
      <c r="NWG91" s="74" t="s">
        <v>24</v>
      </c>
      <c r="NWH91" s="75" t="s">
        <v>25</v>
      </c>
      <c r="NWI91" s="76">
        <f>IFERROR(VLOOKUP(NWH91,'[1]List KPI'!$A$103:$F$118,6,0),"")</f>
        <v>1.0416666666666666E-2</v>
      </c>
      <c r="NWJ91" s="76">
        <v>0.86944444444444446</v>
      </c>
      <c r="NWK91" s="76">
        <v>0.86944444444444446</v>
      </c>
      <c r="NWL91" s="77" t="str">
        <f t="shared" si="305"/>
        <v>O</v>
      </c>
      <c r="NWM91" s="74" t="s">
        <v>28</v>
      </c>
      <c r="NWN91" s="75" t="s">
        <v>23</v>
      </c>
      <c r="NWO91" s="78">
        <f>IFERROR(VLOOKUP(NWN91,'[1]List KPI'!$M$3:$N$8,2,0),"")</f>
        <v>2.0833333333333332E-2</v>
      </c>
      <c r="NWP91" s="76">
        <v>0.89444444444444449</v>
      </c>
      <c r="NWQ91" s="77" t="str">
        <f t="shared" si="306"/>
        <v>O</v>
      </c>
      <c r="NWR91" s="79">
        <v>5</v>
      </c>
      <c r="NWS91" s="75">
        <v>1276006</v>
      </c>
      <c r="NWT91" s="80"/>
      <c r="NWU91" s="81">
        <v>0.86944444444444446</v>
      </c>
      <c r="NWV91" s="74" t="s">
        <v>27</v>
      </c>
      <c r="NWW91" s="74" t="s">
        <v>24</v>
      </c>
      <c r="NWX91" s="75" t="s">
        <v>25</v>
      </c>
      <c r="NWY91" s="76">
        <f>IFERROR(VLOOKUP(NWX91,'[1]List KPI'!$A$103:$F$118,6,0),"")</f>
        <v>1.0416666666666666E-2</v>
      </c>
      <c r="NWZ91" s="76">
        <v>0.86944444444444446</v>
      </c>
      <c r="NXA91" s="76">
        <v>0.86944444444444446</v>
      </c>
      <c r="NXB91" s="77" t="str">
        <f t="shared" si="305"/>
        <v>O</v>
      </c>
      <c r="NXC91" s="74" t="s">
        <v>28</v>
      </c>
      <c r="NXD91" s="75" t="s">
        <v>23</v>
      </c>
      <c r="NXE91" s="78">
        <f>IFERROR(VLOOKUP(NXD91,'[1]List KPI'!$M$3:$N$8,2,0),"")</f>
        <v>2.0833333333333332E-2</v>
      </c>
      <c r="NXF91" s="76">
        <v>0.89444444444444449</v>
      </c>
      <c r="NXG91" s="77" t="str">
        <f t="shared" si="306"/>
        <v>O</v>
      </c>
      <c r="NXH91" s="79">
        <v>5</v>
      </c>
      <c r="NXI91" s="75">
        <v>1276006</v>
      </c>
      <c r="NXJ91" s="80"/>
      <c r="NXK91" s="81">
        <v>0.86944444444444446</v>
      </c>
      <c r="NXL91" s="74" t="s">
        <v>27</v>
      </c>
      <c r="NXM91" s="74" t="s">
        <v>24</v>
      </c>
      <c r="NXN91" s="75" t="s">
        <v>25</v>
      </c>
      <c r="NXO91" s="76">
        <f>IFERROR(VLOOKUP(NXN91,'[1]List KPI'!$A$103:$F$118,6,0),"")</f>
        <v>1.0416666666666666E-2</v>
      </c>
      <c r="NXP91" s="76">
        <v>0.86944444444444446</v>
      </c>
      <c r="NXQ91" s="76">
        <v>0.86944444444444446</v>
      </c>
      <c r="NXR91" s="77" t="str">
        <f t="shared" si="305"/>
        <v>O</v>
      </c>
      <c r="NXS91" s="74" t="s">
        <v>28</v>
      </c>
      <c r="NXT91" s="75" t="s">
        <v>23</v>
      </c>
      <c r="NXU91" s="78">
        <f>IFERROR(VLOOKUP(NXT91,'[1]List KPI'!$M$3:$N$8,2,0),"")</f>
        <v>2.0833333333333332E-2</v>
      </c>
      <c r="NXV91" s="76">
        <v>0.89444444444444449</v>
      </c>
      <c r="NXW91" s="77" t="str">
        <f t="shared" si="306"/>
        <v>O</v>
      </c>
      <c r="NXX91" s="79">
        <v>5</v>
      </c>
      <c r="NXY91" s="75">
        <v>1276006</v>
      </c>
      <c r="NXZ91" s="80"/>
      <c r="NYA91" s="81">
        <v>0.86944444444444446</v>
      </c>
      <c r="NYB91" s="74" t="s">
        <v>27</v>
      </c>
      <c r="NYC91" s="74" t="s">
        <v>24</v>
      </c>
      <c r="NYD91" s="75" t="s">
        <v>25</v>
      </c>
      <c r="NYE91" s="76">
        <f>IFERROR(VLOOKUP(NYD91,'[1]List KPI'!$A$103:$F$118,6,0),"")</f>
        <v>1.0416666666666666E-2</v>
      </c>
      <c r="NYF91" s="76">
        <v>0.86944444444444446</v>
      </c>
      <c r="NYG91" s="76">
        <v>0.86944444444444446</v>
      </c>
      <c r="NYH91" s="77" t="str">
        <f t="shared" ref="NYH91:OAD91" si="307">IF(NYG91="","",IF(NYG91&gt;NYP91,"O","P"))</f>
        <v>O</v>
      </c>
      <c r="NYI91" s="74" t="s">
        <v>28</v>
      </c>
      <c r="NYJ91" s="75" t="s">
        <v>23</v>
      </c>
      <c r="NYK91" s="78">
        <f>IFERROR(VLOOKUP(NYJ91,'[1]List KPI'!$M$3:$N$8,2,0),"")</f>
        <v>2.0833333333333332E-2</v>
      </c>
      <c r="NYL91" s="76">
        <v>0.89444444444444449</v>
      </c>
      <c r="NYM91" s="77" t="str">
        <f t="shared" ref="NYM91:OAI91" si="308">IF(NYL91="","",IF(NYL91&gt;NYQ91,"O","P"))</f>
        <v>O</v>
      </c>
      <c r="NYN91" s="79">
        <v>5</v>
      </c>
      <c r="NYO91" s="75">
        <v>1276006</v>
      </c>
      <c r="NYP91" s="80"/>
      <c r="NYQ91" s="81">
        <v>0.86944444444444446</v>
      </c>
      <c r="NYR91" s="74" t="s">
        <v>27</v>
      </c>
      <c r="NYS91" s="74" t="s">
        <v>24</v>
      </c>
      <c r="NYT91" s="75" t="s">
        <v>25</v>
      </c>
      <c r="NYU91" s="76">
        <f>IFERROR(VLOOKUP(NYT91,'[1]List KPI'!$A$103:$F$118,6,0),"")</f>
        <v>1.0416666666666666E-2</v>
      </c>
      <c r="NYV91" s="76">
        <v>0.86944444444444446</v>
      </c>
      <c r="NYW91" s="76">
        <v>0.86944444444444446</v>
      </c>
      <c r="NYX91" s="77" t="str">
        <f t="shared" si="307"/>
        <v>O</v>
      </c>
      <c r="NYY91" s="74" t="s">
        <v>28</v>
      </c>
      <c r="NYZ91" s="75" t="s">
        <v>23</v>
      </c>
      <c r="NZA91" s="78">
        <f>IFERROR(VLOOKUP(NYZ91,'[1]List KPI'!$M$3:$N$8,2,0),"")</f>
        <v>2.0833333333333332E-2</v>
      </c>
      <c r="NZB91" s="76">
        <v>0.89444444444444449</v>
      </c>
      <c r="NZC91" s="77" t="str">
        <f t="shared" si="308"/>
        <v>O</v>
      </c>
      <c r="NZD91" s="79">
        <v>5</v>
      </c>
      <c r="NZE91" s="75">
        <v>1276006</v>
      </c>
      <c r="NZF91" s="80"/>
      <c r="NZG91" s="81">
        <v>0.86944444444444446</v>
      </c>
      <c r="NZH91" s="74" t="s">
        <v>27</v>
      </c>
      <c r="NZI91" s="74" t="s">
        <v>24</v>
      </c>
      <c r="NZJ91" s="75" t="s">
        <v>25</v>
      </c>
      <c r="NZK91" s="76">
        <f>IFERROR(VLOOKUP(NZJ91,'[1]List KPI'!$A$103:$F$118,6,0),"")</f>
        <v>1.0416666666666666E-2</v>
      </c>
      <c r="NZL91" s="76">
        <v>0.86944444444444446</v>
      </c>
      <c r="NZM91" s="76">
        <v>0.86944444444444446</v>
      </c>
      <c r="NZN91" s="77" t="str">
        <f t="shared" si="307"/>
        <v>O</v>
      </c>
      <c r="NZO91" s="74" t="s">
        <v>28</v>
      </c>
      <c r="NZP91" s="75" t="s">
        <v>23</v>
      </c>
      <c r="NZQ91" s="78">
        <f>IFERROR(VLOOKUP(NZP91,'[1]List KPI'!$M$3:$N$8,2,0),"")</f>
        <v>2.0833333333333332E-2</v>
      </c>
      <c r="NZR91" s="76">
        <v>0.89444444444444449</v>
      </c>
      <c r="NZS91" s="77" t="str">
        <f t="shared" si="308"/>
        <v>O</v>
      </c>
      <c r="NZT91" s="79">
        <v>5</v>
      </c>
      <c r="NZU91" s="75">
        <v>1276006</v>
      </c>
      <c r="NZV91" s="80"/>
      <c r="NZW91" s="81">
        <v>0.86944444444444446</v>
      </c>
      <c r="NZX91" s="74" t="s">
        <v>27</v>
      </c>
      <c r="NZY91" s="74" t="s">
        <v>24</v>
      </c>
      <c r="NZZ91" s="75" t="s">
        <v>25</v>
      </c>
      <c r="OAA91" s="76">
        <f>IFERROR(VLOOKUP(NZZ91,'[1]List KPI'!$A$103:$F$118,6,0),"")</f>
        <v>1.0416666666666666E-2</v>
      </c>
      <c r="OAB91" s="76">
        <v>0.86944444444444446</v>
      </c>
      <c r="OAC91" s="76">
        <v>0.86944444444444446</v>
      </c>
      <c r="OAD91" s="77" t="str">
        <f t="shared" si="307"/>
        <v>O</v>
      </c>
      <c r="OAE91" s="74" t="s">
        <v>28</v>
      </c>
      <c r="OAF91" s="75" t="s">
        <v>23</v>
      </c>
      <c r="OAG91" s="78">
        <f>IFERROR(VLOOKUP(OAF91,'[1]List KPI'!$M$3:$N$8,2,0),"")</f>
        <v>2.0833333333333332E-2</v>
      </c>
      <c r="OAH91" s="76">
        <v>0.89444444444444449</v>
      </c>
      <c r="OAI91" s="77" t="str">
        <f t="shared" si="308"/>
        <v>O</v>
      </c>
      <c r="OAJ91" s="79">
        <v>5</v>
      </c>
      <c r="OAK91" s="75">
        <v>1276006</v>
      </c>
      <c r="OAL91" s="80"/>
      <c r="OAM91" s="81">
        <v>0.86944444444444446</v>
      </c>
      <c r="OAN91" s="74" t="s">
        <v>27</v>
      </c>
      <c r="OAO91" s="74" t="s">
        <v>24</v>
      </c>
      <c r="OAP91" s="75" t="s">
        <v>25</v>
      </c>
      <c r="OAQ91" s="76">
        <f>IFERROR(VLOOKUP(OAP91,'[1]List KPI'!$A$103:$F$118,6,0),"")</f>
        <v>1.0416666666666666E-2</v>
      </c>
      <c r="OAR91" s="76">
        <v>0.86944444444444446</v>
      </c>
      <c r="OAS91" s="76">
        <v>0.86944444444444446</v>
      </c>
      <c r="OAT91" s="77" t="str">
        <f t="shared" ref="OAT91:OCP91" si="309">IF(OAS91="","",IF(OAS91&gt;OBB91,"O","P"))</f>
        <v>O</v>
      </c>
      <c r="OAU91" s="74" t="s">
        <v>28</v>
      </c>
      <c r="OAV91" s="75" t="s">
        <v>23</v>
      </c>
      <c r="OAW91" s="78">
        <f>IFERROR(VLOOKUP(OAV91,'[1]List KPI'!$M$3:$N$8,2,0),"")</f>
        <v>2.0833333333333332E-2</v>
      </c>
      <c r="OAX91" s="76">
        <v>0.89444444444444449</v>
      </c>
      <c r="OAY91" s="77" t="str">
        <f t="shared" ref="OAY91:OCU91" si="310">IF(OAX91="","",IF(OAX91&gt;OBC91,"O","P"))</f>
        <v>O</v>
      </c>
      <c r="OAZ91" s="79">
        <v>5</v>
      </c>
      <c r="OBA91" s="75">
        <v>1276006</v>
      </c>
      <c r="OBB91" s="80"/>
      <c r="OBC91" s="81">
        <v>0.86944444444444446</v>
      </c>
      <c r="OBD91" s="74" t="s">
        <v>27</v>
      </c>
      <c r="OBE91" s="74" t="s">
        <v>24</v>
      </c>
      <c r="OBF91" s="75" t="s">
        <v>25</v>
      </c>
      <c r="OBG91" s="76">
        <f>IFERROR(VLOOKUP(OBF91,'[1]List KPI'!$A$103:$F$118,6,0),"")</f>
        <v>1.0416666666666666E-2</v>
      </c>
      <c r="OBH91" s="76">
        <v>0.86944444444444446</v>
      </c>
      <c r="OBI91" s="76">
        <v>0.86944444444444446</v>
      </c>
      <c r="OBJ91" s="77" t="str">
        <f t="shared" si="309"/>
        <v>O</v>
      </c>
      <c r="OBK91" s="74" t="s">
        <v>28</v>
      </c>
      <c r="OBL91" s="75" t="s">
        <v>23</v>
      </c>
      <c r="OBM91" s="78">
        <f>IFERROR(VLOOKUP(OBL91,'[1]List KPI'!$M$3:$N$8,2,0),"")</f>
        <v>2.0833333333333332E-2</v>
      </c>
      <c r="OBN91" s="76">
        <v>0.89444444444444449</v>
      </c>
      <c r="OBO91" s="77" t="str">
        <f t="shared" si="310"/>
        <v>O</v>
      </c>
      <c r="OBP91" s="79">
        <v>5</v>
      </c>
      <c r="OBQ91" s="75">
        <v>1276006</v>
      </c>
      <c r="OBR91" s="80"/>
      <c r="OBS91" s="81">
        <v>0.86944444444444446</v>
      </c>
      <c r="OBT91" s="74" t="s">
        <v>27</v>
      </c>
      <c r="OBU91" s="74" t="s">
        <v>24</v>
      </c>
      <c r="OBV91" s="75" t="s">
        <v>25</v>
      </c>
      <c r="OBW91" s="76">
        <f>IFERROR(VLOOKUP(OBV91,'[1]List KPI'!$A$103:$F$118,6,0),"")</f>
        <v>1.0416666666666666E-2</v>
      </c>
      <c r="OBX91" s="76">
        <v>0.86944444444444446</v>
      </c>
      <c r="OBY91" s="76">
        <v>0.86944444444444446</v>
      </c>
      <c r="OBZ91" s="77" t="str">
        <f t="shared" si="309"/>
        <v>O</v>
      </c>
      <c r="OCA91" s="74" t="s">
        <v>28</v>
      </c>
      <c r="OCB91" s="75" t="s">
        <v>23</v>
      </c>
      <c r="OCC91" s="78">
        <f>IFERROR(VLOOKUP(OCB91,'[1]List KPI'!$M$3:$N$8,2,0),"")</f>
        <v>2.0833333333333332E-2</v>
      </c>
      <c r="OCD91" s="76">
        <v>0.89444444444444449</v>
      </c>
      <c r="OCE91" s="77" t="str">
        <f t="shared" si="310"/>
        <v>O</v>
      </c>
      <c r="OCF91" s="79">
        <v>5</v>
      </c>
      <c r="OCG91" s="75">
        <v>1276006</v>
      </c>
      <c r="OCH91" s="80"/>
      <c r="OCI91" s="81">
        <v>0.86944444444444446</v>
      </c>
      <c r="OCJ91" s="74" t="s">
        <v>27</v>
      </c>
      <c r="OCK91" s="74" t="s">
        <v>24</v>
      </c>
      <c r="OCL91" s="75" t="s">
        <v>25</v>
      </c>
      <c r="OCM91" s="76">
        <f>IFERROR(VLOOKUP(OCL91,'[1]List KPI'!$A$103:$F$118,6,0),"")</f>
        <v>1.0416666666666666E-2</v>
      </c>
      <c r="OCN91" s="76">
        <v>0.86944444444444446</v>
      </c>
      <c r="OCO91" s="76">
        <v>0.86944444444444446</v>
      </c>
      <c r="OCP91" s="77" t="str">
        <f t="shared" si="309"/>
        <v>O</v>
      </c>
      <c r="OCQ91" s="74" t="s">
        <v>28</v>
      </c>
      <c r="OCR91" s="75" t="s">
        <v>23</v>
      </c>
      <c r="OCS91" s="78">
        <f>IFERROR(VLOOKUP(OCR91,'[1]List KPI'!$M$3:$N$8,2,0),"")</f>
        <v>2.0833333333333332E-2</v>
      </c>
      <c r="OCT91" s="76">
        <v>0.89444444444444449</v>
      </c>
      <c r="OCU91" s="77" t="str">
        <f t="shared" si="310"/>
        <v>O</v>
      </c>
      <c r="OCV91" s="79">
        <v>5</v>
      </c>
      <c r="OCW91" s="75">
        <v>1276006</v>
      </c>
      <c r="OCX91" s="80"/>
      <c r="OCY91" s="81">
        <v>0.86944444444444446</v>
      </c>
      <c r="OCZ91" s="74" t="s">
        <v>27</v>
      </c>
      <c r="ODA91" s="74" t="s">
        <v>24</v>
      </c>
      <c r="ODB91" s="75" t="s">
        <v>25</v>
      </c>
      <c r="ODC91" s="76">
        <f>IFERROR(VLOOKUP(ODB91,'[1]List KPI'!$A$103:$F$118,6,0),"")</f>
        <v>1.0416666666666666E-2</v>
      </c>
      <c r="ODD91" s="76">
        <v>0.86944444444444446</v>
      </c>
      <c r="ODE91" s="76">
        <v>0.86944444444444446</v>
      </c>
      <c r="ODF91" s="77" t="str">
        <f t="shared" ref="ODF91:OFB91" si="311">IF(ODE91="","",IF(ODE91&gt;ODN91,"O","P"))</f>
        <v>O</v>
      </c>
      <c r="ODG91" s="74" t="s">
        <v>28</v>
      </c>
      <c r="ODH91" s="75" t="s">
        <v>23</v>
      </c>
      <c r="ODI91" s="78">
        <f>IFERROR(VLOOKUP(ODH91,'[1]List KPI'!$M$3:$N$8,2,0),"")</f>
        <v>2.0833333333333332E-2</v>
      </c>
      <c r="ODJ91" s="76">
        <v>0.89444444444444449</v>
      </c>
      <c r="ODK91" s="77" t="str">
        <f t="shared" ref="ODK91:OFG91" si="312">IF(ODJ91="","",IF(ODJ91&gt;ODO91,"O","P"))</f>
        <v>O</v>
      </c>
      <c r="ODL91" s="79">
        <v>5</v>
      </c>
      <c r="ODM91" s="75">
        <v>1276006</v>
      </c>
      <c r="ODN91" s="80"/>
      <c r="ODO91" s="81">
        <v>0.86944444444444446</v>
      </c>
      <c r="ODP91" s="74" t="s">
        <v>27</v>
      </c>
      <c r="ODQ91" s="74" t="s">
        <v>24</v>
      </c>
      <c r="ODR91" s="75" t="s">
        <v>25</v>
      </c>
      <c r="ODS91" s="76">
        <f>IFERROR(VLOOKUP(ODR91,'[1]List KPI'!$A$103:$F$118,6,0),"")</f>
        <v>1.0416666666666666E-2</v>
      </c>
      <c r="ODT91" s="76">
        <v>0.86944444444444446</v>
      </c>
      <c r="ODU91" s="76">
        <v>0.86944444444444446</v>
      </c>
      <c r="ODV91" s="77" t="str">
        <f t="shared" si="311"/>
        <v>O</v>
      </c>
      <c r="ODW91" s="74" t="s">
        <v>28</v>
      </c>
      <c r="ODX91" s="75" t="s">
        <v>23</v>
      </c>
      <c r="ODY91" s="78">
        <f>IFERROR(VLOOKUP(ODX91,'[1]List KPI'!$M$3:$N$8,2,0),"")</f>
        <v>2.0833333333333332E-2</v>
      </c>
      <c r="ODZ91" s="76">
        <v>0.89444444444444449</v>
      </c>
      <c r="OEA91" s="77" t="str">
        <f t="shared" si="312"/>
        <v>O</v>
      </c>
      <c r="OEB91" s="79">
        <v>5</v>
      </c>
      <c r="OEC91" s="75">
        <v>1276006</v>
      </c>
      <c r="OED91" s="80"/>
      <c r="OEE91" s="81">
        <v>0.86944444444444446</v>
      </c>
      <c r="OEF91" s="74" t="s">
        <v>27</v>
      </c>
      <c r="OEG91" s="74" t="s">
        <v>24</v>
      </c>
      <c r="OEH91" s="75" t="s">
        <v>25</v>
      </c>
      <c r="OEI91" s="76">
        <f>IFERROR(VLOOKUP(OEH91,'[1]List KPI'!$A$103:$F$118,6,0),"")</f>
        <v>1.0416666666666666E-2</v>
      </c>
      <c r="OEJ91" s="76">
        <v>0.86944444444444446</v>
      </c>
      <c r="OEK91" s="76">
        <v>0.86944444444444446</v>
      </c>
      <c r="OEL91" s="77" t="str">
        <f t="shared" si="311"/>
        <v>O</v>
      </c>
      <c r="OEM91" s="74" t="s">
        <v>28</v>
      </c>
      <c r="OEN91" s="75" t="s">
        <v>23</v>
      </c>
      <c r="OEO91" s="78">
        <f>IFERROR(VLOOKUP(OEN91,'[1]List KPI'!$M$3:$N$8,2,0),"")</f>
        <v>2.0833333333333332E-2</v>
      </c>
      <c r="OEP91" s="76">
        <v>0.89444444444444449</v>
      </c>
      <c r="OEQ91" s="77" t="str">
        <f t="shared" si="312"/>
        <v>O</v>
      </c>
      <c r="OER91" s="79">
        <v>5</v>
      </c>
      <c r="OES91" s="75">
        <v>1276006</v>
      </c>
      <c r="OET91" s="80"/>
      <c r="OEU91" s="81">
        <v>0.86944444444444446</v>
      </c>
      <c r="OEV91" s="74" t="s">
        <v>27</v>
      </c>
      <c r="OEW91" s="74" t="s">
        <v>24</v>
      </c>
      <c r="OEX91" s="75" t="s">
        <v>25</v>
      </c>
      <c r="OEY91" s="76">
        <f>IFERROR(VLOOKUP(OEX91,'[1]List KPI'!$A$103:$F$118,6,0),"")</f>
        <v>1.0416666666666666E-2</v>
      </c>
      <c r="OEZ91" s="76">
        <v>0.86944444444444446</v>
      </c>
      <c r="OFA91" s="76">
        <v>0.86944444444444446</v>
      </c>
      <c r="OFB91" s="77" t="str">
        <f t="shared" si="311"/>
        <v>O</v>
      </c>
      <c r="OFC91" s="74" t="s">
        <v>28</v>
      </c>
      <c r="OFD91" s="75" t="s">
        <v>23</v>
      </c>
      <c r="OFE91" s="78">
        <f>IFERROR(VLOOKUP(OFD91,'[1]List KPI'!$M$3:$N$8,2,0),"")</f>
        <v>2.0833333333333332E-2</v>
      </c>
      <c r="OFF91" s="76">
        <v>0.89444444444444449</v>
      </c>
      <c r="OFG91" s="77" t="str">
        <f t="shared" si="312"/>
        <v>O</v>
      </c>
      <c r="OFH91" s="79">
        <v>5</v>
      </c>
      <c r="OFI91" s="75">
        <v>1276006</v>
      </c>
      <c r="OFJ91" s="80"/>
      <c r="OFK91" s="81">
        <v>0.86944444444444446</v>
      </c>
      <c r="OFL91" s="74" t="s">
        <v>27</v>
      </c>
      <c r="OFM91" s="74" t="s">
        <v>24</v>
      </c>
      <c r="OFN91" s="75" t="s">
        <v>25</v>
      </c>
      <c r="OFO91" s="76">
        <f>IFERROR(VLOOKUP(OFN91,'[1]List KPI'!$A$103:$F$118,6,0),"")</f>
        <v>1.0416666666666666E-2</v>
      </c>
      <c r="OFP91" s="76">
        <v>0.86944444444444446</v>
      </c>
      <c r="OFQ91" s="76">
        <v>0.86944444444444446</v>
      </c>
      <c r="OFR91" s="77" t="str">
        <f t="shared" ref="OFR91:OHN91" si="313">IF(OFQ91="","",IF(OFQ91&gt;OFZ91,"O","P"))</f>
        <v>O</v>
      </c>
      <c r="OFS91" s="74" t="s">
        <v>28</v>
      </c>
      <c r="OFT91" s="75" t="s">
        <v>23</v>
      </c>
      <c r="OFU91" s="78">
        <f>IFERROR(VLOOKUP(OFT91,'[1]List KPI'!$M$3:$N$8,2,0),"")</f>
        <v>2.0833333333333332E-2</v>
      </c>
      <c r="OFV91" s="76">
        <v>0.89444444444444449</v>
      </c>
      <c r="OFW91" s="77" t="str">
        <f t="shared" ref="OFW91:OHS91" si="314">IF(OFV91="","",IF(OFV91&gt;OGA91,"O","P"))</f>
        <v>O</v>
      </c>
      <c r="OFX91" s="79">
        <v>5</v>
      </c>
      <c r="OFY91" s="75">
        <v>1276006</v>
      </c>
      <c r="OFZ91" s="80"/>
      <c r="OGA91" s="81">
        <v>0.86944444444444446</v>
      </c>
      <c r="OGB91" s="74" t="s">
        <v>27</v>
      </c>
      <c r="OGC91" s="74" t="s">
        <v>24</v>
      </c>
      <c r="OGD91" s="75" t="s">
        <v>25</v>
      </c>
      <c r="OGE91" s="76">
        <f>IFERROR(VLOOKUP(OGD91,'[1]List KPI'!$A$103:$F$118,6,0),"")</f>
        <v>1.0416666666666666E-2</v>
      </c>
      <c r="OGF91" s="76">
        <v>0.86944444444444446</v>
      </c>
      <c r="OGG91" s="76">
        <v>0.86944444444444446</v>
      </c>
      <c r="OGH91" s="77" t="str">
        <f t="shared" si="313"/>
        <v>O</v>
      </c>
      <c r="OGI91" s="74" t="s">
        <v>28</v>
      </c>
      <c r="OGJ91" s="75" t="s">
        <v>23</v>
      </c>
      <c r="OGK91" s="78">
        <f>IFERROR(VLOOKUP(OGJ91,'[1]List KPI'!$M$3:$N$8,2,0),"")</f>
        <v>2.0833333333333332E-2</v>
      </c>
      <c r="OGL91" s="76">
        <v>0.89444444444444449</v>
      </c>
      <c r="OGM91" s="77" t="str">
        <f t="shared" si="314"/>
        <v>O</v>
      </c>
      <c r="OGN91" s="79">
        <v>5</v>
      </c>
      <c r="OGO91" s="75">
        <v>1276006</v>
      </c>
      <c r="OGP91" s="80"/>
      <c r="OGQ91" s="81">
        <v>0.86944444444444446</v>
      </c>
      <c r="OGR91" s="74" t="s">
        <v>27</v>
      </c>
      <c r="OGS91" s="74" t="s">
        <v>24</v>
      </c>
      <c r="OGT91" s="75" t="s">
        <v>25</v>
      </c>
      <c r="OGU91" s="76">
        <f>IFERROR(VLOOKUP(OGT91,'[1]List KPI'!$A$103:$F$118,6,0),"")</f>
        <v>1.0416666666666666E-2</v>
      </c>
      <c r="OGV91" s="76">
        <v>0.86944444444444446</v>
      </c>
      <c r="OGW91" s="76">
        <v>0.86944444444444446</v>
      </c>
      <c r="OGX91" s="77" t="str">
        <f t="shared" si="313"/>
        <v>O</v>
      </c>
      <c r="OGY91" s="74" t="s">
        <v>28</v>
      </c>
      <c r="OGZ91" s="75" t="s">
        <v>23</v>
      </c>
      <c r="OHA91" s="78">
        <f>IFERROR(VLOOKUP(OGZ91,'[1]List KPI'!$M$3:$N$8,2,0),"")</f>
        <v>2.0833333333333332E-2</v>
      </c>
      <c r="OHB91" s="76">
        <v>0.89444444444444449</v>
      </c>
      <c r="OHC91" s="77" t="str">
        <f t="shared" si="314"/>
        <v>O</v>
      </c>
      <c r="OHD91" s="79">
        <v>5</v>
      </c>
      <c r="OHE91" s="75">
        <v>1276006</v>
      </c>
      <c r="OHF91" s="80"/>
      <c r="OHG91" s="81">
        <v>0.86944444444444446</v>
      </c>
      <c r="OHH91" s="74" t="s">
        <v>27</v>
      </c>
      <c r="OHI91" s="74" t="s">
        <v>24</v>
      </c>
      <c r="OHJ91" s="75" t="s">
        <v>25</v>
      </c>
      <c r="OHK91" s="76">
        <f>IFERROR(VLOOKUP(OHJ91,'[1]List KPI'!$A$103:$F$118,6,0),"")</f>
        <v>1.0416666666666666E-2</v>
      </c>
      <c r="OHL91" s="76">
        <v>0.86944444444444446</v>
      </c>
      <c r="OHM91" s="76">
        <v>0.86944444444444446</v>
      </c>
      <c r="OHN91" s="77" t="str">
        <f t="shared" si="313"/>
        <v>O</v>
      </c>
      <c r="OHO91" s="74" t="s">
        <v>28</v>
      </c>
      <c r="OHP91" s="75" t="s">
        <v>23</v>
      </c>
      <c r="OHQ91" s="78">
        <f>IFERROR(VLOOKUP(OHP91,'[1]List KPI'!$M$3:$N$8,2,0),"")</f>
        <v>2.0833333333333332E-2</v>
      </c>
      <c r="OHR91" s="76">
        <v>0.89444444444444449</v>
      </c>
      <c r="OHS91" s="77" t="str">
        <f t="shared" si="314"/>
        <v>O</v>
      </c>
      <c r="OHT91" s="79">
        <v>5</v>
      </c>
      <c r="OHU91" s="75">
        <v>1276006</v>
      </c>
      <c r="OHV91" s="80"/>
      <c r="OHW91" s="81">
        <v>0.86944444444444446</v>
      </c>
      <c r="OHX91" s="74" t="s">
        <v>27</v>
      </c>
      <c r="OHY91" s="74" t="s">
        <v>24</v>
      </c>
      <c r="OHZ91" s="75" t="s">
        <v>25</v>
      </c>
      <c r="OIA91" s="76">
        <f>IFERROR(VLOOKUP(OHZ91,'[1]List KPI'!$A$103:$F$118,6,0),"")</f>
        <v>1.0416666666666666E-2</v>
      </c>
      <c r="OIB91" s="76">
        <v>0.86944444444444446</v>
      </c>
      <c r="OIC91" s="76">
        <v>0.86944444444444446</v>
      </c>
      <c r="OID91" s="77" t="str">
        <f t="shared" ref="OID91:OJZ91" si="315">IF(OIC91="","",IF(OIC91&gt;OIL91,"O","P"))</f>
        <v>O</v>
      </c>
      <c r="OIE91" s="74" t="s">
        <v>28</v>
      </c>
      <c r="OIF91" s="75" t="s">
        <v>23</v>
      </c>
      <c r="OIG91" s="78">
        <f>IFERROR(VLOOKUP(OIF91,'[1]List KPI'!$M$3:$N$8,2,0),"")</f>
        <v>2.0833333333333332E-2</v>
      </c>
      <c r="OIH91" s="76">
        <v>0.89444444444444449</v>
      </c>
      <c r="OII91" s="77" t="str">
        <f t="shared" ref="OII91:OKE91" si="316">IF(OIH91="","",IF(OIH91&gt;OIM91,"O","P"))</f>
        <v>O</v>
      </c>
      <c r="OIJ91" s="79">
        <v>5</v>
      </c>
      <c r="OIK91" s="75">
        <v>1276006</v>
      </c>
      <c r="OIL91" s="80"/>
      <c r="OIM91" s="81">
        <v>0.86944444444444446</v>
      </c>
      <c r="OIN91" s="74" t="s">
        <v>27</v>
      </c>
      <c r="OIO91" s="74" t="s">
        <v>24</v>
      </c>
      <c r="OIP91" s="75" t="s">
        <v>25</v>
      </c>
      <c r="OIQ91" s="76">
        <f>IFERROR(VLOOKUP(OIP91,'[1]List KPI'!$A$103:$F$118,6,0),"")</f>
        <v>1.0416666666666666E-2</v>
      </c>
      <c r="OIR91" s="76">
        <v>0.86944444444444446</v>
      </c>
      <c r="OIS91" s="76">
        <v>0.86944444444444446</v>
      </c>
      <c r="OIT91" s="77" t="str">
        <f t="shared" si="315"/>
        <v>O</v>
      </c>
      <c r="OIU91" s="74" t="s">
        <v>28</v>
      </c>
      <c r="OIV91" s="75" t="s">
        <v>23</v>
      </c>
      <c r="OIW91" s="78">
        <f>IFERROR(VLOOKUP(OIV91,'[1]List KPI'!$M$3:$N$8,2,0),"")</f>
        <v>2.0833333333333332E-2</v>
      </c>
      <c r="OIX91" s="76">
        <v>0.89444444444444449</v>
      </c>
      <c r="OIY91" s="77" t="str">
        <f t="shared" si="316"/>
        <v>O</v>
      </c>
      <c r="OIZ91" s="79">
        <v>5</v>
      </c>
      <c r="OJA91" s="75">
        <v>1276006</v>
      </c>
      <c r="OJB91" s="80"/>
      <c r="OJC91" s="81">
        <v>0.86944444444444446</v>
      </c>
      <c r="OJD91" s="74" t="s">
        <v>27</v>
      </c>
      <c r="OJE91" s="74" t="s">
        <v>24</v>
      </c>
      <c r="OJF91" s="75" t="s">
        <v>25</v>
      </c>
      <c r="OJG91" s="76">
        <f>IFERROR(VLOOKUP(OJF91,'[1]List KPI'!$A$103:$F$118,6,0),"")</f>
        <v>1.0416666666666666E-2</v>
      </c>
      <c r="OJH91" s="76">
        <v>0.86944444444444446</v>
      </c>
      <c r="OJI91" s="76">
        <v>0.86944444444444446</v>
      </c>
      <c r="OJJ91" s="77" t="str">
        <f t="shared" si="315"/>
        <v>O</v>
      </c>
      <c r="OJK91" s="74" t="s">
        <v>28</v>
      </c>
      <c r="OJL91" s="75" t="s">
        <v>23</v>
      </c>
      <c r="OJM91" s="78">
        <f>IFERROR(VLOOKUP(OJL91,'[1]List KPI'!$M$3:$N$8,2,0),"")</f>
        <v>2.0833333333333332E-2</v>
      </c>
      <c r="OJN91" s="76">
        <v>0.89444444444444449</v>
      </c>
      <c r="OJO91" s="77" t="str">
        <f t="shared" si="316"/>
        <v>O</v>
      </c>
      <c r="OJP91" s="79">
        <v>5</v>
      </c>
      <c r="OJQ91" s="75">
        <v>1276006</v>
      </c>
      <c r="OJR91" s="80"/>
      <c r="OJS91" s="81">
        <v>0.86944444444444446</v>
      </c>
      <c r="OJT91" s="74" t="s">
        <v>27</v>
      </c>
      <c r="OJU91" s="74" t="s">
        <v>24</v>
      </c>
      <c r="OJV91" s="75" t="s">
        <v>25</v>
      </c>
      <c r="OJW91" s="76">
        <f>IFERROR(VLOOKUP(OJV91,'[1]List KPI'!$A$103:$F$118,6,0),"")</f>
        <v>1.0416666666666666E-2</v>
      </c>
      <c r="OJX91" s="76">
        <v>0.86944444444444446</v>
      </c>
      <c r="OJY91" s="76">
        <v>0.86944444444444446</v>
      </c>
      <c r="OJZ91" s="77" t="str">
        <f t="shared" si="315"/>
        <v>O</v>
      </c>
      <c r="OKA91" s="74" t="s">
        <v>28</v>
      </c>
      <c r="OKB91" s="75" t="s">
        <v>23</v>
      </c>
      <c r="OKC91" s="78">
        <f>IFERROR(VLOOKUP(OKB91,'[1]List KPI'!$M$3:$N$8,2,0),"")</f>
        <v>2.0833333333333332E-2</v>
      </c>
      <c r="OKD91" s="76">
        <v>0.89444444444444449</v>
      </c>
      <c r="OKE91" s="77" t="str">
        <f t="shared" si="316"/>
        <v>O</v>
      </c>
      <c r="OKF91" s="79">
        <v>5</v>
      </c>
      <c r="OKG91" s="75">
        <v>1276006</v>
      </c>
      <c r="OKH91" s="80"/>
      <c r="OKI91" s="81">
        <v>0.86944444444444446</v>
      </c>
      <c r="OKJ91" s="74" t="s">
        <v>27</v>
      </c>
      <c r="OKK91" s="74" t="s">
        <v>24</v>
      </c>
      <c r="OKL91" s="75" t="s">
        <v>25</v>
      </c>
      <c r="OKM91" s="76">
        <f>IFERROR(VLOOKUP(OKL91,'[1]List KPI'!$A$103:$F$118,6,0),"")</f>
        <v>1.0416666666666666E-2</v>
      </c>
      <c r="OKN91" s="76">
        <v>0.86944444444444446</v>
      </c>
      <c r="OKO91" s="76">
        <v>0.86944444444444446</v>
      </c>
      <c r="OKP91" s="77" t="str">
        <f t="shared" ref="OKP91:OML91" si="317">IF(OKO91="","",IF(OKO91&gt;OKX91,"O","P"))</f>
        <v>O</v>
      </c>
      <c r="OKQ91" s="74" t="s">
        <v>28</v>
      </c>
      <c r="OKR91" s="75" t="s">
        <v>23</v>
      </c>
      <c r="OKS91" s="78">
        <f>IFERROR(VLOOKUP(OKR91,'[1]List KPI'!$M$3:$N$8,2,0),"")</f>
        <v>2.0833333333333332E-2</v>
      </c>
      <c r="OKT91" s="76">
        <v>0.89444444444444449</v>
      </c>
      <c r="OKU91" s="77" t="str">
        <f t="shared" ref="OKU91:OMQ91" si="318">IF(OKT91="","",IF(OKT91&gt;OKY91,"O","P"))</f>
        <v>O</v>
      </c>
      <c r="OKV91" s="79">
        <v>5</v>
      </c>
      <c r="OKW91" s="75">
        <v>1276006</v>
      </c>
      <c r="OKX91" s="80"/>
      <c r="OKY91" s="81">
        <v>0.86944444444444446</v>
      </c>
      <c r="OKZ91" s="74" t="s">
        <v>27</v>
      </c>
      <c r="OLA91" s="74" t="s">
        <v>24</v>
      </c>
      <c r="OLB91" s="75" t="s">
        <v>25</v>
      </c>
      <c r="OLC91" s="76">
        <f>IFERROR(VLOOKUP(OLB91,'[1]List KPI'!$A$103:$F$118,6,0),"")</f>
        <v>1.0416666666666666E-2</v>
      </c>
      <c r="OLD91" s="76">
        <v>0.86944444444444446</v>
      </c>
      <c r="OLE91" s="76">
        <v>0.86944444444444446</v>
      </c>
      <c r="OLF91" s="77" t="str">
        <f t="shared" si="317"/>
        <v>O</v>
      </c>
      <c r="OLG91" s="74" t="s">
        <v>28</v>
      </c>
      <c r="OLH91" s="75" t="s">
        <v>23</v>
      </c>
      <c r="OLI91" s="78">
        <f>IFERROR(VLOOKUP(OLH91,'[1]List KPI'!$M$3:$N$8,2,0),"")</f>
        <v>2.0833333333333332E-2</v>
      </c>
      <c r="OLJ91" s="76">
        <v>0.89444444444444449</v>
      </c>
      <c r="OLK91" s="77" t="str">
        <f t="shared" si="318"/>
        <v>O</v>
      </c>
      <c r="OLL91" s="79">
        <v>5</v>
      </c>
      <c r="OLM91" s="75">
        <v>1276006</v>
      </c>
      <c r="OLN91" s="80"/>
      <c r="OLO91" s="81">
        <v>0.86944444444444446</v>
      </c>
      <c r="OLP91" s="74" t="s">
        <v>27</v>
      </c>
      <c r="OLQ91" s="74" t="s">
        <v>24</v>
      </c>
      <c r="OLR91" s="75" t="s">
        <v>25</v>
      </c>
      <c r="OLS91" s="76">
        <f>IFERROR(VLOOKUP(OLR91,'[1]List KPI'!$A$103:$F$118,6,0),"")</f>
        <v>1.0416666666666666E-2</v>
      </c>
      <c r="OLT91" s="76">
        <v>0.86944444444444446</v>
      </c>
      <c r="OLU91" s="76">
        <v>0.86944444444444446</v>
      </c>
      <c r="OLV91" s="77" t="str">
        <f t="shared" si="317"/>
        <v>O</v>
      </c>
      <c r="OLW91" s="74" t="s">
        <v>28</v>
      </c>
      <c r="OLX91" s="75" t="s">
        <v>23</v>
      </c>
      <c r="OLY91" s="78">
        <f>IFERROR(VLOOKUP(OLX91,'[1]List KPI'!$M$3:$N$8,2,0),"")</f>
        <v>2.0833333333333332E-2</v>
      </c>
      <c r="OLZ91" s="76">
        <v>0.89444444444444449</v>
      </c>
      <c r="OMA91" s="77" t="str">
        <f t="shared" si="318"/>
        <v>O</v>
      </c>
      <c r="OMB91" s="79">
        <v>5</v>
      </c>
      <c r="OMC91" s="75">
        <v>1276006</v>
      </c>
      <c r="OMD91" s="80"/>
      <c r="OME91" s="81">
        <v>0.86944444444444446</v>
      </c>
      <c r="OMF91" s="74" t="s">
        <v>27</v>
      </c>
      <c r="OMG91" s="74" t="s">
        <v>24</v>
      </c>
      <c r="OMH91" s="75" t="s">
        <v>25</v>
      </c>
      <c r="OMI91" s="76">
        <f>IFERROR(VLOOKUP(OMH91,'[1]List KPI'!$A$103:$F$118,6,0),"")</f>
        <v>1.0416666666666666E-2</v>
      </c>
      <c r="OMJ91" s="76">
        <v>0.86944444444444446</v>
      </c>
      <c r="OMK91" s="76">
        <v>0.86944444444444446</v>
      </c>
      <c r="OML91" s="77" t="str">
        <f t="shared" si="317"/>
        <v>O</v>
      </c>
      <c r="OMM91" s="74" t="s">
        <v>28</v>
      </c>
      <c r="OMN91" s="75" t="s">
        <v>23</v>
      </c>
      <c r="OMO91" s="78">
        <f>IFERROR(VLOOKUP(OMN91,'[1]List KPI'!$M$3:$N$8,2,0),"")</f>
        <v>2.0833333333333332E-2</v>
      </c>
      <c r="OMP91" s="76">
        <v>0.89444444444444449</v>
      </c>
      <c r="OMQ91" s="77" t="str">
        <f t="shared" si="318"/>
        <v>O</v>
      </c>
      <c r="OMR91" s="79">
        <v>5</v>
      </c>
      <c r="OMS91" s="75">
        <v>1276006</v>
      </c>
      <c r="OMT91" s="80"/>
      <c r="OMU91" s="81">
        <v>0.86944444444444446</v>
      </c>
      <c r="OMV91" s="74" t="s">
        <v>27</v>
      </c>
      <c r="OMW91" s="74" t="s">
        <v>24</v>
      </c>
      <c r="OMX91" s="75" t="s">
        <v>25</v>
      </c>
      <c r="OMY91" s="76">
        <f>IFERROR(VLOOKUP(OMX91,'[1]List KPI'!$A$103:$F$118,6,0),"")</f>
        <v>1.0416666666666666E-2</v>
      </c>
      <c r="OMZ91" s="76">
        <v>0.86944444444444446</v>
      </c>
      <c r="ONA91" s="76">
        <v>0.86944444444444446</v>
      </c>
      <c r="ONB91" s="77" t="str">
        <f t="shared" ref="ONB91:OOX91" si="319">IF(ONA91="","",IF(ONA91&gt;ONJ91,"O","P"))</f>
        <v>O</v>
      </c>
      <c r="ONC91" s="74" t="s">
        <v>28</v>
      </c>
      <c r="OND91" s="75" t="s">
        <v>23</v>
      </c>
      <c r="ONE91" s="78">
        <f>IFERROR(VLOOKUP(OND91,'[1]List KPI'!$M$3:$N$8,2,0),"")</f>
        <v>2.0833333333333332E-2</v>
      </c>
      <c r="ONF91" s="76">
        <v>0.89444444444444449</v>
      </c>
      <c r="ONG91" s="77" t="str">
        <f t="shared" ref="ONG91:OPC91" si="320">IF(ONF91="","",IF(ONF91&gt;ONK91,"O","P"))</f>
        <v>O</v>
      </c>
      <c r="ONH91" s="79">
        <v>5</v>
      </c>
      <c r="ONI91" s="75">
        <v>1276006</v>
      </c>
      <c r="ONJ91" s="80"/>
      <c r="ONK91" s="81">
        <v>0.86944444444444446</v>
      </c>
      <c r="ONL91" s="74" t="s">
        <v>27</v>
      </c>
      <c r="ONM91" s="74" t="s">
        <v>24</v>
      </c>
      <c r="ONN91" s="75" t="s">
        <v>25</v>
      </c>
      <c r="ONO91" s="76">
        <f>IFERROR(VLOOKUP(ONN91,'[1]List KPI'!$A$103:$F$118,6,0),"")</f>
        <v>1.0416666666666666E-2</v>
      </c>
      <c r="ONP91" s="76">
        <v>0.86944444444444446</v>
      </c>
      <c r="ONQ91" s="76">
        <v>0.86944444444444446</v>
      </c>
      <c r="ONR91" s="77" t="str">
        <f t="shared" si="319"/>
        <v>O</v>
      </c>
      <c r="ONS91" s="74" t="s">
        <v>28</v>
      </c>
      <c r="ONT91" s="75" t="s">
        <v>23</v>
      </c>
      <c r="ONU91" s="78">
        <f>IFERROR(VLOOKUP(ONT91,'[1]List KPI'!$M$3:$N$8,2,0),"")</f>
        <v>2.0833333333333332E-2</v>
      </c>
      <c r="ONV91" s="76">
        <v>0.89444444444444449</v>
      </c>
      <c r="ONW91" s="77" t="str">
        <f t="shared" si="320"/>
        <v>O</v>
      </c>
      <c r="ONX91" s="79">
        <v>5</v>
      </c>
      <c r="ONY91" s="75">
        <v>1276006</v>
      </c>
      <c r="ONZ91" s="80"/>
      <c r="OOA91" s="81">
        <v>0.86944444444444446</v>
      </c>
      <c r="OOB91" s="74" t="s">
        <v>27</v>
      </c>
      <c r="OOC91" s="74" t="s">
        <v>24</v>
      </c>
      <c r="OOD91" s="75" t="s">
        <v>25</v>
      </c>
      <c r="OOE91" s="76">
        <f>IFERROR(VLOOKUP(OOD91,'[1]List KPI'!$A$103:$F$118,6,0),"")</f>
        <v>1.0416666666666666E-2</v>
      </c>
      <c r="OOF91" s="76">
        <v>0.86944444444444446</v>
      </c>
      <c r="OOG91" s="76">
        <v>0.86944444444444446</v>
      </c>
      <c r="OOH91" s="77" t="str">
        <f t="shared" si="319"/>
        <v>O</v>
      </c>
      <c r="OOI91" s="74" t="s">
        <v>28</v>
      </c>
      <c r="OOJ91" s="75" t="s">
        <v>23</v>
      </c>
      <c r="OOK91" s="78">
        <f>IFERROR(VLOOKUP(OOJ91,'[1]List KPI'!$M$3:$N$8,2,0),"")</f>
        <v>2.0833333333333332E-2</v>
      </c>
      <c r="OOL91" s="76">
        <v>0.89444444444444449</v>
      </c>
      <c r="OOM91" s="77" t="str">
        <f t="shared" si="320"/>
        <v>O</v>
      </c>
      <c r="OON91" s="79">
        <v>5</v>
      </c>
      <c r="OOO91" s="75">
        <v>1276006</v>
      </c>
      <c r="OOP91" s="80"/>
      <c r="OOQ91" s="81">
        <v>0.86944444444444446</v>
      </c>
      <c r="OOR91" s="74" t="s">
        <v>27</v>
      </c>
      <c r="OOS91" s="74" t="s">
        <v>24</v>
      </c>
      <c r="OOT91" s="75" t="s">
        <v>25</v>
      </c>
      <c r="OOU91" s="76">
        <f>IFERROR(VLOOKUP(OOT91,'[1]List KPI'!$A$103:$F$118,6,0),"")</f>
        <v>1.0416666666666666E-2</v>
      </c>
      <c r="OOV91" s="76">
        <v>0.86944444444444446</v>
      </c>
      <c r="OOW91" s="76">
        <v>0.86944444444444446</v>
      </c>
      <c r="OOX91" s="77" t="str">
        <f t="shared" si="319"/>
        <v>O</v>
      </c>
      <c r="OOY91" s="74" t="s">
        <v>28</v>
      </c>
      <c r="OOZ91" s="75" t="s">
        <v>23</v>
      </c>
      <c r="OPA91" s="78">
        <f>IFERROR(VLOOKUP(OOZ91,'[1]List KPI'!$M$3:$N$8,2,0),"")</f>
        <v>2.0833333333333332E-2</v>
      </c>
      <c r="OPB91" s="76">
        <v>0.89444444444444449</v>
      </c>
      <c r="OPC91" s="77" t="str">
        <f t="shared" si="320"/>
        <v>O</v>
      </c>
      <c r="OPD91" s="79">
        <v>5</v>
      </c>
      <c r="OPE91" s="75">
        <v>1276006</v>
      </c>
      <c r="OPF91" s="80"/>
      <c r="OPG91" s="81">
        <v>0.86944444444444446</v>
      </c>
      <c r="OPH91" s="74" t="s">
        <v>27</v>
      </c>
      <c r="OPI91" s="74" t="s">
        <v>24</v>
      </c>
      <c r="OPJ91" s="75" t="s">
        <v>25</v>
      </c>
      <c r="OPK91" s="76">
        <f>IFERROR(VLOOKUP(OPJ91,'[1]List KPI'!$A$103:$F$118,6,0),"")</f>
        <v>1.0416666666666666E-2</v>
      </c>
      <c r="OPL91" s="76">
        <v>0.86944444444444446</v>
      </c>
      <c r="OPM91" s="76">
        <v>0.86944444444444446</v>
      </c>
      <c r="OPN91" s="77" t="str">
        <f t="shared" ref="OPN91:ORJ91" si="321">IF(OPM91="","",IF(OPM91&gt;OPV91,"O","P"))</f>
        <v>O</v>
      </c>
      <c r="OPO91" s="74" t="s">
        <v>28</v>
      </c>
      <c r="OPP91" s="75" t="s">
        <v>23</v>
      </c>
      <c r="OPQ91" s="78">
        <f>IFERROR(VLOOKUP(OPP91,'[1]List KPI'!$M$3:$N$8,2,0),"")</f>
        <v>2.0833333333333332E-2</v>
      </c>
      <c r="OPR91" s="76">
        <v>0.89444444444444449</v>
      </c>
      <c r="OPS91" s="77" t="str">
        <f t="shared" ref="OPS91:ORO91" si="322">IF(OPR91="","",IF(OPR91&gt;OPW91,"O","P"))</f>
        <v>O</v>
      </c>
      <c r="OPT91" s="79">
        <v>5</v>
      </c>
      <c r="OPU91" s="75">
        <v>1276006</v>
      </c>
      <c r="OPV91" s="80"/>
      <c r="OPW91" s="81">
        <v>0.86944444444444446</v>
      </c>
      <c r="OPX91" s="74" t="s">
        <v>27</v>
      </c>
      <c r="OPY91" s="74" t="s">
        <v>24</v>
      </c>
      <c r="OPZ91" s="75" t="s">
        <v>25</v>
      </c>
      <c r="OQA91" s="76">
        <f>IFERROR(VLOOKUP(OPZ91,'[1]List KPI'!$A$103:$F$118,6,0),"")</f>
        <v>1.0416666666666666E-2</v>
      </c>
      <c r="OQB91" s="76">
        <v>0.86944444444444446</v>
      </c>
      <c r="OQC91" s="76">
        <v>0.86944444444444446</v>
      </c>
      <c r="OQD91" s="77" t="str">
        <f t="shared" si="321"/>
        <v>O</v>
      </c>
      <c r="OQE91" s="74" t="s">
        <v>28</v>
      </c>
      <c r="OQF91" s="75" t="s">
        <v>23</v>
      </c>
      <c r="OQG91" s="78">
        <f>IFERROR(VLOOKUP(OQF91,'[1]List KPI'!$M$3:$N$8,2,0),"")</f>
        <v>2.0833333333333332E-2</v>
      </c>
      <c r="OQH91" s="76">
        <v>0.89444444444444449</v>
      </c>
      <c r="OQI91" s="77" t="str">
        <f t="shared" si="322"/>
        <v>O</v>
      </c>
      <c r="OQJ91" s="79">
        <v>5</v>
      </c>
      <c r="OQK91" s="75">
        <v>1276006</v>
      </c>
      <c r="OQL91" s="80"/>
      <c r="OQM91" s="81">
        <v>0.86944444444444446</v>
      </c>
      <c r="OQN91" s="74" t="s">
        <v>27</v>
      </c>
      <c r="OQO91" s="74" t="s">
        <v>24</v>
      </c>
      <c r="OQP91" s="75" t="s">
        <v>25</v>
      </c>
      <c r="OQQ91" s="76">
        <f>IFERROR(VLOOKUP(OQP91,'[1]List KPI'!$A$103:$F$118,6,0),"")</f>
        <v>1.0416666666666666E-2</v>
      </c>
      <c r="OQR91" s="76">
        <v>0.86944444444444446</v>
      </c>
      <c r="OQS91" s="76">
        <v>0.86944444444444446</v>
      </c>
      <c r="OQT91" s="77" t="str">
        <f t="shared" si="321"/>
        <v>O</v>
      </c>
      <c r="OQU91" s="74" t="s">
        <v>28</v>
      </c>
      <c r="OQV91" s="75" t="s">
        <v>23</v>
      </c>
      <c r="OQW91" s="78">
        <f>IFERROR(VLOOKUP(OQV91,'[1]List KPI'!$M$3:$N$8,2,0),"")</f>
        <v>2.0833333333333332E-2</v>
      </c>
      <c r="OQX91" s="76">
        <v>0.89444444444444449</v>
      </c>
      <c r="OQY91" s="77" t="str">
        <f t="shared" si="322"/>
        <v>O</v>
      </c>
      <c r="OQZ91" s="79">
        <v>5</v>
      </c>
      <c r="ORA91" s="75">
        <v>1276006</v>
      </c>
      <c r="ORB91" s="80"/>
      <c r="ORC91" s="81">
        <v>0.86944444444444446</v>
      </c>
      <c r="ORD91" s="74" t="s">
        <v>27</v>
      </c>
      <c r="ORE91" s="74" t="s">
        <v>24</v>
      </c>
      <c r="ORF91" s="75" t="s">
        <v>25</v>
      </c>
      <c r="ORG91" s="76">
        <f>IFERROR(VLOOKUP(ORF91,'[1]List KPI'!$A$103:$F$118,6,0),"")</f>
        <v>1.0416666666666666E-2</v>
      </c>
      <c r="ORH91" s="76">
        <v>0.86944444444444446</v>
      </c>
      <c r="ORI91" s="76">
        <v>0.86944444444444446</v>
      </c>
      <c r="ORJ91" s="77" t="str">
        <f t="shared" si="321"/>
        <v>O</v>
      </c>
      <c r="ORK91" s="74" t="s">
        <v>28</v>
      </c>
      <c r="ORL91" s="75" t="s">
        <v>23</v>
      </c>
      <c r="ORM91" s="78">
        <f>IFERROR(VLOOKUP(ORL91,'[1]List KPI'!$M$3:$N$8,2,0),"")</f>
        <v>2.0833333333333332E-2</v>
      </c>
      <c r="ORN91" s="76">
        <v>0.89444444444444449</v>
      </c>
      <c r="ORO91" s="77" t="str">
        <f t="shared" si="322"/>
        <v>O</v>
      </c>
      <c r="ORP91" s="79">
        <v>5</v>
      </c>
      <c r="ORQ91" s="75">
        <v>1276006</v>
      </c>
      <c r="ORR91" s="80"/>
      <c r="ORS91" s="81">
        <v>0.86944444444444446</v>
      </c>
      <c r="ORT91" s="74" t="s">
        <v>27</v>
      </c>
      <c r="ORU91" s="74" t="s">
        <v>24</v>
      </c>
      <c r="ORV91" s="75" t="s">
        <v>25</v>
      </c>
      <c r="ORW91" s="76">
        <f>IFERROR(VLOOKUP(ORV91,'[1]List KPI'!$A$103:$F$118,6,0),"")</f>
        <v>1.0416666666666666E-2</v>
      </c>
      <c r="ORX91" s="76">
        <v>0.86944444444444446</v>
      </c>
      <c r="ORY91" s="76">
        <v>0.86944444444444446</v>
      </c>
      <c r="ORZ91" s="77" t="str">
        <f t="shared" ref="ORZ91:OTV91" si="323">IF(ORY91="","",IF(ORY91&gt;OSH91,"O","P"))</f>
        <v>O</v>
      </c>
      <c r="OSA91" s="74" t="s">
        <v>28</v>
      </c>
      <c r="OSB91" s="75" t="s">
        <v>23</v>
      </c>
      <c r="OSC91" s="78">
        <f>IFERROR(VLOOKUP(OSB91,'[1]List KPI'!$M$3:$N$8,2,0),"")</f>
        <v>2.0833333333333332E-2</v>
      </c>
      <c r="OSD91" s="76">
        <v>0.89444444444444449</v>
      </c>
      <c r="OSE91" s="77" t="str">
        <f t="shared" ref="OSE91:OUA91" si="324">IF(OSD91="","",IF(OSD91&gt;OSI91,"O","P"))</f>
        <v>O</v>
      </c>
      <c r="OSF91" s="79">
        <v>5</v>
      </c>
      <c r="OSG91" s="75">
        <v>1276006</v>
      </c>
      <c r="OSH91" s="80"/>
      <c r="OSI91" s="81">
        <v>0.86944444444444446</v>
      </c>
      <c r="OSJ91" s="74" t="s">
        <v>27</v>
      </c>
      <c r="OSK91" s="74" t="s">
        <v>24</v>
      </c>
      <c r="OSL91" s="75" t="s">
        <v>25</v>
      </c>
      <c r="OSM91" s="76">
        <f>IFERROR(VLOOKUP(OSL91,'[1]List KPI'!$A$103:$F$118,6,0),"")</f>
        <v>1.0416666666666666E-2</v>
      </c>
      <c r="OSN91" s="76">
        <v>0.86944444444444446</v>
      </c>
      <c r="OSO91" s="76">
        <v>0.86944444444444446</v>
      </c>
      <c r="OSP91" s="77" t="str">
        <f t="shared" si="323"/>
        <v>O</v>
      </c>
      <c r="OSQ91" s="74" t="s">
        <v>28</v>
      </c>
      <c r="OSR91" s="75" t="s">
        <v>23</v>
      </c>
      <c r="OSS91" s="78">
        <f>IFERROR(VLOOKUP(OSR91,'[1]List KPI'!$M$3:$N$8,2,0),"")</f>
        <v>2.0833333333333332E-2</v>
      </c>
      <c r="OST91" s="76">
        <v>0.89444444444444449</v>
      </c>
      <c r="OSU91" s="77" t="str">
        <f t="shared" si="324"/>
        <v>O</v>
      </c>
      <c r="OSV91" s="79">
        <v>5</v>
      </c>
      <c r="OSW91" s="75">
        <v>1276006</v>
      </c>
      <c r="OSX91" s="80"/>
      <c r="OSY91" s="81">
        <v>0.86944444444444446</v>
      </c>
      <c r="OSZ91" s="74" t="s">
        <v>27</v>
      </c>
      <c r="OTA91" s="74" t="s">
        <v>24</v>
      </c>
      <c r="OTB91" s="75" t="s">
        <v>25</v>
      </c>
      <c r="OTC91" s="76">
        <f>IFERROR(VLOOKUP(OTB91,'[1]List KPI'!$A$103:$F$118,6,0),"")</f>
        <v>1.0416666666666666E-2</v>
      </c>
      <c r="OTD91" s="76">
        <v>0.86944444444444446</v>
      </c>
      <c r="OTE91" s="76">
        <v>0.86944444444444446</v>
      </c>
      <c r="OTF91" s="77" t="str">
        <f t="shared" si="323"/>
        <v>O</v>
      </c>
      <c r="OTG91" s="74" t="s">
        <v>28</v>
      </c>
      <c r="OTH91" s="75" t="s">
        <v>23</v>
      </c>
      <c r="OTI91" s="78">
        <f>IFERROR(VLOOKUP(OTH91,'[1]List KPI'!$M$3:$N$8,2,0),"")</f>
        <v>2.0833333333333332E-2</v>
      </c>
      <c r="OTJ91" s="76">
        <v>0.89444444444444449</v>
      </c>
      <c r="OTK91" s="77" t="str">
        <f t="shared" si="324"/>
        <v>O</v>
      </c>
      <c r="OTL91" s="79">
        <v>5</v>
      </c>
      <c r="OTM91" s="75">
        <v>1276006</v>
      </c>
      <c r="OTN91" s="80"/>
      <c r="OTO91" s="81">
        <v>0.86944444444444446</v>
      </c>
      <c r="OTP91" s="74" t="s">
        <v>27</v>
      </c>
      <c r="OTQ91" s="74" t="s">
        <v>24</v>
      </c>
      <c r="OTR91" s="75" t="s">
        <v>25</v>
      </c>
      <c r="OTS91" s="76">
        <f>IFERROR(VLOOKUP(OTR91,'[1]List KPI'!$A$103:$F$118,6,0),"")</f>
        <v>1.0416666666666666E-2</v>
      </c>
      <c r="OTT91" s="76">
        <v>0.86944444444444446</v>
      </c>
      <c r="OTU91" s="76">
        <v>0.86944444444444446</v>
      </c>
      <c r="OTV91" s="77" t="str">
        <f t="shared" si="323"/>
        <v>O</v>
      </c>
      <c r="OTW91" s="74" t="s">
        <v>28</v>
      </c>
      <c r="OTX91" s="75" t="s">
        <v>23</v>
      </c>
      <c r="OTY91" s="78">
        <f>IFERROR(VLOOKUP(OTX91,'[1]List KPI'!$M$3:$N$8,2,0),"")</f>
        <v>2.0833333333333332E-2</v>
      </c>
      <c r="OTZ91" s="76">
        <v>0.89444444444444449</v>
      </c>
      <c r="OUA91" s="77" t="str">
        <f t="shared" si="324"/>
        <v>O</v>
      </c>
      <c r="OUB91" s="79">
        <v>5</v>
      </c>
      <c r="OUC91" s="75">
        <v>1276006</v>
      </c>
      <c r="OUD91" s="80"/>
      <c r="OUE91" s="81">
        <v>0.86944444444444446</v>
      </c>
      <c r="OUF91" s="74" t="s">
        <v>27</v>
      </c>
      <c r="OUG91" s="74" t="s">
        <v>24</v>
      </c>
      <c r="OUH91" s="75" t="s">
        <v>25</v>
      </c>
      <c r="OUI91" s="76">
        <f>IFERROR(VLOOKUP(OUH91,'[1]List KPI'!$A$103:$F$118,6,0),"")</f>
        <v>1.0416666666666666E-2</v>
      </c>
      <c r="OUJ91" s="76">
        <v>0.86944444444444446</v>
      </c>
      <c r="OUK91" s="76">
        <v>0.86944444444444446</v>
      </c>
      <c r="OUL91" s="77" t="str">
        <f t="shared" ref="OUL91:OWH91" si="325">IF(OUK91="","",IF(OUK91&gt;OUT91,"O","P"))</f>
        <v>O</v>
      </c>
      <c r="OUM91" s="74" t="s">
        <v>28</v>
      </c>
      <c r="OUN91" s="75" t="s">
        <v>23</v>
      </c>
      <c r="OUO91" s="78">
        <f>IFERROR(VLOOKUP(OUN91,'[1]List KPI'!$M$3:$N$8,2,0),"")</f>
        <v>2.0833333333333332E-2</v>
      </c>
      <c r="OUP91" s="76">
        <v>0.89444444444444449</v>
      </c>
      <c r="OUQ91" s="77" t="str">
        <f t="shared" ref="OUQ91:OWM91" si="326">IF(OUP91="","",IF(OUP91&gt;OUU91,"O","P"))</f>
        <v>O</v>
      </c>
      <c r="OUR91" s="79">
        <v>5</v>
      </c>
      <c r="OUS91" s="75">
        <v>1276006</v>
      </c>
      <c r="OUT91" s="80"/>
      <c r="OUU91" s="81">
        <v>0.86944444444444446</v>
      </c>
      <c r="OUV91" s="74" t="s">
        <v>27</v>
      </c>
      <c r="OUW91" s="74" t="s">
        <v>24</v>
      </c>
      <c r="OUX91" s="75" t="s">
        <v>25</v>
      </c>
      <c r="OUY91" s="76">
        <f>IFERROR(VLOOKUP(OUX91,'[1]List KPI'!$A$103:$F$118,6,0),"")</f>
        <v>1.0416666666666666E-2</v>
      </c>
      <c r="OUZ91" s="76">
        <v>0.86944444444444446</v>
      </c>
      <c r="OVA91" s="76">
        <v>0.86944444444444446</v>
      </c>
      <c r="OVB91" s="77" t="str">
        <f t="shared" si="325"/>
        <v>O</v>
      </c>
      <c r="OVC91" s="74" t="s">
        <v>28</v>
      </c>
      <c r="OVD91" s="75" t="s">
        <v>23</v>
      </c>
      <c r="OVE91" s="78">
        <f>IFERROR(VLOOKUP(OVD91,'[1]List KPI'!$M$3:$N$8,2,0),"")</f>
        <v>2.0833333333333332E-2</v>
      </c>
      <c r="OVF91" s="76">
        <v>0.89444444444444449</v>
      </c>
      <c r="OVG91" s="77" t="str">
        <f t="shared" si="326"/>
        <v>O</v>
      </c>
      <c r="OVH91" s="79">
        <v>5</v>
      </c>
      <c r="OVI91" s="75">
        <v>1276006</v>
      </c>
      <c r="OVJ91" s="80"/>
      <c r="OVK91" s="81">
        <v>0.86944444444444446</v>
      </c>
      <c r="OVL91" s="74" t="s">
        <v>27</v>
      </c>
      <c r="OVM91" s="74" t="s">
        <v>24</v>
      </c>
      <c r="OVN91" s="75" t="s">
        <v>25</v>
      </c>
      <c r="OVO91" s="76">
        <f>IFERROR(VLOOKUP(OVN91,'[1]List KPI'!$A$103:$F$118,6,0),"")</f>
        <v>1.0416666666666666E-2</v>
      </c>
      <c r="OVP91" s="76">
        <v>0.86944444444444446</v>
      </c>
      <c r="OVQ91" s="76">
        <v>0.86944444444444446</v>
      </c>
      <c r="OVR91" s="77" t="str">
        <f t="shared" si="325"/>
        <v>O</v>
      </c>
      <c r="OVS91" s="74" t="s">
        <v>28</v>
      </c>
      <c r="OVT91" s="75" t="s">
        <v>23</v>
      </c>
      <c r="OVU91" s="78">
        <f>IFERROR(VLOOKUP(OVT91,'[1]List KPI'!$M$3:$N$8,2,0),"")</f>
        <v>2.0833333333333332E-2</v>
      </c>
      <c r="OVV91" s="76">
        <v>0.89444444444444449</v>
      </c>
      <c r="OVW91" s="77" t="str">
        <f t="shared" si="326"/>
        <v>O</v>
      </c>
      <c r="OVX91" s="79">
        <v>5</v>
      </c>
      <c r="OVY91" s="75">
        <v>1276006</v>
      </c>
      <c r="OVZ91" s="80"/>
      <c r="OWA91" s="81">
        <v>0.86944444444444446</v>
      </c>
      <c r="OWB91" s="74" t="s">
        <v>27</v>
      </c>
      <c r="OWC91" s="74" t="s">
        <v>24</v>
      </c>
      <c r="OWD91" s="75" t="s">
        <v>25</v>
      </c>
      <c r="OWE91" s="76">
        <f>IFERROR(VLOOKUP(OWD91,'[1]List KPI'!$A$103:$F$118,6,0),"")</f>
        <v>1.0416666666666666E-2</v>
      </c>
      <c r="OWF91" s="76">
        <v>0.86944444444444446</v>
      </c>
      <c r="OWG91" s="76">
        <v>0.86944444444444446</v>
      </c>
      <c r="OWH91" s="77" t="str">
        <f t="shared" si="325"/>
        <v>O</v>
      </c>
      <c r="OWI91" s="74" t="s">
        <v>28</v>
      </c>
      <c r="OWJ91" s="75" t="s">
        <v>23</v>
      </c>
      <c r="OWK91" s="78">
        <f>IFERROR(VLOOKUP(OWJ91,'[1]List KPI'!$M$3:$N$8,2,0),"")</f>
        <v>2.0833333333333332E-2</v>
      </c>
      <c r="OWL91" s="76">
        <v>0.89444444444444449</v>
      </c>
      <c r="OWM91" s="77" t="str">
        <f t="shared" si="326"/>
        <v>O</v>
      </c>
      <c r="OWN91" s="79">
        <v>5</v>
      </c>
      <c r="OWO91" s="75">
        <v>1276006</v>
      </c>
      <c r="OWP91" s="80"/>
      <c r="OWQ91" s="81">
        <v>0.86944444444444446</v>
      </c>
      <c r="OWR91" s="74" t="s">
        <v>27</v>
      </c>
      <c r="OWS91" s="74" t="s">
        <v>24</v>
      </c>
      <c r="OWT91" s="75" t="s">
        <v>25</v>
      </c>
      <c r="OWU91" s="76">
        <f>IFERROR(VLOOKUP(OWT91,'[1]List KPI'!$A$103:$F$118,6,0),"")</f>
        <v>1.0416666666666666E-2</v>
      </c>
      <c r="OWV91" s="76">
        <v>0.86944444444444446</v>
      </c>
      <c r="OWW91" s="76">
        <v>0.86944444444444446</v>
      </c>
      <c r="OWX91" s="77" t="str">
        <f t="shared" ref="OWX91:OYT91" si="327">IF(OWW91="","",IF(OWW91&gt;OXF91,"O","P"))</f>
        <v>O</v>
      </c>
      <c r="OWY91" s="74" t="s">
        <v>28</v>
      </c>
      <c r="OWZ91" s="75" t="s">
        <v>23</v>
      </c>
      <c r="OXA91" s="78">
        <f>IFERROR(VLOOKUP(OWZ91,'[1]List KPI'!$M$3:$N$8,2,0),"")</f>
        <v>2.0833333333333332E-2</v>
      </c>
      <c r="OXB91" s="76">
        <v>0.89444444444444449</v>
      </c>
      <c r="OXC91" s="77" t="str">
        <f t="shared" ref="OXC91:OYY91" si="328">IF(OXB91="","",IF(OXB91&gt;OXG91,"O","P"))</f>
        <v>O</v>
      </c>
      <c r="OXD91" s="79">
        <v>5</v>
      </c>
      <c r="OXE91" s="75">
        <v>1276006</v>
      </c>
      <c r="OXF91" s="80"/>
      <c r="OXG91" s="81">
        <v>0.86944444444444446</v>
      </c>
      <c r="OXH91" s="74" t="s">
        <v>27</v>
      </c>
      <c r="OXI91" s="74" t="s">
        <v>24</v>
      </c>
      <c r="OXJ91" s="75" t="s">
        <v>25</v>
      </c>
      <c r="OXK91" s="76">
        <f>IFERROR(VLOOKUP(OXJ91,'[1]List KPI'!$A$103:$F$118,6,0),"")</f>
        <v>1.0416666666666666E-2</v>
      </c>
      <c r="OXL91" s="76">
        <v>0.86944444444444446</v>
      </c>
      <c r="OXM91" s="76">
        <v>0.86944444444444446</v>
      </c>
      <c r="OXN91" s="77" t="str">
        <f t="shared" si="327"/>
        <v>O</v>
      </c>
      <c r="OXO91" s="74" t="s">
        <v>28</v>
      </c>
      <c r="OXP91" s="75" t="s">
        <v>23</v>
      </c>
      <c r="OXQ91" s="78">
        <f>IFERROR(VLOOKUP(OXP91,'[1]List KPI'!$M$3:$N$8,2,0),"")</f>
        <v>2.0833333333333332E-2</v>
      </c>
      <c r="OXR91" s="76">
        <v>0.89444444444444449</v>
      </c>
      <c r="OXS91" s="77" t="str">
        <f t="shared" si="328"/>
        <v>O</v>
      </c>
      <c r="OXT91" s="79">
        <v>5</v>
      </c>
      <c r="OXU91" s="75">
        <v>1276006</v>
      </c>
      <c r="OXV91" s="80"/>
      <c r="OXW91" s="81">
        <v>0.86944444444444446</v>
      </c>
      <c r="OXX91" s="74" t="s">
        <v>27</v>
      </c>
      <c r="OXY91" s="74" t="s">
        <v>24</v>
      </c>
      <c r="OXZ91" s="75" t="s">
        <v>25</v>
      </c>
      <c r="OYA91" s="76">
        <f>IFERROR(VLOOKUP(OXZ91,'[1]List KPI'!$A$103:$F$118,6,0),"")</f>
        <v>1.0416666666666666E-2</v>
      </c>
      <c r="OYB91" s="76">
        <v>0.86944444444444446</v>
      </c>
      <c r="OYC91" s="76">
        <v>0.86944444444444446</v>
      </c>
      <c r="OYD91" s="77" t="str">
        <f t="shared" si="327"/>
        <v>O</v>
      </c>
      <c r="OYE91" s="74" t="s">
        <v>28</v>
      </c>
      <c r="OYF91" s="75" t="s">
        <v>23</v>
      </c>
      <c r="OYG91" s="78">
        <f>IFERROR(VLOOKUP(OYF91,'[1]List KPI'!$M$3:$N$8,2,0),"")</f>
        <v>2.0833333333333332E-2</v>
      </c>
      <c r="OYH91" s="76">
        <v>0.89444444444444449</v>
      </c>
      <c r="OYI91" s="77" t="str">
        <f t="shared" si="328"/>
        <v>O</v>
      </c>
      <c r="OYJ91" s="79">
        <v>5</v>
      </c>
      <c r="OYK91" s="75">
        <v>1276006</v>
      </c>
      <c r="OYL91" s="80"/>
      <c r="OYM91" s="81">
        <v>0.86944444444444446</v>
      </c>
      <c r="OYN91" s="74" t="s">
        <v>27</v>
      </c>
      <c r="OYO91" s="74" t="s">
        <v>24</v>
      </c>
      <c r="OYP91" s="75" t="s">
        <v>25</v>
      </c>
      <c r="OYQ91" s="76">
        <f>IFERROR(VLOOKUP(OYP91,'[1]List KPI'!$A$103:$F$118,6,0),"")</f>
        <v>1.0416666666666666E-2</v>
      </c>
      <c r="OYR91" s="76">
        <v>0.86944444444444446</v>
      </c>
      <c r="OYS91" s="76">
        <v>0.86944444444444446</v>
      </c>
      <c r="OYT91" s="77" t="str">
        <f t="shared" si="327"/>
        <v>O</v>
      </c>
      <c r="OYU91" s="74" t="s">
        <v>28</v>
      </c>
      <c r="OYV91" s="75" t="s">
        <v>23</v>
      </c>
      <c r="OYW91" s="78">
        <f>IFERROR(VLOOKUP(OYV91,'[1]List KPI'!$M$3:$N$8,2,0),"")</f>
        <v>2.0833333333333332E-2</v>
      </c>
      <c r="OYX91" s="76">
        <v>0.89444444444444449</v>
      </c>
      <c r="OYY91" s="77" t="str">
        <f t="shared" si="328"/>
        <v>O</v>
      </c>
      <c r="OYZ91" s="79">
        <v>5</v>
      </c>
      <c r="OZA91" s="75">
        <v>1276006</v>
      </c>
      <c r="OZB91" s="80"/>
      <c r="OZC91" s="81">
        <v>0.86944444444444446</v>
      </c>
      <c r="OZD91" s="74" t="s">
        <v>27</v>
      </c>
      <c r="OZE91" s="74" t="s">
        <v>24</v>
      </c>
      <c r="OZF91" s="75" t="s">
        <v>25</v>
      </c>
      <c r="OZG91" s="76">
        <f>IFERROR(VLOOKUP(OZF91,'[1]List KPI'!$A$103:$F$118,6,0),"")</f>
        <v>1.0416666666666666E-2</v>
      </c>
      <c r="OZH91" s="76">
        <v>0.86944444444444446</v>
      </c>
      <c r="OZI91" s="76">
        <v>0.86944444444444446</v>
      </c>
      <c r="OZJ91" s="77" t="str">
        <f t="shared" ref="OZJ91:PBF91" si="329">IF(OZI91="","",IF(OZI91&gt;OZR91,"O","P"))</f>
        <v>O</v>
      </c>
      <c r="OZK91" s="74" t="s">
        <v>28</v>
      </c>
      <c r="OZL91" s="75" t="s">
        <v>23</v>
      </c>
      <c r="OZM91" s="78">
        <f>IFERROR(VLOOKUP(OZL91,'[1]List KPI'!$M$3:$N$8,2,0),"")</f>
        <v>2.0833333333333332E-2</v>
      </c>
      <c r="OZN91" s="76">
        <v>0.89444444444444449</v>
      </c>
      <c r="OZO91" s="77" t="str">
        <f t="shared" ref="OZO91:PBK91" si="330">IF(OZN91="","",IF(OZN91&gt;OZS91,"O","P"))</f>
        <v>O</v>
      </c>
      <c r="OZP91" s="79">
        <v>5</v>
      </c>
      <c r="OZQ91" s="75">
        <v>1276006</v>
      </c>
      <c r="OZR91" s="80"/>
      <c r="OZS91" s="81">
        <v>0.86944444444444446</v>
      </c>
      <c r="OZT91" s="74" t="s">
        <v>27</v>
      </c>
      <c r="OZU91" s="74" t="s">
        <v>24</v>
      </c>
      <c r="OZV91" s="75" t="s">
        <v>25</v>
      </c>
      <c r="OZW91" s="76">
        <f>IFERROR(VLOOKUP(OZV91,'[1]List KPI'!$A$103:$F$118,6,0),"")</f>
        <v>1.0416666666666666E-2</v>
      </c>
      <c r="OZX91" s="76">
        <v>0.86944444444444446</v>
      </c>
      <c r="OZY91" s="76">
        <v>0.86944444444444446</v>
      </c>
      <c r="OZZ91" s="77" t="str">
        <f t="shared" si="329"/>
        <v>O</v>
      </c>
      <c r="PAA91" s="74" t="s">
        <v>28</v>
      </c>
      <c r="PAB91" s="75" t="s">
        <v>23</v>
      </c>
      <c r="PAC91" s="78">
        <f>IFERROR(VLOOKUP(PAB91,'[1]List KPI'!$M$3:$N$8,2,0),"")</f>
        <v>2.0833333333333332E-2</v>
      </c>
      <c r="PAD91" s="76">
        <v>0.89444444444444449</v>
      </c>
      <c r="PAE91" s="77" t="str">
        <f t="shared" si="330"/>
        <v>O</v>
      </c>
      <c r="PAF91" s="79">
        <v>5</v>
      </c>
      <c r="PAG91" s="75">
        <v>1276006</v>
      </c>
      <c r="PAH91" s="80"/>
      <c r="PAI91" s="81">
        <v>0.86944444444444446</v>
      </c>
      <c r="PAJ91" s="74" t="s">
        <v>27</v>
      </c>
      <c r="PAK91" s="74" t="s">
        <v>24</v>
      </c>
      <c r="PAL91" s="75" t="s">
        <v>25</v>
      </c>
      <c r="PAM91" s="76">
        <f>IFERROR(VLOOKUP(PAL91,'[1]List KPI'!$A$103:$F$118,6,0),"")</f>
        <v>1.0416666666666666E-2</v>
      </c>
      <c r="PAN91" s="76">
        <v>0.86944444444444446</v>
      </c>
      <c r="PAO91" s="76">
        <v>0.86944444444444446</v>
      </c>
      <c r="PAP91" s="77" t="str">
        <f t="shared" si="329"/>
        <v>O</v>
      </c>
      <c r="PAQ91" s="74" t="s">
        <v>28</v>
      </c>
      <c r="PAR91" s="75" t="s">
        <v>23</v>
      </c>
      <c r="PAS91" s="78">
        <f>IFERROR(VLOOKUP(PAR91,'[1]List KPI'!$M$3:$N$8,2,0),"")</f>
        <v>2.0833333333333332E-2</v>
      </c>
      <c r="PAT91" s="76">
        <v>0.89444444444444449</v>
      </c>
      <c r="PAU91" s="77" t="str">
        <f t="shared" si="330"/>
        <v>O</v>
      </c>
      <c r="PAV91" s="79">
        <v>5</v>
      </c>
      <c r="PAW91" s="75">
        <v>1276006</v>
      </c>
      <c r="PAX91" s="80"/>
      <c r="PAY91" s="81">
        <v>0.86944444444444446</v>
      </c>
      <c r="PAZ91" s="74" t="s">
        <v>27</v>
      </c>
      <c r="PBA91" s="74" t="s">
        <v>24</v>
      </c>
      <c r="PBB91" s="75" t="s">
        <v>25</v>
      </c>
      <c r="PBC91" s="76">
        <f>IFERROR(VLOOKUP(PBB91,'[1]List KPI'!$A$103:$F$118,6,0),"")</f>
        <v>1.0416666666666666E-2</v>
      </c>
      <c r="PBD91" s="76">
        <v>0.86944444444444446</v>
      </c>
      <c r="PBE91" s="76">
        <v>0.86944444444444446</v>
      </c>
      <c r="PBF91" s="77" t="str">
        <f t="shared" si="329"/>
        <v>O</v>
      </c>
      <c r="PBG91" s="74" t="s">
        <v>28</v>
      </c>
      <c r="PBH91" s="75" t="s">
        <v>23</v>
      </c>
      <c r="PBI91" s="78">
        <f>IFERROR(VLOOKUP(PBH91,'[1]List KPI'!$M$3:$N$8,2,0),"")</f>
        <v>2.0833333333333332E-2</v>
      </c>
      <c r="PBJ91" s="76">
        <v>0.89444444444444449</v>
      </c>
      <c r="PBK91" s="77" t="str">
        <f t="shared" si="330"/>
        <v>O</v>
      </c>
      <c r="PBL91" s="79">
        <v>5</v>
      </c>
      <c r="PBM91" s="75">
        <v>1276006</v>
      </c>
      <c r="PBN91" s="80"/>
      <c r="PBO91" s="81">
        <v>0.86944444444444446</v>
      </c>
      <c r="PBP91" s="74" t="s">
        <v>27</v>
      </c>
      <c r="PBQ91" s="74" t="s">
        <v>24</v>
      </c>
      <c r="PBR91" s="75" t="s">
        <v>25</v>
      </c>
      <c r="PBS91" s="76">
        <f>IFERROR(VLOOKUP(PBR91,'[1]List KPI'!$A$103:$F$118,6,0),"")</f>
        <v>1.0416666666666666E-2</v>
      </c>
      <c r="PBT91" s="76">
        <v>0.86944444444444446</v>
      </c>
      <c r="PBU91" s="76">
        <v>0.86944444444444446</v>
      </c>
      <c r="PBV91" s="77" t="str">
        <f t="shared" ref="PBV91:PDR91" si="331">IF(PBU91="","",IF(PBU91&gt;PCD91,"O","P"))</f>
        <v>O</v>
      </c>
      <c r="PBW91" s="74" t="s">
        <v>28</v>
      </c>
      <c r="PBX91" s="75" t="s">
        <v>23</v>
      </c>
      <c r="PBY91" s="78">
        <f>IFERROR(VLOOKUP(PBX91,'[1]List KPI'!$M$3:$N$8,2,0),"")</f>
        <v>2.0833333333333332E-2</v>
      </c>
      <c r="PBZ91" s="76">
        <v>0.89444444444444449</v>
      </c>
      <c r="PCA91" s="77" t="str">
        <f t="shared" ref="PCA91:PDW91" si="332">IF(PBZ91="","",IF(PBZ91&gt;PCE91,"O","P"))</f>
        <v>O</v>
      </c>
      <c r="PCB91" s="79">
        <v>5</v>
      </c>
      <c r="PCC91" s="75">
        <v>1276006</v>
      </c>
      <c r="PCD91" s="80"/>
      <c r="PCE91" s="81">
        <v>0.86944444444444446</v>
      </c>
      <c r="PCF91" s="74" t="s">
        <v>27</v>
      </c>
      <c r="PCG91" s="74" t="s">
        <v>24</v>
      </c>
      <c r="PCH91" s="75" t="s">
        <v>25</v>
      </c>
      <c r="PCI91" s="76">
        <f>IFERROR(VLOOKUP(PCH91,'[1]List KPI'!$A$103:$F$118,6,0),"")</f>
        <v>1.0416666666666666E-2</v>
      </c>
      <c r="PCJ91" s="76">
        <v>0.86944444444444446</v>
      </c>
      <c r="PCK91" s="76">
        <v>0.86944444444444446</v>
      </c>
      <c r="PCL91" s="77" t="str">
        <f t="shared" si="331"/>
        <v>O</v>
      </c>
      <c r="PCM91" s="74" t="s">
        <v>28</v>
      </c>
      <c r="PCN91" s="75" t="s">
        <v>23</v>
      </c>
      <c r="PCO91" s="78">
        <f>IFERROR(VLOOKUP(PCN91,'[1]List KPI'!$M$3:$N$8,2,0),"")</f>
        <v>2.0833333333333332E-2</v>
      </c>
      <c r="PCP91" s="76">
        <v>0.89444444444444449</v>
      </c>
      <c r="PCQ91" s="77" t="str">
        <f t="shared" si="332"/>
        <v>O</v>
      </c>
      <c r="PCR91" s="79">
        <v>5</v>
      </c>
      <c r="PCS91" s="75">
        <v>1276006</v>
      </c>
      <c r="PCT91" s="80"/>
      <c r="PCU91" s="81">
        <v>0.86944444444444446</v>
      </c>
      <c r="PCV91" s="74" t="s">
        <v>27</v>
      </c>
      <c r="PCW91" s="74" t="s">
        <v>24</v>
      </c>
      <c r="PCX91" s="75" t="s">
        <v>25</v>
      </c>
      <c r="PCY91" s="76">
        <f>IFERROR(VLOOKUP(PCX91,'[1]List KPI'!$A$103:$F$118,6,0),"")</f>
        <v>1.0416666666666666E-2</v>
      </c>
      <c r="PCZ91" s="76">
        <v>0.86944444444444446</v>
      </c>
      <c r="PDA91" s="76">
        <v>0.86944444444444446</v>
      </c>
      <c r="PDB91" s="77" t="str">
        <f t="shared" si="331"/>
        <v>O</v>
      </c>
      <c r="PDC91" s="74" t="s">
        <v>28</v>
      </c>
      <c r="PDD91" s="75" t="s">
        <v>23</v>
      </c>
      <c r="PDE91" s="78">
        <f>IFERROR(VLOOKUP(PDD91,'[1]List KPI'!$M$3:$N$8,2,0),"")</f>
        <v>2.0833333333333332E-2</v>
      </c>
      <c r="PDF91" s="76">
        <v>0.89444444444444449</v>
      </c>
      <c r="PDG91" s="77" t="str">
        <f t="shared" si="332"/>
        <v>O</v>
      </c>
      <c r="PDH91" s="79">
        <v>5</v>
      </c>
      <c r="PDI91" s="75">
        <v>1276006</v>
      </c>
      <c r="PDJ91" s="80"/>
      <c r="PDK91" s="81">
        <v>0.86944444444444446</v>
      </c>
      <c r="PDL91" s="74" t="s">
        <v>27</v>
      </c>
      <c r="PDM91" s="74" t="s">
        <v>24</v>
      </c>
      <c r="PDN91" s="75" t="s">
        <v>25</v>
      </c>
      <c r="PDO91" s="76">
        <f>IFERROR(VLOOKUP(PDN91,'[1]List KPI'!$A$103:$F$118,6,0),"")</f>
        <v>1.0416666666666666E-2</v>
      </c>
      <c r="PDP91" s="76">
        <v>0.86944444444444446</v>
      </c>
      <c r="PDQ91" s="76">
        <v>0.86944444444444446</v>
      </c>
      <c r="PDR91" s="77" t="str">
        <f t="shared" si="331"/>
        <v>O</v>
      </c>
      <c r="PDS91" s="74" t="s">
        <v>28</v>
      </c>
      <c r="PDT91" s="75" t="s">
        <v>23</v>
      </c>
      <c r="PDU91" s="78">
        <f>IFERROR(VLOOKUP(PDT91,'[1]List KPI'!$M$3:$N$8,2,0),"")</f>
        <v>2.0833333333333332E-2</v>
      </c>
      <c r="PDV91" s="76">
        <v>0.89444444444444449</v>
      </c>
      <c r="PDW91" s="77" t="str">
        <f t="shared" si="332"/>
        <v>O</v>
      </c>
      <c r="PDX91" s="79">
        <v>5</v>
      </c>
      <c r="PDY91" s="75">
        <v>1276006</v>
      </c>
      <c r="PDZ91" s="80"/>
      <c r="PEA91" s="81">
        <v>0.86944444444444446</v>
      </c>
      <c r="PEB91" s="74" t="s">
        <v>27</v>
      </c>
      <c r="PEC91" s="74" t="s">
        <v>24</v>
      </c>
      <c r="PED91" s="75" t="s">
        <v>25</v>
      </c>
      <c r="PEE91" s="76">
        <f>IFERROR(VLOOKUP(PED91,'[1]List KPI'!$A$103:$F$118,6,0),"")</f>
        <v>1.0416666666666666E-2</v>
      </c>
      <c r="PEF91" s="76">
        <v>0.86944444444444446</v>
      </c>
      <c r="PEG91" s="76">
        <v>0.86944444444444446</v>
      </c>
      <c r="PEH91" s="77" t="str">
        <f t="shared" ref="PEH91:PGD91" si="333">IF(PEG91="","",IF(PEG91&gt;PEP91,"O","P"))</f>
        <v>O</v>
      </c>
      <c r="PEI91" s="74" t="s">
        <v>28</v>
      </c>
      <c r="PEJ91" s="75" t="s">
        <v>23</v>
      </c>
      <c r="PEK91" s="78">
        <f>IFERROR(VLOOKUP(PEJ91,'[1]List KPI'!$M$3:$N$8,2,0),"")</f>
        <v>2.0833333333333332E-2</v>
      </c>
      <c r="PEL91" s="76">
        <v>0.89444444444444449</v>
      </c>
      <c r="PEM91" s="77" t="str">
        <f t="shared" ref="PEM91:PGI91" si="334">IF(PEL91="","",IF(PEL91&gt;PEQ91,"O","P"))</f>
        <v>O</v>
      </c>
      <c r="PEN91" s="79">
        <v>5</v>
      </c>
      <c r="PEO91" s="75">
        <v>1276006</v>
      </c>
      <c r="PEP91" s="80"/>
      <c r="PEQ91" s="81">
        <v>0.86944444444444446</v>
      </c>
      <c r="PER91" s="74" t="s">
        <v>27</v>
      </c>
      <c r="PES91" s="74" t="s">
        <v>24</v>
      </c>
      <c r="PET91" s="75" t="s">
        <v>25</v>
      </c>
      <c r="PEU91" s="76">
        <f>IFERROR(VLOOKUP(PET91,'[1]List KPI'!$A$103:$F$118,6,0),"")</f>
        <v>1.0416666666666666E-2</v>
      </c>
      <c r="PEV91" s="76">
        <v>0.86944444444444446</v>
      </c>
      <c r="PEW91" s="76">
        <v>0.86944444444444446</v>
      </c>
      <c r="PEX91" s="77" t="str">
        <f t="shared" si="333"/>
        <v>O</v>
      </c>
      <c r="PEY91" s="74" t="s">
        <v>28</v>
      </c>
      <c r="PEZ91" s="75" t="s">
        <v>23</v>
      </c>
      <c r="PFA91" s="78">
        <f>IFERROR(VLOOKUP(PEZ91,'[1]List KPI'!$M$3:$N$8,2,0),"")</f>
        <v>2.0833333333333332E-2</v>
      </c>
      <c r="PFB91" s="76">
        <v>0.89444444444444449</v>
      </c>
      <c r="PFC91" s="77" t="str">
        <f t="shared" si="334"/>
        <v>O</v>
      </c>
      <c r="PFD91" s="79">
        <v>5</v>
      </c>
      <c r="PFE91" s="75">
        <v>1276006</v>
      </c>
      <c r="PFF91" s="80"/>
      <c r="PFG91" s="81">
        <v>0.86944444444444446</v>
      </c>
      <c r="PFH91" s="74" t="s">
        <v>27</v>
      </c>
      <c r="PFI91" s="74" t="s">
        <v>24</v>
      </c>
      <c r="PFJ91" s="75" t="s">
        <v>25</v>
      </c>
      <c r="PFK91" s="76">
        <f>IFERROR(VLOOKUP(PFJ91,'[1]List KPI'!$A$103:$F$118,6,0),"")</f>
        <v>1.0416666666666666E-2</v>
      </c>
      <c r="PFL91" s="76">
        <v>0.86944444444444446</v>
      </c>
      <c r="PFM91" s="76">
        <v>0.86944444444444446</v>
      </c>
      <c r="PFN91" s="77" t="str">
        <f t="shared" si="333"/>
        <v>O</v>
      </c>
      <c r="PFO91" s="74" t="s">
        <v>28</v>
      </c>
      <c r="PFP91" s="75" t="s">
        <v>23</v>
      </c>
      <c r="PFQ91" s="78">
        <f>IFERROR(VLOOKUP(PFP91,'[1]List KPI'!$M$3:$N$8,2,0),"")</f>
        <v>2.0833333333333332E-2</v>
      </c>
      <c r="PFR91" s="76">
        <v>0.89444444444444449</v>
      </c>
      <c r="PFS91" s="77" t="str">
        <f t="shared" si="334"/>
        <v>O</v>
      </c>
      <c r="PFT91" s="79">
        <v>5</v>
      </c>
      <c r="PFU91" s="75">
        <v>1276006</v>
      </c>
      <c r="PFV91" s="80"/>
      <c r="PFW91" s="81">
        <v>0.86944444444444446</v>
      </c>
      <c r="PFX91" s="74" t="s">
        <v>27</v>
      </c>
      <c r="PFY91" s="74" t="s">
        <v>24</v>
      </c>
      <c r="PFZ91" s="75" t="s">
        <v>25</v>
      </c>
      <c r="PGA91" s="76">
        <f>IFERROR(VLOOKUP(PFZ91,'[1]List KPI'!$A$103:$F$118,6,0),"")</f>
        <v>1.0416666666666666E-2</v>
      </c>
      <c r="PGB91" s="76">
        <v>0.86944444444444446</v>
      </c>
      <c r="PGC91" s="76">
        <v>0.86944444444444446</v>
      </c>
      <c r="PGD91" s="77" t="str">
        <f t="shared" si="333"/>
        <v>O</v>
      </c>
      <c r="PGE91" s="74" t="s">
        <v>28</v>
      </c>
      <c r="PGF91" s="75" t="s">
        <v>23</v>
      </c>
      <c r="PGG91" s="78">
        <f>IFERROR(VLOOKUP(PGF91,'[1]List KPI'!$M$3:$N$8,2,0),"")</f>
        <v>2.0833333333333332E-2</v>
      </c>
      <c r="PGH91" s="76">
        <v>0.89444444444444449</v>
      </c>
      <c r="PGI91" s="77" t="str">
        <f t="shared" si="334"/>
        <v>O</v>
      </c>
      <c r="PGJ91" s="79">
        <v>5</v>
      </c>
      <c r="PGK91" s="75">
        <v>1276006</v>
      </c>
      <c r="PGL91" s="80"/>
      <c r="PGM91" s="81">
        <v>0.86944444444444446</v>
      </c>
      <c r="PGN91" s="74" t="s">
        <v>27</v>
      </c>
      <c r="PGO91" s="74" t="s">
        <v>24</v>
      </c>
      <c r="PGP91" s="75" t="s">
        <v>25</v>
      </c>
      <c r="PGQ91" s="76">
        <f>IFERROR(VLOOKUP(PGP91,'[1]List KPI'!$A$103:$F$118,6,0),"")</f>
        <v>1.0416666666666666E-2</v>
      </c>
      <c r="PGR91" s="76">
        <v>0.86944444444444446</v>
      </c>
      <c r="PGS91" s="76">
        <v>0.86944444444444446</v>
      </c>
      <c r="PGT91" s="77" t="str">
        <f t="shared" ref="PGT91:PIP91" si="335">IF(PGS91="","",IF(PGS91&gt;PHB91,"O","P"))</f>
        <v>O</v>
      </c>
      <c r="PGU91" s="74" t="s">
        <v>28</v>
      </c>
      <c r="PGV91" s="75" t="s">
        <v>23</v>
      </c>
      <c r="PGW91" s="78">
        <f>IFERROR(VLOOKUP(PGV91,'[1]List KPI'!$M$3:$N$8,2,0),"")</f>
        <v>2.0833333333333332E-2</v>
      </c>
      <c r="PGX91" s="76">
        <v>0.89444444444444449</v>
      </c>
      <c r="PGY91" s="77" t="str">
        <f t="shared" ref="PGY91:PIU91" si="336">IF(PGX91="","",IF(PGX91&gt;PHC91,"O","P"))</f>
        <v>O</v>
      </c>
      <c r="PGZ91" s="79">
        <v>5</v>
      </c>
      <c r="PHA91" s="75">
        <v>1276006</v>
      </c>
      <c r="PHB91" s="80"/>
      <c r="PHC91" s="81">
        <v>0.86944444444444446</v>
      </c>
      <c r="PHD91" s="74" t="s">
        <v>27</v>
      </c>
      <c r="PHE91" s="74" t="s">
        <v>24</v>
      </c>
      <c r="PHF91" s="75" t="s">
        <v>25</v>
      </c>
      <c r="PHG91" s="76">
        <f>IFERROR(VLOOKUP(PHF91,'[1]List KPI'!$A$103:$F$118,6,0),"")</f>
        <v>1.0416666666666666E-2</v>
      </c>
      <c r="PHH91" s="76">
        <v>0.86944444444444446</v>
      </c>
      <c r="PHI91" s="76">
        <v>0.86944444444444446</v>
      </c>
      <c r="PHJ91" s="77" t="str">
        <f t="shared" si="335"/>
        <v>O</v>
      </c>
      <c r="PHK91" s="74" t="s">
        <v>28</v>
      </c>
      <c r="PHL91" s="75" t="s">
        <v>23</v>
      </c>
      <c r="PHM91" s="78">
        <f>IFERROR(VLOOKUP(PHL91,'[1]List KPI'!$M$3:$N$8,2,0),"")</f>
        <v>2.0833333333333332E-2</v>
      </c>
      <c r="PHN91" s="76">
        <v>0.89444444444444449</v>
      </c>
      <c r="PHO91" s="77" t="str">
        <f t="shared" si="336"/>
        <v>O</v>
      </c>
      <c r="PHP91" s="79">
        <v>5</v>
      </c>
      <c r="PHQ91" s="75">
        <v>1276006</v>
      </c>
      <c r="PHR91" s="80"/>
      <c r="PHS91" s="81">
        <v>0.86944444444444446</v>
      </c>
      <c r="PHT91" s="74" t="s">
        <v>27</v>
      </c>
      <c r="PHU91" s="74" t="s">
        <v>24</v>
      </c>
      <c r="PHV91" s="75" t="s">
        <v>25</v>
      </c>
      <c r="PHW91" s="76">
        <f>IFERROR(VLOOKUP(PHV91,'[1]List KPI'!$A$103:$F$118,6,0),"")</f>
        <v>1.0416666666666666E-2</v>
      </c>
      <c r="PHX91" s="76">
        <v>0.86944444444444446</v>
      </c>
      <c r="PHY91" s="76">
        <v>0.86944444444444446</v>
      </c>
      <c r="PHZ91" s="77" t="str">
        <f t="shared" si="335"/>
        <v>O</v>
      </c>
      <c r="PIA91" s="74" t="s">
        <v>28</v>
      </c>
      <c r="PIB91" s="75" t="s">
        <v>23</v>
      </c>
      <c r="PIC91" s="78">
        <f>IFERROR(VLOOKUP(PIB91,'[1]List KPI'!$M$3:$N$8,2,0),"")</f>
        <v>2.0833333333333332E-2</v>
      </c>
      <c r="PID91" s="76">
        <v>0.89444444444444449</v>
      </c>
      <c r="PIE91" s="77" t="str">
        <f t="shared" si="336"/>
        <v>O</v>
      </c>
      <c r="PIF91" s="79">
        <v>5</v>
      </c>
      <c r="PIG91" s="75">
        <v>1276006</v>
      </c>
      <c r="PIH91" s="80"/>
      <c r="PII91" s="81">
        <v>0.86944444444444446</v>
      </c>
      <c r="PIJ91" s="74" t="s">
        <v>27</v>
      </c>
      <c r="PIK91" s="74" t="s">
        <v>24</v>
      </c>
      <c r="PIL91" s="75" t="s">
        <v>25</v>
      </c>
      <c r="PIM91" s="76">
        <f>IFERROR(VLOOKUP(PIL91,'[1]List KPI'!$A$103:$F$118,6,0),"")</f>
        <v>1.0416666666666666E-2</v>
      </c>
      <c r="PIN91" s="76">
        <v>0.86944444444444446</v>
      </c>
      <c r="PIO91" s="76">
        <v>0.86944444444444446</v>
      </c>
      <c r="PIP91" s="77" t="str">
        <f t="shared" si="335"/>
        <v>O</v>
      </c>
      <c r="PIQ91" s="74" t="s">
        <v>28</v>
      </c>
      <c r="PIR91" s="75" t="s">
        <v>23</v>
      </c>
      <c r="PIS91" s="78">
        <f>IFERROR(VLOOKUP(PIR91,'[1]List KPI'!$M$3:$N$8,2,0),"")</f>
        <v>2.0833333333333332E-2</v>
      </c>
      <c r="PIT91" s="76">
        <v>0.89444444444444449</v>
      </c>
      <c r="PIU91" s="77" t="str">
        <f t="shared" si="336"/>
        <v>O</v>
      </c>
      <c r="PIV91" s="79">
        <v>5</v>
      </c>
      <c r="PIW91" s="75">
        <v>1276006</v>
      </c>
      <c r="PIX91" s="80"/>
      <c r="PIY91" s="81">
        <v>0.86944444444444446</v>
      </c>
      <c r="PIZ91" s="74" t="s">
        <v>27</v>
      </c>
      <c r="PJA91" s="74" t="s">
        <v>24</v>
      </c>
      <c r="PJB91" s="75" t="s">
        <v>25</v>
      </c>
      <c r="PJC91" s="76">
        <f>IFERROR(VLOOKUP(PJB91,'[1]List KPI'!$A$103:$F$118,6,0),"")</f>
        <v>1.0416666666666666E-2</v>
      </c>
      <c r="PJD91" s="76">
        <v>0.86944444444444446</v>
      </c>
      <c r="PJE91" s="76">
        <v>0.86944444444444446</v>
      </c>
      <c r="PJF91" s="77" t="str">
        <f t="shared" ref="PJF91:PLB91" si="337">IF(PJE91="","",IF(PJE91&gt;PJN91,"O","P"))</f>
        <v>O</v>
      </c>
      <c r="PJG91" s="74" t="s">
        <v>28</v>
      </c>
      <c r="PJH91" s="75" t="s">
        <v>23</v>
      </c>
      <c r="PJI91" s="78">
        <f>IFERROR(VLOOKUP(PJH91,'[1]List KPI'!$M$3:$N$8,2,0),"")</f>
        <v>2.0833333333333332E-2</v>
      </c>
      <c r="PJJ91" s="76">
        <v>0.89444444444444449</v>
      </c>
      <c r="PJK91" s="77" t="str">
        <f t="shared" ref="PJK91:PLG91" si="338">IF(PJJ91="","",IF(PJJ91&gt;PJO91,"O","P"))</f>
        <v>O</v>
      </c>
      <c r="PJL91" s="79">
        <v>5</v>
      </c>
      <c r="PJM91" s="75">
        <v>1276006</v>
      </c>
      <c r="PJN91" s="80"/>
      <c r="PJO91" s="81">
        <v>0.86944444444444446</v>
      </c>
      <c r="PJP91" s="74" t="s">
        <v>27</v>
      </c>
      <c r="PJQ91" s="74" t="s">
        <v>24</v>
      </c>
      <c r="PJR91" s="75" t="s">
        <v>25</v>
      </c>
      <c r="PJS91" s="76">
        <f>IFERROR(VLOOKUP(PJR91,'[1]List KPI'!$A$103:$F$118,6,0),"")</f>
        <v>1.0416666666666666E-2</v>
      </c>
      <c r="PJT91" s="76">
        <v>0.86944444444444446</v>
      </c>
      <c r="PJU91" s="76">
        <v>0.86944444444444446</v>
      </c>
      <c r="PJV91" s="77" t="str">
        <f t="shared" si="337"/>
        <v>O</v>
      </c>
      <c r="PJW91" s="74" t="s">
        <v>28</v>
      </c>
      <c r="PJX91" s="75" t="s">
        <v>23</v>
      </c>
      <c r="PJY91" s="78">
        <f>IFERROR(VLOOKUP(PJX91,'[1]List KPI'!$M$3:$N$8,2,0),"")</f>
        <v>2.0833333333333332E-2</v>
      </c>
      <c r="PJZ91" s="76">
        <v>0.89444444444444449</v>
      </c>
      <c r="PKA91" s="77" t="str">
        <f t="shared" si="338"/>
        <v>O</v>
      </c>
      <c r="PKB91" s="79">
        <v>5</v>
      </c>
      <c r="PKC91" s="75">
        <v>1276006</v>
      </c>
      <c r="PKD91" s="80"/>
      <c r="PKE91" s="81">
        <v>0.86944444444444446</v>
      </c>
      <c r="PKF91" s="74" t="s">
        <v>27</v>
      </c>
      <c r="PKG91" s="74" t="s">
        <v>24</v>
      </c>
      <c r="PKH91" s="75" t="s">
        <v>25</v>
      </c>
      <c r="PKI91" s="76">
        <f>IFERROR(VLOOKUP(PKH91,'[1]List KPI'!$A$103:$F$118,6,0),"")</f>
        <v>1.0416666666666666E-2</v>
      </c>
      <c r="PKJ91" s="76">
        <v>0.86944444444444446</v>
      </c>
      <c r="PKK91" s="76">
        <v>0.86944444444444446</v>
      </c>
      <c r="PKL91" s="77" t="str">
        <f t="shared" si="337"/>
        <v>O</v>
      </c>
      <c r="PKM91" s="74" t="s">
        <v>28</v>
      </c>
      <c r="PKN91" s="75" t="s">
        <v>23</v>
      </c>
      <c r="PKO91" s="78">
        <f>IFERROR(VLOOKUP(PKN91,'[1]List KPI'!$M$3:$N$8,2,0),"")</f>
        <v>2.0833333333333332E-2</v>
      </c>
      <c r="PKP91" s="76">
        <v>0.89444444444444449</v>
      </c>
      <c r="PKQ91" s="77" t="str">
        <f t="shared" si="338"/>
        <v>O</v>
      </c>
      <c r="PKR91" s="79">
        <v>5</v>
      </c>
      <c r="PKS91" s="75">
        <v>1276006</v>
      </c>
      <c r="PKT91" s="80"/>
      <c r="PKU91" s="81">
        <v>0.86944444444444446</v>
      </c>
      <c r="PKV91" s="74" t="s">
        <v>27</v>
      </c>
      <c r="PKW91" s="74" t="s">
        <v>24</v>
      </c>
      <c r="PKX91" s="75" t="s">
        <v>25</v>
      </c>
      <c r="PKY91" s="76">
        <f>IFERROR(VLOOKUP(PKX91,'[1]List KPI'!$A$103:$F$118,6,0),"")</f>
        <v>1.0416666666666666E-2</v>
      </c>
      <c r="PKZ91" s="76">
        <v>0.86944444444444446</v>
      </c>
      <c r="PLA91" s="76">
        <v>0.86944444444444446</v>
      </c>
      <c r="PLB91" s="77" t="str">
        <f t="shared" si="337"/>
        <v>O</v>
      </c>
      <c r="PLC91" s="74" t="s">
        <v>28</v>
      </c>
      <c r="PLD91" s="75" t="s">
        <v>23</v>
      </c>
      <c r="PLE91" s="78">
        <f>IFERROR(VLOOKUP(PLD91,'[1]List KPI'!$M$3:$N$8,2,0),"")</f>
        <v>2.0833333333333332E-2</v>
      </c>
      <c r="PLF91" s="76">
        <v>0.89444444444444449</v>
      </c>
      <c r="PLG91" s="77" t="str">
        <f t="shared" si="338"/>
        <v>O</v>
      </c>
      <c r="PLH91" s="79">
        <v>5</v>
      </c>
      <c r="PLI91" s="75">
        <v>1276006</v>
      </c>
      <c r="PLJ91" s="80"/>
      <c r="PLK91" s="81">
        <v>0.86944444444444446</v>
      </c>
      <c r="PLL91" s="74" t="s">
        <v>27</v>
      </c>
      <c r="PLM91" s="74" t="s">
        <v>24</v>
      </c>
      <c r="PLN91" s="75" t="s">
        <v>25</v>
      </c>
      <c r="PLO91" s="76">
        <f>IFERROR(VLOOKUP(PLN91,'[1]List KPI'!$A$103:$F$118,6,0),"")</f>
        <v>1.0416666666666666E-2</v>
      </c>
      <c r="PLP91" s="76">
        <v>0.86944444444444446</v>
      </c>
      <c r="PLQ91" s="76">
        <v>0.86944444444444446</v>
      </c>
      <c r="PLR91" s="77" t="str">
        <f t="shared" ref="PLR91:PNN91" si="339">IF(PLQ91="","",IF(PLQ91&gt;PLZ91,"O","P"))</f>
        <v>O</v>
      </c>
      <c r="PLS91" s="74" t="s">
        <v>28</v>
      </c>
      <c r="PLT91" s="75" t="s">
        <v>23</v>
      </c>
      <c r="PLU91" s="78">
        <f>IFERROR(VLOOKUP(PLT91,'[1]List KPI'!$M$3:$N$8,2,0),"")</f>
        <v>2.0833333333333332E-2</v>
      </c>
      <c r="PLV91" s="76">
        <v>0.89444444444444449</v>
      </c>
      <c r="PLW91" s="77" t="str">
        <f t="shared" ref="PLW91:PNS91" si="340">IF(PLV91="","",IF(PLV91&gt;PMA91,"O","P"))</f>
        <v>O</v>
      </c>
      <c r="PLX91" s="79">
        <v>5</v>
      </c>
      <c r="PLY91" s="75">
        <v>1276006</v>
      </c>
      <c r="PLZ91" s="80"/>
      <c r="PMA91" s="81">
        <v>0.86944444444444446</v>
      </c>
      <c r="PMB91" s="74" t="s">
        <v>27</v>
      </c>
      <c r="PMC91" s="74" t="s">
        <v>24</v>
      </c>
      <c r="PMD91" s="75" t="s">
        <v>25</v>
      </c>
      <c r="PME91" s="76">
        <f>IFERROR(VLOOKUP(PMD91,'[1]List KPI'!$A$103:$F$118,6,0),"")</f>
        <v>1.0416666666666666E-2</v>
      </c>
      <c r="PMF91" s="76">
        <v>0.86944444444444446</v>
      </c>
      <c r="PMG91" s="76">
        <v>0.86944444444444446</v>
      </c>
      <c r="PMH91" s="77" t="str">
        <f t="shared" si="339"/>
        <v>O</v>
      </c>
      <c r="PMI91" s="74" t="s">
        <v>28</v>
      </c>
      <c r="PMJ91" s="75" t="s">
        <v>23</v>
      </c>
      <c r="PMK91" s="78">
        <f>IFERROR(VLOOKUP(PMJ91,'[1]List KPI'!$M$3:$N$8,2,0),"")</f>
        <v>2.0833333333333332E-2</v>
      </c>
      <c r="PML91" s="76">
        <v>0.89444444444444449</v>
      </c>
      <c r="PMM91" s="77" t="str">
        <f t="shared" si="340"/>
        <v>O</v>
      </c>
      <c r="PMN91" s="79">
        <v>5</v>
      </c>
      <c r="PMO91" s="75">
        <v>1276006</v>
      </c>
      <c r="PMP91" s="80"/>
      <c r="PMQ91" s="81">
        <v>0.86944444444444446</v>
      </c>
      <c r="PMR91" s="74" t="s">
        <v>27</v>
      </c>
      <c r="PMS91" s="74" t="s">
        <v>24</v>
      </c>
      <c r="PMT91" s="75" t="s">
        <v>25</v>
      </c>
      <c r="PMU91" s="76">
        <f>IFERROR(VLOOKUP(PMT91,'[1]List KPI'!$A$103:$F$118,6,0),"")</f>
        <v>1.0416666666666666E-2</v>
      </c>
      <c r="PMV91" s="76">
        <v>0.86944444444444446</v>
      </c>
      <c r="PMW91" s="76">
        <v>0.86944444444444446</v>
      </c>
      <c r="PMX91" s="77" t="str">
        <f t="shared" si="339"/>
        <v>O</v>
      </c>
      <c r="PMY91" s="74" t="s">
        <v>28</v>
      </c>
      <c r="PMZ91" s="75" t="s">
        <v>23</v>
      </c>
      <c r="PNA91" s="78">
        <f>IFERROR(VLOOKUP(PMZ91,'[1]List KPI'!$M$3:$N$8,2,0),"")</f>
        <v>2.0833333333333332E-2</v>
      </c>
      <c r="PNB91" s="76">
        <v>0.89444444444444449</v>
      </c>
      <c r="PNC91" s="77" t="str">
        <f t="shared" si="340"/>
        <v>O</v>
      </c>
      <c r="PND91" s="79">
        <v>5</v>
      </c>
      <c r="PNE91" s="75">
        <v>1276006</v>
      </c>
      <c r="PNF91" s="80"/>
      <c r="PNG91" s="81">
        <v>0.86944444444444446</v>
      </c>
      <c r="PNH91" s="74" t="s">
        <v>27</v>
      </c>
      <c r="PNI91" s="74" t="s">
        <v>24</v>
      </c>
      <c r="PNJ91" s="75" t="s">
        <v>25</v>
      </c>
      <c r="PNK91" s="76">
        <f>IFERROR(VLOOKUP(PNJ91,'[1]List KPI'!$A$103:$F$118,6,0),"")</f>
        <v>1.0416666666666666E-2</v>
      </c>
      <c r="PNL91" s="76">
        <v>0.86944444444444446</v>
      </c>
      <c r="PNM91" s="76">
        <v>0.86944444444444446</v>
      </c>
      <c r="PNN91" s="77" t="str">
        <f t="shared" si="339"/>
        <v>O</v>
      </c>
      <c r="PNO91" s="74" t="s">
        <v>28</v>
      </c>
      <c r="PNP91" s="75" t="s">
        <v>23</v>
      </c>
      <c r="PNQ91" s="78">
        <f>IFERROR(VLOOKUP(PNP91,'[1]List KPI'!$M$3:$N$8,2,0),"")</f>
        <v>2.0833333333333332E-2</v>
      </c>
      <c r="PNR91" s="76">
        <v>0.89444444444444449</v>
      </c>
      <c r="PNS91" s="77" t="str">
        <f t="shared" si="340"/>
        <v>O</v>
      </c>
      <c r="PNT91" s="79">
        <v>5</v>
      </c>
      <c r="PNU91" s="75">
        <v>1276006</v>
      </c>
      <c r="PNV91" s="80"/>
      <c r="PNW91" s="81">
        <v>0.86944444444444446</v>
      </c>
      <c r="PNX91" s="74" t="s">
        <v>27</v>
      </c>
      <c r="PNY91" s="74" t="s">
        <v>24</v>
      </c>
      <c r="PNZ91" s="75" t="s">
        <v>25</v>
      </c>
      <c r="POA91" s="76">
        <f>IFERROR(VLOOKUP(PNZ91,'[1]List KPI'!$A$103:$F$118,6,0),"")</f>
        <v>1.0416666666666666E-2</v>
      </c>
      <c r="POB91" s="76">
        <v>0.86944444444444446</v>
      </c>
      <c r="POC91" s="76">
        <v>0.86944444444444446</v>
      </c>
      <c r="POD91" s="77" t="str">
        <f t="shared" ref="POD91:PPZ91" si="341">IF(POC91="","",IF(POC91&gt;POL91,"O","P"))</f>
        <v>O</v>
      </c>
      <c r="POE91" s="74" t="s">
        <v>28</v>
      </c>
      <c r="POF91" s="75" t="s">
        <v>23</v>
      </c>
      <c r="POG91" s="78">
        <f>IFERROR(VLOOKUP(POF91,'[1]List KPI'!$M$3:$N$8,2,0),"")</f>
        <v>2.0833333333333332E-2</v>
      </c>
      <c r="POH91" s="76">
        <v>0.89444444444444449</v>
      </c>
      <c r="POI91" s="77" t="str">
        <f t="shared" ref="POI91:PQE91" si="342">IF(POH91="","",IF(POH91&gt;POM91,"O","P"))</f>
        <v>O</v>
      </c>
      <c r="POJ91" s="79">
        <v>5</v>
      </c>
      <c r="POK91" s="75">
        <v>1276006</v>
      </c>
      <c r="POL91" s="80"/>
      <c r="POM91" s="81">
        <v>0.86944444444444446</v>
      </c>
      <c r="PON91" s="74" t="s">
        <v>27</v>
      </c>
      <c r="POO91" s="74" t="s">
        <v>24</v>
      </c>
      <c r="POP91" s="75" t="s">
        <v>25</v>
      </c>
      <c r="POQ91" s="76">
        <f>IFERROR(VLOOKUP(POP91,'[1]List KPI'!$A$103:$F$118,6,0),"")</f>
        <v>1.0416666666666666E-2</v>
      </c>
      <c r="POR91" s="76">
        <v>0.86944444444444446</v>
      </c>
      <c r="POS91" s="76">
        <v>0.86944444444444446</v>
      </c>
      <c r="POT91" s="77" t="str">
        <f t="shared" si="341"/>
        <v>O</v>
      </c>
      <c r="POU91" s="74" t="s">
        <v>28</v>
      </c>
      <c r="POV91" s="75" t="s">
        <v>23</v>
      </c>
      <c r="POW91" s="78">
        <f>IFERROR(VLOOKUP(POV91,'[1]List KPI'!$M$3:$N$8,2,0),"")</f>
        <v>2.0833333333333332E-2</v>
      </c>
      <c r="POX91" s="76">
        <v>0.89444444444444449</v>
      </c>
      <c r="POY91" s="77" t="str">
        <f t="shared" si="342"/>
        <v>O</v>
      </c>
      <c r="POZ91" s="79">
        <v>5</v>
      </c>
      <c r="PPA91" s="75">
        <v>1276006</v>
      </c>
      <c r="PPB91" s="80"/>
      <c r="PPC91" s="81">
        <v>0.86944444444444446</v>
      </c>
      <c r="PPD91" s="74" t="s">
        <v>27</v>
      </c>
      <c r="PPE91" s="74" t="s">
        <v>24</v>
      </c>
      <c r="PPF91" s="75" t="s">
        <v>25</v>
      </c>
      <c r="PPG91" s="76">
        <f>IFERROR(VLOOKUP(PPF91,'[1]List KPI'!$A$103:$F$118,6,0),"")</f>
        <v>1.0416666666666666E-2</v>
      </c>
      <c r="PPH91" s="76">
        <v>0.86944444444444446</v>
      </c>
      <c r="PPI91" s="76">
        <v>0.86944444444444446</v>
      </c>
      <c r="PPJ91" s="77" t="str">
        <f t="shared" si="341"/>
        <v>O</v>
      </c>
      <c r="PPK91" s="74" t="s">
        <v>28</v>
      </c>
      <c r="PPL91" s="75" t="s">
        <v>23</v>
      </c>
      <c r="PPM91" s="78">
        <f>IFERROR(VLOOKUP(PPL91,'[1]List KPI'!$M$3:$N$8,2,0),"")</f>
        <v>2.0833333333333332E-2</v>
      </c>
      <c r="PPN91" s="76">
        <v>0.89444444444444449</v>
      </c>
      <c r="PPO91" s="77" t="str">
        <f t="shared" si="342"/>
        <v>O</v>
      </c>
      <c r="PPP91" s="79">
        <v>5</v>
      </c>
      <c r="PPQ91" s="75">
        <v>1276006</v>
      </c>
      <c r="PPR91" s="80"/>
      <c r="PPS91" s="81">
        <v>0.86944444444444446</v>
      </c>
      <c r="PPT91" s="74" t="s">
        <v>27</v>
      </c>
      <c r="PPU91" s="74" t="s">
        <v>24</v>
      </c>
      <c r="PPV91" s="75" t="s">
        <v>25</v>
      </c>
      <c r="PPW91" s="76">
        <f>IFERROR(VLOOKUP(PPV91,'[1]List KPI'!$A$103:$F$118,6,0),"")</f>
        <v>1.0416666666666666E-2</v>
      </c>
      <c r="PPX91" s="76">
        <v>0.86944444444444446</v>
      </c>
      <c r="PPY91" s="76">
        <v>0.86944444444444446</v>
      </c>
      <c r="PPZ91" s="77" t="str">
        <f t="shared" si="341"/>
        <v>O</v>
      </c>
      <c r="PQA91" s="74" t="s">
        <v>28</v>
      </c>
      <c r="PQB91" s="75" t="s">
        <v>23</v>
      </c>
      <c r="PQC91" s="78">
        <f>IFERROR(VLOOKUP(PQB91,'[1]List KPI'!$M$3:$N$8,2,0),"")</f>
        <v>2.0833333333333332E-2</v>
      </c>
      <c r="PQD91" s="76">
        <v>0.89444444444444449</v>
      </c>
      <c r="PQE91" s="77" t="str">
        <f t="shared" si="342"/>
        <v>O</v>
      </c>
      <c r="PQF91" s="79">
        <v>5</v>
      </c>
      <c r="PQG91" s="75">
        <v>1276006</v>
      </c>
      <c r="PQH91" s="80"/>
      <c r="PQI91" s="81">
        <v>0.86944444444444446</v>
      </c>
      <c r="PQJ91" s="74" t="s">
        <v>27</v>
      </c>
      <c r="PQK91" s="74" t="s">
        <v>24</v>
      </c>
      <c r="PQL91" s="75" t="s">
        <v>25</v>
      </c>
      <c r="PQM91" s="76">
        <f>IFERROR(VLOOKUP(PQL91,'[1]List KPI'!$A$103:$F$118,6,0),"")</f>
        <v>1.0416666666666666E-2</v>
      </c>
      <c r="PQN91" s="76">
        <v>0.86944444444444446</v>
      </c>
      <c r="PQO91" s="76">
        <v>0.86944444444444446</v>
      </c>
      <c r="PQP91" s="77" t="str">
        <f t="shared" ref="PQP91:PSL91" si="343">IF(PQO91="","",IF(PQO91&gt;PQX91,"O","P"))</f>
        <v>O</v>
      </c>
      <c r="PQQ91" s="74" t="s">
        <v>28</v>
      </c>
      <c r="PQR91" s="75" t="s">
        <v>23</v>
      </c>
      <c r="PQS91" s="78">
        <f>IFERROR(VLOOKUP(PQR91,'[1]List KPI'!$M$3:$N$8,2,0),"")</f>
        <v>2.0833333333333332E-2</v>
      </c>
      <c r="PQT91" s="76">
        <v>0.89444444444444449</v>
      </c>
      <c r="PQU91" s="77" t="str">
        <f t="shared" ref="PQU91:PSQ91" si="344">IF(PQT91="","",IF(PQT91&gt;PQY91,"O","P"))</f>
        <v>O</v>
      </c>
      <c r="PQV91" s="79">
        <v>5</v>
      </c>
      <c r="PQW91" s="75">
        <v>1276006</v>
      </c>
      <c r="PQX91" s="80"/>
      <c r="PQY91" s="81">
        <v>0.86944444444444446</v>
      </c>
      <c r="PQZ91" s="74" t="s">
        <v>27</v>
      </c>
      <c r="PRA91" s="74" t="s">
        <v>24</v>
      </c>
      <c r="PRB91" s="75" t="s">
        <v>25</v>
      </c>
      <c r="PRC91" s="76">
        <f>IFERROR(VLOOKUP(PRB91,'[1]List KPI'!$A$103:$F$118,6,0),"")</f>
        <v>1.0416666666666666E-2</v>
      </c>
      <c r="PRD91" s="76">
        <v>0.86944444444444446</v>
      </c>
      <c r="PRE91" s="76">
        <v>0.86944444444444446</v>
      </c>
      <c r="PRF91" s="77" t="str">
        <f t="shared" si="343"/>
        <v>O</v>
      </c>
      <c r="PRG91" s="74" t="s">
        <v>28</v>
      </c>
      <c r="PRH91" s="75" t="s">
        <v>23</v>
      </c>
      <c r="PRI91" s="78">
        <f>IFERROR(VLOOKUP(PRH91,'[1]List KPI'!$M$3:$N$8,2,0),"")</f>
        <v>2.0833333333333332E-2</v>
      </c>
      <c r="PRJ91" s="76">
        <v>0.89444444444444449</v>
      </c>
      <c r="PRK91" s="77" t="str">
        <f t="shared" si="344"/>
        <v>O</v>
      </c>
      <c r="PRL91" s="79">
        <v>5</v>
      </c>
      <c r="PRM91" s="75">
        <v>1276006</v>
      </c>
      <c r="PRN91" s="80"/>
      <c r="PRO91" s="81">
        <v>0.86944444444444446</v>
      </c>
      <c r="PRP91" s="74" t="s">
        <v>27</v>
      </c>
      <c r="PRQ91" s="74" t="s">
        <v>24</v>
      </c>
      <c r="PRR91" s="75" t="s">
        <v>25</v>
      </c>
      <c r="PRS91" s="76">
        <f>IFERROR(VLOOKUP(PRR91,'[1]List KPI'!$A$103:$F$118,6,0),"")</f>
        <v>1.0416666666666666E-2</v>
      </c>
      <c r="PRT91" s="76">
        <v>0.86944444444444446</v>
      </c>
      <c r="PRU91" s="76">
        <v>0.86944444444444446</v>
      </c>
      <c r="PRV91" s="77" t="str">
        <f t="shared" si="343"/>
        <v>O</v>
      </c>
      <c r="PRW91" s="74" t="s">
        <v>28</v>
      </c>
      <c r="PRX91" s="75" t="s">
        <v>23</v>
      </c>
      <c r="PRY91" s="78">
        <f>IFERROR(VLOOKUP(PRX91,'[1]List KPI'!$M$3:$N$8,2,0),"")</f>
        <v>2.0833333333333332E-2</v>
      </c>
      <c r="PRZ91" s="76">
        <v>0.89444444444444449</v>
      </c>
      <c r="PSA91" s="77" t="str">
        <f t="shared" si="344"/>
        <v>O</v>
      </c>
      <c r="PSB91" s="79">
        <v>5</v>
      </c>
      <c r="PSC91" s="75">
        <v>1276006</v>
      </c>
      <c r="PSD91" s="80"/>
      <c r="PSE91" s="81">
        <v>0.86944444444444446</v>
      </c>
      <c r="PSF91" s="74" t="s">
        <v>27</v>
      </c>
      <c r="PSG91" s="74" t="s">
        <v>24</v>
      </c>
      <c r="PSH91" s="75" t="s">
        <v>25</v>
      </c>
      <c r="PSI91" s="76">
        <f>IFERROR(VLOOKUP(PSH91,'[1]List KPI'!$A$103:$F$118,6,0),"")</f>
        <v>1.0416666666666666E-2</v>
      </c>
      <c r="PSJ91" s="76">
        <v>0.86944444444444446</v>
      </c>
      <c r="PSK91" s="76">
        <v>0.86944444444444446</v>
      </c>
      <c r="PSL91" s="77" t="str">
        <f t="shared" si="343"/>
        <v>O</v>
      </c>
      <c r="PSM91" s="74" t="s">
        <v>28</v>
      </c>
      <c r="PSN91" s="75" t="s">
        <v>23</v>
      </c>
      <c r="PSO91" s="78">
        <f>IFERROR(VLOOKUP(PSN91,'[1]List KPI'!$M$3:$N$8,2,0),"")</f>
        <v>2.0833333333333332E-2</v>
      </c>
      <c r="PSP91" s="76">
        <v>0.89444444444444449</v>
      </c>
      <c r="PSQ91" s="77" t="str">
        <f t="shared" si="344"/>
        <v>O</v>
      </c>
      <c r="PSR91" s="79">
        <v>5</v>
      </c>
      <c r="PSS91" s="75">
        <v>1276006</v>
      </c>
      <c r="PST91" s="80"/>
      <c r="PSU91" s="81">
        <v>0.86944444444444446</v>
      </c>
      <c r="PSV91" s="74" t="s">
        <v>27</v>
      </c>
      <c r="PSW91" s="74" t="s">
        <v>24</v>
      </c>
      <c r="PSX91" s="75" t="s">
        <v>25</v>
      </c>
      <c r="PSY91" s="76">
        <f>IFERROR(VLOOKUP(PSX91,'[1]List KPI'!$A$103:$F$118,6,0),"")</f>
        <v>1.0416666666666666E-2</v>
      </c>
      <c r="PSZ91" s="76">
        <v>0.86944444444444446</v>
      </c>
      <c r="PTA91" s="76">
        <v>0.86944444444444446</v>
      </c>
      <c r="PTB91" s="77" t="str">
        <f t="shared" ref="PTB91:PUX91" si="345">IF(PTA91="","",IF(PTA91&gt;PTJ91,"O","P"))</f>
        <v>O</v>
      </c>
      <c r="PTC91" s="74" t="s">
        <v>28</v>
      </c>
      <c r="PTD91" s="75" t="s">
        <v>23</v>
      </c>
      <c r="PTE91" s="78">
        <f>IFERROR(VLOOKUP(PTD91,'[1]List KPI'!$M$3:$N$8,2,0),"")</f>
        <v>2.0833333333333332E-2</v>
      </c>
      <c r="PTF91" s="76">
        <v>0.89444444444444449</v>
      </c>
      <c r="PTG91" s="77" t="str">
        <f t="shared" ref="PTG91:PVC91" si="346">IF(PTF91="","",IF(PTF91&gt;PTK91,"O","P"))</f>
        <v>O</v>
      </c>
      <c r="PTH91" s="79">
        <v>5</v>
      </c>
      <c r="PTI91" s="75">
        <v>1276006</v>
      </c>
      <c r="PTJ91" s="80"/>
      <c r="PTK91" s="81">
        <v>0.86944444444444446</v>
      </c>
      <c r="PTL91" s="74" t="s">
        <v>27</v>
      </c>
      <c r="PTM91" s="74" t="s">
        <v>24</v>
      </c>
      <c r="PTN91" s="75" t="s">
        <v>25</v>
      </c>
      <c r="PTO91" s="76">
        <f>IFERROR(VLOOKUP(PTN91,'[1]List KPI'!$A$103:$F$118,6,0),"")</f>
        <v>1.0416666666666666E-2</v>
      </c>
      <c r="PTP91" s="76">
        <v>0.86944444444444446</v>
      </c>
      <c r="PTQ91" s="76">
        <v>0.86944444444444446</v>
      </c>
      <c r="PTR91" s="77" t="str">
        <f t="shared" si="345"/>
        <v>O</v>
      </c>
      <c r="PTS91" s="74" t="s">
        <v>28</v>
      </c>
      <c r="PTT91" s="75" t="s">
        <v>23</v>
      </c>
      <c r="PTU91" s="78">
        <f>IFERROR(VLOOKUP(PTT91,'[1]List KPI'!$M$3:$N$8,2,0),"")</f>
        <v>2.0833333333333332E-2</v>
      </c>
      <c r="PTV91" s="76">
        <v>0.89444444444444449</v>
      </c>
      <c r="PTW91" s="77" t="str">
        <f t="shared" si="346"/>
        <v>O</v>
      </c>
      <c r="PTX91" s="79">
        <v>5</v>
      </c>
      <c r="PTY91" s="75">
        <v>1276006</v>
      </c>
      <c r="PTZ91" s="80"/>
      <c r="PUA91" s="81">
        <v>0.86944444444444446</v>
      </c>
      <c r="PUB91" s="74" t="s">
        <v>27</v>
      </c>
      <c r="PUC91" s="74" t="s">
        <v>24</v>
      </c>
      <c r="PUD91" s="75" t="s">
        <v>25</v>
      </c>
      <c r="PUE91" s="76">
        <f>IFERROR(VLOOKUP(PUD91,'[1]List KPI'!$A$103:$F$118,6,0),"")</f>
        <v>1.0416666666666666E-2</v>
      </c>
      <c r="PUF91" s="76">
        <v>0.86944444444444446</v>
      </c>
      <c r="PUG91" s="76">
        <v>0.86944444444444446</v>
      </c>
      <c r="PUH91" s="77" t="str">
        <f t="shared" si="345"/>
        <v>O</v>
      </c>
      <c r="PUI91" s="74" t="s">
        <v>28</v>
      </c>
      <c r="PUJ91" s="75" t="s">
        <v>23</v>
      </c>
      <c r="PUK91" s="78">
        <f>IFERROR(VLOOKUP(PUJ91,'[1]List KPI'!$M$3:$N$8,2,0),"")</f>
        <v>2.0833333333333332E-2</v>
      </c>
      <c r="PUL91" s="76">
        <v>0.89444444444444449</v>
      </c>
      <c r="PUM91" s="77" t="str">
        <f t="shared" si="346"/>
        <v>O</v>
      </c>
      <c r="PUN91" s="79">
        <v>5</v>
      </c>
      <c r="PUO91" s="75">
        <v>1276006</v>
      </c>
      <c r="PUP91" s="80"/>
      <c r="PUQ91" s="81">
        <v>0.86944444444444446</v>
      </c>
      <c r="PUR91" s="74" t="s">
        <v>27</v>
      </c>
      <c r="PUS91" s="74" t="s">
        <v>24</v>
      </c>
      <c r="PUT91" s="75" t="s">
        <v>25</v>
      </c>
      <c r="PUU91" s="76">
        <f>IFERROR(VLOOKUP(PUT91,'[1]List KPI'!$A$103:$F$118,6,0),"")</f>
        <v>1.0416666666666666E-2</v>
      </c>
      <c r="PUV91" s="76">
        <v>0.86944444444444446</v>
      </c>
      <c r="PUW91" s="76">
        <v>0.86944444444444446</v>
      </c>
      <c r="PUX91" s="77" t="str">
        <f t="shared" si="345"/>
        <v>O</v>
      </c>
      <c r="PUY91" s="74" t="s">
        <v>28</v>
      </c>
      <c r="PUZ91" s="75" t="s">
        <v>23</v>
      </c>
      <c r="PVA91" s="78">
        <f>IFERROR(VLOOKUP(PUZ91,'[1]List KPI'!$M$3:$N$8,2,0),"")</f>
        <v>2.0833333333333332E-2</v>
      </c>
      <c r="PVB91" s="76">
        <v>0.89444444444444449</v>
      </c>
      <c r="PVC91" s="77" t="str">
        <f t="shared" si="346"/>
        <v>O</v>
      </c>
      <c r="PVD91" s="79">
        <v>5</v>
      </c>
      <c r="PVE91" s="75">
        <v>1276006</v>
      </c>
      <c r="PVF91" s="80"/>
      <c r="PVG91" s="81">
        <v>0.86944444444444446</v>
      </c>
      <c r="PVH91" s="74" t="s">
        <v>27</v>
      </c>
      <c r="PVI91" s="74" t="s">
        <v>24</v>
      </c>
      <c r="PVJ91" s="75" t="s">
        <v>25</v>
      </c>
      <c r="PVK91" s="76">
        <f>IFERROR(VLOOKUP(PVJ91,'[1]List KPI'!$A$103:$F$118,6,0),"")</f>
        <v>1.0416666666666666E-2</v>
      </c>
      <c r="PVL91" s="76">
        <v>0.86944444444444446</v>
      </c>
      <c r="PVM91" s="76">
        <v>0.86944444444444446</v>
      </c>
      <c r="PVN91" s="77" t="str">
        <f t="shared" ref="PVN91:PXJ91" si="347">IF(PVM91="","",IF(PVM91&gt;PVV91,"O","P"))</f>
        <v>O</v>
      </c>
      <c r="PVO91" s="74" t="s">
        <v>28</v>
      </c>
      <c r="PVP91" s="75" t="s">
        <v>23</v>
      </c>
      <c r="PVQ91" s="78">
        <f>IFERROR(VLOOKUP(PVP91,'[1]List KPI'!$M$3:$N$8,2,0),"")</f>
        <v>2.0833333333333332E-2</v>
      </c>
      <c r="PVR91" s="76">
        <v>0.89444444444444449</v>
      </c>
      <c r="PVS91" s="77" t="str">
        <f t="shared" ref="PVS91:PXO91" si="348">IF(PVR91="","",IF(PVR91&gt;PVW91,"O","P"))</f>
        <v>O</v>
      </c>
      <c r="PVT91" s="79">
        <v>5</v>
      </c>
      <c r="PVU91" s="75">
        <v>1276006</v>
      </c>
      <c r="PVV91" s="80"/>
      <c r="PVW91" s="81">
        <v>0.86944444444444446</v>
      </c>
      <c r="PVX91" s="74" t="s">
        <v>27</v>
      </c>
      <c r="PVY91" s="74" t="s">
        <v>24</v>
      </c>
      <c r="PVZ91" s="75" t="s">
        <v>25</v>
      </c>
      <c r="PWA91" s="76">
        <f>IFERROR(VLOOKUP(PVZ91,'[1]List KPI'!$A$103:$F$118,6,0),"")</f>
        <v>1.0416666666666666E-2</v>
      </c>
      <c r="PWB91" s="76">
        <v>0.86944444444444446</v>
      </c>
      <c r="PWC91" s="76">
        <v>0.86944444444444446</v>
      </c>
      <c r="PWD91" s="77" t="str">
        <f t="shared" si="347"/>
        <v>O</v>
      </c>
      <c r="PWE91" s="74" t="s">
        <v>28</v>
      </c>
      <c r="PWF91" s="75" t="s">
        <v>23</v>
      </c>
      <c r="PWG91" s="78">
        <f>IFERROR(VLOOKUP(PWF91,'[1]List KPI'!$M$3:$N$8,2,0),"")</f>
        <v>2.0833333333333332E-2</v>
      </c>
      <c r="PWH91" s="76">
        <v>0.89444444444444449</v>
      </c>
      <c r="PWI91" s="77" t="str">
        <f t="shared" si="348"/>
        <v>O</v>
      </c>
      <c r="PWJ91" s="79">
        <v>5</v>
      </c>
      <c r="PWK91" s="75">
        <v>1276006</v>
      </c>
      <c r="PWL91" s="80"/>
      <c r="PWM91" s="81">
        <v>0.86944444444444446</v>
      </c>
      <c r="PWN91" s="74" t="s">
        <v>27</v>
      </c>
      <c r="PWO91" s="74" t="s">
        <v>24</v>
      </c>
      <c r="PWP91" s="75" t="s">
        <v>25</v>
      </c>
      <c r="PWQ91" s="76">
        <f>IFERROR(VLOOKUP(PWP91,'[1]List KPI'!$A$103:$F$118,6,0),"")</f>
        <v>1.0416666666666666E-2</v>
      </c>
      <c r="PWR91" s="76">
        <v>0.86944444444444446</v>
      </c>
      <c r="PWS91" s="76">
        <v>0.86944444444444446</v>
      </c>
      <c r="PWT91" s="77" t="str">
        <f t="shared" si="347"/>
        <v>O</v>
      </c>
      <c r="PWU91" s="74" t="s">
        <v>28</v>
      </c>
      <c r="PWV91" s="75" t="s">
        <v>23</v>
      </c>
      <c r="PWW91" s="78">
        <f>IFERROR(VLOOKUP(PWV91,'[1]List KPI'!$M$3:$N$8,2,0),"")</f>
        <v>2.0833333333333332E-2</v>
      </c>
      <c r="PWX91" s="76">
        <v>0.89444444444444449</v>
      </c>
      <c r="PWY91" s="77" t="str">
        <f t="shared" si="348"/>
        <v>O</v>
      </c>
      <c r="PWZ91" s="79">
        <v>5</v>
      </c>
      <c r="PXA91" s="75">
        <v>1276006</v>
      </c>
      <c r="PXB91" s="80"/>
      <c r="PXC91" s="81">
        <v>0.86944444444444446</v>
      </c>
      <c r="PXD91" s="74" t="s">
        <v>27</v>
      </c>
      <c r="PXE91" s="74" t="s">
        <v>24</v>
      </c>
      <c r="PXF91" s="75" t="s">
        <v>25</v>
      </c>
      <c r="PXG91" s="76">
        <f>IFERROR(VLOOKUP(PXF91,'[1]List KPI'!$A$103:$F$118,6,0),"")</f>
        <v>1.0416666666666666E-2</v>
      </c>
      <c r="PXH91" s="76">
        <v>0.86944444444444446</v>
      </c>
      <c r="PXI91" s="76">
        <v>0.86944444444444446</v>
      </c>
      <c r="PXJ91" s="77" t="str">
        <f t="shared" si="347"/>
        <v>O</v>
      </c>
      <c r="PXK91" s="74" t="s">
        <v>28</v>
      </c>
      <c r="PXL91" s="75" t="s">
        <v>23</v>
      </c>
      <c r="PXM91" s="78">
        <f>IFERROR(VLOOKUP(PXL91,'[1]List KPI'!$M$3:$N$8,2,0),"")</f>
        <v>2.0833333333333332E-2</v>
      </c>
      <c r="PXN91" s="76">
        <v>0.89444444444444449</v>
      </c>
      <c r="PXO91" s="77" t="str">
        <f t="shared" si="348"/>
        <v>O</v>
      </c>
      <c r="PXP91" s="79">
        <v>5</v>
      </c>
      <c r="PXQ91" s="75">
        <v>1276006</v>
      </c>
      <c r="PXR91" s="80"/>
      <c r="PXS91" s="81">
        <v>0.86944444444444446</v>
      </c>
      <c r="PXT91" s="74" t="s">
        <v>27</v>
      </c>
      <c r="PXU91" s="74" t="s">
        <v>24</v>
      </c>
      <c r="PXV91" s="75" t="s">
        <v>25</v>
      </c>
      <c r="PXW91" s="76">
        <f>IFERROR(VLOOKUP(PXV91,'[1]List KPI'!$A$103:$F$118,6,0),"")</f>
        <v>1.0416666666666666E-2</v>
      </c>
      <c r="PXX91" s="76">
        <v>0.86944444444444446</v>
      </c>
      <c r="PXY91" s="76">
        <v>0.86944444444444446</v>
      </c>
      <c r="PXZ91" s="77" t="str">
        <f t="shared" ref="PXZ91:PZV91" si="349">IF(PXY91="","",IF(PXY91&gt;PYH91,"O","P"))</f>
        <v>O</v>
      </c>
      <c r="PYA91" s="74" t="s">
        <v>28</v>
      </c>
      <c r="PYB91" s="75" t="s">
        <v>23</v>
      </c>
      <c r="PYC91" s="78">
        <f>IFERROR(VLOOKUP(PYB91,'[1]List KPI'!$M$3:$N$8,2,0),"")</f>
        <v>2.0833333333333332E-2</v>
      </c>
      <c r="PYD91" s="76">
        <v>0.89444444444444449</v>
      </c>
      <c r="PYE91" s="77" t="str">
        <f t="shared" ref="PYE91:QAA91" si="350">IF(PYD91="","",IF(PYD91&gt;PYI91,"O","P"))</f>
        <v>O</v>
      </c>
      <c r="PYF91" s="79">
        <v>5</v>
      </c>
      <c r="PYG91" s="75">
        <v>1276006</v>
      </c>
      <c r="PYH91" s="80"/>
      <c r="PYI91" s="81">
        <v>0.86944444444444446</v>
      </c>
      <c r="PYJ91" s="74" t="s">
        <v>27</v>
      </c>
      <c r="PYK91" s="74" t="s">
        <v>24</v>
      </c>
      <c r="PYL91" s="75" t="s">
        <v>25</v>
      </c>
      <c r="PYM91" s="76">
        <f>IFERROR(VLOOKUP(PYL91,'[1]List KPI'!$A$103:$F$118,6,0),"")</f>
        <v>1.0416666666666666E-2</v>
      </c>
      <c r="PYN91" s="76">
        <v>0.86944444444444446</v>
      </c>
      <c r="PYO91" s="76">
        <v>0.86944444444444446</v>
      </c>
      <c r="PYP91" s="77" t="str">
        <f t="shared" si="349"/>
        <v>O</v>
      </c>
      <c r="PYQ91" s="74" t="s">
        <v>28</v>
      </c>
      <c r="PYR91" s="75" t="s">
        <v>23</v>
      </c>
      <c r="PYS91" s="78">
        <f>IFERROR(VLOOKUP(PYR91,'[1]List KPI'!$M$3:$N$8,2,0),"")</f>
        <v>2.0833333333333332E-2</v>
      </c>
      <c r="PYT91" s="76">
        <v>0.89444444444444449</v>
      </c>
      <c r="PYU91" s="77" t="str">
        <f t="shared" si="350"/>
        <v>O</v>
      </c>
      <c r="PYV91" s="79">
        <v>5</v>
      </c>
      <c r="PYW91" s="75">
        <v>1276006</v>
      </c>
      <c r="PYX91" s="80"/>
      <c r="PYY91" s="81">
        <v>0.86944444444444446</v>
      </c>
      <c r="PYZ91" s="74" t="s">
        <v>27</v>
      </c>
      <c r="PZA91" s="74" t="s">
        <v>24</v>
      </c>
      <c r="PZB91" s="75" t="s">
        <v>25</v>
      </c>
      <c r="PZC91" s="76">
        <f>IFERROR(VLOOKUP(PZB91,'[1]List KPI'!$A$103:$F$118,6,0),"")</f>
        <v>1.0416666666666666E-2</v>
      </c>
      <c r="PZD91" s="76">
        <v>0.86944444444444446</v>
      </c>
      <c r="PZE91" s="76">
        <v>0.86944444444444446</v>
      </c>
      <c r="PZF91" s="77" t="str">
        <f t="shared" si="349"/>
        <v>O</v>
      </c>
      <c r="PZG91" s="74" t="s">
        <v>28</v>
      </c>
      <c r="PZH91" s="75" t="s">
        <v>23</v>
      </c>
      <c r="PZI91" s="78">
        <f>IFERROR(VLOOKUP(PZH91,'[1]List KPI'!$M$3:$N$8,2,0),"")</f>
        <v>2.0833333333333332E-2</v>
      </c>
      <c r="PZJ91" s="76">
        <v>0.89444444444444449</v>
      </c>
      <c r="PZK91" s="77" t="str">
        <f t="shared" si="350"/>
        <v>O</v>
      </c>
      <c r="PZL91" s="79">
        <v>5</v>
      </c>
      <c r="PZM91" s="75">
        <v>1276006</v>
      </c>
      <c r="PZN91" s="80"/>
      <c r="PZO91" s="81">
        <v>0.86944444444444446</v>
      </c>
      <c r="PZP91" s="74" t="s">
        <v>27</v>
      </c>
      <c r="PZQ91" s="74" t="s">
        <v>24</v>
      </c>
      <c r="PZR91" s="75" t="s">
        <v>25</v>
      </c>
      <c r="PZS91" s="76">
        <f>IFERROR(VLOOKUP(PZR91,'[1]List KPI'!$A$103:$F$118,6,0),"")</f>
        <v>1.0416666666666666E-2</v>
      </c>
      <c r="PZT91" s="76">
        <v>0.86944444444444446</v>
      </c>
      <c r="PZU91" s="76">
        <v>0.86944444444444446</v>
      </c>
      <c r="PZV91" s="77" t="str">
        <f t="shared" si="349"/>
        <v>O</v>
      </c>
      <c r="PZW91" s="74" t="s">
        <v>28</v>
      </c>
      <c r="PZX91" s="75" t="s">
        <v>23</v>
      </c>
      <c r="PZY91" s="78">
        <f>IFERROR(VLOOKUP(PZX91,'[1]List KPI'!$M$3:$N$8,2,0),"")</f>
        <v>2.0833333333333332E-2</v>
      </c>
      <c r="PZZ91" s="76">
        <v>0.89444444444444449</v>
      </c>
      <c r="QAA91" s="77" t="str">
        <f t="shared" si="350"/>
        <v>O</v>
      </c>
      <c r="QAB91" s="79">
        <v>5</v>
      </c>
      <c r="QAC91" s="75">
        <v>1276006</v>
      </c>
      <c r="QAD91" s="80"/>
      <c r="QAE91" s="81">
        <v>0.86944444444444446</v>
      </c>
      <c r="QAF91" s="74" t="s">
        <v>27</v>
      </c>
      <c r="QAG91" s="74" t="s">
        <v>24</v>
      </c>
      <c r="QAH91" s="75" t="s">
        <v>25</v>
      </c>
      <c r="QAI91" s="76">
        <f>IFERROR(VLOOKUP(QAH91,'[1]List KPI'!$A$103:$F$118,6,0),"")</f>
        <v>1.0416666666666666E-2</v>
      </c>
      <c r="QAJ91" s="76">
        <v>0.86944444444444446</v>
      </c>
      <c r="QAK91" s="76">
        <v>0.86944444444444446</v>
      </c>
      <c r="QAL91" s="77" t="str">
        <f t="shared" ref="QAL91:QCH91" si="351">IF(QAK91="","",IF(QAK91&gt;QAT91,"O","P"))</f>
        <v>O</v>
      </c>
      <c r="QAM91" s="74" t="s">
        <v>28</v>
      </c>
      <c r="QAN91" s="75" t="s">
        <v>23</v>
      </c>
      <c r="QAO91" s="78">
        <f>IFERROR(VLOOKUP(QAN91,'[1]List KPI'!$M$3:$N$8,2,0),"")</f>
        <v>2.0833333333333332E-2</v>
      </c>
      <c r="QAP91" s="76">
        <v>0.89444444444444449</v>
      </c>
      <c r="QAQ91" s="77" t="str">
        <f t="shared" ref="QAQ91:QCM91" si="352">IF(QAP91="","",IF(QAP91&gt;QAU91,"O","P"))</f>
        <v>O</v>
      </c>
      <c r="QAR91" s="79">
        <v>5</v>
      </c>
      <c r="QAS91" s="75">
        <v>1276006</v>
      </c>
      <c r="QAT91" s="80"/>
      <c r="QAU91" s="81">
        <v>0.86944444444444446</v>
      </c>
      <c r="QAV91" s="74" t="s">
        <v>27</v>
      </c>
      <c r="QAW91" s="74" t="s">
        <v>24</v>
      </c>
      <c r="QAX91" s="75" t="s">
        <v>25</v>
      </c>
      <c r="QAY91" s="76">
        <f>IFERROR(VLOOKUP(QAX91,'[1]List KPI'!$A$103:$F$118,6,0),"")</f>
        <v>1.0416666666666666E-2</v>
      </c>
      <c r="QAZ91" s="76">
        <v>0.86944444444444446</v>
      </c>
      <c r="QBA91" s="76">
        <v>0.86944444444444446</v>
      </c>
      <c r="QBB91" s="77" t="str">
        <f t="shared" si="351"/>
        <v>O</v>
      </c>
      <c r="QBC91" s="74" t="s">
        <v>28</v>
      </c>
      <c r="QBD91" s="75" t="s">
        <v>23</v>
      </c>
      <c r="QBE91" s="78">
        <f>IFERROR(VLOOKUP(QBD91,'[1]List KPI'!$M$3:$N$8,2,0),"")</f>
        <v>2.0833333333333332E-2</v>
      </c>
      <c r="QBF91" s="76">
        <v>0.89444444444444449</v>
      </c>
      <c r="QBG91" s="77" t="str">
        <f t="shared" si="352"/>
        <v>O</v>
      </c>
      <c r="QBH91" s="79">
        <v>5</v>
      </c>
      <c r="QBI91" s="75">
        <v>1276006</v>
      </c>
      <c r="QBJ91" s="80"/>
      <c r="QBK91" s="81">
        <v>0.86944444444444446</v>
      </c>
      <c r="QBL91" s="74" t="s">
        <v>27</v>
      </c>
      <c r="QBM91" s="74" t="s">
        <v>24</v>
      </c>
      <c r="QBN91" s="75" t="s">
        <v>25</v>
      </c>
      <c r="QBO91" s="76">
        <f>IFERROR(VLOOKUP(QBN91,'[1]List KPI'!$A$103:$F$118,6,0),"")</f>
        <v>1.0416666666666666E-2</v>
      </c>
      <c r="QBP91" s="76">
        <v>0.86944444444444446</v>
      </c>
      <c r="QBQ91" s="76">
        <v>0.86944444444444446</v>
      </c>
      <c r="QBR91" s="77" t="str">
        <f t="shared" si="351"/>
        <v>O</v>
      </c>
      <c r="QBS91" s="74" t="s">
        <v>28</v>
      </c>
      <c r="QBT91" s="75" t="s">
        <v>23</v>
      </c>
      <c r="QBU91" s="78">
        <f>IFERROR(VLOOKUP(QBT91,'[1]List KPI'!$M$3:$N$8,2,0),"")</f>
        <v>2.0833333333333332E-2</v>
      </c>
      <c r="QBV91" s="76">
        <v>0.89444444444444449</v>
      </c>
      <c r="QBW91" s="77" t="str">
        <f t="shared" si="352"/>
        <v>O</v>
      </c>
      <c r="QBX91" s="79">
        <v>5</v>
      </c>
      <c r="QBY91" s="75">
        <v>1276006</v>
      </c>
      <c r="QBZ91" s="80"/>
      <c r="QCA91" s="81">
        <v>0.86944444444444446</v>
      </c>
      <c r="QCB91" s="74" t="s">
        <v>27</v>
      </c>
      <c r="QCC91" s="74" t="s">
        <v>24</v>
      </c>
      <c r="QCD91" s="75" t="s">
        <v>25</v>
      </c>
      <c r="QCE91" s="76">
        <f>IFERROR(VLOOKUP(QCD91,'[1]List KPI'!$A$103:$F$118,6,0),"")</f>
        <v>1.0416666666666666E-2</v>
      </c>
      <c r="QCF91" s="76">
        <v>0.86944444444444446</v>
      </c>
      <c r="QCG91" s="76">
        <v>0.86944444444444446</v>
      </c>
      <c r="QCH91" s="77" t="str">
        <f t="shared" si="351"/>
        <v>O</v>
      </c>
      <c r="QCI91" s="74" t="s">
        <v>28</v>
      </c>
      <c r="QCJ91" s="75" t="s">
        <v>23</v>
      </c>
      <c r="QCK91" s="78">
        <f>IFERROR(VLOOKUP(QCJ91,'[1]List KPI'!$M$3:$N$8,2,0),"")</f>
        <v>2.0833333333333332E-2</v>
      </c>
      <c r="QCL91" s="76">
        <v>0.89444444444444449</v>
      </c>
      <c r="QCM91" s="77" t="str">
        <f t="shared" si="352"/>
        <v>O</v>
      </c>
      <c r="QCN91" s="79">
        <v>5</v>
      </c>
      <c r="QCO91" s="75">
        <v>1276006</v>
      </c>
      <c r="QCP91" s="80"/>
      <c r="QCQ91" s="81">
        <v>0.86944444444444446</v>
      </c>
      <c r="QCR91" s="74" t="s">
        <v>27</v>
      </c>
      <c r="QCS91" s="74" t="s">
        <v>24</v>
      </c>
      <c r="QCT91" s="75" t="s">
        <v>25</v>
      </c>
      <c r="QCU91" s="76">
        <f>IFERROR(VLOOKUP(QCT91,'[1]List KPI'!$A$103:$F$118,6,0),"")</f>
        <v>1.0416666666666666E-2</v>
      </c>
      <c r="QCV91" s="76">
        <v>0.86944444444444446</v>
      </c>
      <c r="QCW91" s="76">
        <v>0.86944444444444446</v>
      </c>
      <c r="QCX91" s="77" t="str">
        <f t="shared" ref="QCX91:QET91" si="353">IF(QCW91="","",IF(QCW91&gt;QDF91,"O","P"))</f>
        <v>O</v>
      </c>
      <c r="QCY91" s="74" t="s">
        <v>28</v>
      </c>
      <c r="QCZ91" s="75" t="s">
        <v>23</v>
      </c>
      <c r="QDA91" s="78">
        <f>IFERROR(VLOOKUP(QCZ91,'[1]List KPI'!$M$3:$N$8,2,0),"")</f>
        <v>2.0833333333333332E-2</v>
      </c>
      <c r="QDB91" s="76">
        <v>0.89444444444444449</v>
      </c>
      <c r="QDC91" s="77" t="str">
        <f t="shared" ref="QDC91:QEY91" si="354">IF(QDB91="","",IF(QDB91&gt;QDG91,"O","P"))</f>
        <v>O</v>
      </c>
      <c r="QDD91" s="79">
        <v>5</v>
      </c>
      <c r="QDE91" s="75">
        <v>1276006</v>
      </c>
      <c r="QDF91" s="80"/>
      <c r="QDG91" s="81">
        <v>0.86944444444444446</v>
      </c>
      <c r="QDH91" s="74" t="s">
        <v>27</v>
      </c>
      <c r="QDI91" s="74" t="s">
        <v>24</v>
      </c>
      <c r="QDJ91" s="75" t="s">
        <v>25</v>
      </c>
      <c r="QDK91" s="76">
        <f>IFERROR(VLOOKUP(QDJ91,'[1]List KPI'!$A$103:$F$118,6,0),"")</f>
        <v>1.0416666666666666E-2</v>
      </c>
      <c r="QDL91" s="76">
        <v>0.86944444444444446</v>
      </c>
      <c r="QDM91" s="76">
        <v>0.86944444444444446</v>
      </c>
      <c r="QDN91" s="77" t="str">
        <f t="shared" si="353"/>
        <v>O</v>
      </c>
      <c r="QDO91" s="74" t="s">
        <v>28</v>
      </c>
      <c r="QDP91" s="75" t="s">
        <v>23</v>
      </c>
      <c r="QDQ91" s="78">
        <f>IFERROR(VLOOKUP(QDP91,'[1]List KPI'!$M$3:$N$8,2,0),"")</f>
        <v>2.0833333333333332E-2</v>
      </c>
      <c r="QDR91" s="76">
        <v>0.89444444444444449</v>
      </c>
      <c r="QDS91" s="77" t="str">
        <f t="shared" si="354"/>
        <v>O</v>
      </c>
      <c r="QDT91" s="79">
        <v>5</v>
      </c>
      <c r="QDU91" s="75">
        <v>1276006</v>
      </c>
      <c r="QDV91" s="80"/>
      <c r="QDW91" s="81">
        <v>0.86944444444444446</v>
      </c>
      <c r="QDX91" s="74" t="s">
        <v>27</v>
      </c>
      <c r="QDY91" s="74" t="s">
        <v>24</v>
      </c>
      <c r="QDZ91" s="75" t="s">
        <v>25</v>
      </c>
      <c r="QEA91" s="76">
        <f>IFERROR(VLOOKUP(QDZ91,'[1]List KPI'!$A$103:$F$118,6,0),"")</f>
        <v>1.0416666666666666E-2</v>
      </c>
      <c r="QEB91" s="76">
        <v>0.86944444444444446</v>
      </c>
      <c r="QEC91" s="76">
        <v>0.86944444444444446</v>
      </c>
      <c r="QED91" s="77" t="str">
        <f t="shared" si="353"/>
        <v>O</v>
      </c>
      <c r="QEE91" s="74" t="s">
        <v>28</v>
      </c>
      <c r="QEF91" s="75" t="s">
        <v>23</v>
      </c>
      <c r="QEG91" s="78">
        <f>IFERROR(VLOOKUP(QEF91,'[1]List KPI'!$M$3:$N$8,2,0),"")</f>
        <v>2.0833333333333332E-2</v>
      </c>
      <c r="QEH91" s="76">
        <v>0.89444444444444449</v>
      </c>
      <c r="QEI91" s="77" t="str">
        <f t="shared" si="354"/>
        <v>O</v>
      </c>
      <c r="QEJ91" s="79">
        <v>5</v>
      </c>
      <c r="QEK91" s="75">
        <v>1276006</v>
      </c>
      <c r="QEL91" s="80"/>
      <c r="QEM91" s="81">
        <v>0.86944444444444446</v>
      </c>
      <c r="QEN91" s="74" t="s">
        <v>27</v>
      </c>
      <c r="QEO91" s="74" t="s">
        <v>24</v>
      </c>
      <c r="QEP91" s="75" t="s">
        <v>25</v>
      </c>
      <c r="QEQ91" s="76">
        <f>IFERROR(VLOOKUP(QEP91,'[1]List KPI'!$A$103:$F$118,6,0),"")</f>
        <v>1.0416666666666666E-2</v>
      </c>
      <c r="QER91" s="76">
        <v>0.86944444444444446</v>
      </c>
      <c r="QES91" s="76">
        <v>0.86944444444444446</v>
      </c>
      <c r="QET91" s="77" t="str">
        <f t="shared" si="353"/>
        <v>O</v>
      </c>
      <c r="QEU91" s="74" t="s">
        <v>28</v>
      </c>
      <c r="QEV91" s="75" t="s">
        <v>23</v>
      </c>
      <c r="QEW91" s="78">
        <f>IFERROR(VLOOKUP(QEV91,'[1]List KPI'!$M$3:$N$8,2,0),"")</f>
        <v>2.0833333333333332E-2</v>
      </c>
      <c r="QEX91" s="76">
        <v>0.89444444444444449</v>
      </c>
      <c r="QEY91" s="77" t="str">
        <f t="shared" si="354"/>
        <v>O</v>
      </c>
      <c r="QEZ91" s="79">
        <v>5</v>
      </c>
      <c r="QFA91" s="75">
        <v>1276006</v>
      </c>
      <c r="QFB91" s="80"/>
      <c r="QFC91" s="81">
        <v>0.86944444444444446</v>
      </c>
      <c r="QFD91" s="74" t="s">
        <v>27</v>
      </c>
      <c r="QFE91" s="74" t="s">
        <v>24</v>
      </c>
      <c r="QFF91" s="75" t="s">
        <v>25</v>
      </c>
      <c r="QFG91" s="76">
        <f>IFERROR(VLOOKUP(QFF91,'[1]List KPI'!$A$103:$F$118,6,0),"")</f>
        <v>1.0416666666666666E-2</v>
      </c>
      <c r="QFH91" s="76">
        <v>0.86944444444444446</v>
      </c>
      <c r="QFI91" s="76">
        <v>0.86944444444444446</v>
      </c>
      <c r="QFJ91" s="77" t="str">
        <f t="shared" ref="QFJ91:QHF91" si="355">IF(QFI91="","",IF(QFI91&gt;QFR91,"O","P"))</f>
        <v>O</v>
      </c>
      <c r="QFK91" s="74" t="s">
        <v>28</v>
      </c>
      <c r="QFL91" s="75" t="s">
        <v>23</v>
      </c>
      <c r="QFM91" s="78">
        <f>IFERROR(VLOOKUP(QFL91,'[1]List KPI'!$M$3:$N$8,2,0),"")</f>
        <v>2.0833333333333332E-2</v>
      </c>
      <c r="QFN91" s="76">
        <v>0.89444444444444449</v>
      </c>
      <c r="QFO91" s="77" t="str">
        <f t="shared" ref="QFO91:QHK91" si="356">IF(QFN91="","",IF(QFN91&gt;QFS91,"O","P"))</f>
        <v>O</v>
      </c>
      <c r="QFP91" s="79">
        <v>5</v>
      </c>
      <c r="QFQ91" s="75">
        <v>1276006</v>
      </c>
      <c r="QFR91" s="80"/>
      <c r="QFS91" s="81">
        <v>0.86944444444444446</v>
      </c>
      <c r="QFT91" s="74" t="s">
        <v>27</v>
      </c>
      <c r="QFU91" s="74" t="s">
        <v>24</v>
      </c>
      <c r="QFV91" s="75" t="s">
        <v>25</v>
      </c>
      <c r="QFW91" s="76">
        <f>IFERROR(VLOOKUP(QFV91,'[1]List KPI'!$A$103:$F$118,6,0),"")</f>
        <v>1.0416666666666666E-2</v>
      </c>
      <c r="QFX91" s="76">
        <v>0.86944444444444446</v>
      </c>
      <c r="QFY91" s="76">
        <v>0.86944444444444446</v>
      </c>
      <c r="QFZ91" s="77" t="str">
        <f t="shared" si="355"/>
        <v>O</v>
      </c>
      <c r="QGA91" s="74" t="s">
        <v>28</v>
      </c>
      <c r="QGB91" s="75" t="s">
        <v>23</v>
      </c>
      <c r="QGC91" s="78">
        <f>IFERROR(VLOOKUP(QGB91,'[1]List KPI'!$M$3:$N$8,2,0),"")</f>
        <v>2.0833333333333332E-2</v>
      </c>
      <c r="QGD91" s="76">
        <v>0.89444444444444449</v>
      </c>
      <c r="QGE91" s="77" t="str">
        <f t="shared" si="356"/>
        <v>O</v>
      </c>
      <c r="QGF91" s="79">
        <v>5</v>
      </c>
      <c r="QGG91" s="75">
        <v>1276006</v>
      </c>
      <c r="QGH91" s="80"/>
      <c r="QGI91" s="81">
        <v>0.86944444444444446</v>
      </c>
      <c r="QGJ91" s="74" t="s">
        <v>27</v>
      </c>
      <c r="QGK91" s="74" t="s">
        <v>24</v>
      </c>
      <c r="QGL91" s="75" t="s">
        <v>25</v>
      </c>
      <c r="QGM91" s="76">
        <f>IFERROR(VLOOKUP(QGL91,'[1]List KPI'!$A$103:$F$118,6,0),"")</f>
        <v>1.0416666666666666E-2</v>
      </c>
      <c r="QGN91" s="76">
        <v>0.86944444444444446</v>
      </c>
      <c r="QGO91" s="76">
        <v>0.86944444444444446</v>
      </c>
      <c r="QGP91" s="77" t="str">
        <f t="shared" si="355"/>
        <v>O</v>
      </c>
      <c r="QGQ91" s="74" t="s">
        <v>28</v>
      </c>
      <c r="QGR91" s="75" t="s">
        <v>23</v>
      </c>
      <c r="QGS91" s="78">
        <f>IFERROR(VLOOKUP(QGR91,'[1]List KPI'!$M$3:$N$8,2,0),"")</f>
        <v>2.0833333333333332E-2</v>
      </c>
      <c r="QGT91" s="76">
        <v>0.89444444444444449</v>
      </c>
      <c r="QGU91" s="77" t="str">
        <f t="shared" si="356"/>
        <v>O</v>
      </c>
      <c r="QGV91" s="79">
        <v>5</v>
      </c>
      <c r="QGW91" s="75">
        <v>1276006</v>
      </c>
      <c r="QGX91" s="80"/>
      <c r="QGY91" s="81">
        <v>0.86944444444444446</v>
      </c>
      <c r="QGZ91" s="74" t="s">
        <v>27</v>
      </c>
      <c r="QHA91" s="74" t="s">
        <v>24</v>
      </c>
      <c r="QHB91" s="75" t="s">
        <v>25</v>
      </c>
      <c r="QHC91" s="76">
        <f>IFERROR(VLOOKUP(QHB91,'[1]List KPI'!$A$103:$F$118,6,0),"")</f>
        <v>1.0416666666666666E-2</v>
      </c>
      <c r="QHD91" s="76">
        <v>0.86944444444444446</v>
      </c>
      <c r="QHE91" s="76">
        <v>0.86944444444444446</v>
      </c>
      <c r="QHF91" s="77" t="str">
        <f t="shared" si="355"/>
        <v>O</v>
      </c>
      <c r="QHG91" s="74" t="s">
        <v>28</v>
      </c>
      <c r="QHH91" s="75" t="s">
        <v>23</v>
      </c>
      <c r="QHI91" s="78">
        <f>IFERROR(VLOOKUP(QHH91,'[1]List KPI'!$M$3:$N$8,2,0),"")</f>
        <v>2.0833333333333332E-2</v>
      </c>
      <c r="QHJ91" s="76">
        <v>0.89444444444444449</v>
      </c>
      <c r="QHK91" s="77" t="str">
        <f t="shared" si="356"/>
        <v>O</v>
      </c>
      <c r="QHL91" s="79">
        <v>5</v>
      </c>
      <c r="QHM91" s="75">
        <v>1276006</v>
      </c>
      <c r="QHN91" s="80"/>
      <c r="QHO91" s="81">
        <v>0.86944444444444446</v>
      </c>
      <c r="QHP91" s="74" t="s">
        <v>27</v>
      </c>
      <c r="QHQ91" s="74" t="s">
        <v>24</v>
      </c>
      <c r="QHR91" s="75" t="s">
        <v>25</v>
      </c>
      <c r="QHS91" s="76">
        <f>IFERROR(VLOOKUP(QHR91,'[1]List KPI'!$A$103:$F$118,6,0),"")</f>
        <v>1.0416666666666666E-2</v>
      </c>
      <c r="QHT91" s="76">
        <v>0.86944444444444446</v>
      </c>
      <c r="QHU91" s="76">
        <v>0.86944444444444446</v>
      </c>
      <c r="QHV91" s="77" t="str">
        <f t="shared" ref="QHV91:QJR91" si="357">IF(QHU91="","",IF(QHU91&gt;QID91,"O","P"))</f>
        <v>O</v>
      </c>
      <c r="QHW91" s="74" t="s">
        <v>28</v>
      </c>
      <c r="QHX91" s="75" t="s">
        <v>23</v>
      </c>
      <c r="QHY91" s="78">
        <f>IFERROR(VLOOKUP(QHX91,'[1]List KPI'!$M$3:$N$8,2,0),"")</f>
        <v>2.0833333333333332E-2</v>
      </c>
      <c r="QHZ91" s="76">
        <v>0.89444444444444449</v>
      </c>
      <c r="QIA91" s="77" t="str">
        <f t="shared" ref="QIA91:QJW91" si="358">IF(QHZ91="","",IF(QHZ91&gt;QIE91,"O","P"))</f>
        <v>O</v>
      </c>
      <c r="QIB91" s="79">
        <v>5</v>
      </c>
      <c r="QIC91" s="75">
        <v>1276006</v>
      </c>
      <c r="QID91" s="80"/>
      <c r="QIE91" s="81">
        <v>0.86944444444444446</v>
      </c>
      <c r="QIF91" s="74" t="s">
        <v>27</v>
      </c>
      <c r="QIG91" s="74" t="s">
        <v>24</v>
      </c>
      <c r="QIH91" s="75" t="s">
        <v>25</v>
      </c>
      <c r="QII91" s="76">
        <f>IFERROR(VLOOKUP(QIH91,'[1]List KPI'!$A$103:$F$118,6,0),"")</f>
        <v>1.0416666666666666E-2</v>
      </c>
      <c r="QIJ91" s="76">
        <v>0.86944444444444446</v>
      </c>
      <c r="QIK91" s="76">
        <v>0.86944444444444446</v>
      </c>
      <c r="QIL91" s="77" t="str">
        <f t="shared" si="357"/>
        <v>O</v>
      </c>
      <c r="QIM91" s="74" t="s">
        <v>28</v>
      </c>
      <c r="QIN91" s="75" t="s">
        <v>23</v>
      </c>
      <c r="QIO91" s="78">
        <f>IFERROR(VLOOKUP(QIN91,'[1]List KPI'!$M$3:$N$8,2,0),"")</f>
        <v>2.0833333333333332E-2</v>
      </c>
      <c r="QIP91" s="76">
        <v>0.89444444444444449</v>
      </c>
      <c r="QIQ91" s="77" t="str">
        <f t="shared" si="358"/>
        <v>O</v>
      </c>
      <c r="QIR91" s="79">
        <v>5</v>
      </c>
      <c r="QIS91" s="75">
        <v>1276006</v>
      </c>
      <c r="QIT91" s="80"/>
      <c r="QIU91" s="81">
        <v>0.86944444444444446</v>
      </c>
      <c r="QIV91" s="74" t="s">
        <v>27</v>
      </c>
      <c r="QIW91" s="74" t="s">
        <v>24</v>
      </c>
      <c r="QIX91" s="75" t="s">
        <v>25</v>
      </c>
      <c r="QIY91" s="76">
        <f>IFERROR(VLOOKUP(QIX91,'[1]List KPI'!$A$103:$F$118,6,0),"")</f>
        <v>1.0416666666666666E-2</v>
      </c>
      <c r="QIZ91" s="76">
        <v>0.86944444444444446</v>
      </c>
      <c r="QJA91" s="76">
        <v>0.86944444444444446</v>
      </c>
      <c r="QJB91" s="77" t="str">
        <f t="shared" si="357"/>
        <v>O</v>
      </c>
      <c r="QJC91" s="74" t="s">
        <v>28</v>
      </c>
      <c r="QJD91" s="75" t="s">
        <v>23</v>
      </c>
      <c r="QJE91" s="78">
        <f>IFERROR(VLOOKUP(QJD91,'[1]List KPI'!$M$3:$N$8,2,0),"")</f>
        <v>2.0833333333333332E-2</v>
      </c>
      <c r="QJF91" s="76">
        <v>0.89444444444444449</v>
      </c>
      <c r="QJG91" s="77" t="str">
        <f t="shared" si="358"/>
        <v>O</v>
      </c>
      <c r="QJH91" s="79">
        <v>5</v>
      </c>
      <c r="QJI91" s="75">
        <v>1276006</v>
      </c>
      <c r="QJJ91" s="80"/>
      <c r="QJK91" s="81">
        <v>0.86944444444444446</v>
      </c>
      <c r="QJL91" s="74" t="s">
        <v>27</v>
      </c>
      <c r="QJM91" s="74" t="s">
        <v>24</v>
      </c>
      <c r="QJN91" s="75" t="s">
        <v>25</v>
      </c>
      <c r="QJO91" s="76">
        <f>IFERROR(VLOOKUP(QJN91,'[1]List KPI'!$A$103:$F$118,6,0),"")</f>
        <v>1.0416666666666666E-2</v>
      </c>
      <c r="QJP91" s="76">
        <v>0.86944444444444446</v>
      </c>
      <c r="QJQ91" s="76">
        <v>0.86944444444444446</v>
      </c>
      <c r="QJR91" s="77" t="str">
        <f t="shared" si="357"/>
        <v>O</v>
      </c>
      <c r="QJS91" s="74" t="s">
        <v>28</v>
      </c>
      <c r="QJT91" s="75" t="s">
        <v>23</v>
      </c>
      <c r="QJU91" s="78">
        <f>IFERROR(VLOOKUP(QJT91,'[1]List KPI'!$M$3:$N$8,2,0),"")</f>
        <v>2.0833333333333332E-2</v>
      </c>
      <c r="QJV91" s="76">
        <v>0.89444444444444449</v>
      </c>
      <c r="QJW91" s="77" t="str">
        <f t="shared" si="358"/>
        <v>O</v>
      </c>
      <c r="QJX91" s="79">
        <v>5</v>
      </c>
      <c r="QJY91" s="75">
        <v>1276006</v>
      </c>
      <c r="QJZ91" s="80"/>
      <c r="QKA91" s="81">
        <v>0.86944444444444446</v>
      </c>
      <c r="QKB91" s="74" t="s">
        <v>27</v>
      </c>
      <c r="QKC91" s="74" t="s">
        <v>24</v>
      </c>
      <c r="QKD91" s="75" t="s">
        <v>25</v>
      </c>
      <c r="QKE91" s="76">
        <f>IFERROR(VLOOKUP(QKD91,'[1]List KPI'!$A$103:$F$118,6,0),"")</f>
        <v>1.0416666666666666E-2</v>
      </c>
      <c r="QKF91" s="76">
        <v>0.86944444444444446</v>
      </c>
      <c r="QKG91" s="76">
        <v>0.86944444444444446</v>
      </c>
      <c r="QKH91" s="77" t="str">
        <f t="shared" ref="QKH91:QMD91" si="359">IF(QKG91="","",IF(QKG91&gt;QKP91,"O","P"))</f>
        <v>O</v>
      </c>
      <c r="QKI91" s="74" t="s">
        <v>28</v>
      </c>
      <c r="QKJ91" s="75" t="s">
        <v>23</v>
      </c>
      <c r="QKK91" s="78">
        <f>IFERROR(VLOOKUP(QKJ91,'[1]List KPI'!$M$3:$N$8,2,0),"")</f>
        <v>2.0833333333333332E-2</v>
      </c>
      <c r="QKL91" s="76">
        <v>0.89444444444444449</v>
      </c>
      <c r="QKM91" s="77" t="str">
        <f t="shared" ref="QKM91:QMI91" si="360">IF(QKL91="","",IF(QKL91&gt;QKQ91,"O","P"))</f>
        <v>O</v>
      </c>
      <c r="QKN91" s="79">
        <v>5</v>
      </c>
      <c r="QKO91" s="75">
        <v>1276006</v>
      </c>
      <c r="QKP91" s="80"/>
      <c r="QKQ91" s="81">
        <v>0.86944444444444446</v>
      </c>
      <c r="QKR91" s="74" t="s">
        <v>27</v>
      </c>
      <c r="QKS91" s="74" t="s">
        <v>24</v>
      </c>
      <c r="QKT91" s="75" t="s">
        <v>25</v>
      </c>
      <c r="QKU91" s="76">
        <f>IFERROR(VLOOKUP(QKT91,'[1]List KPI'!$A$103:$F$118,6,0),"")</f>
        <v>1.0416666666666666E-2</v>
      </c>
      <c r="QKV91" s="76">
        <v>0.86944444444444446</v>
      </c>
      <c r="QKW91" s="76">
        <v>0.86944444444444446</v>
      </c>
      <c r="QKX91" s="77" t="str">
        <f t="shared" si="359"/>
        <v>O</v>
      </c>
      <c r="QKY91" s="74" t="s">
        <v>28</v>
      </c>
      <c r="QKZ91" s="75" t="s">
        <v>23</v>
      </c>
      <c r="QLA91" s="78">
        <f>IFERROR(VLOOKUP(QKZ91,'[1]List KPI'!$M$3:$N$8,2,0),"")</f>
        <v>2.0833333333333332E-2</v>
      </c>
      <c r="QLB91" s="76">
        <v>0.89444444444444449</v>
      </c>
      <c r="QLC91" s="77" t="str">
        <f t="shared" si="360"/>
        <v>O</v>
      </c>
      <c r="QLD91" s="79">
        <v>5</v>
      </c>
      <c r="QLE91" s="75">
        <v>1276006</v>
      </c>
      <c r="QLF91" s="80"/>
      <c r="QLG91" s="81">
        <v>0.86944444444444446</v>
      </c>
      <c r="QLH91" s="74" t="s">
        <v>27</v>
      </c>
      <c r="QLI91" s="74" t="s">
        <v>24</v>
      </c>
      <c r="QLJ91" s="75" t="s">
        <v>25</v>
      </c>
      <c r="QLK91" s="76">
        <f>IFERROR(VLOOKUP(QLJ91,'[1]List KPI'!$A$103:$F$118,6,0),"")</f>
        <v>1.0416666666666666E-2</v>
      </c>
      <c r="QLL91" s="76">
        <v>0.86944444444444446</v>
      </c>
      <c r="QLM91" s="76">
        <v>0.86944444444444446</v>
      </c>
      <c r="QLN91" s="77" t="str">
        <f t="shared" si="359"/>
        <v>O</v>
      </c>
      <c r="QLO91" s="74" t="s">
        <v>28</v>
      </c>
      <c r="QLP91" s="75" t="s">
        <v>23</v>
      </c>
      <c r="QLQ91" s="78">
        <f>IFERROR(VLOOKUP(QLP91,'[1]List KPI'!$M$3:$N$8,2,0),"")</f>
        <v>2.0833333333333332E-2</v>
      </c>
      <c r="QLR91" s="76">
        <v>0.89444444444444449</v>
      </c>
      <c r="QLS91" s="77" t="str">
        <f t="shared" si="360"/>
        <v>O</v>
      </c>
      <c r="QLT91" s="79">
        <v>5</v>
      </c>
      <c r="QLU91" s="75">
        <v>1276006</v>
      </c>
      <c r="QLV91" s="80"/>
      <c r="QLW91" s="81">
        <v>0.86944444444444446</v>
      </c>
      <c r="QLX91" s="74" t="s">
        <v>27</v>
      </c>
      <c r="QLY91" s="74" t="s">
        <v>24</v>
      </c>
      <c r="QLZ91" s="75" t="s">
        <v>25</v>
      </c>
      <c r="QMA91" s="76">
        <f>IFERROR(VLOOKUP(QLZ91,'[1]List KPI'!$A$103:$F$118,6,0),"")</f>
        <v>1.0416666666666666E-2</v>
      </c>
      <c r="QMB91" s="76">
        <v>0.86944444444444446</v>
      </c>
      <c r="QMC91" s="76">
        <v>0.86944444444444446</v>
      </c>
      <c r="QMD91" s="77" t="str">
        <f t="shared" si="359"/>
        <v>O</v>
      </c>
      <c r="QME91" s="74" t="s">
        <v>28</v>
      </c>
      <c r="QMF91" s="75" t="s">
        <v>23</v>
      </c>
      <c r="QMG91" s="78">
        <f>IFERROR(VLOOKUP(QMF91,'[1]List KPI'!$M$3:$N$8,2,0),"")</f>
        <v>2.0833333333333332E-2</v>
      </c>
      <c r="QMH91" s="76">
        <v>0.89444444444444449</v>
      </c>
      <c r="QMI91" s="77" t="str">
        <f t="shared" si="360"/>
        <v>O</v>
      </c>
      <c r="QMJ91" s="79">
        <v>5</v>
      </c>
      <c r="QMK91" s="75">
        <v>1276006</v>
      </c>
      <c r="QML91" s="80"/>
      <c r="QMM91" s="81">
        <v>0.86944444444444446</v>
      </c>
      <c r="QMN91" s="74" t="s">
        <v>27</v>
      </c>
      <c r="QMO91" s="74" t="s">
        <v>24</v>
      </c>
      <c r="QMP91" s="75" t="s">
        <v>25</v>
      </c>
      <c r="QMQ91" s="76">
        <f>IFERROR(VLOOKUP(QMP91,'[1]List KPI'!$A$103:$F$118,6,0),"")</f>
        <v>1.0416666666666666E-2</v>
      </c>
      <c r="QMR91" s="76">
        <v>0.86944444444444446</v>
      </c>
      <c r="QMS91" s="76">
        <v>0.86944444444444446</v>
      </c>
      <c r="QMT91" s="77" t="str">
        <f t="shared" ref="QMT91:QOP91" si="361">IF(QMS91="","",IF(QMS91&gt;QNB91,"O","P"))</f>
        <v>O</v>
      </c>
      <c r="QMU91" s="74" t="s">
        <v>28</v>
      </c>
      <c r="QMV91" s="75" t="s">
        <v>23</v>
      </c>
      <c r="QMW91" s="78">
        <f>IFERROR(VLOOKUP(QMV91,'[1]List KPI'!$M$3:$N$8,2,0),"")</f>
        <v>2.0833333333333332E-2</v>
      </c>
      <c r="QMX91" s="76">
        <v>0.89444444444444449</v>
      </c>
      <c r="QMY91" s="77" t="str">
        <f t="shared" ref="QMY91:QOU91" si="362">IF(QMX91="","",IF(QMX91&gt;QNC91,"O","P"))</f>
        <v>O</v>
      </c>
      <c r="QMZ91" s="79">
        <v>5</v>
      </c>
      <c r="QNA91" s="75">
        <v>1276006</v>
      </c>
      <c r="QNB91" s="80"/>
      <c r="QNC91" s="81">
        <v>0.86944444444444446</v>
      </c>
      <c r="QND91" s="74" t="s">
        <v>27</v>
      </c>
      <c r="QNE91" s="74" t="s">
        <v>24</v>
      </c>
      <c r="QNF91" s="75" t="s">
        <v>25</v>
      </c>
      <c r="QNG91" s="76">
        <f>IFERROR(VLOOKUP(QNF91,'[1]List KPI'!$A$103:$F$118,6,0),"")</f>
        <v>1.0416666666666666E-2</v>
      </c>
      <c r="QNH91" s="76">
        <v>0.86944444444444446</v>
      </c>
      <c r="QNI91" s="76">
        <v>0.86944444444444446</v>
      </c>
      <c r="QNJ91" s="77" t="str">
        <f t="shared" si="361"/>
        <v>O</v>
      </c>
      <c r="QNK91" s="74" t="s">
        <v>28</v>
      </c>
      <c r="QNL91" s="75" t="s">
        <v>23</v>
      </c>
      <c r="QNM91" s="78">
        <f>IFERROR(VLOOKUP(QNL91,'[1]List KPI'!$M$3:$N$8,2,0),"")</f>
        <v>2.0833333333333332E-2</v>
      </c>
      <c r="QNN91" s="76">
        <v>0.89444444444444449</v>
      </c>
      <c r="QNO91" s="77" t="str">
        <f t="shared" si="362"/>
        <v>O</v>
      </c>
      <c r="QNP91" s="79">
        <v>5</v>
      </c>
      <c r="QNQ91" s="75">
        <v>1276006</v>
      </c>
      <c r="QNR91" s="80"/>
      <c r="QNS91" s="81">
        <v>0.86944444444444446</v>
      </c>
      <c r="QNT91" s="74" t="s">
        <v>27</v>
      </c>
      <c r="QNU91" s="74" t="s">
        <v>24</v>
      </c>
      <c r="QNV91" s="75" t="s">
        <v>25</v>
      </c>
      <c r="QNW91" s="76">
        <f>IFERROR(VLOOKUP(QNV91,'[1]List KPI'!$A$103:$F$118,6,0),"")</f>
        <v>1.0416666666666666E-2</v>
      </c>
      <c r="QNX91" s="76">
        <v>0.86944444444444446</v>
      </c>
      <c r="QNY91" s="76">
        <v>0.86944444444444446</v>
      </c>
      <c r="QNZ91" s="77" t="str">
        <f t="shared" si="361"/>
        <v>O</v>
      </c>
      <c r="QOA91" s="74" t="s">
        <v>28</v>
      </c>
      <c r="QOB91" s="75" t="s">
        <v>23</v>
      </c>
      <c r="QOC91" s="78">
        <f>IFERROR(VLOOKUP(QOB91,'[1]List KPI'!$M$3:$N$8,2,0),"")</f>
        <v>2.0833333333333332E-2</v>
      </c>
      <c r="QOD91" s="76">
        <v>0.89444444444444449</v>
      </c>
      <c r="QOE91" s="77" t="str">
        <f t="shared" si="362"/>
        <v>O</v>
      </c>
      <c r="QOF91" s="79">
        <v>5</v>
      </c>
      <c r="QOG91" s="75">
        <v>1276006</v>
      </c>
      <c r="QOH91" s="80"/>
      <c r="QOI91" s="81">
        <v>0.86944444444444446</v>
      </c>
      <c r="QOJ91" s="74" t="s">
        <v>27</v>
      </c>
      <c r="QOK91" s="74" t="s">
        <v>24</v>
      </c>
      <c r="QOL91" s="75" t="s">
        <v>25</v>
      </c>
      <c r="QOM91" s="76">
        <f>IFERROR(VLOOKUP(QOL91,'[1]List KPI'!$A$103:$F$118,6,0),"")</f>
        <v>1.0416666666666666E-2</v>
      </c>
      <c r="QON91" s="76">
        <v>0.86944444444444446</v>
      </c>
      <c r="QOO91" s="76">
        <v>0.86944444444444446</v>
      </c>
      <c r="QOP91" s="77" t="str">
        <f t="shared" si="361"/>
        <v>O</v>
      </c>
      <c r="QOQ91" s="74" t="s">
        <v>28</v>
      </c>
      <c r="QOR91" s="75" t="s">
        <v>23</v>
      </c>
      <c r="QOS91" s="78">
        <f>IFERROR(VLOOKUP(QOR91,'[1]List KPI'!$M$3:$N$8,2,0),"")</f>
        <v>2.0833333333333332E-2</v>
      </c>
      <c r="QOT91" s="76">
        <v>0.89444444444444449</v>
      </c>
      <c r="QOU91" s="77" t="str">
        <f t="shared" si="362"/>
        <v>O</v>
      </c>
      <c r="QOV91" s="79">
        <v>5</v>
      </c>
      <c r="QOW91" s="75">
        <v>1276006</v>
      </c>
      <c r="QOX91" s="80"/>
      <c r="QOY91" s="81">
        <v>0.86944444444444446</v>
      </c>
      <c r="QOZ91" s="74" t="s">
        <v>27</v>
      </c>
      <c r="QPA91" s="74" t="s">
        <v>24</v>
      </c>
      <c r="QPB91" s="75" t="s">
        <v>25</v>
      </c>
      <c r="QPC91" s="76">
        <f>IFERROR(VLOOKUP(QPB91,'[1]List KPI'!$A$103:$F$118,6,0),"")</f>
        <v>1.0416666666666666E-2</v>
      </c>
      <c r="QPD91" s="76">
        <v>0.86944444444444446</v>
      </c>
      <c r="QPE91" s="76">
        <v>0.86944444444444446</v>
      </c>
      <c r="QPF91" s="77" t="str">
        <f t="shared" ref="QPF91:QRB91" si="363">IF(QPE91="","",IF(QPE91&gt;QPN91,"O","P"))</f>
        <v>O</v>
      </c>
      <c r="QPG91" s="74" t="s">
        <v>28</v>
      </c>
      <c r="QPH91" s="75" t="s">
        <v>23</v>
      </c>
      <c r="QPI91" s="78">
        <f>IFERROR(VLOOKUP(QPH91,'[1]List KPI'!$M$3:$N$8,2,0),"")</f>
        <v>2.0833333333333332E-2</v>
      </c>
      <c r="QPJ91" s="76">
        <v>0.89444444444444449</v>
      </c>
      <c r="QPK91" s="77" t="str">
        <f t="shared" ref="QPK91:QRG91" si="364">IF(QPJ91="","",IF(QPJ91&gt;QPO91,"O","P"))</f>
        <v>O</v>
      </c>
      <c r="QPL91" s="79">
        <v>5</v>
      </c>
      <c r="QPM91" s="75">
        <v>1276006</v>
      </c>
      <c r="QPN91" s="80"/>
      <c r="QPO91" s="81">
        <v>0.86944444444444446</v>
      </c>
      <c r="QPP91" s="74" t="s">
        <v>27</v>
      </c>
      <c r="QPQ91" s="74" t="s">
        <v>24</v>
      </c>
      <c r="QPR91" s="75" t="s">
        <v>25</v>
      </c>
      <c r="QPS91" s="76">
        <f>IFERROR(VLOOKUP(QPR91,'[1]List KPI'!$A$103:$F$118,6,0),"")</f>
        <v>1.0416666666666666E-2</v>
      </c>
      <c r="QPT91" s="76">
        <v>0.86944444444444446</v>
      </c>
      <c r="QPU91" s="76">
        <v>0.86944444444444446</v>
      </c>
      <c r="QPV91" s="77" t="str">
        <f t="shared" si="363"/>
        <v>O</v>
      </c>
      <c r="QPW91" s="74" t="s">
        <v>28</v>
      </c>
      <c r="QPX91" s="75" t="s">
        <v>23</v>
      </c>
      <c r="QPY91" s="78">
        <f>IFERROR(VLOOKUP(QPX91,'[1]List KPI'!$M$3:$N$8,2,0),"")</f>
        <v>2.0833333333333332E-2</v>
      </c>
      <c r="QPZ91" s="76">
        <v>0.89444444444444449</v>
      </c>
      <c r="QQA91" s="77" t="str">
        <f t="shared" si="364"/>
        <v>O</v>
      </c>
      <c r="QQB91" s="79">
        <v>5</v>
      </c>
      <c r="QQC91" s="75">
        <v>1276006</v>
      </c>
      <c r="QQD91" s="80"/>
      <c r="QQE91" s="81">
        <v>0.86944444444444446</v>
      </c>
      <c r="QQF91" s="74" t="s">
        <v>27</v>
      </c>
      <c r="QQG91" s="74" t="s">
        <v>24</v>
      </c>
      <c r="QQH91" s="75" t="s">
        <v>25</v>
      </c>
      <c r="QQI91" s="76">
        <f>IFERROR(VLOOKUP(QQH91,'[1]List KPI'!$A$103:$F$118,6,0),"")</f>
        <v>1.0416666666666666E-2</v>
      </c>
      <c r="QQJ91" s="76">
        <v>0.86944444444444446</v>
      </c>
      <c r="QQK91" s="76">
        <v>0.86944444444444446</v>
      </c>
      <c r="QQL91" s="77" t="str">
        <f t="shared" si="363"/>
        <v>O</v>
      </c>
      <c r="QQM91" s="74" t="s">
        <v>28</v>
      </c>
      <c r="QQN91" s="75" t="s">
        <v>23</v>
      </c>
      <c r="QQO91" s="78">
        <f>IFERROR(VLOOKUP(QQN91,'[1]List KPI'!$M$3:$N$8,2,0),"")</f>
        <v>2.0833333333333332E-2</v>
      </c>
      <c r="QQP91" s="76">
        <v>0.89444444444444449</v>
      </c>
      <c r="QQQ91" s="77" t="str">
        <f t="shared" si="364"/>
        <v>O</v>
      </c>
      <c r="QQR91" s="79">
        <v>5</v>
      </c>
      <c r="QQS91" s="75">
        <v>1276006</v>
      </c>
      <c r="QQT91" s="80"/>
      <c r="QQU91" s="81">
        <v>0.86944444444444446</v>
      </c>
      <c r="QQV91" s="74" t="s">
        <v>27</v>
      </c>
      <c r="QQW91" s="74" t="s">
        <v>24</v>
      </c>
      <c r="QQX91" s="75" t="s">
        <v>25</v>
      </c>
      <c r="QQY91" s="76">
        <f>IFERROR(VLOOKUP(QQX91,'[1]List KPI'!$A$103:$F$118,6,0),"")</f>
        <v>1.0416666666666666E-2</v>
      </c>
      <c r="QQZ91" s="76">
        <v>0.86944444444444446</v>
      </c>
      <c r="QRA91" s="76">
        <v>0.86944444444444446</v>
      </c>
      <c r="QRB91" s="77" t="str">
        <f t="shared" si="363"/>
        <v>O</v>
      </c>
      <c r="QRC91" s="74" t="s">
        <v>28</v>
      </c>
      <c r="QRD91" s="75" t="s">
        <v>23</v>
      </c>
      <c r="QRE91" s="78">
        <f>IFERROR(VLOOKUP(QRD91,'[1]List KPI'!$M$3:$N$8,2,0),"")</f>
        <v>2.0833333333333332E-2</v>
      </c>
      <c r="QRF91" s="76">
        <v>0.89444444444444449</v>
      </c>
      <c r="QRG91" s="77" t="str">
        <f t="shared" si="364"/>
        <v>O</v>
      </c>
      <c r="QRH91" s="79">
        <v>5</v>
      </c>
      <c r="QRI91" s="75">
        <v>1276006</v>
      </c>
      <c r="QRJ91" s="80"/>
      <c r="QRK91" s="81">
        <v>0.86944444444444446</v>
      </c>
      <c r="QRL91" s="74" t="s">
        <v>27</v>
      </c>
      <c r="QRM91" s="74" t="s">
        <v>24</v>
      </c>
      <c r="QRN91" s="75" t="s">
        <v>25</v>
      </c>
      <c r="QRO91" s="76">
        <f>IFERROR(VLOOKUP(QRN91,'[1]List KPI'!$A$103:$F$118,6,0),"")</f>
        <v>1.0416666666666666E-2</v>
      </c>
      <c r="QRP91" s="76">
        <v>0.86944444444444446</v>
      </c>
      <c r="QRQ91" s="76">
        <v>0.86944444444444446</v>
      </c>
      <c r="QRR91" s="77" t="str">
        <f t="shared" ref="QRR91:QTN91" si="365">IF(QRQ91="","",IF(QRQ91&gt;QRZ91,"O","P"))</f>
        <v>O</v>
      </c>
      <c r="QRS91" s="74" t="s">
        <v>28</v>
      </c>
      <c r="QRT91" s="75" t="s">
        <v>23</v>
      </c>
      <c r="QRU91" s="78">
        <f>IFERROR(VLOOKUP(QRT91,'[1]List KPI'!$M$3:$N$8,2,0),"")</f>
        <v>2.0833333333333332E-2</v>
      </c>
      <c r="QRV91" s="76">
        <v>0.89444444444444449</v>
      </c>
      <c r="QRW91" s="77" t="str">
        <f t="shared" ref="QRW91:QTS91" si="366">IF(QRV91="","",IF(QRV91&gt;QSA91,"O","P"))</f>
        <v>O</v>
      </c>
      <c r="QRX91" s="79">
        <v>5</v>
      </c>
      <c r="QRY91" s="75">
        <v>1276006</v>
      </c>
      <c r="QRZ91" s="80"/>
      <c r="QSA91" s="81">
        <v>0.86944444444444446</v>
      </c>
      <c r="QSB91" s="74" t="s">
        <v>27</v>
      </c>
      <c r="QSC91" s="74" t="s">
        <v>24</v>
      </c>
      <c r="QSD91" s="75" t="s">
        <v>25</v>
      </c>
      <c r="QSE91" s="76">
        <f>IFERROR(VLOOKUP(QSD91,'[1]List KPI'!$A$103:$F$118,6,0),"")</f>
        <v>1.0416666666666666E-2</v>
      </c>
      <c r="QSF91" s="76">
        <v>0.86944444444444446</v>
      </c>
      <c r="QSG91" s="76">
        <v>0.86944444444444446</v>
      </c>
      <c r="QSH91" s="77" t="str">
        <f t="shared" si="365"/>
        <v>O</v>
      </c>
      <c r="QSI91" s="74" t="s">
        <v>28</v>
      </c>
      <c r="QSJ91" s="75" t="s">
        <v>23</v>
      </c>
      <c r="QSK91" s="78">
        <f>IFERROR(VLOOKUP(QSJ91,'[1]List KPI'!$M$3:$N$8,2,0),"")</f>
        <v>2.0833333333333332E-2</v>
      </c>
      <c r="QSL91" s="76">
        <v>0.89444444444444449</v>
      </c>
      <c r="QSM91" s="77" t="str">
        <f t="shared" si="366"/>
        <v>O</v>
      </c>
      <c r="QSN91" s="79">
        <v>5</v>
      </c>
      <c r="QSO91" s="75">
        <v>1276006</v>
      </c>
      <c r="QSP91" s="80"/>
      <c r="QSQ91" s="81">
        <v>0.86944444444444446</v>
      </c>
      <c r="QSR91" s="74" t="s">
        <v>27</v>
      </c>
      <c r="QSS91" s="74" t="s">
        <v>24</v>
      </c>
      <c r="QST91" s="75" t="s">
        <v>25</v>
      </c>
      <c r="QSU91" s="76">
        <f>IFERROR(VLOOKUP(QST91,'[1]List KPI'!$A$103:$F$118,6,0),"")</f>
        <v>1.0416666666666666E-2</v>
      </c>
      <c r="QSV91" s="76">
        <v>0.86944444444444446</v>
      </c>
      <c r="QSW91" s="76">
        <v>0.86944444444444446</v>
      </c>
      <c r="QSX91" s="77" t="str">
        <f t="shared" si="365"/>
        <v>O</v>
      </c>
      <c r="QSY91" s="74" t="s">
        <v>28</v>
      </c>
      <c r="QSZ91" s="75" t="s">
        <v>23</v>
      </c>
      <c r="QTA91" s="78">
        <f>IFERROR(VLOOKUP(QSZ91,'[1]List KPI'!$M$3:$N$8,2,0),"")</f>
        <v>2.0833333333333332E-2</v>
      </c>
      <c r="QTB91" s="76">
        <v>0.89444444444444449</v>
      </c>
      <c r="QTC91" s="77" t="str">
        <f t="shared" si="366"/>
        <v>O</v>
      </c>
      <c r="QTD91" s="79">
        <v>5</v>
      </c>
      <c r="QTE91" s="75">
        <v>1276006</v>
      </c>
      <c r="QTF91" s="80"/>
      <c r="QTG91" s="81">
        <v>0.86944444444444446</v>
      </c>
      <c r="QTH91" s="74" t="s">
        <v>27</v>
      </c>
      <c r="QTI91" s="74" t="s">
        <v>24</v>
      </c>
      <c r="QTJ91" s="75" t="s">
        <v>25</v>
      </c>
      <c r="QTK91" s="76">
        <f>IFERROR(VLOOKUP(QTJ91,'[1]List KPI'!$A$103:$F$118,6,0),"")</f>
        <v>1.0416666666666666E-2</v>
      </c>
      <c r="QTL91" s="76">
        <v>0.86944444444444446</v>
      </c>
      <c r="QTM91" s="76">
        <v>0.86944444444444446</v>
      </c>
      <c r="QTN91" s="77" t="str">
        <f t="shared" si="365"/>
        <v>O</v>
      </c>
      <c r="QTO91" s="74" t="s">
        <v>28</v>
      </c>
      <c r="QTP91" s="75" t="s">
        <v>23</v>
      </c>
      <c r="QTQ91" s="78">
        <f>IFERROR(VLOOKUP(QTP91,'[1]List KPI'!$M$3:$N$8,2,0),"")</f>
        <v>2.0833333333333332E-2</v>
      </c>
      <c r="QTR91" s="76">
        <v>0.89444444444444449</v>
      </c>
      <c r="QTS91" s="77" t="str">
        <f t="shared" si="366"/>
        <v>O</v>
      </c>
      <c r="QTT91" s="79">
        <v>5</v>
      </c>
      <c r="QTU91" s="75">
        <v>1276006</v>
      </c>
      <c r="QTV91" s="80"/>
      <c r="QTW91" s="81">
        <v>0.86944444444444446</v>
      </c>
      <c r="QTX91" s="74" t="s">
        <v>27</v>
      </c>
      <c r="QTY91" s="74" t="s">
        <v>24</v>
      </c>
      <c r="QTZ91" s="75" t="s">
        <v>25</v>
      </c>
      <c r="QUA91" s="76">
        <f>IFERROR(VLOOKUP(QTZ91,'[1]List KPI'!$A$103:$F$118,6,0),"")</f>
        <v>1.0416666666666666E-2</v>
      </c>
      <c r="QUB91" s="76">
        <v>0.86944444444444446</v>
      </c>
      <c r="QUC91" s="76">
        <v>0.86944444444444446</v>
      </c>
      <c r="QUD91" s="77" t="str">
        <f t="shared" ref="QUD91:QVZ91" si="367">IF(QUC91="","",IF(QUC91&gt;QUL91,"O","P"))</f>
        <v>O</v>
      </c>
      <c r="QUE91" s="74" t="s">
        <v>28</v>
      </c>
      <c r="QUF91" s="75" t="s">
        <v>23</v>
      </c>
      <c r="QUG91" s="78">
        <f>IFERROR(VLOOKUP(QUF91,'[1]List KPI'!$M$3:$N$8,2,0),"")</f>
        <v>2.0833333333333332E-2</v>
      </c>
      <c r="QUH91" s="76">
        <v>0.89444444444444449</v>
      </c>
      <c r="QUI91" s="77" t="str">
        <f t="shared" ref="QUI91:QWE91" si="368">IF(QUH91="","",IF(QUH91&gt;QUM91,"O","P"))</f>
        <v>O</v>
      </c>
      <c r="QUJ91" s="79">
        <v>5</v>
      </c>
      <c r="QUK91" s="75">
        <v>1276006</v>
      </c>
      <c r="QUL91" s="80"/>
      <c r="QUM91" s="81">
        <v>0.86944444444444446</v>
      </c>
      <c r="QUN91" s="74" t="s">
        <v>27</v>
      </c>
      <c r="QUO91" s="74" t="s">
        <v>24</v>
      </c>
      <c r="QUP91" s="75" t="s">
        <v>25</v>
      </c>
      <c r="QUQ91" s="76">
        <f>IFERROR(VLOOKUP(QUP91,'[1]List KPI'!$A$103:$F$118,6,0),"")</f>
        <v>1.0416666666666666E-2</v>
      </c>
      <c r="QUR91" s="76">
        <v>0.86944444444444446</v>
      </c>
      <c r="QUS91" s="76">
        <v>0.86944444444444446</v>
      </c>
      <c r="QUT91" s="77" t="str">
        <f t="shared" si="367"/>
        <v>O</v>
      </c>
      <c r="QUU91" s="74" t="s">
        <v>28</v>
      </c>
      <c r="QUV91" s="75" t="s">
        <v>23</v>
      </c>
      <c r="QUW91" s="78">
        <f>IFERROR(VLOOKUP(QUV91,'[1]List KPI'!$M$3:$N$8,2,0),"")</f>
        <v>2.0833333333333332E-2</v>
      </c>
      <c r="QUX91" s="76">
        <v>0.89444444444444449</v>
      </c>
      <c r="QUY91" s="77" t="str">
        <f t="shared" si="368"/>
        <v>O</v>
      </c>
      <c r="QUZ91" s="79">
        <v>5</v>
      </c>
      <c r="QVA91" s="75">
        <v>1276006</v>
      </c>
      <c r="QVB91" s="80"/>
      <c r="QVC91" s="81">
        <v>0.86944444444444446</v>
      </c>
      <c r="QVD91" s="74" t="s">
        <v>27</v>
      </c>
      <c r="QVE91" s="74" t="s">
        <v>24</v>
      </c>
      <c r="QVF91" s="75" t="s">
        <v>25</v>
      </c>
      <c r="QVG91" s="76">
        <f>IFERROR(VLOOKUP(QVF91,'[1]List KPI'!$A$103:$F$118,6,0),"")</f>
        <v>1.0416666666666666E-2</v>
      </c>
      <c r="QVH91" s="76">
        <v>0.86944444444444446</v>
      </c>
      <c r="QVI91" s="76">
        <v>0.86944444444444446</v>
      </c>
      <c r="QVJ91" s="77" t="str">
        <f t="shared" si="367"/>
        <v>O</v>
      </c>
      <c r="QVK91" s="74" t="s">
        <v>28</v>
      </c>
      <c r="QVL91" s="75" t="s">
        <v>23</v>
      </c>
      <c r="QVM91" s="78">
        <f>IFERROR(VLOOKUP(QVL91,'[1]List KPI'!$M$3:$N$8,2,0),"")</f>
        <v>2.0833333333333332E-2</v>
      </c>
      <c r="QVN91" s="76">
        <v>0.89444444444444449</v>
      </c>
      <c r="QVO91" s="77" t="str">
        <f t="shared" si="368"/>
        <v>O</v>
      </c>
      <c r="QVP91" s="79">
        <v>5</v>
      </c>
      <c r="QVQ91" s="75">
        <v>1276006</v>
      </c>
      <c r="QVR91" s="80"/>
      <c r="QVS91" s="81">
        <v>0.86944444444444446</v>
      </c>
      <c r="QVT91" s="74" t="s">
        <v>27</v>
      </c>
      <c r="QVU91" s="74" t="s">
        <v>24</v>
      </c>
      <c r="QVV91" s="75" t="s">
        <v>25</v>
      </c>
      <c r="QVW91" s="76">
        <f>IFERROR(VLOOKUP(QVV91,'[1]List KPI'!$A$103:$F$118,6,0),"")</f>
        <v>1.0416666666666666E-2</v>
      </c>
      <c r="QVX91" s="76">
        <v>0.86944444444444446</v>
      </c>
      <c r="QVY91" s="76">
        <v>0.86944444444444446</v>
      </c>
      <c r="QVZ91" s="77" t="str">
        <f t="shared" si="367"/>
        <v>O</v>
      </c>
      <c r="QWA91" s="74" t="s">
        <v>28</v>
      </c>
      <c r="QWB91" s="75" t="s">
        <v>23</v>
      </c>
      <c r="QWC91" s="78">
        <f>IFERROR(VLOOKUP(QWB91,'[1]List KPI'!$M$3:$N$8,2,0),"")</f>
        <v>2.0833333333333332E-2</v>
      </c>
      <c r="QWD91" s="76">
        <v>0.89444444444444449</v>
      </c>
      <c r="QWE91" s="77" t="str">
        <f t="shared" si="368"/>
        <v>O</v>
      </c>
      <c r="QWF91" s="79">
        <v>5</v>
      </c>
      <c r="QWG91" s="75">
        <v>1276006</v>
      </c>
      <c r="QWH91" s="80"/>
      <c r="QWI91" s="81">
        <v>0.86944444444444446</v>
      </c>
      <c r="QWJ91" s="74" t="s">
        <v>27</v>
      </c>
      <c r="QWK91" s="74" t="s">
        <v>24</v>
      </c>
      <c r="QWL91" s="75" t="s">
        <v>25</v>
      </c>
      <c r="QWM91" s="76">
        <f>IFERROR(VLOOKUP(QWL91,'[1]List KPI'!$A$103:$F$118,6,0),"")</f>
        <v>1.0416666666666666E-2</v>
      </c>
      <c r="QWN91" s="76">
        <v>0.86944444444444446</v>
      </c>
      <c r="QWO91" s="76">
        <v>0.86944444444444446</v>
      </c>
      <c r="QWP91" s="77" t="str">
        <f t="shared" ref="QWP91:QYL91" si="369">IF(QWO91="","",IF(QWO91&gt;QWX91,"O","P"))</f>
        <v>O</v>
      </c>
      <c r="QWQ91" s="74" t="s">
        <v>28</v>
      </c>
      <c r="QWR91" s="75" t="s">
        <v>23</v>
      </c>
      <c r="QWS91" s="78">
        <f>IFERROR(VLOOKUP(QWR91,'[1]List KPI'!$M$3:$N$8,2,0),"")</f>
        <v>2.0833333333333332E-2</v>
      </c>
      <c r="QWT91" s="76">
        <v>0.89444444444444449</v>
      </c>
      <c r="QWU91" s="77" t="str">
        <f t="shared" ref="QWU91:QYQ91" si="370">IF(QWT91="","",IF(QWT91&gt;QWY91,"O","P"))</f>
        <v>O</v>
      </c>
      <c r="QWV91" s="79">
        <v>5</v>
      </c>
      <c r="QWW91" s="75">
        <v>1276006</v>
      </c>
      <c r="QWX91" s="80"/>
      <c r="QWY91" s="81">
        <v>0.86944444444444446</v>
      </c>
      <c r="QWZ91" s="74" t="s">
        <v>27</v>
      </c>
      <c r="QXA91" s="74" t="s">
        <v>24</v>
      </c>
      <c r="QXB91" s="75" t="s">
        <v>25</v>
      </c>
      <c r="QXC91" s="76">
        <f>IFERROR(VLOOKUP(QXB91,'[1]List KPI'!$A$103:$F$118,6,0),"")</f>
        <v>1.0416666666666666E-2</v>
      </c>
      <c r="QXD91" s="76">
        <v>0.86944444444444446</v>
      </c>
      <c r="QXE91" s="76">
        <v>0.86944444444444446</v>
      </c>
      <c r="QXF91" s="77" t="str">
        <f t="shared" si="369"/>
        <v>O</v>
      </c>
      <c r="QXG91" s="74" t="s">
        <v>28</v>
      </c>
      <c r="QXH91" s="75" t="s">
        <v>23</v>
      </c>
      <c r="QXI91" s="78">
        <f>IFERROR(VLOOKUP(QXH91,'[1]List KPI'!$M$3:$N$8,2,0),"")</f>
        <v>2.0833333333333332E-2</v>
      </c>
      <c r="QXJ91" s="76">
        <v>0.89444444444444449</v>
      </c>
      <c r="QXK91" s="77" t="str">
        <f t="shared" si="370"/>
        <v>O</v>
      </c>
      <c r="QXL91" s="79">
        <v>5</v>
      </c>
      <c r="QXM91" s="75">
        <v>1276006</v>
      </c>
      <c r="QXN91" s="80"/>
      <c r="QXO91" s="81">
        <v>0.86944444444444446</v>
      </c>
      <c r="QXP91" s="74" t="s">
        <v>27</v>
      </c>
      <c r="QXQ91" s="74" t="s">
        <v>24</v>
      </c>
      <c r="QXR91" s="75" t="s">
        <v>25</v>
      </c>
      <c r="QXS91" s="76">
        <f>IFERROR(VLOOKUP(QXR91,'[1]List KPI'!$A$103:$F$118,6,0),"")</f>
        <v>1.0416666666666666E-2</v>
      </c>
      <c r="QXT91" s="76">
        <v>0.86944444444444446</v>
      </c>
      <c r="QXU91" s="76">
        <v>0.86944444444444446</v>
      </c>
      <c r="QXV91" s="77" t="str">
        <f t="shared" si="369"/>
        <v>O</v>
      </c>
      <c r="QXW91" s="74" t="s">
        <v>28</v>
      </c>
      <c r="QXX91" s="75" t="s">
        <v>23</v>
      </c>
      <c r="QXY91" s="78">
        <f>IFERROR(VLOOKUP(QXX91,'[1]List KPI'!$M$3:$N$8,2,0),"")</f>
        <v>2.0833333333333332E-2</v>
      </c>
      <c r="QXZ91" s="76">
        <v>0.89444444444444449</v>
      </c>
      <c r="QYA91" s="77" t="str">
        <f t="shared" si="370"/>
        <v>O</v>
      </c>
      <c r="QYB91" s="79">
        <v>5</v>
      </c>
      <c r="QYC91" s="75">
        <v>1276006</v>
      </c>
      <c r="QYD91" s="80"/>
      <c r="QYE91" s="81">
        <v>0.86944444444444446</v>
      </c>
      <c r="QYF91" s="74" t="s">
        <v>27</v>
      </c>
      <c r="QYG91" s="74" t="s">
        <v>24</v>
      </c>
      <c r="QYH91" s="75" t="s">
        <v>25</v>
      </c>
      <c r="QYI91" s="76">
        <f>IFERROR(VLOOKUP(QYH91,'[1]List KPI'!$A$103:$F$118,6,0),"")</f>
        <v>1.0416666666666666E-2</v>
      </c>
      <c r="QYJ91" s="76">
        <v>0.86944444444444446</v>
      </c>
      <c r="QYK91" s="76">
        <v>0.86944444444444446</v>
      </c>
      <c r="QYL91" s="77" t="str">
        <f t="shared" si="369"/>
        <v>O</v>
      </c>
      <c r="QYM91" s="74" t="s">
        <v>28</v>
      </c>
      <c r="QYN91" s="75" t="s">
        <v>23</v>
      </c>
      <c r="QYO91" s="78">
        <f>IFERROR(VLOOKUP(QYN91,'[1]List KPI'!$M$3:$N$8,2,0),"")</f>
        <v>2.0833333333333332E-2</v>
      </c>
      <c r="QYP91" s="76">
        <v>0.89444444444444449</v>
      </c>
      <c r="QYQ91" s="77" t="str">
        <f t="shared" si="370"/>
        <v>O</v>
      </c>
      <c r="QYR91" s="79">
        <v>5</v>
      </c>
      <c r="QYS91" s="75">
        <v>1276006</v>
      </c>
      <c r="QYT91" s="80"/>
      <c r="QYU91" s="81">
        <v>0.86944444444444446</v>
      </c>
      <c r="QYV91" s="74" t="s">
        <v>27</v>
      </c>
      <c r="QYW91" s="74" t="s">
        <v>24</v>
      </c>
      <c r="QYX91" s="75" t="s">
        <v>25</v>
      </c>
      <c r="QYY91" s="76">
        <f>IFERROR(VLOOKUP(QYX91,'[1]List KPI'!$A$103:$F$118,6,0),"")</f>
        <v>1.0416666666666666E-2</v>
      </c>
      <c r="QYZ91" s="76">
        <v>0.86944444444444446</v>
      </c>
      <c r="QZA91" s="76">
        <v>0.86944444444444446</v>
      </c>
      <c r="QZB91" s="77" t="str">
        <f t="shared" ref="QZB91:RAX91" si="371">IF(QZA91="","",IF(QZA91&gt;QZJ91,"O","P"))</f>
        <v>O</v>
      </c>
      <c r="QZC91" s="74" t="s">
        <v>28</v>
      </c>
      <c r="QZD91" s="75" t="s">
        <v>23</v>
      </c>
      <c r="QZE91" s="78">
        <f>IFERROR(VLOOKUP(QZD91,'[1]List KPI'!$M$3:$N$8,2,0),"")</f>
        <v>2.0833333333333332E-2</v>
      </c>
      <c r="QZF91" s="76">
        <v>0.89444444444444449</v>
      </c>
      <c r="QZG91" s="77" t="str">
        <f t="shared" ref="QZG91:RBC91" si="372">IF(QZF91="","",IF(QZF91&gt;QZK91,"O","P"))</f>
        <v>O</v>
      </c>
      <c r="QZH91" s="79">
        <v>5</v>
      </c>
      <c r="QZI91" s="75">
        <v>1276006</v>
      </c>
      <c r="QZJ91" s="80"/>
      <c r="QZK91" s="81">
        <v>0.86944444444444446</v>
      </c>
      <c r="QZL91" s="74" t="s">
        <v>27</v>
      </c>
      <c r="QZM91" s="74" t="s">
        <v>24</v>
      </c>
      <c r="QZN91" s="75" t="s">
        <v>25</v>
      </c>
      <c r="QZO91" s="76">
        <f>IFERROR(VLOOKUP(QZN91,'[1]List KPI'!$A$103:$F$118,6,0),"")</f>
        <v>1.0416666666666666E-2</v>
      </c>
      <c r="QZP91" s="76">
        <v>0.86944444444444446</v>
      </c>
      <c r="QZQ91" s="76">
        <v>0.86944444444444446</v>
      </c>
      <c r="QZR91" s="77" t="str">
        <f t="shared" si="371"/>
        <v>O</v>
      </c>
      <c r="QZS91" s="74" t="s">
        <v>28</v>
      </c>
      <c r="QZT91" s="75" t="s">
        <v>23</v>
      </c>
      <c r="QZU91" s="78">
        <f>IFERROR(VLOOKUP(QZT91,'[1]List KPI'!$M$3:$N$8,2,0),"")</f>
        <v>2.0833333333333332E-2</v>
      </c>
      <c r="QZV91" s="76">
        <v>0.89444444444444449</v>
      </c>
      <c r="QZW91" s="77" t="str">
        <f t="shared" si="372"/>
        <v>O</v>
      </c>
      <c r="QZX91" s="79">
        <v>5</v>
      </c>
      <c r="QZY91" s="75">
        <v>1276006</v>
      </c>
      <c r="QZZ91" s="80"/>
      <c r="RAA91" s="81">
        <v>0.86944444444444446</v>
      </c>
      <c r="RAB91" s="74" t="s">
        <v>27</v>
      </c>
      <c r="RAC91" s="74" t="s">
        <v>24</v>
      </c>
      <c r="RAD91" s="75" t="s">
        <v>25</v>
      </c>
      <c r="RAE91" s="76">
        <f>IFERROR(VLOOKUP(RAD91,'[1]List KPI'!$A$103:$F$118,6,0),"")</f>
        <v>1.0416666666666666E-2</v>
      </c>
      <c r="RAF91" s="76">
        <v>0.86944444444444446</v>
      </c>
      <c r="RAG91" s="76">
        <v>0.86944444444444446</v>
      </c>
      <c r="RAH91" s="77" t="str">
        <f t="shared" si="371"/>
        <v>O</v>
      </c>
      <c r="RAI91" s="74" t="s">
        <v>28</v>
      </c>
      <c r="RAJ91" s="75" t="s">
        <v>23</v>
      </c>
      <c r="RAK91" s="78">
        <f>IFERROR(VLOOKUP(RAJ91,'[1]List KPI'!$M$3:$N$8,2,0),"")</f>
        <v>2.0833333333333332E-2</v>
      </c>
      <c r="RAL91" s="76">
        <v>0.89444444444444449</v>
      </c>
      <c r="RAM91" s="77" t="str">
        <f t="shared" si="372"/>
        <v>O</v>
      </c>
      <c r="RAN91" s="79">
        <v>5</v>
      </c>
      <c r="RAO91" s="75">
        <v>1276006</v>
      </c>
      <c r="RAP91" s="80"/>
      <c r="RAQ91" s="81">
        <v>0.86944444444444446</v>
      </c>
      <c r="RAR91" s="74" t="s">
        <v>27</v>
      </c>
      <c r="RAS91" s="74" t="s">
        <v>24</v>
      </c>
      <c r="RAT91" s="75" t="s">
        <v>25</v>
      </c>
      <c r="RAU91" s="76">
        <f>IFERROR(VLOOKUP(RAT91,'[1]List KPI'!$A$103:$F$118,6,0),"")</f>
        <v>1.0416666666666666E-2</v>
      </c>
      <c r="RAV91" s="76">
        <v>0.86944444444444446</v>
      </c>
      <c r="RAW91" s="76">
        <v>0.86944444444444446</v>
      </c>
      <c r="RAX91" s="77" t="str">
        <f t="shared" si="371"/>
        <v>O</v>
      </c>
      <c r="RAY91" s="74" t="s">
        <v>28</v>
      </c>
      <c r="RAZ91" s="75" t="s">
        <v>23</v>
      </c>
      <c r="RBA91" s="78">
        <f>IFERROR(VLOOKUP(RAZ91,'[1]List KPI'!$M$3:$N$8,2,0),"")</f>
        <v>2.0833333333333332E-2</v>
      </c>
      <c r="RBB91" s="76">
        <v>0.89444444444444449</v>
      </c>
      <c r="RBC91" s="77" t="str">
        <f t="shared" si="372"/>
        <v>O</v>
      </c>
      <c r="RBD91" s="79">
        <v>5</v>
      </c>
      <c r="RBE91" s="75">
        <v>1276006</v>
      </c>
      <c r="RBF91" s="80"/>
      <c r="RBG91" s="81">
        <v>0.86944444444444446</v>
      </c>
      <c r="RBH91" s="74" t="s">
        <v>27</v>
      </c>
      <c r="RBI91" s="74" t="s">
        <v>24</v>
      </c>
      <c r="RBJ91" s="75" t="s">
        <v>25</v>
      </c>
      <c r="RBK91" s="76">
        <f>IFERROR(VLOOKUP(RBJ91,'[1]List KPI'!$A$103:$F$118,6,0),"")</f>
        <v>1.0416666666666666E-2</v>
      </c>
      <c r="RBL91" s="76">
        <v>0.86944444444444446</v>
      </c>
      <c r="RBM91" s="76">
        <v>0.86944444444444446</v>
      </c>
      <c r="RBN91" s="77" t="str">
        <f t="shared" ref="RBN91:RDJ91" si="373">IF(RBM91="","",IF(RBM91&gt;RBV91,"O","P"))</f>
        <v>O</v>
      </c>
      <c r="RBO91" s="74" t="s">
        <v>28</v>
      </c>
      <c r="RBP91" s="75" t="s">
        <v>23</v>
      </c>
      <c r="RBQ91" s="78">
        <f>IFERROR(VLOOKUP(RBP91,'[1]List KPI'!$M$3:$N$8,2,0),"")</f>
        <v>2.0833333333333332E-2</v>
      </c>
      <c r="RBR91" s="76">
        <v>0.89444444444444449</v>
      </c>
      <c r="RBS91" s="77" t="str">
        <f t="shared" ref="RBS91:RDO91" si="374">IF(RBR91="","",IF(RBR91&gt;RBW91,"O","P"))</f>
        <v>O</v>
      </c>
      <c r="RBT91" s="79">
        <v>5</v>
      </c>
      <c r="RBU91" s="75">
        <v>1276006</v>
      </c>
      <c r="RBV91" s="80"/>
      <c r="RBW91" s="81">
        <v>0.86944444444444446</v>
      </c>
      <c r="RBX91" s="74" t="s">
        <v>27</v>
      </c>
      <c r="RBY91" s="74" t="s">
        <v>24</v>
      </c>
      <c r="RBZ91" s="75" t="s">
        <v>25</v>
      </c>
      <c r="RCA91" s="76">
        <f>IFERROR(VLOOKUP(RBZ91,'[1]List KPI'!$A$103:$F$118,6,0),"")</f>
        <v>1.0416666666666666E-2</v>
      </c>
      <c r="RCB91" s="76">
        <v>0.86944444444444446</v>
      </c>
      <c r="RCC91" s="76">
        <v>0.86944444444444446</v>
      </c>
      <c r="RCD91" s="77" t="str">
        <f t="shared" si="373"/>
        <v>O</v>
      </c>
      <c r="RCE91" s="74" t="s">
        <v>28</v>
      </c>
      <c r="RCF91" s="75" t="s">
        <v>23</v>
      </c>
      <c r="RCG91" s="78">
        <f>IFERROR(VLOOKUP(RCF91,'[1]List KPI'!$M$3:$N$8,2,0),"")</f>
        <v>2.0833333333333332E-2</v>
      </c>
      <c r="RCH91" s="76">
        <v>0.89444444444444449</v>
      </c>
      <c r="RCI91" s="77" t="str">
        <f t="shared" si="374"/>
        <v>O</v>
      </c>
      <c r="RCJ91" s="79">
        <v>5</v>
      </c>
      <c r="RCK91" s="75">
        <v>1276006</v>
      </c>
      <c r="RCL91" s="80"/>
      <c r="RCM91" s="81">
        <v>0.86944444444444446</v>
      </c>
      <c r="RCN91" s="74" t="s">
        <v>27</v>
      </c>
      <c r="RCO91" s="74" t="s">
        <v>24</v>
      </c>
      <c r="RCP91" s="75" t="s">
        <v>25</v>
      </c>
      <c r="RCQ91" s="76">
        <f>IFERROR(VLOOKUP(RCP91,'[1]List KPI'!$A$103:$F$118,6,0),"")</f>
        <v>1.0416666666666666E-2</v>
      </c>
      <c r="RCR91" s="76">
        <v>0.86944444444444446</v>
      </c>
      <c r="RCS91" s="76">
        <v>0.86944444444444446</v>
      </c>
      <c r="RCT91" s="77" t="str">
        <f t="shared" si="373"/>
        <v>O</v>
      </c>
      <c r="RCU91" s="74" t="s">
        <v>28</v>
      </c>
      <c r="RCV91" s="75" t="s">
        <v>23</v>
      </c>
      <c r="RCW91" s="78">
        <f>IFERROR(VLOOKUP(RCV91,'[1]List KPI'!$M$3:$N$8,2,0),"")</f>
        <v>2.0833333333333332E-2</v>
      </c>
      <c r="RCX91" s="76">
        <v>0.89444444444444449</v>
      </c>
      <c r="RCY91" s="77" t="str">
        <f t="shared" si="374"/>
        <v>O</v>
      </c>
      <c r="RCZ91" s="79">
        <v>5</v>
      </c>
      <c r="RDA91" s="75">
        <v>1276006</v>
      </c>
      <c r="RDB91" s="80"/>
      <c r="RDC91" s="81">
        <v>0.86944444444444446</v>
      </c>
      <c r="RDD91" s="74" t="s">
        <v>27</v>
      </c>
      <c r="RDE91" s="74" t="s">
        <v>24</v>
      </c>
      <c r="RDF91" s="75" t="s">
        <v>25</v>
      </c>
      <c r="RDG91" s="76">
        <f>IFERROR(VLOOKUP(RDF91,'[1]List KPI'!$A$103:$F$118,6,0),"")</f>
        <v>1.0416666666666666E-2</v>
      </c>
      <c r="RDH91" s="76">
        <v>0.86944444444444446</v>
      </c>
      <c r="RDI91" s="76">
        <v>0.86944444444444446</v>
      </c>
      <c r="RDJ91" s="77" t="str">
        <f t="shared" si="373"/>
        <v>O</v>
      </c>
      <c r="RDK91" s="74" t="s">
        <v>28</v>
      </c>
      <c r="RDL91" s="75" t="s">
        <v>23</v>
      </c>
      <c r="RDM91" s="78">
        <f>IFERROR(VLOOKUP(RDL91,'[1]List KPI'!$M$3:$N$8,2,0),"")</f>
        <v>2.0833333333333332E-2</v>
      </c>
      <c r="RDN91" s="76">
        <v>0.89444444444444449</v>
      </c>
      <c r="RDO91" s="77" t="str">
        <f t="shared" si="374"/>
        <v>O</v>
      </c>
      <c r="RDP91" s="79">
        <v>5</v>
      </c>
      <c r="RDQ91" s="75">
        <v>1276006</v>
      </c>
      <c r="RDR91" s="80"/>
      <c r="RDS91" s="81">
        <v>0.86944444444444446</v>
      </c>
      <c r="RDT91" s="74" t="s">
        <v>27</v>
      </c>
      <c r="RDU91" s="74" t="s">
        <v>24</v>
      </c>
      <c r="RDV91" s="75" t="s">
        <v>25</v>
      </c>
      <c r="RDW91" s="76">
        <f>IFERROR(VLOOKUP(RDV91,'[1]List KPI'!$A$103:$F$118,6,0),"")</f>
        <v>1.0416666666666666E-2</v>
      </c>
      <c r="RDX91" s="76">
        <v>0.86944444444444446</v>
      </c>
      <c r="RDY91" s="76">
        <v>0.86944444444444446</v>
      </c>
      <c r="RDZ91" s="77" t="str">
        <f t="shared" ref="RDZ91:RFV91" si="375">IF(RDY91="","",IF(RDY91&gt;REH91,"O","P"))</f>
        <v>O</v>
      </c>
      <c r="REA91" s="74" t="s">
        <v>28</v>
      </c>
      <c r="REB91" s="75" t="s">
        <v>23</v>
      </c>
      <c r="REC91" s="78">
        <f>IFERROR(VLOOKUP(REB91,'[1]List KPI'!$M$3:$N$8,2,0),"")</f>
        <v>2.0833333333333332E-2</v>
      </c>
      <c r="RED91" s="76">
        <v>0.89444444444444449</v>
      </c>
      <c r="REE91" s="77" t="str">
        <f t="shared" ref="REE91:RGA91" si="376">IF(RED91="","",IF(RED91&gt;REI91,"O","P"))</f>
        <v>O</v>
      </c>
      <c r="REF91" s="79">
        <v>5</v>
      </c>
      <c r="REG91" s="75">
        <v>1276006</v>
      </c>
      <c r="REH91" s="80"/>
      <c r="REI91" s="81">
        <v>0.86944444444444446</v>
      </c>
      <c r="REJ91" s="74" t="s">
        <v>27</v>
      </c>
      <c r="REK91" s="74" t="s">
        <v>24</v>
      </c>
      <c r="REL91" s="75" t="s">
        <v>25</v>
      </c>
      <c r="REM91" s="76">
        <f>IFERROR(VLOOKUP(REL91,'[1]List KPI'!$A$103:$F$118,6,0),"")</f>
        <v>1.0416666666666666E-2</v>
      </c>
      <c r="REN91" s="76">
        <v>0.86944444444444446</v>
      </c>
      <c r="REO91" s="76">
        <v>0.86944444444444446</v>
      </c>
      <c r="REP91" s="77" t="str">
        <f t="shared" si="375"/>
        <v>O</v>
      </c>
      <c r="REQ91" s="74" t="s">
        <v>28</v>
      </c>
      <c r="RER91" s="75" t="s">
        <v>23</v>
      </c>
      <c r="RES91" s="78">
        <f>IFERROR(VLOOKUP(RER91,'[1]List KPI'!$M$3:$N$8,2,0),"")</f>
        <v>2.0833333333333332E-2</v>
      </c>
      <c r="RET91" s="76">
        <v>0.89444444444444449</v>
      </c>
      <c r="REU91" s="77" t="str">
        <f t="shared" si="376"/>
        <v>O</v>
      </c>
      <c r="REV91" s="79">
        <v>5</v>
      </c>
      <c r="REW91" s="75">
        <v>1276006</v>
      </c>
      <c r="REX91" s="80"/>
      <c r="REY91" s="81">
        <v>0.86944444444444446</v>
      </c>
      <c r="REZ91" s="74" t="s">
        <v>27</v>
      </c>
      <c r="RFA91" s="74" t="s">
        <v>24</v>
      </c>
      <c r="RFB91" s="75" t="s">
        <v>25</v>
      </c>
      <c r="RFC91" s="76">
        <f>IFERROR(VLOOKUP(RFB91,'[1]List KPI'!$A$103:$F$118,6,0),"")</f>
        <v>1.0416666666666666E-2</v>
      </c>
      <c r="RFD91" s="76">
        <v>0.86944444444444446</v>
      </c>
      <c r="RFE91" s="76">
        <v>0.86944444444444446</v>
      </c>
      <c r="RFF91" s="77" t="str">
        <f t="shared" si="375"/>
        <v>O</v>
      </c>
      <c r="RFG91" s="74" t="s">
        <v>28</v>
      </c>
      <c r="RFH91" s="75" t="s">
        <v>23</v>
      </c>
      <c r="RFI91" s="78">
        <f>IFERROR(VLOOKUP(RFH91,'[1]List KPI'!$M$3:$N$8,2,0),"")</f>
        <v>2.0833333333333332E-2</v>
      </c>
      <c r="RFJ91" s="76">
        <v>0.89444444444444449</v>
      </c>
      <c r="RFK91" s="77" t="str">
        <f t="shared" si="376"/>
        <v>O</v>
      </c>
      <c r="RFL91" s="79">
        <v>5</v>
      </c>
      <c r="RFM91" s="75">
        <v>1276006</v>
      </c>
      <c r="RFN91" s="80"/>
      <c r="RFO91" s="81">
        <v>0.86944444444444446</v>
      </c>
      <c r="RFP91" s="74" t="s">
        <v>27</v>
      </c>
      <c r="RFQ91" s="74" t="s">
        <v>24</v>
      </c>
      <c r="RFR91" s="75" t="s">
        <v>25</v>
      </c>
      <c r="RFS91" s="76">
        <f>IFERROR(VLOOKUP(RFR91,'[1]List KPI'!$A$103:$F$118,6,0),"")</f>
        <v>1.0416666666666666E-2</v>
      </c>
      <c r="RFT91" s="76">
        <v>0.86944444444444446</v>
      </c>
      <c r="RFU91" s="76">
        <v>0.86944444444444446</v>
      </c>
      <c r="RFV91" s="77" t="str">
        <f t="shared" si="375"/>
        <v>O</v>
      </c>
      <c r="RFW91" s="74" t="s">
        <v>28</v>
      </c>
      <c r="RFX91" s="75" t="s">
        <v>23</v>
      </c>
      <c r="RFY91" s="78">
        <f>IFERROR(VLOOKUP(RFX91,'[1]List KPI'!$M$3:$N$8,2,0),"")</f>
        <v>2.0833333333333332E-2</v>
      </c>
      <c r="RFZ91" s="76">
        <v>0.89444444444444449</v>
      </c>
      <c r="RGA91" s="77" t="str">
        <f t="shared" si="376"/>
        <v>O</v>
      </c>
      <c r="RGB91" s="79">
        <v>5</v>
      </c>
      <c r="RGC91" s="75">
        <v>1276006</v>
      </c>
      <c r="RGD91" s="80"/>
      <c r="RGE91" s="81">
        <v>0.86944444444444446</v>
      </c>
      <c r="RGF91" s="74" t="s">
        <v>27</v>
      </c>
      <c r="RGG91" s="74" t="s">
        <v>24</v>
      </c>
      <c r="RGH91" s="75" t="s">
        <v>25</v>
      </c>
      <c r="RGI91" s="76">
        <f>IFERROR(VLOOKUP(RGH91,'[1]List KPI'!$A$103:$F$118,6,0),"")</f>
        <v>1.0416666666666666E-2</v>
      </c>
      <c r="RGJ91" s="76">
        <v>0.86944444444444446</v>
      </c>
      <c r="RGK91" s="76">
        <v>0.86944444444444446</v>
      </c>
      <c r="RGL91" s="77" t="str">
        <f t="shared" ref="RGL91:RIH91" si="377">IF(RGK91="","",IF(RGK91&gt;RGT91,"O","P"))</f>
        <v>O</v>
      </c>
      <c r="RGM91" s="74" t="s">
        <v>28</v>
      </c>
      <c r="RGN91" s="75" t="s">
        <v>23</v>
      </c>
      <c r="RGO91" s="78">
        <f>IFERROR(VLOOKUP(RGN91,'[1]List KPI'!$M$3:$N$8,2,0),"")</f>
        <v>2.0833333333333332E-2</v>
      </c>
      <c r="RGP91" s="76">
        <v>0.89444444444444449</v>
      </c>
      <c r="RGQ91" s="77" t="str">
        <f t="shared" ref="RGQ91:RIM91" si="378">IF(RGP91="","",IF(RGP91&gt;RGU91,"O","P"))</f>
        <v>O</v>
      </c>
      <c r="RGR91" s="79">
        <v>5</v>
      </c>
      <c r="RGS91" s="75">
        <v>1276006</v>
      </c>
      <c r="RGT91" s="80"/>
      <c r="RGU91" s="81">
        <v>0.86944444444444446</v>
      </c>
      <c r="RGV91" s="74" t="s">
        <v>27</v>
      </c>
      <c r="RGW91" s="74" t="s">
        <v>24</v>
      </c>
      <c r="RGX91" s="75" t="s">
        <v>25</v>
      </c>
      <c r="RGY91" s="76">
        <f>IFERROR(VLOOKUP(RGX91,'[1]List KPI'!$A$103:$F$118,6,0),"")</f>
        <v>1.0416666666666666E-2</v>
      </c>
      <c r="RGZ91" s="76">
        <v>0.86944444444444446</v>
      </c>
      <c r="RHA91" s="76">
        <v>0.86944444444444446</v>
      </c>
      <c r="RHB91" s="77" t="str">
        <f t="shared" si="377"/>
        <v>O</v>
      </c>
      <c r="RHC91" s="74" t="s">
        <v>28</v>
      </c>
      <c r="RHD91" s="75" t="s">
        <v>23</v>
      </c>
      <c r="RHE91" s="78">
        <f>IFERROR(VLOOKUP(RHD91,'[1]List KPI'!$M$3:$N$8,2,0),"")</f>
        <v>2.0833333333333332E-2</v>
      </c>
      <c r="RHF91" s="76">
        <v>0.89444444444444449</v>
      </c>
      <c r="RHG91" s="77" t="str">
        <f t="shared" si="378"/>
        <v>O</v>
      </c>
      <c r="RHH91" s="79">
        <v>5</v>
      </c>
      <c r="RHI91" s="75">
        <v>1276006</v>
      </c>
      <c r="RHJ91" s="80"/>
      <c r="RHK91" s="81">
        <v>0.86944444444444446</v>
      </c>
      <c r="RHL91" s="74" t="s">
        <v>27</v>
      </c>
      <c r="RHM91" s="74" t="s">
        <v>24</v>
      </c>
      <c r="RHN91" s="75" t="s">
        <v>25</v>
      </c>
      <c r="RHO91" s="76">
        <f>IFERROR(VLOOKUP(RHN91,'[1]List KPI'!$A$103:$F$118,6,0),"")</f>
        <v>1.0416666666666666E-2</v>
      </c>
      <c r="RHP91" s="76">
        <v>0.86944444444444446</v>
      </c>
      <c r="RHQ91" s="76">
        <v>0.86944444444444446</v>
      </c>
      <c r="RHR91" s="77" t="str">
        <f t="shared" si="377"/>
        <v>O</v>
      </c>
      <c r="RHS91" s="74" t="s">
        <v>28</v>
      </c>
      <c r="RHT91" s="75" t="s">
        <v>23</v>
      </c>
      <c r="RHU91" s="78">
        <f>IFERROR(VLOOKUP(RHT91,'[1]List KPI'!$M$3:$N$8,2,0),"")</f>
        <v>2.0833333333333332E-2</v>
      </c>
      <c r="RHV91" s="76">
        <v>0.89444444444444449</v>
      </c>
      <c r="RHW91" s="77" t="str">
        <f t="shared" si="378"/>
        <v>O</v>
      </c>
      <c r="RHX91" s="79">
        <v>5</v>
      </c>
      <c r="RHY91" s="75">
        <v>1276006</v>
      </c>
      <c r="RHZ91" s="80"/>
      <c r="RIA91" s="81">
        <v>0.86944444444444446</v>
      </c>
      <c r="RIB91" s="74" t="s">
        <v>27</v>
      </c>
      <c r="RIC91" s="74" t="s">
        <v>24</v>
      </c>
      <c r="RID91" s="75" t="s">
        <v>25</v>
      </c>
      <c r="RIE91" s="76">
        <f>IFERROR(VLOOKUP(RID91,'[1]List KPI'!$A$103:$F$118,6,0),"")</f>
        <v>1.0416666666666666E-2</v>
      </c>
      <c r="RIF91" s="76">
        <v>0.86944444444444446</v>
      </c>
      <c r="RIG91" s="76">
        <v>0.86944444444444446</v>
      </c>
      <c r="RIH91" s="77" t="str">
        <f t="shared" si="377"/>
        <v>O</v>
      </c>
      <c r="RII91" s="74" t="s">
        <v>28</v>
      </c>
      <c r="RIJ91" s="75" t="s">
        <v>23</v>
      </c>
      <c r="RIK91" s="78">
        <f>IFERROR(VLOOKUP(RIJ91,'[1]List KPI'!$M$3:$N$8,2,0),"")</f>
        <v>2.0833333333333332E-2</v>
      </c>
      <c r="RIL91" s="76">
        <v>0.89444444444444449</v>
      </c>
      <c r="RIM91" s="77" t="str">
        <f t="shared" si="378"/>
        <v>O</v>
      </c>
      <c r="RIN91" s="79">
        <v>5</v>
      </c>
      <c r="RIO91" s="75">
        <v>1276006</v>
      </c>
      <c r="RIP91" s="80"/>
      <c r="RIQ91" s="81">
        <v>0.86944444444444446</v>
      </c>
      <c r="RIR91" s="74" t="s">
        <v>27</v>
      </c>
      <c r="RIS91" s="74" t="s">
        <v>24</v>
      </c>
      <c r="RIT91" s="75" t="s">
        <v>25</v>
      </c>
      <c r="RIU91" s="76">
        <f>IFERROR(VLOOKUP(RIT91,'[1]List KPI'!$A$103:$F$118,6,0),"")</f>
        <v>1.0416666666666666E-2</v>
      </c>
      <c r="RIV91" s="76">
        <v>0.86944444444444446</v>
      </c>
      <c r="RIW91" s="76">
        <v>0.86944444444444446</v>
      </c>
      <c r="RIX91" s="77" t="str">
        <f t="shared" ref="RIX91:RKT91" si="379">IF(RIW91="","",IF(RIW91&gt;RJF91,"O","P"))</f>
        <v>O</v>
      </c>
      <c r="RIY91" s="74" t="s">
        <v>28</v>
      </c>
      <c r="RIZ91" s="75" t="s">
        <v>23</v>
      </c>
      <c r="RJA91" s="78">
        <f>IFERROR(VLOOKUP(RIZ91,'[1]List KPI'!$M$3:$N$8,2,0),"")</f>
        <v>2.0833333333333332E-2</v>
      </c>
      <c r="RJB91" s="76">
        <v>0.89444444444444449</v>
      </c>
      <c r="RJC91" s="77" t="str">
        <f t="shared" ref="RJC91:RKY91" si="380">IF(RJB91="","",IF(RJB91&gt;RJG91,"O","P"))</f>
        <v>O</v>
      </c>
      <c r="RJD91" s="79">
        <v>5</v>
      </c>
      <c r="RJE91" s="75">
        <v>1276006</v>
      </c>
      <c r="RJF91" s="80"/>
      <c r="RJG91" s="81">
        <v>0.86944444444444446</v>
      </c>
      <c r="RJH91" s="74" t="s">
        <v>27</v>
      </c>
      <c r="RJI91" s="74" t="s">
        <v>24</v>
      </c>
      <c r="RJJ91" s="75" t="s">
        <v>25</v>
      </c>
      <c r="RJK91" s="76">
        <f>IFERROR(VLOOKUP(RJJ91,'[1]List KPI'!$A$103:$F$118,6,0),"")</f>
        <v>1.0416666666666666E-2</v>
      </c>
      <c r="RJL91" s="76">
        <v>0.86944444444444446</v>
      </c>
      <c r="RJM91" s="76">
        <v>0.86944444444444446</v>
      </c>
      <c r="RJN91" s="77" t="str">
        <f t="shared" si="379"/>
        <v>O</v>
      </c>
      <c r="RJO91" s="74" t="s">
        <v>28</v>
      </c>
      <c r="RJP91" s="75" t="s">
        <v>23</v>
      </c>
      <c r="RJQ91" s="78">
        <f>IFERROR(VLOOKUP(RJP91,'[1]List KPI'!$M$3:$N$8,2,0),"")</f>
        <v>2.0833333333333332E-2</v>
      </c>
      <c r="RJR91" s="76">
        <v>0.89444444444444449</v>
      </c>
      <c r="RJS91" s="77" t="str">
        <f t="shared" si="380"/>
        <v>O</v>
      </c>
      <c r="RJT91" s="79">
        <v>5</v>
      </c>
      <c r="RJU91" s="75">
        <v>1276006</v>
      </c>
      <c r="RJV91" s="80"/>
      <c r="RJW91" s="81">
        <v>0.86944444444444446</v>
      </c>
      <c r="RJX91" s="74" t="s">
        <v>27</v>
      </c>
      <c r="RJY91" s="74" t="s">
        <v>24</v>
      </c>
      <c r="RJZ91" s="75" t="s">
        <v>25</v>
      </c>
      <c r="RKA91" s="76">
        <f>IFERROR(VLOOKUP(RJZ91,'[1]List KPI'!$A$103:$F$118,6,0),"")</f>
        <v>1.0416666666666666E-2</v>
      </c>
      <c r="RKB91" s="76">
        <v>0.86944444444444446</v>
      </c>
      <c r="RKC91" s="76">
        <v>0.86944444444444446</v>
      </c>
      <c r="RKD91" s="77" t="str">
        <f t="shared" si="379"/>
        <v>O</v>
      </c>
      <c r="RKE91" s="74" t="s">
        <v>28</v>
      </c>
      <c r="RKF91" s="75" t="s">
        <v>23</v>
      </c>
      <c r="RKG91" s="78">
        <f>IFERROR(VLOOKUP(RKF91,'[1]List KPI'!$M$3:$N$8,2,0),"")</f>
        <v>2.0833333333333332E-2</v>
      </c>
      <c r="RKH91" s="76">
        <v>0.89444444444444449</v>
      </c>
      <c r="RKI91" s="77" t="str">
        <f t="shared" si="380"/>
        <v>O</v>
      </c>
      <c r="RKJ91" s="79">
        <v>5</v>
      </c>
      <c r="RKK91" s="75">
        <v>1276006</v>
      </c>
      <c r="RKL91" s="80"/>
      <c r="RKM91" s="81">
        <v>0.86944444444444446</v>
      </c>
      <c r="RKN91" s="74" t="s">
        <v>27</v>
      </c>
      <c r="RKO91" s="74" t="s">
        <v>24</v>
      </c>
      <c r="RKP91" s="75" t="s">
        <v>25</v>
      </c>
      <c r="RKQ91" s="76">
        <f>IFERROR(VLOOKUP(RKP91,'[1]List KPI'!$A$103:$F$118,6,0),"")</f>
        <v>1.0416666666666666E-2</v>
      </c>
      <c r="RKR91" s="76">
        <v>0.86944444444444446</v>
      </c>
      <c r="RKS91" s="76">
        <v>0.86944444444444446</v>
      </c>
      <c r="RKT91" s="77" t="str">
        <f t="shared" si="379"/>
        <v>O</v>
      </c>
      <c r="RKU91" s="74" t="s">
        <v>28</v>
      </c>
      <c r="RKV91" s="75" t="s">
        <v>23</v>
      </c>
      <c r="RKW91" s="78">
        <f>IFERROR(VLOOKUP(RKV91,'[1]List KPI'!$M$3:$N$8,2,0),"")</f>
        <v>2.0833333333333332E-2</v>
      </c>
      <c r="RKX91" s="76">
        <v>0.89444444444444449</v>
      </c>
      <c r="RKY91" s="77" t="str">
        <f t="shared" si="380"/>
        <v>O</v>
      </c>
      <c r="RKZ91" s="79">
        <v>5</v>
      </c>
      <c r="RLA91" s="75">
        <v>1276006</v>
      </c>
      <c r="RLB91" s="80"/>
      <c r="RLC91" s="81">
        <v>0.86944444444444446</v>
      </c>
      <c r="RLD91" s="74" t="s">
        <v>27</v>
      </c>
      <c r="RLE91" s="74" t="s">
        <v>24</v>
      </c>
      <c r="RLF91" s="75" t="s">
        <v>25</v>
      </c>
      <c r="RLG91" s="76">
        <f>IFERROR(VLOOKUP(RLF91,'[1]List KPI'!$A$103:$F$118,6,0),"")</f>
        <v>1.0416666666666666E-2</v>
      </c>
      <c r="RLH91" s="76">
        <v>0.86944444444444446</v>
      </c>
      <c r="RLI91" s="76">
        <v>0.86944444444444446</v>
      </c>
      <c r="RLJ91" s="77" t="str">
        <f t="shared" ref="RLJ91:RNF91" si="381">IF(RLI91="","",IF(RLI91&gt;RLR91,"O","P"))</f>
        <v>O</v>
      </c>
      <c r="RLK91" s="74" t="s">
        <v>28</v>
      </c>
      <c r="RLL91" s="75" t="s">
        <v>23</v>
      </c>
      <c r="RLM91" s="78">
        <f>IFERROR(VLOOKUP(RLL91,'[1]List KPI'!$M$3:$N$8,2,0),"")</f>
        <v>2.0833333333333332E-2</v>
      </c>
      <c r="RLN91" s="76">
        <v>0.89444444444444449</v>
      </c>
      <c r="RLO91" s="77" t="str">
        <f t="shared" ref="RLO91:RNK91" si="382">IF(RLN91="","",IF(RLN91&gt;RLS91,"O","P"))</f>
        <v>O</v>
      </c>
      <c r="RLP91" s="79">
        <v>5</v>
      </c>
      <c r="RLQ91" s="75">
        <v>1276006</v>
      </c>
      <c r="RLR91" s="80"/>
      <c r="RLS91" s="81">
        <v>0.86944444444444446</v>
      </c>
      <c r="RLT91" s="74" t="s">
        <v>27</v>
      </c>
      <c r="RLU91" s="74" t="s">
        <v>24</v>
      </c>
      <c r="RLV91" s="75" t="s">
        <v>25</v>
      </c>
      <c r="RLW91" s="76">
        <f>IFERROR(VLOOKUP(RLV91,'[1]List KPI'!$A$103:$F$118,6,0),"")</f>
        <v>1.0416666666666666E-2</v>
      </c>
      <c r="RLX91" s="76">
        <v>0.86944444444444446</v>
      </c>
      <c r="RLY91" s="76">
        <v>0.86944444444444446</v>
      </c>
      <c r="RLZ91" s="77" t="str">
        <f t="shared" si="381"/>
        <v>O</v>
      </c>
      <c r="RMA91" s="74" t="s">
        <v>28</v>
      </c>
      <c r="RMB91" s="75" t="s">
        <v>23</v>
      </c>
      <c r="RMC91" s="78">
        <f>IFERROR(VLOOKUP(RMB91,'[1]List KPI'!$M$3:$N$8,2,0),"")</f>
        <v>2.0833333333333332E-2</v>
      </c>
      <c r="RMD91" s="76">
        <v>0.89444444444444449</v>
      </c>
      <c r="RME91" s="77" t="str">
        <f t="shared" si="382"/>
        <v>O</v>
      </c>
      <c r="RMF91" s="79">
        <v>5</v>
      </c>
      <c r="RMG91" s="75">
        <v>1276006</v>
      </c>
      <c r="RMH91" s="80"/>
      <c r="RMI91" s="81">
        <v>0.86944444444444446</v>
      </c>
      <c r="RMJ91" s="74" t="s">
        <v>27</v>
      </c>
      <c r="RMK91" s="74" t="s">
        <v>24</v>
      </c>
      <c r="RML91" s="75" t="s">
        <v>25</v>
      </c>
      <c r="RMM91" s="76">
        <f>IFERROR(VLOOKUP(RML91,'[1]List KPI'!$A$103:$F$118,6,0),"")</f>
        <v>1.0416666666666666E-2</v>
      </c>
      <c r="RMN91" s="76">
        <v>0.86944444444444446</v>
      </c>
      <c r="RMO91" s="76">
        <v>0.86944444444444446</v>
      </c>
      <c r="RMP91" s="77" t="str">
        <f t="shared" si="381"/>
        <v>O</v>
      </c>
      <c r="RMQ91" s="74" t="s">
        <v>28</v>
      </c>
      <c r="RMR91" s="75" t="s">
        <v>23</v>
      </c>
      <c r="RMS91" s="78">
        <f>IFERROR(VLOOKUP(RMR91,'[1]List KPI'!$M$3:$N$8,2,0),"")</f>
        <v>2.0833333333333332E-2</v>
      </c>
      <c r="RMT91" s="76">
        <v>0.89444444444444449</v>
      </c>
      <c r="RMU91" s="77" t="str">
        <f t="shared" si="382"/>
        <v>O</v>
      </c>
      <c r="RMV91" s="79">
        <v>5</v>
      </c>
      <c r="RMW91" s="75">
        <v>1276006</v>
      </c>
      <c r="RMX91" s="80"/>
      <c r="RMY91" s="81">
        <v>0.86944444444444446</v>
      </c>
      <c r="RMZ91" s="74" t="s">
        <v>27</v>
      </c>
      <c r="RNA91" s="74" t="s">
        <v>24</v>
      </c>
      <c r="RNB91" s="75" t="s">
        <v>25</v>
      </c>
      <c r="RNC91" s="76">
        <f>IFERROR(VLOOKUP(RNB91,'[1]List KPI'!$A$103:$F$118,6,0),"")</f>
        <v>1.0416666666666666E-2</v>
      </c>
      <c r="RND91" s="76">
        <v>0.86944444444444446</v>
      </c>
      <c r="RNE91" s="76">
        <v>0.86944444444444446</v>
      </c>
      <c r="RNF91" s="77" t="str">
        <f t="shared" si="381"/>
        <v>O</v>
      </c>
      <c r="RNG91" s="74" t="s">
        <v>28</v>
      </c>
      <c r="RNH91" s="75" t="s">
        <v>23</v>
      </c>
      <c r="RNI91" s="78">
        <f>IFERROR(VLOOKUP(RNH91,'[1]List KPI'!$M$3:$N$8,2,0),"")</f>
        <v>2.0833333333333332E-2</v>
      </c>
      <c r="RNJ91" s="76">
        <v>0.89444444444444449</v>
      </c>
      <c r="RNK91" s="77" t="str">
        <f t="shared" si="382"/>
        <v>O</v>
      </c>
      <c r="RNL91" s="79">
        <v>5</v>
      </c>
      <c r="RNM91" s="75">
        <v>1276006</v>
      </c>
      <c r="RNN91" s="80"/>
      <c r="RNO91" s="81">
        <v>0.86944444444444446</v>
      </c>
      <c r="RNP91" s="74" t="s">
        <v>27</v>
      </c>
      <c r="RNQ91" s="74" t="s">
        <v>24</v>
      </c>
      <c r="RNR91" s="75" t="s">
        <v>25</v>
      </c>
      <c r="RNS91" s="76">
        <f>IFERROR(VLOOKUP(RNR91,'[1]List KPI'!$A$103:$F$118,6,0),"")</f>
        <v>1.0416666666666666E-2</v>
      </c>
      <c r="RNT91" s="76">
        <v>0.86944444444444446</v>
      </c>
      <c r="RNU91" s="76">
        <v>0.86944444444444446</v>
      </c>
      <c r="RNV91" s="77" t="str">
        <f t="shared" ref="RNV91:RPR91" si="383">IF(RNU91="","",IF(RNU91&gt;ROD91,"O","P"))</f>
        <v>O</v>
      </c>
      <c r="RNW91" s="74" t="s">
        <v>28</v>
      </c>
      <c r="RNX91" s="75" t="s">
        <v>23</v>
      </c>
      <c r="RNY91" s="78">
        <f>IFERROR(VLOOKUP(RNX91,'[1]List KPI'!$M$3:$N$8,2,0),"")</f>
        <v>2.0833333333333332E-2</v>
      </c>
      <c r="RNZ91" s="76">
        <v>0.89444444444444449</v>
      </c>
      <c r="ROA91" s="77" t="str">
        <f t="shared" ref="ROA91:RPW91" si="384">IF(RNZ91="","",IF(RNZ91&gt;ROE91,"O","P"))</f>
        <v>O</v>
      </c>
      <c r="ROB91" s="79">
        <v>5</v>
      </c>
      <c r="ROC91" s="75">
        <v>1276006</v>
      </c>
      <c r="ROD91" s="80"/>
      <c r="ROE91" s="81">
        <v>0.86944444444444446</v>
      </c>
      <c r="ROF91" s="74" t="s">
        <v>27</v>
      </c>
      <c r="ROG91" s="74" t="s">
        <v>24</v>
      </c>
      <c r="ROH91" s="75" t="s">
        <v>25</v>
      </c>
      <c r="ROI91" s="76">
        <f>IFERROR(VLOOKUP(ROH91,'[1]List KPI'!$A$103:$F$118,6,0),"")</f>
        <v>1.0416666666666666E-2</v>
      </c>
      <c r="ROJ91" s="76">
        <v>0.86944444444444446</v>
      </c>
      <c r="ROK91" s="76">
        <v>0.86944444444444446</v>
      </c>
      <c r="ROL91" s="77" t="str">
        <f t="shared" si="383"/>
        <v>O</v>
      </c>
      <c r="ROM91" s="74" t="s">
        <v>28</v>
      </c>
      <c r="RON91" s="75" t="s">
        <v>23</v>
      </c>
      <c r="ROO91" s="78">
        <f>IFERROR(VLOOKUP(RON91,'[1]List KPI'!$M$3:$N$8,2,0),"")</f>
        <v>2.0833333333333332E-2</v>
      </c>
      <c r="ROP91" s="76">
        <v>0.89444444444444449</v>
      </c>
      <c r="ROQ91" s="77" t="str">
        <f t="shared" si="384"/>
        <v>O</v>
      </c>
      <c r="ROR91" s="79">
        <v>5</v>
      </c>
      <c r="ROS91" s="75">
        <v>1276006</v>
      </c>
      <c r="ROT91" s="80"/>
      <c r="ROU91" s="81">
        <v>0.86944444444444446</v>
      </c>
      <c r="ROV91" s="74" t="s">
        <v>27</v>
      </c>
      <c r="ROW91" s="74" t="s">
        <v>24</v>
      </c>
      <c r="ROX91" s="75" t="s">
        <v>25</v>
      </c>
      <c r="ROY91" s="76">
        <f>IFERROR(VLOOKUP(ROX91,'[1]List KPI'!$A$103:$F$118,6,0),"")</f>
        <v>1.0416666666666666E-2</v>
      </c>
      <c r="ROZ91" s="76">
        <v>0.86944444444444446</v>
      </c>
      <c r="RPA91" s="76">
        <v>0.86944444444444446</v>
      </c>
      <c r="RPB91" s="77" t="str">
        <f t="shared" si="383"/>
        <v>O</v>
      </c>
      <c r="RPC91" s="74" t="s">
        <v>28</v>
      </c>
      <c r="RPD91" s="75" t="s">
        <v>23</v>
      </c>
      <c r="RPE91" s="78">
        <f>IFERROR(VLOOKUP(RPD91,'[1]List KPI'!$M$3:$N$8,2,0),"")</f>
        <v>2.0833333333333332E-2</v>
      </c>
      <c r="RPF91" s="76">
        <v>0.89444444444444449</v>
      </c>
      <c r="RPG91" s="77" t="str">
        <f t="shared" si="384"/>
        <v>O</v>
      </c>
      <c r="RPH91" s="79">
        <v>5</v>
      </c>
      <c r="RPI91" s="75">
        <v>1276006</v>
      </c>
      <c r="RPJ91" s="80"/>
      <c r="RPK91" s="81">
        <v>0.86944444444444446</v>
      </c>
      <c r="RPL91" s="74" t="s">
        <v>27</v>
      </c>
      <c r="RPM91" s="74" t="s">
        <v>24</v>
      </c>
      <c r="RPN91" s="75" t="s">
        <v>25</v>
      </c>
      <c r="RPO91" s="76">
        <f>IFERROR(VLOOKUP(RPN91,'[1]List KPI'!$A$103:$F$118,6,0),"")</f>
        <v>1.0416666666666666E-2</v>
      </c>
      <c r="RPP91" s="76">
        <v>0.86944444444444446</v>
      </c>
      <c r="RPQ91" s="76">
        <v>0.86944444444444446</v>
      </c>
      <c r="RPR91" s="77" t="str">
        <f t="shared" si="383"/>
        <v>O</v>
      </c>
      <c r="RPS91" s="74" t="s">
        <v>28</v>
      </c>
      <c r="RPT91" s="75" t="s">
        <v>23</v>
      </c>
      <c r="RPU91" s="78">
        <f>IFERROR(VLOOKUP(RPT91,'[1]List KPI'!$M$3:$N$8,2,0),"")</f>
        <v>2.0833333333333332E-2</v>
      </c>
      <c r="RPV91" s="76">
        <v>0.89444444444444449</v>
      </c>
      <c r="RPW91" s="77" t="str">
        <f t="shared" si="384"/>
        <v>O</v>
      </c>
      <c r="RPX91" s="79">
        <v>5</v>
      </c>
      <c r="RPY91" s="75">
        <v>1276006</v>
      </c>
      <c r="RPZ91" s="80"/>
      <c r="RQA91" s="81">
        <v>0.86944444444444446</v>
      </c>
      <c r="RQB91" s="74" t="s">
        <v>27</v>
      </c>
      <c r="RQC91" s="74" t="s">
        <v>24</v>
      </c>
      <c r="RQD91" s="75" t="s">
        <v>25</v>
      </c>
      <c r="RQE91" s="76">
        <f>IFERROR(VLOOKUP(RQD91,'[1]List KPI'!$A$103:$F$118,6,0),"")</f>
        <v>1.0416666666666666E-2</v>
      </c>
      <c r="RQF91" s="76">
        <v>0.86944444444444446</v>
      </c>
      <c r="RQG91" s="76">
        <v>0.86944444444444446</v>
      </c>
      <c r="RQH91" s="77" t="str">
        <f t="shared" ref="RQH91:RSD91" si="385">IF(RQG91="","",IF(RQG91&gt;RQP91,"O","P"))</f>
        <v>O</v>
      </c>
      <c r="RQI91" s="74" t="s">
        <v>28</v>
      </c>
      <c r="RQJ91" s="75" t="s">
        <v>23</v>
      </c>
      <c r="RQK91" s="78">
        <f>IFERROR(VLOOKUP(RQJ91,'[1]List KPI'!$M$3:$N$8,2,0),"")</f>
        <v>2.0833333333333332E-2</v>
      </c>
      <c r="RQL91" s="76">
        <v>0.89444444444444449</v>
      </c>
      <c r="RQM91" s="77" t="str">
        <f t="shared" ref="RQM91:RSI91" si="386">IF(RQL91="","",IF(RQL91&gt;RQQ91,"O","P"))</f>
        <v>O</v>
      </c>
      <c r="RQN91" s="79">
        <v>5</v>
      </c>
      <c r="RQO91" s="75">
        <v>1276006</v>
      </c>
      <c r="RQP91" s="80"/>
      <c r="RQQ91" s="81">
        <v>0.86944444444444446</v>
      </c>
      <c r="RQR91" s="74" t="s">
        <v>27</v>
      </c>
      <c r="RQS91" s="74" t="s">
        <v>24</v>
      </c>
      <c r="RQT91" s="75" t="s">
        <v>25</v>
      </c>
      <c r="RQU91" s="76">
        <f>IFERROR(VLOOKUP(RQT91,'[1]List KPI'!$A$103:$F$118,6,0),"")</f>
        <v>1.0416666666666666E-2</v>
      </c>
      <c r="RQV91" s="76">
        <v>0.86944444444444446</v>
      </c>
      <c r="RQW91" s="76">
        <v>0.86944444444444446</v>
      </c>
      <c r="RQX91" s="77" t="str">
        <f t="shared" si="385"/>
        <v>O</v>
      </c>
      <c r="RQY91" s="74" t="s">
        <v>28</v>
      </c>
      <c r="RQZ91" s="75" t="s">
        <v>23</v>
      </c>
      <c r="RRA91" s="78">
        <f>IFERROR(VLOOKUP(RQZ91,'[1]List KPI'!$M$3:$N$8,2,0),"")</f>
        <v>2.0833333333333332E-2</v>
      </c>
      <c r="RRB91" s="76">
        <v>0.89444444444444449</v>
      </c>
      <c r="RRC91" s="77" t="str">
        <f t="shared" si="386"/>
        <v>O</v>
      </c>
      <c r="RRD91" s="79">
        <v>5</v>
      </c>
      <c r="RRE91" s="75">
        <v>1276006</v>
      </c>
      <c r="RRF91" s="80"/>
      <c r="RRG91" s="81">
        <v>0.86944444444444446</v>
      </c>
      <c r="RRH91" s="74" t="s">
        <v>27</v>
      </c>
      <c r="RRI91" s="74" t="s">
        <v>24</v>
      </c>
      <c r="RRJ91" s="75" t="s">
        <v>25</v>
      </c>
      <c r="RRK91" s="76">
        <f>IFERROR(VLOOKUP(RRJ91,'[1]List KPI'!$A$103:$F$118,6,0),"")</f>
        <v>1.0416666666666666E-2</v>
      </c>
      <c r="RRL91" s="76">
        <v>0.86944444444444446</v>
      </c>
      <c r="RRM91" s="76">
        <v>0.86944444444444446</v>
      </c>
      <c r="RRN91" s="77" t="str">
        <f t="shared" si="385"/>
        <v>O</v>
      </c>
      <c r="RRO91" s="74" t="s">
        <v>28</v>
      </c>
      <c r="RRP91" s="75" t="s">
        <v>23</v>
      </c>
      <c r="RRQ91" s="78">
        <f>IFERROR(VLOOKUP(RRP91,'[1]List KPI'!$M$3:$N$8,2,0),"")</f>
        <v>2.0833333333333332E-2</v>
      </c>
      <c r="RRR91" s="76">
        <v>0.89444444444444449</v>
      </c>
      <c r="RRS91" s="77" t="str">
        <f t="shared" si="386"/>
        <v>O</v>
      </c>
      <c r="RRT91" s="79">
        <v>5</v>
      </c>
      <c r="RRU91" s="75">
        <v>1276006</v>
      </c>
      <c r="RRV91" s="80"/>
      <c r="RRW91" s="81">
        <v>0.86944444444444446</v>
      </c>
      <c r="RRX91" s="74" t="s">
        <v>27</v>
      </c>
      <c r="RRY91" s="74" t="s">
        <v>24</v>
      </c>
      <c r="RRZ91" s="75" t="s">
        <v>25</v>
      </c>
      <c r="RSA91" s="76">
        <f>IFERROR(VLOOKUP(RRZ91,'[1]List KPI'!$A$103:$F$118,6,0),"")</f>
        <v>1.0416666666666666E-2</v>
      </c>
      <c r="RSB91" s="76">
        <v>0.86944444444444446</v>
      </c>
      <c r="RSC91" s="76">
        <v>0.86944444444444446</v>
      </c>
      <c r="RSD91" s="77" t="str">
        <f t="shared" si="385"/>
        <v>O</v>
      </c>
      <c r="RSE91" s="74" t="s">
        <v>28</v>
      </c>
      <c r="RSF91" s="75" t="s">
        <v>23</v>
      </c>
      <c r="RSG91" s="78">
        <f>IFERROR(VLOOKUP(RSF91,'[1]List KPI'!$M$3:$N$8,2,0),"")</f>
        <v>2.0833333333333332E-2</v>
      </c>
      <c r="RSH91" s="76">
        <v>0.89444444444444449</v>
      </c>
      <c r="RSI91" s="77" t="str">
        <f t="shared" si="386"/>
        <v>O</v>
      </c>
      <c r="RSJ91" s="79">
        <v>5</v>
      </c>
      <c r="RSK91" s="75">
        <v>1276006</v>
      </c>
      <c r="RSL91" s="80"/>
      <c r="RSM91" s="81">
        <v>0.86944444444444446</v>
      </c>
      <c r="RSN91" s="74" t="s">
        <v>27</v>
      </c>
      <c r="RSO91" s="74" t="s">
        <v>24</v>
      </c>
      <c r="RSP91" s="75" t="s">
        <v>25</v>
      </c>
      <c r="RSQ91" s="76">
        <f>IFERROR(VLOOKUP(RSP91,'[1]List KPI'!$A$103:$F$118,6,0),"")</f>
        <v>1.0416666666666666E-2</v>
      </c>
      <c r="RSR91" s="76">
        <v>0.86944444444444446</v>
      </c>
      <c r="RSS91" s="76">
        <v>0.86944444444444446</v>
      </c>
      <c r="RST91" s="77" t="str">
        <f t="shared" ref="RST91:RUP91" si="387">IF(RSS91="","",IF(RSS91&gt;RTB91,"O","P"))</f>
        <v>O</v>
      </c>
      <c r="RSU91" s="74" t="s">
        <v>28</v>
      </c>
      <c r="RSV91" s="75" t="s">
        <v>23</v>
      </c>
      <c r="RSW91" s="78">
        <f>IFERROR(VLOOKUP(RSV91,'[1]List KPI'!$M$3:$N$8,2,0),"")</f>
        <v>2.0833333333333332E-2</v>
      </c>
      <c r="RSX91" s="76">
        <v>0.89444444444444449</v>
      </c>
      <c r="RSY91" s="77" t="str">
        <f t="shared" ref="RSY91:RUU91" si="388">IF(RSX91="","",IF(RSX91&gt;RTC91,"O","P"))</f>
        <v>O</v>
      </c>
      <c r="RSZ91" s="79">
        <v>5</v>
      </c>
      <c r="RTA91" s="75">
        <v>1276006</v>
      </c>
      <c r="RTB91" s="80"/>
      <c r="RTC91" s="81">
        <v>0.86944444444444446</v>
      </c>
      <c r="RTD91" s="74" t="s">
        <v>27</v>
      </c>
      <c r="RTE91" s="74" t="s">
        <v>24</v>
      </c>
      <c r="RTF91" s="75" t="s">
        <v>25</v>
      </c>
      <c r="RTG91" s="76">
        <f>IFERROR(VLOOKUP(RTF91,'[1]List KPI'!$A$103:$F$118,6,0),"")</f>
        <v>1.0416666666666666E-2</v>
      </c>
      <c r="RTH91" s="76">
        <v>0.86944444444444446</v>
      </c>
      <c r="RTI91" s="76">
        <v>0.86944444444444446</v>
      </c>
      <c r="RTJ91" s="77" t="str">
        <f t="shared" si="387"/>
        <v>O</v>
      </c>
      <c r="RTK91" s="74" t="s">
        <v>28</v>
      </c>
      <c r="RTL91" s="75" t="s">
        <v>23</v>
      </c>
      <c r="RTM91" s="78">
        <f>IFERROR(VLOOKUP(RTL91,'[1]List KPI'!$M$3:$N$8,2,0),"")</f>
        <v>2.0833333333333332E-2</v>
      </c>
      <c r="RTN91" s="76">
        <v>0.89444444444444449</v>
      </c>
      <c r="RTO91" s="77" t="str">
        <f t="shared" si="388"/>
        <v>O</v>
      </c>
      <c r="RTP91" s="79">
        <v>5</v>
      </c>
      <c r="RTQ91" s="75">
        <v>1276006</v>
      </c>
      <c r="RTR91" s="80"/>
      <c r="RTS91" s="81">
        <v>0.86944444444444446</v>
      </c>
      <c r="RTT91" s="74" t="s">
        <v>27</v>
      </c>
      <c r="RTU91" s="74" t="s">
        <v>24</v>
      </c>
      <c r="RTV91" s="75" t="s">
        <v>25</v>
      </c>
      <c r="RTW91" s="76">
        <f>IFERROR(VLOOKUP(RTV91,'[1]List KPI'!$A$103:$F$118,6,0),"")</f>
        <v>1.0416666666666666E-2</v>
      </c>
      <c r="RTX91" s="76">
        <v>0.86944444444444446</v>
      </c>
      <c r="RTY91" s="76">
        <v>0.86944444444444446</v>
      </c>
      <c r="RTZ91" s="77" t="str">
        <f t="shared" si="387"/>
        <v>O</v>
      </c>
      <c r="RUA91" s="74" t="s">
        <v>28</v>
      </c>
      <c r="RUB91" s="75" t="s">
        <v>23</v>
      </c>
      <c r="RUC91" s="78">
        <f>IFERROR(VLOOKUP(RUB91,'[1]List KPI'!$M$3:$N$8,2,0),"")</f>
        <v>2.0833333333333332E-2</v>
      </c>
      <c r="RUD91" s="76">
        <v>0.89444444444444449</v>
      </c>
      <c r="RUE91" s="77" t="str">
        <f t="shared" si="388"/>
        <v>O</v>
      </c>
      <c r="RUF91" s="79">
        <v>5</v>
      </c>
      <c r="RUG91" s="75">
        <v>1276006</v>
      </c>
      <c r="RUH91" s="80"/>
      <c r="RUI91" s="81">
        <v>0.86944444444444446</v>
      </c>
      <c r="RUJ91" s="74" t="s">
        <v>27</v>
      </c>
      <c r="RUK91" s="74" t="s">
        <v>24</v>
      </c>
      <c r="RUL91" s="75" t="s">
        <v>25</v>
      </c>
      <c r="RUM91" s="76">
        <f>IFERROR(VLOOKUP(RUL91,'[1]List KPI'!$A$103:$F$118,6,0),"")</f>
        <v>1.0416666666666666E-2</v>
      </c>
      <c r="RUN91" s="76">
        <v>0.86944444444444446</v>
      </c>
      <c r="RUO91" s="76">
        <v>0.86944444444444446</v>
      </c>
      <c r="RUP91" s="77" t="str">
        <f t="shared" si="387"/>
        <v>O</v>
      </c>
      <c r="RUQ91" s="74" t="s">
        <v>28</v>
      </c>
      <c r="RUR91" s="75" t="s">
        <v>23</v>
      </c>
      <c r="RUS91" s="78">
        <f>IFERROR(VLOOKUP(RUR91,'[1]List KPI'!$M$3:$N$8,2,0),"")</f>
        <v>2.0833333333333332E-2</v>
      </c>
      <c r="RUT91" s="76">
        <v>0.89444444444444449</v>
      </c>
      <c r="RUU91" s="77" t="str">
        <f t="shared" si="388"/>
        <v>O</v>
      </c>
      <c r="RUV91" s="79">
        <v>5</v>
      </c>
      <c r="RUW91" s="75">
        <v>1276006</v>
      </c>
      <c r="RUX91" s="80"/>
      <c r="RUY91" s="81">
        <v>0.86944444444444446</v>
      </c>
      <c r="RUZ91" s="74" t="s">
        <v>27</v>
      </c>
      <c r="RVA91" s="74" t="s">
        <v>24</v>
      </c>
      <c r="RVB91" s="75" t="s">
        <v>25</v>
      </c>
      <c r="RVC91" s="76">
        <f>IFERROR(VLOOKUP(RVB91,'[1]List KPI'!$A$103:$F$118,6,0),"")</f>
        <v>1.0416666666666666E-2</v>
      </c>
      <c r="RVD91" s="76">
        <v>0.86944444444444446</v>
      </c>
      <c r="RVE91" s="76">
        <v>0.86944444444444446</v>
      </c>
      <c r="RVF91" s="77" t="str">
        <f t="shared" ref="RVF91:RXB91" si="389">IF(RVE91="","",IF(RVE91&gt;RVN91,"O","P"))</f>
        <v>O</v>
      </c>
      <c r="RVG91" s="74" t="s">
        <v>28</v>
      </c>
      <c r="RVH91" s="75" t="s">
        <v>23</v>
      </c>
      <c r="RVI91" s="78">
        <f>IFERROR(VLOOKUP(RVH91,'[1]List KPI'!$M$3:$N$8,2,0),"")</f>
        <v>2.0833333333333332E-2</v>
      </c>
      <c r="RVJ91" s="76">
        <v>0.89444444444444449</v>
      </c>
      <c r="RVK91" s="77" t="str">
        <f t="shared" ref="RVK91:RXG91" si="390">IF(RVJ91="","",IF(RVJ91&gt;RVO91,"O","P"))</f>
        <v>O</v>
      </c>
      <c r="RVL91" s="79">
        <v>5</v>
      </c>
      <c r="RVM91" s="75">
        <v>1276006</v>
      </c>
      <c r="RVN91" s="80"/>
      <c r="RVO91" s="81">
        <v>0.86944444444444446</v>
      </c>
      <c r="RVP91" s="74" t="s">
        <v>27</v>
      </c>
      <c r="RVQ91" s="74" t="s">
        <v>24</v>
      </c>
      <c r="RVR91" s="75" t="s">
        <v>25</v>
      </c>
      <c r="RVS91" s="76">
        <f>IFERROR(VLOOKUP(RVR91,'[1]List KPI'!$A$103:$F$118,6,0),"")</f>
        <v>1.0416666666666666E-2</v>
      </c>
      <c r="RVT91" s="76">
        <v>0.86944444444444446</v>
      </c>
      <c r="RVU91" s="76">
        <v>0.86944444444444446</v>
      </c>
      <c r="RVV91" s="77" t="str">
        <f t="shared" si="389"/>
        <v>O</v>
      </c>
      <c r="RVW91" s="74" t="s">
        <v>28</v>
      </c>
      <c r="RVX91" s="75" t="s">
        <v>23</v>
      </c>
      <c r="RVY91" s="78">
        <f>IFERROR(VLOOKUP(RVX91,'[1]List KPI'!$M$3:$N$8,2,0),"")</f>
        <v>2.0833333333333332E-2</v>
      </c>
      <c r="RVZ91" s="76">
        <v>0.89444444444444449</v>
      </c>
      <c r="RWA91" s="77" t="str">
        <f t="shared" si="390"/>
        <v>O</v>
      </c>
      <c r="RWB91" s="79">
        <v>5</v>
      </c>
      <c r="RWC91" s="75">
        <v>1276006</v>
      </c>
      <c r="RWD91" s="80"/>
      <c r="RWE91" s="81">
        <v>0.86944444444444446</v>
      </c>
      <c r="RWF91" s="74" t="s">
        <v>27</v>
      </c>
      <c r="RWG91" s="74" t="s">
        <v>24</v>
      </c>
      <c r="RWH91" s="75" t="s">
        <v>25</v>
      </c>
      <c r="RWI91" s="76">
        <f>IFERROR(VLOOKUP(RWH91,'[1]List KPI'!$A$103:$F$118,6,0),"")</f>
        <v>1.0416666666666666E-2</v>
      </c>
      <c r="RWJ91" s="76">
        <v>0.86944444444444446</v>
      </c>
      <c r="RWK91" s="76">
        <v>0.86944444444444446</v>
      </c>
      <c r="RWL91" s="77" t="str">
        <f t="shared" si="389"/>
        <v>O</v>
      </c>
      <c r="RWM91" s="74" t="s">
        <v>28</v>
      </c>
      <c r="RWN91" s="75" t="s">
        <v>23</v>
      </c>
      <c r="RWO91" s="78">
        <f>IFERROR(VLOOKUP(RWN91,'[1]List KPI'!$M$3:$N$8,2,0),"")</f>
        <v>2.0833333333333332E-2</v>
      </c>
      <c r="RWP91" s="76">
        <v>0.89444444444444449</v>
      </c>
      <c r="RWQ91" s="77" t="str">
        <f t="shared" si="390"/>
        <v>O</v>
      </c>
      <c r="RWR91" s="79">
        <v>5</v>
      </c>
      <c r="RWS91" s="75">
        <v>1276006</v>
      </c>
      <c r="RWT91" s="80"/>
      <c r="RWU91" s="81">
        <v>0.86944444444444446</v>
      </c>
      <c r="RWV91" s="74" t="s">
        <v>27</v>
      </c>
      <c r="RWW91" s="74" t="s">
        <v>24</v>
      </c>
      <c r="RWX91" s="75" t="s">
        <v>25</v>
      </c>
      <c r="RWY91" s="76">
        <f>IFERROR(VLOOKUP(RWX91,'[1]List KPI'!$A$103:$F$118,6,0),"")</f>
        <v>1.0416666666666666E-2</v>
      </c>
      <c r="RWZ91" s="76">
        <v>0.86944444444444446</v>
      </c>
      <c r="RXA91" s="76">
        <v>0.86944444444444446</v>
      </c>
      <c r="RXB91" s="77" t="str">
        <f t="shared" si="389"/>
        <v>O</v>
      </c>
      <c r="RXC91" s="74" t="s">
        <v>28</v>
      </c>
      <c r="RXD91" s="75" t="s">
        <v>23</v>
      </c>
      <c r="RXE91" s="78">
        <f>IFERROR(VLOOKUP(RXD91,'[1]List KPI'!$M$3:$N$8,2,0),"")</f>
        <v>2.0833333333333332E-2</v>
      </c>
      <c r="RXF91" s="76">
        <v>0.89444444444444449</v>
      </c>
      <c r="RXG91" s="77" t="str">
        <f t="shared" si="390"/>
        <v>O</v>
      </c>
      <c r="RXH91" s="79">
        <v>5</v>
      </c>
      <c r="RXI91" s="75">
        <v>1276006</v>
      </c>
      <c r="RXJ91" s="80"/>
      <c r="RXK91" s="81">
        <v>0.86944444444444446</v>
      </c>
      <c r="RXL91" s="74" t="s">
        <v>27</v>
      </c>
      <c r="RXM91" s="74" t="s">
        <v>24</v>
      </c>
      <c r="RXN91" s="75" t="s">
        <v>25</v>
      </c>
      <c r="RXO91" s="76">
        <f>IFERROR(VLOOKUP(RXN91,'[1]List KPI'!$A$103:$F$118,6,0),"")</f>
        <v>1.0416666666666666E-2</v>
      </c>
      <c r="RXP91" s="76">
        <v>0.86944444444444446</v>
      </c>
      <c r="RXQ91" s="76">
        <v>0.86944444444444446</v>
      </c>
      <c r="RXR91" s="77" t="str">
        <f t="shared" ref="RXR91:RZN91" si="391">IF(RXQ91="","",IF(RXQ91&gt;RXZ91,"O","P"))</f>
        <v>O</v>
      </c>
      <c r="RXS91" s="74" t="s">
        <v>28</v>
      </c>
      <c r="RXT91" s="75" t="s">
        <v>23</v>
      </c>
      <c r="RXU91" s="78">
        <f>IFERROR(VLOOKUP(RXT91,'[1]List KPI'!$M$3:$N$8,2,0),"")</f>
        <v>2.0833333333333332E-2</v>
      </c>
      <c r="RXV91" s="76">
        <v>0.89444444444444449</v>
      </c>
      <c r="RXW91" s="77" t="str">
        <f t="shared" ref="RXW91:RZS91" si="392">IF(RXV91="","",IF(RXV91&gt;RYA91,"O","P"))</f>
        <v>O</v>
      </c>
      <c r="RXX91" s="79">
        <v>5</v>
      </c>
      <c r="RXY91" s="75">
        <v>1276006</v>
      </c>
      <c r="RXZ91" s="80"/>
      <c r="RYA91" s="81">
        <v>0.86944444444444446</v>
      </c>
      <c r="RYB91" s="74" t="s">
        <v>27</v>
      </c>
      <c r="RYC91" s="74" t="s">
        <v>24</v>
      </c>
      <c r="RYD91" s="75" t="s">
        <v>25</v>
      </c>
      <c r="RYE91" s="76">
        <f>IFERROR(VLOOKUP(RYD91,'[1]List KPI'!$A$103:$F$118,6,0),"")</f>
        <v>1.0416666666666666E-2</v>
      </c>
      <c r="RYF91" s="76">
        <v>0.86944444444444446</v>
      </c>
      <c r="RYG91" s="76">
        <v>0.86944444444444446</v>
      </c>
      <c r="RYH91" s="77" t="str">
        <f t="shared" si="391"/>
        <v>O</v>
      </c>
      <c r="RYI91" s="74" t="s">
        <v>28</v>
      </c>
      <c r="RYJ91" s="75" t="s">
        <v>23</v>
      </c>
      <c r="RYK91" s="78">
        <f>IFERROR(VLOOKUP(RYJ91,'[1]List KPI'!$M$3:$N$8,2,0),"")</f>
        <v>2.0833333333333332E-2</v>
      </c>
      <c r="RYL91" s="76">
        <v>0.89444444444444449</v>
      </c>
      <c r="RYM91" s="77" t="str">
        <f t="shared" si="392"/>
        <v>O</v>
      </c>
      <c r="RYN91" s="79">
        <v>5</v>
      </c>
      <c r="RYO91" s="75">
        <v>1276006</v>
      </c>
      <c r="RYP91" s="80"/>
      <c r="RYQ91" s="81">
        <v>0.86944444444444446</v>
      </c>
      <c r="RYR91" s="74" t="s">
        <v>27</v>
      </c>
      <c r="RYS91" s="74" t="s">
        <v>24</v>
      </c>
      <c r="RYT91" s="75" t="s">
        <v>25</v>
      </c>
      <c r="RYU91" s="76">
        <f>IFERROR(VLOOKUP(RYT91,'[1]List KPI'!$A$103:$F$118,6,0),"")</f>
        <v>1.0416666666666666E-2</v>
      </c>
      <c r="RYV91" s="76">
        <v>0.86944444444444446</v>
      </c>
      <c r="RYW91" s="76">
        <v>0.86944444444444446</v>
      </c>
      <c r="RYX91" s="77" t="str">
        <f t="shared" si="391"/>
        <v>O</v>
      </c>
      <c r="RYY91" s="74" t="s">
        <v>28</v>
      </c>
      <c r="RYZ91" s="75" t="s">
        <v>23</v>
      </c>
      <c r="RZA91" s="78">
        <f>IFERROR(VLOOKUP(RYZ91,'[1]List KPI'!$M$3:$N$8,2,0),"")</f>
        <v>2.0833333333333332E-2</v>
      </c>
      <c r="RZB91" s="76">
        <v>0.89444444444444449</v>
      </c>
      <c r="RZC91" s="77" t="str">
        <f t="shared" si="392"/>
        <v>O</v>
      </c>
      <c r="RZD91" s="79">
        <v>5</v>
      </c>
      <c r="RZE91" s="75">
        <v>1276006</v>
      </c>
      <c r="RZF91" s="80"/>
      <c r="RZG91" s="81">
        <v>0.86944444444444446</v>
      </c>
      <c r="RZH91" s="74" t="s">
        <v>27</v>
      </c>
      <c r="RZI91" s="74" t="s">
        <v>24</v>
      </c>
      <c r="RZJ91" s="75" t="s">
        <v>25</v>
      </c>
      <c r="RZK91" s="76">
        <f>IFERROR(VLOOKUP(RZJ91,'[1]List KPI'!$A$103:$F$118,6,0),"")</f>
        <v>1.0416666666666666E-2</v>
      </c>
      <c r="RZL91" s="76">
        <v>0.86944444444444446</v>
      </c>
      <c r="RZM91" s="76">
        <v>0.86944444444444446</v>
      </c>
      <c r="RZN91" s="77" t="str">
        <f t="shared" si="391"/>
        <v>O</v>
      </c>
      <c r="RZO91" s="74" t="s">
        <v>28</v>
      </c>
      <c r="RZP91" s="75" t="s">
        <v>23</v>
      </c>
      <c r="RZQ91" s="78">
        <f>IFERROR(VLOOKUP(RZP91,'[1]List KPI'!$M$3:$N$8,2,0),"")</f>
        <v>2.0833333333333332E-2</v>
      </c>
      <c r="RZR91" s="76">
        <v>0.89444444444444449</v>
      </c>
      <c r="RZS91" s="77" t="str">
        <f t="shared" si="392"/>
        <v>O</v>
      </c>
      <c r="RZT91" s="79">
        <v>5</v>
      </c>
      <c r="RZU91" s="75">
        <v>1276006</v>
      </c>
      <c r="RZV91" s="80"/>
      <c r="RZW91" s="81">
        <v>0.86944444444444446</v>
      </c>
      <c r="RZX91" s="74" t="s">
        <v>27</v>
      </c>
      <c r="RZY91" s="74" t="s">
        <v>24</v>
      </c>
      <c r="RZZ91" s="75" t="s">
        <v>25</v>
      </c>
      <c r="SAA91" s="76">
        <f>IFERROR(VLOOKUP(RZZ91,'[1]List KPI'!$A$103:$F$118,6,0),"")</f>
        <v>1.0416666666666666E-2</v>
      </c>
      <c r="SAB91" s="76">
        <v>0.86944444444444446</v>
      </c>
      <c r="SAC91" s="76">
        <v>0.86944444444444446</v>
      </c>
      <c r="SAD91" s="77" t="str">
        <f t="shared" ref="SAD91:SBZ91" si="393">IF(SAC91="","",IF(SAC91&gt;SAL91,"O","P"))</f>
        <v>O</v>
      </c>
      <c r="SAE91" s="74" t="s">
        <v>28</v>
      </c>
      <c r="SAF91" s="75" t="s">
        <v>23</v>
      </c>
      <c r="SAG91" s="78">
        <f>IFERROR(VLOOKUP(SAF91,'[1]List KPI'!$M$3:$N$8,2,0),"")</f>
        <v>2.0833333333333332E-2</v>
      </c>
      <c r="SAH91" s="76">
        <v>0.89444444444444449</v>
      </c>
      <c r="SAI91" s="77" t="str">
        <f t="shared" ref="SAI91:SCE91" si="394">IF(SAH91="","",IF(SAH91&gt;SAM91,"O","P"))</f>
        <v>O</v>
      </c>
      <c r="SAJ91" s="79">
        <v>5</v>
      </c>
      <c r="SAK91" s="75">
        <v>1276006</v>
      </c>
      <c r="SAL91" s="80"/>
      <c r="SAM91" s="81">
        <v>0.86944444444444446</v>
      </c>
      <c r="SAN91" s="74" t="s">
        <v>27</v>
      </c>
      <c r="SAO91" s="74" t="s">
        <v>24</v>
      </c>
      <c r="SAP91" s="75" t="s">
        <v>25</v>
      </c>
      <c r="SAQ91" s="76">
        <f>IFERROR(VLOOKUP(SAP91,'[1]List KPI'!$A$103:$F$118,6,0),"")</f>
        <v>1.0416666666666666E-2</v>
      </c>
      <c r="SAR91" s="76">
        <v>0.86944444444444446</v>
      </c>
      <c r="SAS91" s="76">
        <v>0.86944444444444446</v>
      </c>
      <c r="SAT91" s="77" t="str">
        <f t="shared" si="393"/>
        <v>O</v>
      </c>
      <c r="SAU91" s="74" t="s">
        <v>28</v>
      </c>
      <c r="SAV91" s="75" t="s">
        <v>23</v>
      </c>
      <c r="SAW91" s="78">
        <f>IFERROR(VLOOKUP(SAV91,'[1]List KPI'!$M$3:$N$8,2,0),"")</f>
        <v>2.0833333333333332E-2</v>
      </c>
      <c r="SAX91" s="76">
        <v>0.89444444444444449</v>
      </c>
      <c r="SAY91" s="77" t="str">
        <f t="shared" si="394"/>
        <v>O</v>
      </c>
      <c r="SAZ91" s="79">
        <v>5</v>
      </c>
      <c r="SBA91" s="75">
        <v>1276006</v>
      </c>
      <c r="SBB91" s="80"/>
      <c r="SBC91" s="81">
        <v>0.86944444444444446</v>
      </c>
      <c r="SBD91" s="74" t="s">
        <v>27</v>
      </c>
      <c r="SBE91" s="74" t="s">
        <v>24</v>
      </c>
      <c r="SBF91" s="75" t="s">
        <v>25</v>
      </c>
      <c r="SBG91" s="76">
        <f>IFERROR(VLOOKUP(SBF91,'[1]List KPI'!$A$103:$F$118,6,0),"")</f>
        <v>1.0416666666666666E-2</v>
      </c>
      <c r="SBH91" s="76">
        <v>0.86944444444444446</v>
      </c>
      <c r="SBI91" s="76">
        <v>0.86944444444444446</v>
      </c>
      <c r="SBJ91" s="77" t="str">
        <f t="shared" si="393"/>
        <v>O</v>
      </c>
      <c r="SBK91" s="74" t="s">
        <v>28</v>
      </c>
      <c r="SBL91" s="75" t="s">
        <v>23</v>
      </c>
      <c r="SBM91" s="78">
        <f>IFERROR(VLOOKUP(SBL91,'[1]List KPI'!$M$3:$N$8,2,0),"")</f>
        <v>2.0833333333333332E-2</v>
      </c>
      <c r="SBN91" s="76">
        <v>0.89444444444444449</v>
      </c>
      <c r="SBO91" s="77" t="str">
        <f t="shared" si="394"/>
        <v>O</v>
      </c>
      <c r="SBP91" s="79">
        <v>5</v>
      </c>
      <c r="SBQ91" s="75">
        <v>1276006</v>
      </c>
      <c r="SBR91" s="80"/>
      <c r="SBS91" s="81">
        <v>0.86944444444444446</v>
      </c>
      <c r="SBT91" s="74" t="s">
        <v>27</v>
      </c>
      <c r="SBU91" s="74" t="s">
        <v>24</v>
      </c>
      <c r="SBV91" s="75" t="s">
        <v>25</v>
      </c>
      <c r="SBW91" s="76">
        <f>IFERROR(VLOOKUP(SBV91,'[1]List KPI'!$A$103:$F$118,6,0),"")</f>
        <v>1.0416666666666666E-2</v>
      </c>
      <c r="SBX91" s="76">
        <v>0.86944444444444446</v>
      </c>
      <c r="SBY91" s="76">
        <v>0.86944444444444446</v>
      </c>
      <c r="SBZ91" s="77" t="str">
        <f t="shared" si="393"/>
        <v>O</v>
      </c>
      <c r="SCA91" s="74" t="s">
        <v>28</v>
      </c>
      <c r="SCB91" s="75" t="s">
        <v>23</v>
      </c>
      <c r="SCC91" s="78">
        <f>IFERROR(VLOOKUP(SCB91,'[1]List KPI'!$M$3:$N$8,2,0),"")</f>
        <v>2.0833333333333332E-2</v>
      </c>
      <c r="SCD91" s="76">
        <v>0.89444444444444449</v>
      </c>
      <c r="SCE91" s="77" t="str">
        <f t="shared" si="394"/>
        <v>O</v>
      </c>
      <c r="SCF91" s="79">
        <v>5</v>
      </c>
      <c r="SCG91" s="75">
        <v>1276006</v>
      </c>
      <c r="SCH91" s="80"/>
      <c r="SCI91" s="81">
        <v>0.86944444444444446</v>
      </c>
      <c r="SCJ91" s="74" t="s">
        <v>27</v>
      </c>
      <c r="SCK91" s="74" t="s">
        <v>24</v>
      </c>
      <c r="SCL91" s="75" t="s">
        <v>25</v>
      </c>
      <c r="SCM91" s="76">
        <f>IFERROR(VLOOKUP(SCL91,'[1]List KPI'!$A$103:$F$118,6,0),"")</f>
        <v>1.0416666666666666E-2</v>
      </c>
      <c r="SCN91" s="76">
        <v>0.86944444444444446</v>
      </c>
      <c r="SCO91" s="76">
        <v>0.86944444444444446</v>
      </c>
      <c r="SCP91" s="77" t="str">
        <f t="shared" ref="SCP91:SEL91" si="395">IF(SCO91="","",IF(SCO91&gt;SCX91,"O","P"))</f>
        <v>O</v>
      </c>
      <c r="SCQ91" s="74" t="s">
        <v>28</v>
      </c>
      <c r="SCR91" s="75" t="s">
        <v>23</v>
      </c>
      <c r="SCS91" s="78">
        <f>IFERROR(VLOOKUP(SCR91,'[1]List KPI'!$M$3:$N$8,2,0),"")</f>
        <v>2.0833333333333332E-2</v>
      </c>
      <c r="SCT91" s="76">
        <v>0.89444444444444449</v>
      </c>
      <c r="SCU91" s="77" t="str">
        <f t="shared" ref="SCU91:SEQ91" si="396">IF(SCT91="","",IF(SCT91&gt;SCY91,"O","P"))</f>
        <v>O</v>
      </c>
      <c r="SCV91" s="79">
        <v>5</v>
      </c>
      <c r="SCW91" s="75">
        <v>1276006</v>
      </c>
      <c r="SCX91" s="80"/>
      <c r="SCY91" s="81">
        <v>0.86944444444444446</v>
      </c>
      <c r="SCZ91" s="74" t="s">
        <v>27</v>
      </c>
      <c r="SDA91" s="74" t="s">
        <v>24</v>
      </c>
      <c r="SDB91" s="75" t="s">
        <v>25</v>
      </c>
      <c r="SDC91" s="76">
        <f>IFERROR(VLOOKUP(SDB91,'[1]List KPI'!$A$103:$F$118,6,0),"")</f>
        <v>1.0416666666666666E-2</v>
      </c>
      <c r="SDD91" s="76">
        <v>0.86944444444444446</v>
      </c>
      <c r="SDE91" s="76">
        <v>0.86944444444444446</v>
      </c>
      <c r="SDF91" s="77" t="str">
        <f t="shared" si="395"/>
        <v>O</v>
      </c>
      <c r="SDG91" s="74" t="s">
        <v>28</v>
      </c>
      <c r="SDH91" s="75" t="s">
        <v>23</v>
      </c>
      <c r="SDI91" s="78">
        <f>IFERROR(VLOOKUP(SDH91,'[1]List KPI'!$M$3:$N$8,2,0),"")</f>
        <v>2.0833333333333332E-2</v>
      </c>
      <c r="SDJ91" s="76">
        <v>0.89444444444444449</v>
      </c>
      <c r="SDK91" s="77" t="str">
        <f t="shared" si="396"/>
        <v>O</v>
      </c>
      <c r="SDL91" s="79">
        <v>5</v>
      </c>
      <c r="SDM91" s="75">
        <v>1276006</v>
      </c>
      <c r="SDN91" s="80"/>
      <c r="SDO91" s="81">
        <v>0.86944444444444446</v>
      </c>
      <c r="SDP91" s="74" t="s">
        <v>27</v>
      </c>
      <c r="SDQ91" s="74" t="s">
        <v>24</v>
      </c>
      <c r="SDR91" s="75" t="s">
        <v>25</v>
      </c>
      <c r="SDS91" s="76">
        <f>IFERROR(VLOOKUP(SDR91,'[1]List KPI'!$A$103:$F$118,6,0),"")</f>
        <v>1.0416666666666666E-2</v>
      </c>
      <c r="SDT91" s="76">
        <v>0.86944444444444446</v>
      </c>
      <c r="SDU91" s="76">
        <v>0.86944444444444446</v>
      </c>
      <c r="SDV91" s="77" t="str">
        <f t="shared" si="395"/>
        <v>O</v>
      </c>
      <c r="SDW91" s="74" t="s">
        <v>28</v>
      </c>
      <c r="SDX91" s="75" t="s">
        <v>23</v>
      </c>
      <c r="SDY91" s="78">
        <f>IFERROR(VLOOKUP(SDX91,'[1]List KPI'!$M$3:$N$8,2,0),"")</f>
        <v>2.0833333333333332E-2</v>
      </c>
      <c r="SDZ91" s="76">
        <v>0.89444444444444449</v>
      </c>
      <c r="SEA91" s="77" t="str">
        <f t="shared" si="396"/>
        <v>O</v>
      </c>
      <c r="SEB91" s="79">
        <v>5</v>
      </c>
      <c r="SEC91" s="75">
        <v>1276006</v>
      </c>
      <c r="SED91" s="80"/>
      <c r="SEE91" s="81">
        <v>0.86944444444444446</v>
      </c>
      <c r="SEF91" s="74" t="s">
        <v>27</v>
      </c>
      <c r="SEG91" s="74" t="s">
        <v>24</v>
      </c>
      <c r="SEH91" s="75" t="s">
        <v>25</v>
      </c>
      <c r="SEI91" s="76">
        <f>IFERROR(VLOOKUP(SEH91,'[1]List KPI'!$A$103:$F$118,6,0),"")</f>
        <v>1.0416666666666666E-2</v>
      </c>
      <c r="SEJ91" s="76">
        <v>0.86944444444444446</v>
      </c>
      <c r="SEK91" s="76">
        <v>0.86944444444444446</v>
      </c>
      <c r="SEL91" s="77" t="str">
        <f t="shared" si="395"/>
        <v>O</v>
      </c>
      <c r="SEM91" s="74" t="s">
        <v>28</v>
      </c>
      <c r="SEN91" s="75" t="s">
        <v>23</v>
      </c>
      <c r="SEO91" s="78">
        <f>IFERROR(VLOOKUP(SEN91,'[1]List KPI'!$M$3:$N$8,2,0),"")</f>
        <v>2.0833333333333332E-2</v>
      </c>
      <c r="SEP91" s="76">
        <v>0.89444444444444449</v>
      </c>
      <c r="SEQ91" s="77" t="str">
        <f t="shared" si="396"/>
        <v>O</v>
      </c>
      <c r="SER91" s="79">
        <v>5</v>
      </c>
      <c r="SES91" s="75">
        <v>1276006</v>
      </c>
      <c r="SET91" s="80"/>
      <c r="SEU91" s="81">
        <v>0.86944444444444446</v>
      </c>
      <c r="SEV91" s="74" t="s">
        <v>27</v>
      </c>
      <c r="SEW91" s="74" t="s">
        <v>24</v>
      </c>
      <c r="SEX91" s="75" t="s">
        <v>25</v>
      </c>
      <c r="SEY91" s="76">
        <f>IFERROR(VLOOKUP(SEX91,'[1]List KPI'!$A$103:$F$118,6,0),"")</f>
        <v>1.0416666666666666E-2</v>
      </c>
      <c r="SEZ91" s="76">
        <v>0.86944444444444446</v>
      </c>
      <c r="SFA91" s="76">
        <v>0.86944444444444446</v>
      </c>
      <c r="SFB91" s="77" t="str">
        <f t="shared" ref="SFB91:SGX91" si="397">IF(SFA91="","",IF(SFA91&gt;SFJ91,"O","P"))</f>
        <v>O</v>
      </c>
      <c r="SFC91" s="74" t="s">
        <v>28</v>
      </c>
      <c r="SFD91" s="75" t="s">
        <v>23</v>
      </c>
      <c r="SFE91" s="78">
        <f>IFERROR(VLOOKUP(SFD91,'[1]List KPI'!$M$3:$N$8,2,0),"")</f>
        <v>2.0833333333333332E-2</v>
      </c>
      <c r="SFF91" s="76">
        <v>0.89444444444444449</v>
      </c>
      <c r="SFG91" s="77" t="str">
        <f t="shared" ref="SFG91:SHC91" si="398">IF(SFF91="","",IF(SFF91&gt;SFK91,"O","P"))</f>
        <v>O</v>
      </c>
      <c r="SFH91" s="79">
        <v>5</v>
      </c>
      <c r="SFI91" s="75">
        <v>1276006</v>
      </c>
      <c r="SFJ91" s="80"/>
      <c r="SFK91" s="81">
        <v>0.86944444444444446</v>
      </c>
      <c r="SFL91" s="74" t="s">
        <v>27</v>
      </c>
      <c r="SFM91" s="74" t="s">
        <v>24</v>
      </c>
      <c r="SFN91" s="75" t="s">
        <v>25</v>
      </c>
      <c r="SFO91" s="76">
        <f>IFERROR(VLOOKUP(SFN91,'[1]List KPI'!$A$103:$F$118,6,0),"")</f>
        <v>1.0416666666666666E-2</v>
      </c>
      <c r="SFP91" s="76">
        <v>0.86944444444444446</v>
      </c>
      <c r="SFQ91" s="76">
        <v>0.86944444444444446</v>
      </c>
      <c r="SFR91" s="77" t="str">
        <f t="shared" si="397"/>
        <v>O</v>
      </c>
      <c r="SFS91" s="74" t="s">
        <v>28</v>
      </c>
      <c r="SFT91" s="75" t="s">
        <v>23</v>
      </c>
      <c r="SFU91" s="78">
        <f>IFERROR(VLOOKUP(SFT91,'[1]List KPI'!$M$3:$N$8,2,0),"")</f>
        <v>2.0833333333333332E-2</v>
      </c>
      <c r="SFV91" s="76">
        <v>0.89444444444444449</v>
      </c>
      <c r="SFW91" s="77" t="str">
        <f t="shared" si="398"/>
        <v>O</v>
      </c>
      <c r="SFX91" s="79">
        <v>5</v>
      </c>
      <c r="SFY91" s="75">
        <v>1276006</v>
      </c>
      <c r="SFZ91" s="80"/>
      <c r="SGA91" s="81">
        <v>0.86944444444444446</v>
      </c>
      <c r="SGB91" s="74" t="s">
        <v>27</v>
      </c>
      <c r="SGC91" s="74" t="s">
        <v>24</v>
      </c>
      <c r="SGD91" s="75" t="s">
        <v>25</v>
      </c>
      <c r="SGE91" s="76">
        <f>IFERROR(VLOOKUP(SGD91,'[1]List KPI'!$A$103:$F$118,6,0),"")</f>
        <v>1.0416666666666666E-2</v>
      </c>
      <c r="SGF91" s="76">
        <v>0.86944444444444446</v>
      </c>
      <c r="SGG91" s="76">
        <v>0.86944444444444446</v>
      </c>
      <c r="SGH91" s="77" t="str">
        <f t="shared" si="397"/>
        <v>O</v>
      </c>
      <c r="SGI91" s="74" t="s">
        <v>28</v>
      </c>
      <c r="SGJ91" s="75" t="s">
        <v>23</v>
      </c>
      <c r="SGK91" s="78">
        <f>IFERROR(VLOOKUP(SGJ91,'[1]List KPI'!$M$3:$N$8,2,0),"")</f>
        <v>2.0833333333333332E-2</v>
      </c>
      <c r="SGL91" s="76">
        <v>0.89444444444444449</v>
      </c>
      <c r="SGM91" s="77" t="str">
        <f t="shared" si="398"/>
        <v>O</v>
      </c>
      <c r="SGN91" s="79">
        <v>5</v>
      </c>
      <c r="SGO91" s="75">
        <v>1276006</v>
      </c>
      <c r="SGP91" s="80"/>
      <c r="SGQ91" s="81">
        <v>0.86944444444444446</v>
      </c>
      <c r="SGR91" s="74" t="s">
        <v>27</v>
      </c>
      <c r="SGS91" s="74" t="s">
        <v>24</v>
      </c>
      <c r="SGT91" s="75" t="s">
        <v>25</v>
      </c>
      <c r="SGU91" s="76">
        <f>IFERROR(VLOOKUP(SGT91,'[1]List KPI'!$A$103:$F$118,6,0),"")</f>
        <v>1.0416666666666666E-2</v>
      </c>
      <c r="SGV91" s="76">
        <v>0.86944444444444446</v>
      </c>
      <c r="SGW91" s="76">
        <v>0.86944444444444446</v>
      </c>
      <c r="SGX91" s="77" t="str">
        <f t="shared" si="397"/>
        <v>O</v>
      </c>
      <c r="SGY91" s="74" t="s">
        <v>28</v>
      </c>
      <c r="SGZ91" s="75" t="s">
        <v>23</v>
      </c>
      <c r="SHA91" s="78">
        <f>IFERROR(VLOOKUP(SGZ91,'[1]List KPI'!$M$3:$N$8,2,0),"")</f>
        <v>2.0833333333333332E-2</v>
      </c>
      <c r="SHB91" s="76">
        <v>0.89444444444444449</v>
      </c>
      <c r="SHC91" s="77" t="str">
        <f t="shared" si="398"/>
        <v>O</v>
      </c>
      <c r="SHD91" s="79">
        <v>5</v>
      </c>
      <c r="SHE91" s="75">
        <v>1276006</v>
      </c>
      <c r="SHF91" s="80"/>
      <c r="SHG91" s="81">
        <v>0.86944444444444446</v>
      </c>
      <c r="SHH91" s="74" t="s">
        <v>27</v>
      </c>
      <c r="SHI91" s="74" t="s">
        <v>24</v>
      </c>
      <c r="SHJ91" s="75" t="s">
        <v>25</v>
      </c>
      <c r="SHK91" s="76">
        <f>IFERROR(VLOOKUP(SHJ91,'[1]List KPI'!$A$103:$F$118,6,0),"")</f>
        <v>1.0416666666666666E-2</v>
      </c>
      <c r="SHL91" s="76">
        <v>0.86944444444444446</v>
      </c>
      <c r="SHM91" s="76">
        <v>0.86944444444444446</v>
      </c>
      <c r="SHN91" s="77" t="str">
        <f t="shared" ref="SHN91:SJJ91" si="399">IF(SHM91="","",IF(SHM91&gt;SHV91,"O","P"))</f>
        <v>O</v>
      </c>
      <c r="SHO91" s="74" t="s">
        <v>28</v>
      </c>
      <c r="SHP91" s="75" t="s">
        <v>23</v>
      </c>
      <c r="SHQ91" s="78">
        <f>IFERROR(VLOOKUP(SHP91,'[1]List KPI'!$M$3:$N$8,2,0),"")</f>
        <v>2.0833333333333332E-2</v>
      </c>
      <c r="SHR91" s="76">
        <v>0.89444444444444449</v>
      </c>
      <c r="SHS91" s="77" t="str">
        <f t="shared" ref="SHS91:SJO91" si="400">IF(SHR91="","",IF(SHR91&gt;SHW91,"O","P"))</f>
        <v>O</v>
      </c>
      <c r="SHT91" s="79">
        <v>5</v>
      </c>
      <c r="SHU91" s="75">
        <v>1276006</v>
      </c>
      <c r="SHV91" s="80"/>
      <c r="SHW91" s="81">
        <v>0.86944444444444446</v>
      </c>
      <c r="SHX91" s="74" t="s">
        <v>27</v>
      </c>
      <c r="SHY91" s="74" t="s">
        <v>24</v>
      </c>
      <c r="SHZ91" s="75" t="s">
        <v>25</v>
      </c>
      <c r="SIA91" s="76">
        <f>IFERROR(VLOOKUP(SHZ91,'[1]List KPI'!$A$103:$F$118,6,0),"")</f>
        <v>1.0416666666666666E-2</v>
      </c>
      <c r="SIB91" s="76">
        <v>0.86944444444444446</v>
      </c>
      <c r="SIC91" s="76">
        <v>0.86944444444444446</v>
      </c>
      <c r="SID91" s="77" t="str">
        <f t="shared" si="399"/>
        <v>O</v>
      </c>
      <c r="SIE91" s="74" t="s">
        <v>28</v>
      </c>
      <c r="SIF91" s="75" t="s">
        <v>23</v>
      </c>
      <c r="SIG91" s="78">
        <f>IFERROR(VLOOKUP(SIF91,'[1]List KPI'!$M$3:$N$8,2,0),"")</f>
        <v>2.0833333333333332E-2</v>
      </c>
      <c r="SIH91" s="76">
        <v>0.89444444444444449</v>
      </c>
      <c r="SII91" s="77" t="str">
        <f t="shared" si="400"/>
        <v>O</v>
      </c>
      <c r="SIJ91" s="79">
        <v>5</v>
      </c>
      <c r="SIK91" s="75">
        <v>1276006</v>
      </c>
      <c r="SIL91" s="80"/>
      <c r="SIM91" s="81">
        <v>0.86944444444444446</v>
      </c>
      <c r="SIN91" s="74" t="s">
        <v>27</v>
      </c>
      <c r="SIO91" s="74" t="s">
        <v>24</v>
      </c>
      <c r="SIP91" s="75" t="s">
        <v>25</v>
      </c>
      <c r="SIQ91" s="76">
        <f>IFERROR(VLOOKUP(SIP91,'[1]List KPI'!$A$103:$F$118,6,0),"")</f>
        <v>1.0416666666666666E-2</v>
      </c>
      <c r="SIR91" s="76">
        <v>0.86944444444444446</v>
      </c>
      <c r="SIS91" s="76">
        <v>0.86944444444444446</v>
      </c>
      <c r="SIT91" s="77" t="str">
        <f t="shared" si="399"/>
        <v>O</v>
      </c>
      <c r="SIU91" s="74" t="s">
        <v>28</v>
      </c>
      <c r="SIV91" s="75" t="s">
        <v>23</v>
      </c>
      <c r="SIW91" s="78">
        <f>IFERROR(VLOOKUP(SIV91,'[1]List KPI'!$M$3:$N$8,2,0),"")</f>
        <v>2.0833333333333332E-2</v>
      </c>
      <c r="SIX91" s="76">
        <v>0.89444444444444449</v>
      </c>
      <c r="SIY91" s="77" t="str">
        <f t="shared" si="400"/>
        <v>O</v>
      </c>
      <c r="SIZ91" s="79">
        <v>5</v>
      </c>
      <c r="SJA91" s="75">
        <v>1276006</v>
      </c>
      <c r="SJB91" s="80"/>
      <c r="SJC91" s="81">
        <v>0.86944444444444446</v>
      </c>
      <c r="SJD91" s="74" t="s">
        <v>27</v>
      </c>
      <c r="SJE91" s="74" t="s">
        <v>24</v>
      </c>
      <c r="SJF91" s="75" t="s">
        <v>25</v>
      </c>
      <c r="SJG91" s="76">
        <f>IFERROR(VLOOKUP(SJF91,'[1]List KPI'!$A$103:$F$118,6,0),"")</f>
        <v>1.0416666666666666E-2</v>
      </c>
      <c r="SJH91" s="76">
        <v>0.86944444444444446</v>
      </c>
      <c r="SJI91" s="76">
        <v>0.86944444444444446</v>
      </c>
      <c r="SJJ91" s="77" t="str">
        <f t="shared" si="399"/>
        <v>O</v>
      </c>
      <c r="SJK91" s="74" t="s">
        <v>28</v>
      </c>
      <c r="SJL91" s="75" t="s">
        <v>23</v>
      </c>
      <c r="SJM91" s="78">
        <f>IFERROR(VLOOKUP(SJL91,'[1]List KPI'!$M$3:$N$8,2,0),"")</f>
        <v>2.0833333333333332E-2</v>
      </c>
      <c r="SJN91" s="76">
        <v>0.89444444444444449</v>
      </c>
      <c r="SJO91" s="77" t="str">
        <f t="shared" si="400"/>
        <v>O</v>
      </c>
      <c r="SJP91" s="79">
        <v>5</v>
      </c>
      <c r="SJQ91" s="75">
        <v>1276006</v>
      </c>
      <c r="SJR91" s="80"/>
      <c r="SJS91" s="81">
        <v>0.86944444444444446</v>
      </c>
      <c r="SJT91" s="74" t="s">
        <v>27</v>
      </c>
      <c r="SJU91" s="74" t="s">
        <v>24</v>
      </c>
      <c r="SJV91" s="75" t="s">
        <v>25</v>
      </c>
      <c r="SJW91" s="76">
        <f>IFERROR(VLOOKUP(SJV91,'[1]List KPI'!$A$103:$F$118,6,0),"")</f>
        <v>1.0416666666666666E-2</v>
      </c>
      <c r="SJX91" s="76">
        <v>0.86944444444444446</v>
      </c>
      <c r="SJY91" s="76">
        <v>0.86944444444444446</v>
      </c>
      <c r="SJZ91" s="77" t="str">
        <f t="shared" ref="SJZ91:SLV91" si="401">IF(SJY91="","",IF(SJY91&gt;SKH91,"O","P"))</f>
        <v>O</v>
      </c>
      <c r="SKA91" s="74" t="s">
        <v>28</v>
      </c>
      <c r="SKB91" s="75" t="s">
        <v>23</v>
      </c>
      <c r="SKC91" s="78">
        <f>IFERROR(VLOOKUP(SKB91,'[1]List KPI'!$M$3:$N$8,2,0),"")</f>
        <v>2.0833333333333332E-2</v>
      </c>
      <c r="SKD91" s="76">
        <v>0.89444444444444449</v>
      </c>
      <c r="SKE91" s="77" t="str">
        <f t="shared" ref="SKE91:SMA91" si="402">IF(SKD91="","",IF(SKD91&gt;SKI91,"O","P"))</f>
        <v>O</v>
      </c>
      <c r="SKF91" s="79">
        <v>5</v>
      </c>
      <c r="SKG91" s="75">
        <v>1276006</v>
      </c>
      <c r="SKH91" s="80"/>
      <c r="SKI91" s="81">
        <v>0.86944444444444446</v>
      </c>
      <c r="SKJ91" s="74" t="s">
        <v>27</v>
      </c>
      <c r="SKK91" s="74" t="s">
        <v>24</v>
      </c>
      <c r="SKL91" s="75" t="s">
        <v>25</v>
      </c>
      <c r="SKM91" s="76">
        <f>IFERROR(VLOOKUP(SKL91,'[1]List KPI'!$A$103:$F$118,6,0),"")</f>
        <v>1.0416666666666666E-2</v>
      </c>
      <c r="SKN91" s="76">
        <v>0.86944444444444446</v>
      </c>
      <c r="SKO91" s="76">
        <v>0.86944444444444446</v>
      </c>
      <c r="SKP91" s="77" t="str">
        <f t="shared" si="401"/>
        <v>O</v>
      </c>
      <c r="SKQ91" s="74" t="s">
        <v>28</v>
      </c>
      <c r="SKR91" s="75" t="s">
        <v>23</v>
      </c>
      <c r="SKS91" s="78">
        <f>IFERROR(VLOOKUP(SKR91,'[1]List KPI'!$M$3:$N$8,2,0),"")</f>
        <v>2.0833333333333332E-2</v>
      </c>
      <c r="SKT91" s="76">
        <v>0.89444444444444449</v>
      </c>
      <c r="SKU91" s="77" t="str">
        <f t="shared" si="402"/>
        <v>O</v>
      </c>
      <c r="SKV91" s="79">
        <v>5</v>
      </c>
      <c r="SKW91" s="75">
        <v>1276006</v>
      </c>
      <c r="SKX91" s="80"/>
      <c r="SKY91" s="81">
        <v>0.86944444444444446</v>
      </c>
      <c r="SKZ91" s="74" t="s">
        <v>27</v>
      </c>
      <c r="SLA91" s="74" t="s">
        <v>24</v>
      </c>
      <c r="SLB91" s="75" t="s">
        <v>25</v>
      </c>
      <c r="SLC91" s="76">
        <f>IFERROR(VLOOKUP(SLB91,'[1]List KPI'!$A$103:$F$118,6,0),"")</f>
        <v>1.0416666666666666E-2</v>
      </c>
      <c r="SLD91" s="76">
        <v>0.86944444444444446</v>
      </c>
      <c r="SLE91" s="76">
        <v>0.86944444444444446</v>
      </c>
      <c r="SLF91" s="77" t="str">
        <f t="shared" si="401"/>
        <v>O</v>
      </c>
      <c r="SLG91" s="74" t="s">
        <v>28</v>
      </c>
      <c r="SLH91" s="75" t="s">
        <v>23</v>
      </c>
      <c r="SLI91" s="78">
        <f>IFERROR(VLOOKUP(SLH91,'[1]List KPI'!$M$3:$N$8,2,0),"")</f>
        <v>2.0833333333333332E-2</v>
      </c>
      <c r="SLJ91" s="76">
        <v>0.89444444444444449</v>
      </c>
      <c r="SLK91" s="77" t="str">
        <f t="shared" si="402"/>
        <v>O</v>
      </c>
      <c r="SLL91" s="79">
        <v>5</v>
      </c>
      <c r="SLM91" s="75">
        <v>1276006</v>
      </c>
      <c r="SLN91" s="80"/>
      <c r="SLO91" s="81">
        <v>0.86944444444444446</v>
      </c>
      <c r="SLP91" s="74" t="s">
        <v>27</v>
      </c>
      <c r="SLQ91" s="74" t="s">
        <v>24</v>
      </c>
      <c r="SLR91" s="75" t="s">
        <v>25</v>
      </c>
      <c r="SLS91" s="76">
        <f>IFERROR(VLOOKUP(SLR91,'[1]List KPI'!$A$103:$F$118,6,0),"")</f>
        <v>1.0416666666666666E-2</v>
      </c>
      <c r="SLT91" s="76">
        <v>0.86944444444444446</v>
      </c>
      <c r="SLU91" s="76">
        <v>0.86944444444444446</v>
      </c>
      <c r="SLV91" s="77" t="str">
        <f t="shared" si="401"/>
        <v>O</v>
      </c>
      <c r="SLW91" s="74" t="s">
        <v>28</v>
      </c>
      <c r="SLX91" s="75" t="s">
        <v>23</v>
      </c>
      <c r="SLY91" s="78">
        <f>IFERROR(VLOOKUP(SLX91,'[1]List KPI'!$M$3:$N$8,2,0),"")</f>
        <v>2.0833333333333332E-2</v>
      </c>
      <c r="SLZ91" s="76">
        <v>0.89444444444444449</v>
      </c>
      <c r="SMA91" s="77" t="str">
        <f t="shared" si="402"/>
        <v>O</v>
      </c>
      <c r="SMB91" s="79">
        <v>5</v>
      </c>
      <c r="SMC91" s="75">
        <v>1276006</v>
      </c>
      <c r="SMD91" s="80"/>
      <c r="SME91" s="81">
        <v>0.86944444444444446</v>
      </c>
      <c r="SMF91" s="74" t="s">
        <v>27</v>
      </c>
      <c r="SMG91" s="74" t="s">
        <v>24</v>
      </c>
      <c r="SMH91" s="75" t="s">
        <v>25</v>
      </c>
      <c r="SMI91" s="76">
        <f>IFERROR(VLOOKUP(SMH91,'[1]List KPI'!$A$103:$F$118,6,0),"")</f>
        <v>1.0416666666666666E-2</v>
      </c>
      <c r="SMJ91" s="76">
        <v>0.86944444444444446</v>
      </c>
      <c r="SMK91" s="76">
        <v>0.86944444444444446</v>
      </c>
      <c r="SML91" s="77" t="str">
        <f t="shared" ref="SML91:SOH91" si="403">IF(SMK91="","",IF(SMK91&gt;SMT91,"O","P"))</f>
        <v>O</v>
      </c>
      <c r="SMM91" s="74" t="s">
        <v>28</v>
      </c>
      <c r="SMN91" s="75" t="s">
        <v>23</v>
      </c>
      <c r="SMO91" s="78">
        <f>IFERROR(VLOOKUP(SMN91,'[1]List KPI'!$M$3:$N$8,2,0),"")</f>
        <v>2.0833333333333332E-2</v>
      </c>
      <c r="SMP91" s="76">
        <v>0.89444444444444449</v>
      </c>
      <c r="SMQ91" s="77" t="str">
        <f t="shared" ref="SMQ91:SOM91" si="404">IF(SMP91="","",IF(SMP91&gt;SMU91,"O","P"))</f>
        <v>O</v>
      </c>
      <c r="SMR91" s="79">
        <v>5</v>
      </c>
      <c r="SMS91" s="75">
        <v>1276006</v>
      </c>
      <c r="SMT91" s="80"/>
      <c r="SMU91" s="81">
        <v>0.86944444444444446</v>
      </c>
      <c r="SMV91" s="74" t="s">
        <v>27</v>
      </c>
      <c r="SMW91" s="74" t="s">
        <v>24</v>
      </c>
      <c r="SMX91" s="75" t="s">
        <v>25</v>
      </c>
      <c r="SMY91" s="76">
        <f>IFERROR(VLOOKUP(SMX91,'[1]List KPI'!$A$103:$F$118,6,0),"")</f>
        <v>1.0416666666666666E-2</v>
      </c>
      <c r="SMZ91" s="76">
        <v>0.86944444444444446</v>
      </c>
      <c r="SNA91" s="76">
        <v>0.86944444444444446</v>
      </c>
      <c r="SNB91" s="77" t="str">
        <f t="shared" si="403"/>
        <v>O</v>
      </c>
      <c r="SNC91" s="74" t="s">
        <v>28</v>
      </c>
      <c r="SND91" s="75" t="s">
        <v>23</v>
      </c>
      <c r="SNE91" s="78">
        <f>IFERROR(VLOOKUP(SND91,'[1]List KPI'!$M$3:$N$8,2,0),"")</f>
        <v>2.0833333333333332E-2</v>
      </c>
      <c r="SNF91" s="76">
        <v>0.89444444444444449</v>
      </c>
      <c r="SNG91" s="77" t="str">
        <f t="shared" si="404"/>
        <v>O</v>
      </c>
      <c r="SNH91" s="79">
        <v>5</v>
      </c>
      <c r="SNI91" s="75">
        <v>1276006</v>
      </c>
      <c r="SNJ91" s="80"/>
      <c r="SNK91" s="81">
        <v>0.86944444444444446</v>
      </c>
      <c r="SNL91" s="74" t="s">
        <v>27</v>
      </c>
      <c r="SNM91" s="74" t="s">
        <v>24</v>
      </c>
      <c r="SNN91" s="75" t="s">
        <v>25</v>
      </c>
      <c r="SNO91" s="76">
        <f>IFERROR(VLOOKUP(SNN91,'[1]List KPI'!$A$103:$F$118,6,0),"")</f>
        <v>1.0416666666666666E-2</v>
      </c>
      <c r="SNP91" s="76">
        <v>0.86944444444444446</v>
      </c>
      <c r="SNQ91" s="76">
        <v>0.86944444444444446</v>
      </c>
      <c r="SNR91" s="77" t="str">
        <f t="shared" si="403"/>
        <v>O</v>
      </c>
      <c r="SNS91" s="74" t="s">
        <v>28</v>
      </c>
      <c r="SNT91" s="75" t="s">
        <v>23</v>
      </c>
      <c r="SNU91" s="78">
        <f>IFERROR(VLOOKUP(SNT91,'[1]List KPI'!$M$3:$N$8,2,0),"")</f>
        <v>2.0833333333333332E-2</v>
      </c>
      <c r="SNV91" s="76">
        <v>0.89444444444444449</v>
      </c>
      <c r="SNW91" s="77" t="str">
        <f t="shared" si="404"/>
        <v>O</v>
      </c>
      <c r="SNX91" s="79">
        <v>5</v>
      </c>
      <c r="SNY91" s="75">
        <v>1276006</v>
      </c>
      <c r="SNZ91" s="80"/>
      <c r="SOA91" s="81">
        <v>0.86944444444444446</v>
      </c>
      <c r="SOB91" s="74" t="s">
        <v>27</v>
      </c>
      <c r="SOC91" s="74" t="s">
        <v>24</v>
      </c>
      <c r="SOD91" s="75" t="s">
        <v>25</v>
      </c>
      <c r="SOE91" s="76">
        <f>IFERROR(VLOOKUP(SOD91,'[1]List KPI'!$A$103:$F$118,6,0),"")</f>
        <v>1.0416666666666666E-2</v>
      </c>
      <c r="SOF91" s="76">
        <v>0.86944444444444446</v>
      </c>
      <c r="SOG91" s="76">
        <v>0.86944444444444446</v>
      </c>
      <c r="SOH91" s="77" t="str">
        <f t="shared" si="403"/>
        <v>O</v>
      </c>
      <c r="SOI91" s="74" t="s">
        <v>28</v>
      </c>
      <c r="SOJ91" s="75" t="s">
        <v>23</v>
      </c>
      <c r="SOK91" s="78">
        <f>IFERROR(VLOOKUP(SOJ91,'[1]List KPI'!$M$3:$N$8,2,0),"")</f>
        <v>2.0833333333333332E-2</v>
      </c>
      <c r="SOL91" s="76">
        <v>0.89444444444444449</v>
      </c>
      <c r="SOM91" s="77" t="str">
        <f t="shared" si="404"/>
        <v>O</v>
      </c>
      <c r="SON91" s="79">
        <v>5</v>
      </c>
      <c r="SOO91" s="75">
        <v>1276006</v>
      </c>
      <c r="SOP91" s="80"/>
      <c r="SOQ91" s="81">
        <v>0.86944444444444446</v>
      </c>
      <c r="SOR91" s="74" t="s">
        <v>27</v>
      </c>
      <c r="SOS91" s="74" t="s">
        <v>24</v>
      </c>
      <c r="SOT91" s="75" t="s">
        <v>25</v>
      </c>
      <c r="SOU91" s="76">
        <f>IFERROR(VLOOKUP(SOT91,'[1]List KPI'!$A$103:$F$118,6,0),"")</f>
        <v>1.0416666666666666E-2</v>
      </c>
      <c r="SOV91" s="76">
        <v>0.86944444444444446</v>
      </c>
      <c r="SOW91" s="76">
        <v>0.86944444444444446</v>
      </c>
      <c r="SOX91" s="77" t="str">
        <f t="shared" ref="SOX91:SQT91" si="405">IF(SOW91="","",IF(SOW91&gt;SPF91,"O","P"))</f>
        <v>O</v>
      </c>
      <c r="SOY91" s="74" t="s">
        <v>28</v>
      </c>
      <c r="SOZ91" s="75" t="s">
        <v>23</v>
      </c>
      <c r="SPA91" s="78">
        <f>IFERROR(VLOOKUP(SOZ91,'[1]List KPI'!$M$3:$N$8,2,0),"")</f>
        <v>2.0833333333333332E-2</v>
      </c>
      <c r="SPB91" s="76">
        <v>0.89444444444444449</v>
      </c>
      <c r="SPC91" s="77" t="str">
        <f t="shared" ref="SPC91:SQY91" si="406">IF(SPB91="","",IF(SPB91&gt;SPG91,"O","P"))</f>
        <v>O</v>
      </c>
      <c r="SPD91" s="79">
        <v>5</v>
      </c>
      <c r="SPE91" s="75">
        <v>1276006</v>
      </c>
      <c r="SPF91" s="80"/>
      <c r="SPG91" s="81">
        <v>0.86944444444444446</v>
      </c>
      <c r="SPH91" s="74" t="s">
        <v>27</v>
      </c>
      <c r="SPI91" s="74" t="s">
        <v>24</v>
      </c>
      <c r="SPJ91" s="75" t="s">
        <v>25</v>
      </c>
      <c r="SPK91" s="76">
        <f>IFERROR(VLOOKUP(SPJ91,'[1]List KPI'!$A$103:$F$118,6,0),"")</f>
        <v>1.0416666666666666E-2</v>
      </c>
      <c r="SPL91" s="76">
        <v>0.86944444444444446</v>
      </c>
      <c r="SPM91" s="76">
        <v>0.86944444444444446</v>
      </c>
      <c r="SPN91" s="77" t="str">
        <f t="shared" si="405"/>
        <v>O</v>
      </c>
      <c r="SPO91" s="74" t="s">
        <v>28</v>
      </c>
      <c r="SPP91" s="75" t="s">
        <v>23</v>
      </c>
      <c r="SPQ91" s="78">
        <f>IFERROR(VLOOKUP(SPP91,'[1]List KPI'!$M$3:$N$8,2,0),"")</f>
        <v>2.0833333333333332E-2</v>
      </c>
      <c r="SPR91" s="76">
        <v>0.89444444444444449</v>
      </c>
      <c r="SPS91" s="77" t="str">
        <f t="shared" si="406"/>
        <v>O</v>
      </c>
      <c r="SPT91" s="79">
        <v>5</v>
      </c>
      <c r="SPU91" s="75">
        <v>1276006</v>
      </c>
      <c r="SPV91" s="80"/>
      <c r="SPW91" s="81">
        <v>0.86944444444444446</v>
      </c>
      <c r="SPX91" s="74" t="s">
        <v>27</v>
      </c>
      <c r="SPY91" s="74" t="s">
        <v>24</v>
      </c>
      <c r="SPZ91" s="75" t="s">
        <v>25</v>
      </c>
      <c r="SQA91" s="76">
        <f>IFERROR(VLOOKUP(SPZ91,'[1]List KPI'!$A$103:$F$118,6,0),"")</f>
        <v>1.0416666666666666E-2</v>
      </c>
      <c r="SQB91" s="76">
        <v>0.86944444444444446</v>
      </c>
      <c r="SQC91" s="76">
        <v>0.86944444444444446</v>
      </c>
      <c r="SQD91" s="77" t="str">
        <f t="shared" si="405"/>
        <v>O</v>
      </c>
      <c r="SQE91" s="74" t="s">
        <v>28</v>
      </c>
      <c r="SQF91" s="75" t="s">
        <v>23</v>
      </c>
      <c r="SQG91" s="78">
        <f>IFERROR(VLOOKUP(SQF91,'[1]List KPI'!$M$3:$N$8,2,0),"")</f>
        <v>2.0833333333333332E-2</v>
      </c>
      <c r="SQH91" s="76">
        <v>0.89444444444444449</v>
      </c>
      <c r="SQI91" s="77" t="str">
        <f t="shared" si="406"/>
        <v>O</v>
      </c>
      <c r="SQJ91" s="79">
        <v>5</v>
      </c>
      <c r="SQK91" s="75">
        <v>1276006</v>
      </c>
      <c r="SQL91" s="80"/>
      <c r="SQM91" s="81">
        <v>0.86944444444444446</v>
      </c>
      <c r="SQN91" s="74" t="s">
        <v>27</v>
      </c>
      <c r="SQO91" s="74" t="s">
        <v>24</v>
      </c>
      <c r="SQP91" s="75" t="s">
        <v>25</v>
      </c>
      <c r="SQQ91" s="76">
        <f>IFERROR(VLOOKUP(SQP91,'[1]List KPI'!$A$103:$F$118,6,0),"")</f>
        <v>1.0416666666666666E-2</v>
      </c>
      <c r="SQR91" s="76">
        <v>0.86944444444444446</v>
      </c>
      <c r="SQS91" s="76">
        <v>0.86944444444444446</v>
      </c>
      <c r="SQT91" s="77" t="str">
        <f t="shared" si="405"/>
        <v>O</v>
      </c>
      <c r="SQU91" s="74" t="s">
        <v>28</v>
      </c>
      <c r="SQV91" s="75" t="s">
        <v>23</v>
      </c>
      <c r="SQW91" s="78">
        <f>IFERROR(VLOOKUP(SQV91,'[1]List KPI'!$M$3:$N$8,2,0),"")</f>
        <v>2.0833333333333332E-2</v>
      </c>
      <c r="SQX91" s="76">
        <v>0.89444444444444449</v>
      </c>
      <c r="SQY91" s="77" t="str">
        <f t="shared" si="406"/>
        <v>O</v>
      </c>
      <c r="SQZ91" s="79">
        <v>5</v>
      </c>
      <c r="SRA91" s="75">
        <v>1276006</v>
      </c>
      <c r="SRB91" s="80"/>
      <c r="SRC91" s="81">
        <v>0.86944444444444446</v>
      </c>
      <c r="SRD91" s="74" t="s">
        <v>27</v>
      </c>
      <c r="SRE91" s="74" t="s">
        <v>24</v>
      </c>
      <c r="SRF91" s="75" t="s">
        <v>25</v>
      </c>
      <c r="SRG91" s="76">
        <f>IFERROR(VLOOKUP(SRF91,'[1]List KPI'!$A$103:$F$118,6,0),"")</f>
        <v>1.0416666666666666E-2</v>
      </c>
      <c r="SRH91" s="76">
        <v>0.86944444444444446</v>
      </c>
      <c r="SRI91" s="76">
        <v>0.86944444444444446</v>
      </c>
      <c r="SRJ91" s="77" t="str">
        <f t="shared" ref="SRJ91:STF91" si="407">IF(SRI91="","",IF(SRI91&gt;SRR91,"O","P"))</f>
        <v>O</v>
      </c>
      <c r="SRK91" s="74" t="s">
        <v>28</v>
      </c>
      <c r="SRL91" s="75" t="s">
        <v>23</v>
      </c>
      <c r="SRM91" s="78">
        <f>IFERROR(VLOOKUP(SRL91,'[1]List KPI'!$M$3:$N$8,2,0),"")</f>
        <v>2.0833333333333332E-2</v>
      </c>
      <c r="SRN91" s="76">
        <v>0.89444444444444449</v>
      </c>
      <c r="SRO91" s="77" t="str">
        <f t="shared" ref="SRO91:STK91" si="408">IF(SRN91="","",IF(SRN91&gt;SRS91,"O","P"))</f>
        <v>O</v>
      </c>
      <c r="SRP91" s="79">
        <v>5</v>
      </c>
      <c r="SRQ91" s="75">
        <v>1276006</v>
      </c>
      <c r="SRR91" s="80"/>
      <c r="SRS91" s="81">
        <v>0.86944444444444446</v>
      </c>
      <c r="SRT91" s="74" t="s">
        <v>27</v>
      </c>
      <c r="SRU91" s="74" t="s">
        <v>24</v>
      </c>
      <c r="SRV91" s="75" t="s">
        <v>25</v>
      </c>
      <c r="SRW91" s="76">
        <f>IFERROR(VLOOKUP(SRV91,'[1]List KPI'!$A$103:$F$118,6,0),"")</f>
        <v>1.0416666666666666E-2</v>
      </c>
      <c r="SRX91" s="76">
        <v>0.86944444444444446</v>
      </c>
      <c r="SRY91" s="76">
        <v>0.86944444444444446</v>
      </c>
      <c r="SRZ91" s="77" t="str">
        <f t="shared" si="407"/>
        <v>O</v>
      </c>
      <c r="SSA91" s="74" t="s">
        <v>28</v>
      </c>
      <c r="SSB91" s="75" t="s">
        <v>23</v>
      </c>
      <c r="SSC91" s="78">
        <f>IFERROR(VLOOKUP(SSB91,'[1]List KPI'!$M$3:$N$8,2,0),"")</f>
        <v>2.0833333333333332E-2</v>
      </c>
      <c r="SSD91" s="76">
        <v>0.89444444444444449</v>
      </c>
      <c r="SSE91" s="77" t="str">
        <f t="shared" si="408"/>
        <v>O</v>
      </c>
      <c r="SSF91" s="79">
        <v>5</v>
      </c>
      <c r="SSG91" s="75">
        <v>1276006</v>
      </c>
      <c r="SSH91" s="80"/>
      <c r="SSI91" s="81">
        <v>0.86944444444444446</v>
      </c>
      <c r="SSJ91" s="74" t="s">
        <v>27</v>
      </c>
      <c r="SSK91" s="74" t="s">
        <v>24</v>
      </c>
      <c r="SSL91" s="75" t="s">
        <v>25</v>
      </c>
      <c r="SSM91" s="76">
        <f>IFERROR(VLOOKUP(SSL91,'[1]List KPI'!$A$103:$F$118,6,0),"")</f>
        <v>1.0416666666666666E-2</v>
      </c>
      <c r="SSN91" s="76">
        <v>0.86944444444444446</v>
      </c>
      <c r="SSO91" s="76">
        <v>0.86944444444444446</v>
      </c>
      <c r="SSP91" s="77" t="str">
        <f t="shared" si="407"/>
        <v>O</v>
      </c>
      <c r="SSQ91" s="74" t="s">
        <v>28</v>
      </c>
      <c r="SSR91" s="75" t="s">
        <v>23</v>
      </c>
      <c r="SSS91" s="78">
        <f>IFERROR(VLOOKUP(SSR91,'[1]List KPI'!$M$3:$N$8,2,0),"")</f>
        <v>2.0833333333333332E-2</v>
      </c>
      <c r="SST91" s="76">
        <v>0.89444444444444449</v>
      </c>
      <c r="SSU91" s="77" t="str">
        <f t="shared" si="408"/>
        <v>O</v>
      </c>
      <c r="SSV91" s="79">
        <v>5</v>
      </c>
      <c r="SSW91" s="75">
        <v>1276006</v>
      </c>
      <c r="SSX91" s="80"/>
      <c r="SSY91" s="81">
        <v>0.86944444444444446</v>
      </c>
      <c r="SSZ91" s="74" t="s">
        <v>27</v>
      </c>
      <c r="STA91" s="74" t="s">
        <v>24</v>
      </c>
      <c r="STB91" s="75" t="s">
        <v>25</v>
      </c>
      <c r="STC91" s="76">
        <f>IFERROR(VLOOKUP(STB91,'[1]List KPI'!$A$103:$F$118,6,0),"")</f>
        <v>1.0416666666666666E-2</v>
      </c>
      <c r="STD91" s="76">
        <v>0.86944444444444446</v>
      </c>
      <c r="STE91" s="76">
        <v>0.86944444444444446</v>
      </c>
      <c r="STF91" s="77" t="str">
        <f t="shared" si="407"/>
        <v>O</v>
      </c>
      <c r="STG91" s="74" t="s">
        <v>28</v>
      </c>
      <c r="STH91" s="75" t="s">
        <v>23</v>
      </c>
      <c r="STI91" s="78">
        <f>IFERROR(VLOOKUP(STH91,'[1]List KPI'!$M$3:$N$8,2,0),"")</f>
        <v>2.0833333333333332E-2</v>
      </c>
      <c r="STJ91" s="76">
        <v>0.89444444444444449</v>
      </c>
      <c r="STK91" s="77" t="str">
        <f t="shared" si="408"/>
        <v>O</v>
      </c>
      <c r="STL91" s="79">
        <v>5</v>
      </c>
      <c r="STM91" s="75">
        <v>1276006</v>
      </c>
      <c r="STN91" s="80"/>
      <c r="STO91" s="81">
        <v>0.86944444444444446</v>
      </c>
      <c r="STP91" s="74" t="s">
        <v>27</v>
      </c>
      <c r="STQ91" s="74" t="s">
        <v>24</v>
      </c>
      <c r="STR91" s="75" t="s">
        <v>25</v>
      </c>
      <c r="STS91" s="76">
        <f>IFERROR(VLOOKUP(STR91,'[1]List KPI'!$A$103:$F$118,6,0),"")</f>
        <v>1.0416666666666666E-2</v>
      </c>
      <c r="STT91" s="76">
        <v>0.86944444444444446</v>
      </c>
      <c r="STU91" s="76">
        <v>0.86944444444444446</v>
      </c>
      <c r="STV91" s="77" t="str">
        <f t="shared" ref="STV91:SVR91" si="409">IF(STU91="","",IF(STU91&gt;SUD91,"O","P"))</f>
        <v>O</v>
      </c>
      <c r="STW91" s="74" t="s">
        <v>28</v>
      </c>
      <c r="STX91" s="75" t="s">
        <v>23</v>
      </c>
      <c r="STY91" s="78">
        <f>IFERROR(VLOOKUP(STX91,'[1]List KPI'!$M$3:$N$8,2,0),"")</f>
        <v>2.0833333333333332E-2</v>
      </c>
      <c r="STZ91" s="76">
        <v>0.89444444444444449</v>
      </c>
      <c r="SUA91" s="77" t="str">
        <f t="shared" ref="SUA91:SVW91" si="410">IF(STZ91="","",IF(STZ91&gt;SUE91,"O","P"))</f>
        <v>O</v>
      </c>
      <c r="SUB91" s="79">
        <v>5</v>
      </c>
      <c r="SUC91" s="75">
        <v>1276006</v>
      </c>
      <c r="SUD91" s="80"/>
      <c r="SUE91" s="81">
        <v>0.86944444444444446</v>
      </c>
      <c r="SUF91" s="74" t="s">
        <v>27</v>
      </c>
      <c r="SUG91" s="74" t="s">
        <v>24</v>
      </c>
      <c r="SUH91" s="75" t="s">
        <v>25</v>
      </c>
      <c r="SUI91" s="76">
        <f>IFERROR(VLOOKUP(SUH91,'[1]List KPI'!$A$103:$F$118,6,0),"")</f>
        <v>1.0416666666666666E-2</v>
      </c>
      <c r="SUJ91" s="76">
        <v>0.86944444444444446</v>
      </c>
      <c r="SUK91" s="76">
        <v>0.86944444444444446</v>
      </c>
      <c r="SUL91" s="77" t="str">
        <f t="shared" si="409"/>
        <v>O</v>
      </c>
      <c r="SUM91" s="74" t="s">
        <v>28</v>
      </c>
      <c r="SUN91" s="75" t="s">
        <v>23</v>
      </c>
      <c r="SUO91" s="78">
        <f>IFERROR(VLOOKUP(SUN91,'[1]List KPI'!$M$3:$N$8,2,0),"")</f>
        <v>2.0833333333333332E-2</v>
      </c>
      <c r="SUP91" s="76">
        <v>0.89444444444444449</v>
      </c>
      <c r="SUQ91" s="77" t="str">
        <f t="shared" si="410"/>
        <v>O</v>
      </c>
      <c r="SUR91" s="79">
        <v>5</v>
      </c>
      <c r="SUS91" s="75">
        <v>1276006</v>
      </c>
      <c r="SUT91" s="80"/>
      <c r="SUU91" s="81">
        <v>0.86944444444444446</v>
      </c>
      <c r="SUV91" s="74" t="s">
        <v>27</v>
      </c>
      <c r="SUW91" s="74" t="s">
        <v>24</v>
      </c>
      <c r="SUX91" s="75" t="s">
        <v>25</v>
      </c>
      <c r="SUY91" s="76">
        <f>IFERROR(VLOOKUP(SUX91,'[1]List KPI'!$A$103:$F$118,6,0),"")</f>
        <v>1.0416666666666666E-2</v>
      </c>
      <c r="SUZ91" s="76">
        <v>0.86944444444444446</v>
      </c>
      <c r="SVA91" s="76">
        <v>0.86944444444444446</v>
      </c>
      <c r="SVB91" s="77" t="str">
        <f t="shared" si="409"/>
        <v>O</v>
      </c>
      <c r="SVC91" s="74" t="s">
        <v>28</v>
      </c>
      <c r="SVD91" s="75" t="s">
        <v>23</v>
      </c>
      <c r="SVE91" s="78">
        <f>IFERROR(VLOOKUP(SVD91,'[1]List KPI'!$M$3:$N$8,2,0),"")</f>
        <v>2.0833333333333332E-2</v>
      </c>
      <c r="SVF91" s="76">
        <v>0.89444444444444449</v>
      </c>
      <c r="SVG91" s="77" t="str">
        <f t="shared" si="410"/>
        <v>O</v>
      </c>
      <c r="SVH91" s="79">
        <v>5</v>
      </c>
      <c r="SVI91" s="75">
        <v>1276006</v>
      </c>
      <c r="SVJ91" s="80"/>
      <c r="SVK91" s="81">
        <v>0.86944444444444446</v>
      </c>
      <c r="SVL91" s="74" t="s">
        <v>27</v>
      </c>
      <c r="SVM91" s="74" t="s">
        <v>24</v>
      </c>
      <c r="SVN91" s="75" t="s">
        <v>25</v>
      </c>
      <c r="SVO91" s="76">
        <f>IFERROR(VLOOKUP(SVN91,'[1]List KPI'!$A$103:$F$118,6,0),"")</f>
        <v>1.0416666666666666E-2</v>
      </c>
      <c r="SVP91" s="76">
        <v>0.86944444444444446</v>
      </c>
      <c r="SVQ91" s="76">
        <v>0.86944444444444446</v>
      </c>
      <c r="SVR91" s="77" t="str">
        <f t="shared" si="409"/>
        <v>O</v>
      </c>
      <c r="SVS91" s="74" t="s">
        <v>28</v>
      </c>
      <c r="SVT91" s="75" t="s">
        <v>23</v>
      </c>
      <c r="SVU91" s="78">
        <f>IFERROR(VLOOKUP(SVT91,'[1]List KPI'!$M$3:$N$8,2,0),"")</f>
        <v>2.0833333333333332E-2</v>
      </c>
      <c r="SVV91" s="76">
        <v>0.89444444444444449</v>
      </c>
      <c r="SVW91" s="77" t="str">
        <f t="shared" si="410"/>
        <v>O</v>
      </c>
      <c r="SVX91" s="79">
        <v>5</v>
      </c>
      <c r="SVY91" s="75">
        <v>1276006</v>
      </c>
      <c r="SVZ91" s="80"/>
      <c r="SWA91" s="81">
        <v>0.86944444444444446</v>
      </c>
      <c r="SWB91" s="74" t="s">
        <v>27</v>
      </c>
      <c r="SWC91" s="74" t="s">
        <v>24</v>
      </c>
      <c r="SWD91" s="75" t="s">
        <v>25</v>
      </c>
      <c r="SWE91" s="76">
        <f>IFERROR(VLOOKUP(SWD91,'[1]List KPI'!$A$103:$F$118,6,0),"")</f>
        <v>1.0416666666666666E-2</v>
      </c>
      <c r="SWF91" s="76">
        <v>0.86944444444444446</v>
      </c>
      <c r="SWG91" s="76">
        <v>0.86944444444444446</v>
      </c>
      <c r="SWH91" s="77" t="str">
        <f t="shared" ref="SWH91:SYD91" si="411">IF(SWG91="","",IF(SWG91&gt;SWP91,"O","P"))</f>
        <v>O</v>
      </c>
      <c r="SWI91" s="74" t="s">
        <v>28</v>
      </c>
      <c r="SWJ91" s="75" t="s">
        <v>23</v>
      </c>
      <c r="SWK91" s="78">
        <f>IFERROR(VLOOKUP(SWJ91,'[1]List KPI'!$M$3:$N$8,2,0),"")</f>
        <v>2.0833333333333332E-2</v>
      </c>
      <c r="SWL91" s="76">
        <v>0.89444444444444449</v>
      </c>
      <c r="SWM91" s="77" t="str">
        <f t="shared" ref="SWM91:SYI91" si="412">IF(SWL91="","",IF(SWL91&gt;SWQ91,"O","P"))</f>
        <v>O</v>
      </c>
      <c r="SWN91" s="79">
        <v>5</v>
      </c>
      <c r="SWO91" s="75">
        <v>1276006</v>
      </c>
      <c r="SWP91" s="80"/>
      <c r="SWQ91" s="81">
        <v>0.86944444444444446</v>
      </c>
      <c r="SWR91" s="74" t="s">
        <v>27</v>
      </c>
      <c r="SWS91" s="74" t="s">
        <v>24</v>
      </c>
      <c r="SWT91" s="75" t="s">
        <v>25</v>
      </c>
      <c r="SWU91" s="76">
        <f>IFERROR(VLOOKUP(SWT91,'[1]List KPI'!$A$103:$F$118,6,0),"")</f>
        <v>1.0416666666666666E-2</v>
      </c>
      <c r="SWV91" s="76">
        <v>0.86944444444444446</v>
      </c>
      <c r="SWW91" s="76">
        <v>0.86944444444444446</v>
      </c>
      <c r="SWX91" s="77" t="str">
        <f t="shared" si="411"/>
        <v>O</v>
      </c>
      <c r="SWY91" s="74" t="s">
        <v>28</v>
      </c>
      <c r="SWZ91" s="75" t="s">
        <v>23</v>
      </c>
      <c r="SXA91" s="78">
        <f>IFERROR(VLOOKUP(SWZ91,'[1]List KPI'!$M$3:$N$8,2,0),"")</f>
        <v>2.0833333333333332E-2</v>
      </c>
      <c r="SXB91" s="76">
        <v>0.89444444444444449</v>
      </c>
      <c r="SXC91" s="77" t="str">
        <f t="shared" si="412"/>
        <v>O</v>
      </c>
      <c r="SXD91" s="79">
        <v>5</v>
      </c>
      <c r="SXE91" s="75">
        <v>1276006</v>
      </c>
      <c r="SXF91" s="80"/>
      <c r="SXG91" s="81">
        <v>0.86944444444444446</v>
      </c>
      <c r="SXH91" s="74" t="s">
        <v>27</v>
      </c>
      <c r="SXI91" s="74" t="s">
        <v>24</v>
      </c>
      <c r="SXJ91" s="75" t="s">
        <v>25</v>
      </c>
      <c r="SXK91" s="76">
        <f>IFERROR(VLOOKUP(SXJ91,'[1]List KPI'!$A$103:$F$118,6,0),"")</f>
        <v>1.0416666666666666E-2</v>
      </c>
      <c r="SXL91" s="76">
        <v>0.86944444444444446</v>
      </c>
      <c r="SXM91" s="76">
        <v>0.86944444444444446</v>
      </c>
      <c r="SXN91" s="77" t="str">
        <f t="shared" si="411"/>
        <v>O</v>
      </c>
      <c r="SXO91" s="74" t="s">
        <v>28</v>
      </c>
      <c r="SXP91" s="75" t="s">
        <v>23</v>
      </c>
      <c r="SXQ91" s="78">
        <f>IFERROR(VLOOKUP(SXP91,'[1]List KPI'!$M$3:$N$8,2,0),"")</f>
        <v>2.0833333333333332E-2</v>
      </c>
      <c r="SXR91" s="76">
        <v>0.89444444444444449</v>
      </c>
      <c r="SXS91" s="77" t="str">
        <f t="shared" si="412"/>
        <v>O</v>
      </c>
      <c r="SXT91" s="79">
        <v>5</v>
      </c>
      <c r="SXU91" s="75">
        <v>1276006</v>
      </c>
      <c r="SXV91" s="80"/>
      <c r="SXW91" s="81">
        <v>0.86944444444444446</v>
      </c>
      <c r="SXX91" s="74" t="s">
        <v>27</v>
      </c>
      <c r="SXY91" s="74" t="s">
        <v>24</v>
      </c>
      <c r="SXZ91" s="75" t="s">
        <v>25</v>
      </c>
      <c r="SYA91" s="76">
        <f>IFERROR(VLOOKUP(SXZ91,'[1]List KPI'!$A$103:$F$118,6,0),"")</f>
        <v>1.0416666666666666E-2</v>
      </c>
      <c r="SYB91" s="76">
        <v>0.86944444444444446</v>
      </c>
      <c r="SYC91" s="76">
        <v>0.86944444444444446</v>
      </c>
      <c r="SYD91" s="77" t="str">
        <f t="shared" si="411"/>
        <v>O</v>
      </c>
      <c r="SYE91" s="74" t="s">
        <v>28</v>
      </c>
      <c r="SYF91" s="75" t="s">
        <v>23</v>
      </c>
      <c r="SYG91" s="78">
        <f>IFERROR(VLOOKUP(SYF91,'[1]List KPI'!$M$3:$N$8,2,0),"")</f>
        <v>2.0833333333333332E-2</v>
      </c>
      <c r="SYH91" s="76">
        <v>0.89444444444444449</v>
      </c>
      <c r="SYI91" s="77" t="str">
        <f t="shared" si="412"/>
        <v>O</v>
      </c>
      <c r="SYJ91" s="79">
        <v>5</v>
      </c>
      <c r="SYK91" s="75">
        <v>1276006</v>
      </c>
      <c r="SYL91" s="80"/>
      <c r="SYM91" s="81">
        <v>0.86944444444444446</v>
      </c>
      <c r="SYN91" s="74" t="s">
        <v>27</v>
      </c>
      <c r="SYO91" s="74" t="s">
        <v>24</v>
      </c>
      <c r="SYP91" s="75" t="s">
        <v>25</v>
      </c>
      <c r="SYQ91" s="76">
        <f>IFERROR(VLOOKUP(SYP91,'[1]List KPI'!$A$103:$F$118,6,0),"")</f>
        <v>1.0416666666666666E-2</v>
      </c>
      <c r="SYR91" s="76">
        <v>0.86944444444444446</v>
      </c>
      <c r="SYS91" s="76">
        <v>0.86944444444444446</v>
      </c>
      <c r="SYT91" s="77" t="str">
        <f t="shared" ref="SYT91:TAP91" si="413">IF(SYS91="","",IF(SYS91&gt;SZB91,"O","P"))</f>
        <v>O</v>
      </c>
      <c r="SYU91" s="74" t="s">
        <v>28</v>
      </c>
      <c r="SYV91" s="75" t="s">
        <v>23</v>
      </c>
      <c r="SYW91" s="78">
        <f>IFERROR(VLOOKUP(SYV91,'[1]List KPI'!$M$3:$N$8,2,0),"")</f>
        <v>2.0833333333333332E-2</v>
      </c>
      <c r="SYX91" s="76">
        <v>0.89444444444444449</v>
      </c>
      <c r="SYY91" s="77" t="str">
        <f t="shared" ref="SYY91:TAU91" si="414">IF(SYX91="","",IF(SYX91&gt;SZC91,"O","P"))</f>
        <v>O</v>
      </c>
      <c r="SYZ91" s="79">
        <v>5</v>
      </c>
      <c r="SZA91" s="75">
        <v>1276006</v>
      </c>
      <c r="SZB91" s="80"/>
      <c r="SZC91" s="81">
        <v>0.86944444444444446</v>
      </c>
      <c r="SZD91" s="74" t="s">
        <v>27</v>
      </c>
      <c r="SZE91" s="74" t="s">
        <v>24</v>
      </c>
      <c r="SZF91" s="75" t="s">
        <v>25</v>
      </c>
      <c r="SZG91" s="76">
        <f>IFERROR(VLOOKUP(SZF91,'[1]List KPI'!$A$103:$F$118,6,0),"")</f>
        <v>1.0416666666666666E-2</v>
      </c>
      <c r="SZH91" s="76">
        <v>0.86944444444444446</v>
      </c>
      <c r="SZI91" s="76">
        <v>0.86944444444444446</v>
      </c>
      <c r="SZJ91" s="77" t="str">
        <f t="shared" si="413"/>
        <v>O</v>
      </c>
      <c r="SZK91" s="74" t="s">
        <v>28</v>
      </c>
      <c r="SZL91" s="75" t="s">
        <v>23</v>
      </c>
      <c r="SZM91" s="78">
        <f>IFERROR(VLOOKUP(SZL91,'[1]List KPI'!$M$3:$N$8,2,0),"")</f>
        <v>2.0833333333333332E-2</v>
      </c>
      <c r="SZN91" s="76">
        <v>0.89444444444444449</v>
      </c>
      <c r="SZO91" s="77" t="str">
        <f t="shared" si="414"/>
        <v>O</v>
      </c>
      <c r="SZP91" s="79">
        <v>5</v>
      </c>
      <c r="SZQ91" s="75">
        <v>1276006</v>
      </c>
      <c r="SZR91" s="80"/>
      <c r="SZS91" s="81">
        <v>0.86944444444444446</v>
      </c>
      <c r="SZT91" s="74" t="s">
        <v>27</v>
      </c>
      <c r="SZU91" s="74" t="s">
        <v>24</v>
      </c>
      <c r="SZV91" s="75" t="s">
        <v>25</v>
      </c>
      <c r="SZW91" s="76">
        <f>IFERROR(VLOOKUP(SZV91,'[1]List KPI'!$A$103:$F$118,6,0),"")</f>
        <v>1.0416666666666666E-2</v>
      </c>
      <c r="SZX91" s="76">
        <v>0.86944444444444446</v>
      </c>
      <c r="SZY91" s="76">
        <v>0.86944444444444446</v>
      </c>
      <c r="SZZ91" s="77" t="str">
        <f t="shared" si="413"/>
        <v>O</v>
      </c>
      <c r="TAA91" s="74" t="s">
        <v>28</v>
      </c>
      <c r="TAB91" s="75" t="s">
        <v>23</v>
      </c>
      <c r="TAC91" s="78">
        <f>IFERROR(VLOOKUP(TAB91,'[1]List KPI'!$M$3:$N$8,2,0),"")</f>
        <v>2.0833333333333332E-2</v>
      </c>
      <c r="TAD91" s="76">
        <v>0.89444444444444449</v>
      </c>
      <c r="TAE91" s="77" t="str">
        <f t="shared" si="414"/>
        <v>O</v>
      </c>
      <c r="TAF91" s="79">
        <v>5</v>
      </c>
      <c r="TAG91" s="75">
        <v>1276006</v>
      </c>
      <c r="TAH91" s="80"/>
      <c r="TAI91" s="81">
        <v>0.86944444444444446</v>
      </c>
      <c r="TAJ91" s="74" t="s">
        <v>27</v>
      </c>
      <c r="TAK91" s="74" t="s">
        <v>24</v>
      </c>
      <c r="TAL91" s="75" t="s">
        <v>25</v>
      </c>
      <c r="TAM91" s="76">
        <f>IFERROR(VLOOKUP(TAL91,'[1]List KPI'!$A$103:$F$118,6,0),"")</f>
        <v>1.0416666666666666E-2</v>
      </c>
      <c r="TAN91" s="76">
        <v>0.86944444444444446</v>
      </c>
      <c r="TAO91" s="76">
        <v>0.86944444444444446</v>
      </c>
      <c r="TAP91" s="77" t="str">
        <f t="shared" si="413"/>
        <v>O</v>
      </c>
      <c r="TAQ91" s="74" t="s">
        <v>28</v>
      </c>
      <c r="TAR91" s="75" t="s">
        <v>23</v>
      </c>
      <c r="TAS91" s="78">
        <f>IFERROR(VLOOKUP(TAR91,'[1]List KPI'!$M$3:$N$8,2,0),"")</f>
        <v>2.0833333333333332E-2</v>
      </c>
      <c r="TAT91" s="76">
        <v>0.89444444444444449</v>
      </c>
      <c r="TAU91" s="77" t="str">
        <f t="shared" si="414"/>
        <v>O</v>
      </c>
      <c r="TAV91" s="79">
        <v>5</v>
      </c>
      <c r="TAW91" s="75">
        <v>1276006</v>
      </c>
      <c r="TAX91" s="80"/>
      <c r="TAY91" s="81">
        <v>0.86944444444444446</v>
      </c>
      <c r="TAZ91" s="74" t="s">
        <v>27</v>
      </c>
      <c r="TBA91" s="74" t="s">
        <v>24</v>
      </c>
      <c r="TBB91" s="75" t="s">
        <v>25</v>
      </c>
      <c r="TBC91" s="76">
        <f>IFERROR(VLOOKUP(TBB91,'[1]List KPI'!$A$103:$F$118,6,0),"")</f>
        <v>1.0416666666666666E-2</v>
      </c>
      <c r="TBD91" s="76">
        <v>0.86944444444444446</v>
      </c>
      <c r="TBE91" s="76">
        <v>0.86944444444444446</v>
      </c>
      <c r="TBF91" s="77" t="str">
        <f t="shared" ref="TBF91:TDB91" si="415">IF(TBE91="","",IF(TBE91&gt;TBN91,"O","P"))</f>
        <v>O</v>
      </c>
      <c r="TBG91" s="74" t="s">
        <v>28</v>
      </c>
      <c r="TBH91" s="75" t="s">
        <v>23</v>
      </c>
      <c r="TBI91" s="78">
        <f>IFERROR(VLOOKUP(TBH91,'[1]List KPI'!$M$3:$N$8,2,0),"")</f>
        <v>2.0833333333333332E-2</v>
      </c>
      <c r="TBJ91" s="76">
        <v>0.89444444444444449</v>
      </c>
      <c r="TBK91" s="77" t="str">
        <f t="shared" ref="TBK91:TDG91" si="416">IF(TBJ91="","",IF(TBJ91&gt;TBO91,"O","P"))</f>
        <v>O</v>
      </c>
      <c r="TBL91" s="79">
        <v>5</v>
      </c>
      <c r="TBM91" s="75">
        <v>1276006</v>
      </c>
      <c r="TBN91" s="80"/>
      <c r="TBO91" s="81">
        <v>0.86944444444444446</v>
      </c>
      <c r="TBP91" s="74" t="s">
        <v>27</v>
      </c>
      <c r="TBQ91" s="74" t="s">
        <v>24</v>
      </c>
      <c r="TBR91" s="75" t="s">
        <v>25</v>
      </c>
      <c r="TBS91" s="76">
        <f>IFERROR(VLOOKUP(TBR91,'[1]List KPI'!$A$103:$F$118,6,0),"")</f>
        <v>1.0416666666666666E-2</v>
      </c>
      <c r="TBT91" s="76">
        <v>0.86944444444444446</v>
      </c>
      <c r="TBU91" s="76">
        <v>0.86944444444444446</v>
      </c>
      <c r="TBV91" s="77" t="str">
        <f t="shared" si="415"/>
        <v>O</v>
      </c>
      <c r="TBW91" s="74" t="s">
        <v>28</v>
      </c>
      <c r="TBX91" s="75" t="s">
        <v>23</v>
      </c>
      <c r="TBY91" s="78">
        <f>IFERROR(VLOOKUP(TBX91,'[1]List KPI'!$M$3:$N$8,2,0),"")</f>
        <v>2.0833333333333332E-2</v>
      </c>
      <c r="TBZ91" s="76">
        <v>0.89444444444444449</v>
      </c>
      <c r="TCA91" s="77" t="str">
        <f t="shared" si="416"/>
        <v>O</v>
      </c>
      <c r="TCB91" s="79">
        <v>5</v>
      </c>
      <c r="TCC91" s="75">
        <v>1276006</v>
      </c>
      <c r="TCD91" s="80"/>
      <c r="TCE91" s="81">
        <v>0.86944444444444446</v>
      </c>
      <c r="TCF91" s="74" t="s">
        <v>27</v>
      </c>
      <c r="TCG91" s="74" t="s">
        <v>24</v>
      </c>
      <c r="TCH91" s="75" t="s">
        <v>25</v>
      </c>
      <c r="TCI91" s="76">
        <f>IFERROR(VLOOKUP(TCH91,'[1]List KPI'!$A$103:$F$118,6,0),"")</f>
        <v>1.0416666666666666E-2</v>
      </c>
      <c r="TCJ91" s="76">
        <v>0.86944444444444446</v>
      </c>
      <c r="TCK91" s="76">
        <v>0.86944444444444446</v>
      </c>
      <c r="TCL91" s="77" t="str">
        <f t="shared" si="415"/>
        <v>O</v>
      </c>
      <c r="TCM91" s="74" t="s">
        <v>28</v>
      </c>
      <c r="TCN91" s="75" t="s">
        <v>23</v>
      </c>
      <c r="TCO91" s="78">
        <f>IFERROR(VLOOKUP(TCN91,'[1]List KPI'!$M$3:$N$8,2,0),"")</f>
        <v>2.0833333333333332E-2</v>
      </c>
      <c r="TCP91" s="76">
        <v>0.89444444444444449</v>
      </c>
      <c r="TCQ91" s="77" t="str">
        <f t="shared" si="416"/>
        <v>O</v>
      </c>
      <c r="TCR91" s="79">
        <v>5</v>
      </c>
      <c r="TCS91" s="75">
        <v>1276006</v>
      </c>
      <c r="TCT91" s="80"/>
      <c r="TCU91" s="81">
        <v>0.86944444444444446</v>
      </c>
      <c r="TCV91" s="74" t="s">
        <v>27</v>
      </c>
      <c r="TCW91" s="74" t="s">
        <v>24</v>
      </c>
      <c r="TCX91" s="75" t="s">
        <v>25</v>
      </c>
      <c r="TCY91" s="76">
        <f>IFERROR(VLOOKUP(TCX91,'[1]List KPI'!$A$103:$F$118,6,0),"")</f>
        <v>1.0416666666666666E-2</v>
      </c>
      <c r="TCZ91" s="76">
        <v>0.86944444444444446</v>
      </c>
      <c r="TDA91" s="76">
        <v>0.86944444444444446</v>
      </c>
      <c r="TDB91" s="77" t="str">
        <f t="shared" si="415"/>
        <v>O</v>
      </c>
      <c r="TDC91" s="74" t="s">
        <v>28</v>
      </c>
      <c r="TDD91" s="75" t="s">
        <v>23</v>
      </c>
      <c r="TDE91" s="78">
        <f>IFERROR(VLOOKUP(TDD91,'[1]List KPI'!$M$3:$N$8,2,0),"")</f>
        <v>2.0833333333333332E-2</v>
      </c>
      <c r="TDF91" s="76">
        <v>0.89444444444444449</v>
      </c>
      <c r="TDG91" s="77" t="str">
        <f t="shared" si="416"/>
        <v>O</v>
      </c>
      <c r="TDH91" s="79">
        <v>5</v>
      </c>
      <c r="TDI91" s="75">
        <v>1276006</v>
      </c>
      <c r="TDJ91" s="80"/>
      <c r="TDK91" s="81">
        <v>0.86944444444444446</v>
      </c>
      <c r="TDL91" s="74" t="s">
        <v>27</v>
      </c>
      <c r="TDM91" s="74" t="s">
        <v>24</v>
      </c>
      <c r="TDN91" s="75" t="s">
        <v>25</v>
      </c>
      <c r="TDO91" s="76">
        <f>IFERROR(VLOOKUP(TDN91,'[1]List KPI'!$A$103:$F$118,6,0),"")</f>
        <v>1.0416666666666666E-2</v>
      </c>
      <c r="TDP91" s="76">
        <v>0.86944444444444446</v>
      </c>
      <c r="TDQ91" s="76">
        <v>0.86944444444444446</v>
      </c>
      <c r="TDR91" s="77" t="str">
        <f t="shared" ref="TDR91:TFN91" si="417">IF(TDQ91="","",IF(TDQ91&gt;TDZ91,"O","P"))</f>
        <v>O</v>
      </c>
      <c r="TDS91" s="74" t="s">
        <v>28</v>
      </c>
      <c r="TDT91" s="75" t="s">
        <v>23</v>
      </c>
      <c r="TDU91" s="78">
        <f>IFERROR(VLOOKUP(TDT91,'[1]List KPI'!$M$3:$N$8,2,0),"")</f>
        <v>2.0833333333333332E-2</v>
      </c>
      <c r="TDV91" s="76">
        <v>0.89444444444444449</v>
      </c>
      <c r="TDW91" s="77" t="str">
        <f t="shared" ref="TDW91:TFS91" si="418">IF(TDV91="","",IF(TDV91&gt;TEA91,"O","P"))</f>
        <v>O</v>
      </c>
      <c r="TDX91" s="79">
        <v>5</v>
      </c>
      <c r="TDY91" s="75">
        <v>1276006</v>
      </c>
      <c r="TDZ91" s="80"/>
      <c r="TEA91" s="81">
        <v>0.86944444444444446</v>
      </c>
      <c r="TEB91" s="74" t="s">
        <v>27</v>
      </c>
      <c r="TEC91" s="74" t="s">
        <v>24</v>
      </c>
      <c r="TED91" s="75" t="s">
        <v>25</v>
      </c>
      <c r="TEE91" s="76">
        <f>IFERROR(VLOOKUP(TED91,'[1]List KPI'!$A$103:$F$118,6,0),"")</f>
        <v>1.0416666666666666E-2</v>
      </c>
      <c r="TEF91" s="76">
        <v>0.86944444444444446</v>
      </c>
      <c r="TEG91" s="76">
        <v>0.86944444444444446</v>
      </c>
      <c r="TEH91" s="77" t="str">
        <f t="shared" si="417"/>
        <v>O</v>
      </c>
      <c r="TEI91" s="74" t="s">
        <v>28</v>
      </c>
      <c r="TEJ91" s="75" t="s">
        <v>23</v>
      </c>
      <c r="TEK91" s="78">
        <f>IFERROR(VLOOKUP(TEJ91,'[1]List KPI'!$M$3:$N$8,2,0),"")</f>
        <v>2.0833333333333332E-2</v>
      </c>
      <c r="TEL91" s="76">
        <v>0.89444444444444449</v>
      </c>
      <c r="TEM91" s="77" t="str">
        <f t="shared" si="418"/>
        <v>O</v>
      </c>
      <c r="TEN91" s="79">
        <v>5</v>
      </c>
      <c r="TEO91" s="75">
        <v>1276006</v>
      </c>
      <c r="TEP91" s="80"/>
      <c r="TEQ91" s="81">
        <v>0.86944444444444446</v>
      </c>
      <c r="TER91" s="74" t="s">
        <v>27</v>
      </c>
      <c r="TES91" s="74" t="s">
        <v>24</v>
      </c>
      <c r="TET91" s="75" t="s">
        <v>25</v>
      </c>
      <c r="TEU91" s="76">
        <f>IFERROR(VLOOKUP(TET91,'[1]List KPI'!$A$103:$F$118,6,0),"")</f>
        <v>1.0416666666666666E-2</v>
      </c>
      <c r="TEV91" s="76">
        <v>0.86944444444444446</v>
      </c>
      <c r="TEW91" s="76">
        <v>0.86944444444444446</v>
      </c>
      <c r="TEX91" s="77" t="str">
        <f t="shared" si="417"/>
        <v>O</v>
      </c>
      <c r="TEY91" s="74" t="s">
        <v>28</v>
      </c>
      <c r="TEZ91" s="75" t="s">
        <v>23</v>
      </c>
      <c r="TFA91" s="78">
        <f>IFERROR(VLOOKUP(TEZ91,'[1]List KPI'!$M$3:$N$8,2,0),"")</f>
        <v>2.0833333333333332E-2</v>
      </c>
      <c r="TFB91" s="76">
        <v>0.89444444444444449</v>
      </c>
      <c r="TFC91" s="77" t="str">
        <f t="shared" si="418"/>
        <v>O</v>
      </c>
      <c r="TFD91" s="79">
        <v>5</v>
      </c>
      <c r="TFE91" s="75">
        <v>1276006</v>
      </c>
      <c r="TFF91" s="80"/>
      <c r="TFG91" s="81">
        <v>0.86944444444444446</v>
      </c>
      <c r="TFH91" s="74" t="s">
        <v>27</v>
      </c>
      <c r="TFI91" s="74" t="s">
        <v>24</v>
      </c>
      <c r="TFJ91" s="75" t="s">
        <v>25</v>
      </c>
      <c r="TFK91" s="76">
        <f>IFERROR(VLOOKUP(TFJ91,'[1]List KPI'!$A$103:$F$118,6,0),"")</f>
        <v>1.0416666666666666E-2</v>
      </c>
      <c r="TFL91" s="76">
        <v>0.86944444444444446</v>
      </c>
      <c r="TFM91" s="76">
        <v>0.86944444444444446</v>
      </c>
      <c r="TFN91" s="77" t="str">
        <f t="shared" si="417"/>
        <v>O</v>
      </c>
      <c r="TFO91" s="74" t="s">
        <v>28</v>
      </c>
      <c r="TFP91" s="75" t="s">
        <v>23</v>
      </c>
      <c r="TFQ91" s="78">
        <f>IFERROR(VLOOKUP(TFP91,'[1]List KPI'!$M$3:$N$8,2,0),"")</f>
        <v>2.0833333333333332E-2</v>
      </c>
      <c r="TFR91" s="76">
        <v>0.89444444444444449</v>
      </c>
      <c r="TFS91" s="77" t="str">
        <f t="shared" si="418"/>
        <v>O</v>
      </c>
      <c r="TFT91" s="79">
        <v>5</v>
      </c>
      <c r="TFU91" s="75">
        <v>1276006</v>
      </c>
      <c r="TFV91" s="80"/>
      <c r="TFW91" s="81">
        <v>0.86944444444444446</v>
      </c>
      <c r="TFX91" s="74" t="s">
        <v>27</v>
      </c>
      <c r="TFY91" s="74" t="s">
        <v>24</v>
      </c>
      <c r="TFZ91" s="75" t="s">
        <v>25</v>
      </c>
      <c r="TGA91" s="76">
        <f>IFERROR(VLOOKUP(TFZ91,'[1]List KPI'!$A$103:$F$118,6,0),"")</f>
        <v>1.0416666666666666E-2</v>
      </c>
      <c r="TGB91" s="76">
        <v>0.86944444444444446</v>
      </c>
      <c r="TGC91" s="76">
        <v>0.86944444444444446</v>
      </c>
      <c r="TGD91" s="77" t="str">
        <f t="shared" ref="TGD91:THZ91" si="419">IF(TGC91="","",IF(TGC91&gt;TGL91,"O","P"))</f>
        <v>O</v>
      </c>
      <c r="TGE91" s="74" t="s">
        <v>28</v>
      </c>
      <c r="TGF91" s="75" t="s">
        <v>23</v>
      </c>
      <c r="TGG91" s="78">
        <f>IFERROR(VLOOKUP(TGF91,'[1]List KPI'!$M$3:$N$8,2,0),"")</f>
        <v>2.0833333333333332E-2</v>
      </c>
      <c r="TGH91" s="76">
        <v>0.89444444444444449</v>
      </c>
      <c r="TGI91" s="77" t="str">
        <f t="shared" ref="TGI91:TIE91" si="420">IF(TGH91="","",IF(TGH91&gt;TGM91,"O","P"))</f>
        <v>O</v>
      </c>
      <c r="TGJ91" s="79">
        <v>5</v>
      </c>
      <c r="TGK91" s="75">
        <v>1276006</v>
      </c>
      <c r="TGL91" s="80"/>
      <c r="TGM91" s="81">
        <v>0.86944444444444446</v>
      </c>
      <c r="TGN91" s="74" t="s">
        <v>27</v>
      </c>
      <c r="TGO91" s="74" t="s">
        <v>24</v>
      </c>
      <c r="TGP91" s="75" t="s">
        <v>25</v>
      </c>
      <c r="TGQ91" s="76">
        <f>IFERROR(VLOOKUP(TGP91,'[1]List KPI'!$A$103:$F$118,6,0),"")</f>
        <v>1.0416666666666666E-2</v>
      </c>
      <c r="TGR91" s="76">
        <v>0.86944444444444446</v>
      </c>
      <c r="TGS91" s="76">
        <v>0.86944444444444446</v>
      </c>
      <c r="TGT91" s="77" t="str">
        <f t="shared" si="419"/>
        <v>O</v>
      </c>
      <c r="TGU91" s="74" t="s">
        <v>28</v>
      </c>
      <c r="TGV91" s="75" t="s">
        <v>23</v>
      </c>
      <c r="TGW91" s="78">
        <f>IFERROR(VLOOKUP(TGV91,'[1]List KPI'!$M$3:$N$8,2,0),"")</f>
        <v>2.0833333333333332E-2</v>
      </c>
      <c r="TGX91" s="76">
        <v>0.89444444444444449</v>
      </c>
      <c r="TGY91" s="77" t="str">
        <f t="shared" si="420"/>
        <v>O</v>
      </c>
      <c r="TGZ91" s="79">
        <v>5</v>
      </c>
      <c r="THA91" s="75">
        <v>1276006</v>
      </c>
      <c r="THB91" s="80"/>
      <c r="THC91" s="81">
        <v>0.86944444444444446</v>
      </c>
      <c r="THD91" s="74" t="s">
        <v>27</v>
      </c>
      <c r="THE91" s="74" t="s">
        <v>24</v>
      </c>
      <c r="THF91" s="75" t="s">
        <v>25</v>
      </c>
      <c r="THG91" s="76">
        <f>IFERROR(VLOOKUP(THF91,'[1]List KPI'!$A$103:$F$118,6,0),"")</f>
        <v>1.0416666666666666E-2</v>
      </c>
      <c r="THH91" s="76">
        <v>0.86944444444444446</v>
      </c>
      <c r="THI91" s="76">
        <v>0.86944444444444446</v>
      </c>
      <c r="THJ91" s="77" t="str">
        <f t="shared" si="419"/>
        <v>O</v>
      </c>
      <c r="THK91" s="74" t="s">
        <v>28</v>
      </c>
      <c r="THL91" s="75" t="s">
        <v>23</v>
      </c>
      <c r="THM91" s="78">
        <f>IFERROR(VLOOKUP(THL91,'[1]List KPI'!$M$3:$N$8,2,0),"")</f>
        <v>2.0833333333333332E-2</v>
      </c>
      <c r="THN91" s="76">
        <v>0.89444444444444449</v>
      </c>
      <c r="THO91" s="77" t="str">
        <f t="shared" si="420"/>
        <v>O</v>
      </c>
      <c r="THP91" s="79">
        <v>5</v>
      </c>
      <c r="THQ91" s="75">
        <v>1276006</v>
      </c>
      <c r="THR91" s="80"/>
      <c r="THS91" s="81">
        <v>0.86944444444444446</v>
      </c>
      <c r="THT91" s="74" t="s">
        <v>27</v>
      </c>
      <c r="THU91" s="74" t="s">
        <v>24</v>
      </c>
      <c r="THV91" s="75" t="s">
        <v>25</v>
      </c>
      <c r="THW91" s="76">
        <f>IFERROR(VLOOKUP(THV91,'[1]List KPI'!$A$103:$F$118,6,0),"")</f>
        <v>1.0416666666666666E-2</v>
      </c>
      <c r="THX91" s="76">
        <v>0.86944444444444446</v>
      </c>
      <c r="THY91" s="76">
        <v>0.86944444444444446</v>
      </c>
      <c r="THZ91" s="77" t="str">
        <f t="shared" si="419"/>
        <v>O</v>
      </c>
      <c r="TIA91" s="74" t="s">
        <v>28</v>
      </c>
      <c r="TIB91" s="75" t="s">
        <v>23</v>
      </c>
      <c r="TIC91" s="78">
        <f>IFERROR(VLOOKUP(TIB91,'[1]List KPI'!$M$3:$N$8,2,0),"")</f>
        <v>2.0833333333333332E-2</v>
      </c>
      <c r="TID91" s="76">
        <v>0.89444444444444449</v>
      </c>
      <c r="TIE91" s="77" t="str">
        <f t="shared" si="420"/>
        <v>O</v>
      </c>
      <c r="TIF91" s="79">
        <v>5</v>
      </c>
      <c r="TIG91" s="75">
        <v>1276006</v>
      </c>
      <c r="TIH91" s="80"/>
      <c r="TII91" s="81">
        <v>0.86944444444444446</v>
      </c>
      <c r="TIJ91" s="74" t="s">
        <v>27</v>
      </c>
      <c r="TIK91" s="74" t="s">
        <v>24</v>
      </c>
      <c r="TIL91" s="75" t="s">
        <v>25</v>
      </c>
      <c r="TIM91" s="76">
        <f>IFERROR(VLOOKUP(TIL91,'[1]List KPI'!$A$103:$F$118,6,0),"")</f>
        <v>1.0416666666666666E-2</v>
      </c>
      <c r="TIN91" s="76">
        <v>0.86944444444444446</v>
      </c>
      <c r="TIO91" s="76">
        <v>0.86944444444444446</v>
      </c>
      <c r="TIP91" s="77" t="str">
        <f t="shared" ref="TIP91:TKL91" si="421">IF(TIO91="","",IF(TIO91&gt;TIX91,"O","P"))</f>
        <v>O</v>
      </c>
      <c r="TIQ91" s="74" t="s">
        <v>28</v>
      </c>
      <c r="TIR91" s="75" t="s">
        <v>23</v>
      </c>
      <c r="TIS91" s="78">
        <f>IFERROR(VLOOKUP(TIR91,'[1]List KPI'!$M$3:$N$8,2,0),"")</f>
        <v>2.0833333333333332E-2</v>
      </c>
      <c r="TIT91" s="76">
        <v>0.89444444444444449</v>
      </c>
      <c r="TIU91" s="77" t="str">
        <f t="shared" ref="TIU91:TKQ91" si="422">IF(TIT91="","",IF(TIT91&gt;TIY91,"O","P"))</f>
        <v>O</v>
      </c>
      <c r="TIV91" s="79">
        <v>5</v>
      </c>
      <c r="TIW91" s="75">
        <v>1276006</v>
      </c>
      <c r="TIX91" s="80"/>
      <c r="TIY91" s="81">
        <v>0.86944444444444446</v>
      </c>
      <c r="TIZ91" s="74" t="s">
        <v>27</v>
      </c>
      <c r="TJA91" s="74" t="s">
        <v>24</v>
      </c>
      <c r="TJB91" s="75" t="s">
        <v>25</v>
      </c>
      <c r="TJC91" s="76">
        <f>IFERROR(VLOOKUP(TJB91,'[1]List KPI'!$A$103:$F$118,6,0),"")</f>
        <v>1.0416666666666666E-2</v>
      </c>
      <c r="TJD91" s="76">
        <v>0.86944444444444446</v>
      </c>
      <c r="TJE91" s="76">
        <v>0.86944444444444446</v>
      </c>
      <c r="TJF91" s="77" t="str">
        <f t="shared" si="421"/>
        <v>O</v>
      </c>
      <c r="TJG91" s="74" t="s">
        <v>28</v>
      </c>
      <c r="TJH91" s="75" t="s">
        <v>23</v>
      </c>
      <c r="TJI91" s="78">
        <f>IFERROR(VLOOKUP(TJH91,'[1]List KPI'!$M$3:$N$8,2,0),"")</f>
        <v>2.0833333333333332E-2</v>
      </c>
      <c r="TJJ91" s="76">
        <v>0.89444444444444449</v>
      </c>
      <c r="TJK91" s="77" t="str">
        <f t="shared" si="422"/>
        <v>O</v>
      </c>
      <c r="TJL91" s="79">
        <v>5</v>
      </c>
      <c r="TJM91" s="75">
        <v>1276006</v>
      </c>
      <c r="TJN91" s="80"/>
      <c r="TJO91" s="81">
        <v>0.86944444444444446</v>
      </c>
      <c r="TJP91" s="74" t="s">
        <v>27</v>
      </c>
      <c r="TJQ91" s="74" t="s">
        <v>24</v>
      </c>
      <c r="TJR91" s="75" t="s">
        <v>25</v>
      </c>
      <c r="TJS91" s="76">
        <f>IFERROR(VLOOKUP(TJR91,'[1]List KPI'!$A$103:$F$118,6,0),"")</f>
        <v>1.0416666666666666E-2</v>
      </c>
      <c r="TJT91" s="76">
        <v>0.86944444444444446</v>
      </c>
      <c r="TJU91" s="76">
        <v>0.86944444444444446</v>
      </c>
      <c r="TJV91" s="77" t="str">
        <f t="shared" si="421"/>
        <v>O</v>
      </c>
      <c r="TJW91" s="74" t="s">
        <v>28</v>
      </c>
      <c r="TJX91" s="75" t="s">
        <v>23</v>
      </c>
      <c r="TJY91" s="78">
        <f>IFERROR(VLOOKUP(TJX91,'[1]List KPI'!$M$3:$N$8,2,0),"")</f>
        <v>2.0833333333333332E-2</v>
      </c>
      <c r="TJZ91" s="76">
        <v>0.89444444444444449</v>
      </c>
      <c r="TKA91" s="77" t="str">
        <f t="shared" si="422"/>
        <v>O</v>
      </c>
      <c r="TKB91" s="79">
        <v>5</v>
      </c>
      <c r="TKC91" s="75">
        <v>1276006</v>
      </c>
      <c r="TKD91" s="80"/>
      <c r="TKE91" s="81">
        <v>0.86944444444444446</v>
      </c>
      <c r="TKF91" s="74" t="s">
        <v>27</v>
      </c>
      <c r="TKG91" s="74" t="s">
        <v>24</v>
      </c>
      <c r="TKH91" s="75" t="s">
        <v>25</v>
      </c>
      <c r="TKI91" s="76">
        <f>IFERROR(VLOOKUP(TKH91,'[1]List KPI'!$A$103:$F$118,6,0),"")</f>
        <v>1.0416666666666666E-2</v>
      </c>
      <c r="TKJ91" s="76">
        <v>0.86944444444444446</v>
      </c>
      <c r="TKK91" s="76">
        <v>0.86944444444444446</v>
      </c>
      <c r="TKL91" s="77" t="str">
        <f t="shared" si="421"/>
        <v>O</v>
      </c>
      <c r="TKM91" s="74" t="s">
        <v>28</v>
      </c>
      <c r="TKN91" s="75" t="s">
        <v>23</v>
      </c>
      <c r="TKO91" s="78">
        <f>IFERROR(VLOOKUP(TKN91,'[1]List KPI'!$M$3:$N$8,2,0),"")</f>
        <v>2.0833333333333332E-2</v>
      </c>
      <c r="TKP91" s="76">
        <v>0.89444444444444449</v>
      </c>
      <c r="TKQ91" s="77" t="str">
        <f t="shared" si="422"/>
        <v>O</v>
      </c>
      <c r="TKR91" s="79">
        <v>5</v>
      </c>
      <c r="TKS91" s="75">
        <v>1276006</v>
      </c>
      <c r="TKT91" s="80"/>
      <c r="TKU91" s="81">
        <v>0.86944444444444446</v>
      </c>
      <c r="TKV91" s="74" t="s">
        <v>27</v>
      </c>
      <c r="TKW91" s="74" t="s">
        <v>24</v>
      </c>
      <c r="TKX91" s="75" t="s">
        <v>25</v>
      </c>
      <c r="TKY91" s="76">
        <f>IFERROR(VLOOKUP(TKX91,'[1]List KPI'!$A$103:$F$118,6,0),"")</f>
        <v>1.0416666666666666E-2</v>
      </c>
      <c r="TKZ91" s="76">
        <v>0.86944444444444446</v>
      </c>
      <c r="TLA91" s="76">
        <v>0.86944444444444446</v>
      </c>
      <c r="TLB91" s="77" t="str">
        <f t="shared" ref="TLB91:TMX91" si="423">IF(TLA91="","",IF(TLA91&gt;TLJ91,"O","P"))</f>
        <v>O</v>
      </c>
      <c r="TLC91" s="74" t="s">
        <v>28</v>
      </c>
      <c r="TLD91" s="75" t="s">
        <v>23</v>
      </c>
      <c r="TLE91" s="78">
        <f>IFERROR(VLOOKUP(TLD91,'[1]List KPI'!$M$3:$N$8,2,0),"")</f>
        <v>2.0833333333333332E-2</v>
      </c>
      <c r="TLF91" s="76">
        <v>0.89444444444444449</v>
      </c>
      <c r="TLG91" s="77" t="str">
        <f t="shared" ref="TLG91:TNC91" si="424">IF(TLF91="","",IF(TLF91&gt;TLK91,"O","P"))</f>
        <v>O</v>
      </c>
      <c r="TLH91" s="79">
        <v>5</v>
      </c>
      <c r="TLI91" s="75">
        <v>1276006</v>
      </c>
      <c r="TLJ91" s="80"/>
      <c r="TLK91" s="81">
        <v>0.86944444444444446</v>
      </c>
      <c r="TLL91" s="74" t="s">
        <v>27</v>
      </c>
      <c r="TLM91" s="74" t="s">
        <v>24</v>
      </c>
      <c r="TLN91" s="75" t="s">
        <v>25</v>
      </c>
      <c r="TLO91" s="76">
        <f>IFERROR(VLOOKUP(TLN91,'[1]List KPI'!$A$103:$F$118,6,0),"")</f>
        <v>1.0416666666666666E-2</v>
      </c>
      <c r="TLP91" s="76">
        <v>0.86944444444444446</v>
      </c>
      <c r="TLQ91" s="76">
        <v>0.86944444444444446</v>
      </c>
      <c r="TLR91" s="77" t="str">
        <f t="shared" si="423"/>
        <v>O</v>
      </c>
      <c r="TLS91" s="74" t="s">
        <v>28</v>
      </c>
      <c r="TLT91" s="75" t="s">
        <v>23</v>
      </c>
      <c r="TLU91" s="78">
        <f>IFERROR(VLOOKUP(TLT91,'[1]List KPI'!$M$3:$N$8,2,0),"")</f>
        <v>2.0833333333333332E-2</v>
      </c>
      <c r="TLV91" s="76">
        <v>0.89444444444444449</v>
      </c>
      <c r="TLW91" s="77" t="str">
        <f t="shared" si="424"/>
        <v>O</v>
      </c>
      <c r="TLX91" s="79">
        <v>5</v>
      </c>
      <c r="TLY91" s="75">
        <v>1276006</v>
      </c>
      <c r="TLZ91" s="80"/>
      <c r="TMA91" s="81">
        <v>0.86944444444444446</v>
      </c>
      <c r="TMB91" s="74" t="s">
        <v>27</v>
      </c>
      <c r="TMC91" s="74" t="s">
        <v>24</v>
      </c>
      <c r="TMD91" s="75" t="s">
        <v>25</v>
      </c>
      <c r="TME91" s="76">
        <f>IFERROR(VLOOKUP(TMD91,'[1]List KPI'!$A$103:$F$118,6,0),"")</f>
        <v>1.0416666666666666E-2</v>
      </c>
      <c r="TMF91" s="76">
        <v>0.86944444444444446</v>
      </c>
      <c r="TMG91" s="76">
        <v>0.86944444444444446</v>
      </c>
      <c r="TMH91" s="77" t="str">
        <f t="shared" si="423"/>
        <v>O</v>
      </c>
      <c r="TMI91" s="74" t="s">
        <v>28</v>
      </c>
      <c r="TMJ91" s="75" t="s">
        <v>23</v>
      </c>
      <c r="TMK91" s="78">
        <f>IFERROR(VLOOKUP(TMJ91,'[1]List KPI'!$M$3:$N$8,2,0),"")</f>
        <v>2.0833333333333332E-2</v>
      </c>
      <c r="TML91" s="76">
        <v>0.89444444444444449</v>
      </c>
      <c r="TMM91" s="77" t="str">
        <f t="shared" si="424"/>
        <v>O</v>
      </c>
      <c r="TMN91" s="79">
        <v>5</v>
      </c>
      <c r="TMO91" s="75">
        <v>1276006</v>
      </c>
      <c r="TMP91" s="80"/>
      <c r="TMQ91" s="81">
        <v>0.86944444444444446</v>
      </c>
      <c r="TMR91" s="74" t="s">
        <v>27</v>
      </c>
      <c r="TMS91" s="74" t="s">
        <v>24</v>
      </c>
      <c r="TMT91" s="75" t="s">
        <v>25</v>
      </c>
      <c r="TMU91" s="76">
        <f>IFERROR(VLOOKUP(TMT91,'[1]List KPI'!$A$103:$F$118,6,0),"")</f>
        <v>1.0416666666666666E-2</v>
      </c>
      <c r="TMV91" s="76">
        <v>0.86944444444444446</v>
      </c>
      <c r="TMW91" s="76">
        <v>0.86944444444444446</v>
      </c>
      <c r="TMX91" s="77" t="str">
        <f t="shared" si="423"/>
        <v>O</v>
      </c>
      <c r="TMY91" s="74" t="s">
        <v>28</v>
      </c>
      <c r="TMZ91" s="75" t="s">
        <v>23</v>
      </c>
      <c r="TNA91" s="78">
        <f>IFERROR(VLOOKUP(TMZ91,'[1]List KPI'!$M$3:$N$8,2,0),"")</f>
        <v>2.0833333333333332E-2</v>
      </c>
      <c r="TNB91" s="76">
        <v>0.89444444444444449</v>
      </c>
      <c r="TNC91" s="77" t="str">
        <f t="shared" si="424"/>
        <v>O</v>
      </c>
      <c r="TND91" s="79">
        <v>5</v>
      </c>
      <c r="TNE91" s="75">
        <v>1276006</v>
      </c>
      <c r="TNF91" s="80"/>
      <c r="TNG91" s="81">
        <v>0.86944444444444446</v>
      </c>
      <c r="TNH91" s="74" t="s">
        <v>27</v>
      </c>
      <c r="TNI91" s="74" t="s">
        <v>24</v>
      </c>
      <c r="TNJ91" s="75" t="s">
        <v>25</v>
      </c>
      <c r="TNK91" s="76">
        <f>IFERROR(VLOOKUP(TNJ91,'[1]List KPI'!$A$103:$F$118,6,0),"")</f>
        <v>1.0416666666666666E-2</v>
      </c>
      <c r="TNL91" s="76">
        <v>0.86944444444444446</v>
      </c>
      <c r="TNM91" s="76">
        <v>0.86944444444444446</v>
      </c>
      <c r="TNN91" s="77" t="str">
        <f t="shared" ref="TNN91:TPJ91" si="425">IF(TNM91="","",IF(TNM91&gt;TNV91,"O","P"))</f>
        <v>O</v>
      </c>
      <c r="TNO91" s="74" t="s">
        <v>28</v>
      </c>
      <c r="TNP91" s="75" t="s">
        <v>23</v>
      </c>
      <c r="TNQ91" s="78">
        <f>IFERROR(VLOOKUP(TNP91,'[1]List KPI'!$M$3:$N$8,2,0),"")</f>
        <v>2.0833333333333332E-2</v>
      </c>
      <c r="TNR91" s="76">
        <v>0.89444444444444449</v>
      </c>
      <c r="TNS91" s="77" t="str">
        <f t="shared" ref="TNS91:TPO91" si="426">IF(TNR91="","",IF(TNR91&gt;TNW91,"O","P"))</f>
        <v>O</v>
      </c>
      <c r="TNT91" s="79">
        <v>5</v>
      </c>
      <c r="TNU91" s="75">
        <v>1276006</v>
      </c>
      <c r="TNV91" s="80"/>
      <c r="TNW91" s="81">
        <v>0.86944444444444446</v>
      </c>
      <c r="TNX91" s="74" t="s">
        <v>27</v>
      </c>
      <c r="TNY91" s="74" t="s">
        <v>24</v>
      </c>
      <c r="TNZ91" s="75" t="s">
        <v>25</v>
      </c>
      <c r="TOA91" s="76">
        <f>IFERROR(VLOOKUP(TNZ91,'[1]List KPI'!$A$103:$F$118,6,0),"")</f>
        <v>1.0416666666666666E-2</v>
      </c>
      <c r="TOB91" s="76">
        <v>0.86944444444444446</v>
      </c>
      <c r="TOC91" s="76">
        <v>0.86944444444444446</v>
      </c>
      <c r="TOD91" s="77" t="str">
        <f t="shared" si="425"/>
        <v>O</v>
      </c>
      <c r="TOE91" s="74" t="s">
        <v>28</v>
      </c>
      <c r="TOF91" s="75" t="s">
        <v>23</v>
      </c>
      <c r="TOG91" s="78">
        <f>IFERROR(VLOOKUP(TOF91,'[1]List KPI'!$M$3:$N$8,2,0),"")</f>
        <v>2.0833333333333332E-2</v>
      </c>
      <c r="TOH91" s="76">
        <v>0.89444444444444449</v>
      </c>
      <c r="TOI91" s="77" t="str">
        <f t="shared" si="426"/>
        <v>O</v>
      </c>
      <c r="TOJ91" s="79">
        <v>5</v>
      </c>
      <c r="TOK91" s="75">
        <v>1276006</v>
      </c>
      <c r="TOL91" s="80"/>
      <c r="TOM91" s="81">
        <v>0.86944444444444446</v>
      </c>
      <c r="TON91" s="74" t="s">
        <v>27</v>
      </c>
      <c r="TOO91" s="74" t="s">
        <v>24</v>
      </c>
      <c r="TOP91" s="75" t="s">
        <v>25</v>
      </c>
      <c r="TOQ91" s="76">
        <f>IFERROR(VLOOKUP(TOP91,'[1]List KPI'!$A$103:$F$118,6,0),"")</f>
        <v>1.0416666666666666E-2</v>
      </c>
      <c r="TOR91" s="76">
        <v>0.86944444444444446</v>
      </c>
      <c r="TOS91" s="76">
        <v>0.86944444444444446</v>
      </c>
      <c r="TOT91" s="77" t="str">
        <f t="shared" si="425"/>
        <v>O</v>
      </c>
      <c r="TOU91" s="74" t="s">
        <v>28</v>
      </c>
      <c r="TOV91" s="75" t="s">
        <v>23</v>
      </c>
      <c r="TOW91" s="78">
        <f>IFERROR(VLOOKUP(TOV91,'[1]List KPI'!$M$3:$N$8,2,0),"")</f>
        <v>2.0833333333333332E-2</v>
      </c>
      <c r="TOX91" s="76">
        <v>0.89444444444444449</v>
      </c>
      <c r="TOY91" s="77" t="str">
        <f t="shared" si="426"/>
        <v>O</v>
      </c>
      <c r="TOZ91" s="79">
        <v>5</v>
      </c>
      <c r="TPA91" s="75">
        <v>1276006</v>
      </c>
      <c r="TPB91" s="80"/>
      <c r="TPC91" s="81">
        <v>0.86944444444444446</v>
      </c>
      <c r="TPD91" s="74" t="s">
        <v>27</v>
      </c>
      <c r="TPE91" s="74" t="s">
        <v>24</v>
      </c>
      <c r="TPF91" s="75" t="s">
        <v>25</v>
      </c>
      <c r="TPG91" s="76">
        <f>IFERROR(VLOOKUP(TPF91,'[1]List KPI'!$A$103:$F$118,6,0),"")</f>
        <v>1.0416666666666666E-2</v>
      </c>
      <c r="TPH91" s="76">
        <v>0.86944444444444446</v>
      </c>
      <c r="TPI91" s="76">
        <v>0.86944444444444446</v>
      </c>
      <c r="TPJ91" s="77" t="str">
        <f t="shared" si="425"/>
        <v>O</v>
      </c>
      <c r="TPK91" s="74" t="s">
        <v>28</v>
      </c>
      <c r="TPL91" s="75" t="s">
        <v>23</v>
      </c>
      <c r="TPM91" s="78">
        <f>IFERROR(VLOOKUP(TPL91,'[1]List KPI'!$M$3:$N$8,2,0),"")</f>
        <v>2.0833333333333332E-2</v>
      </c>
      <c r="TPN91" s="76">
        <v>0.89444444444444449</v>
      </c>
      <c r="TPO91" s="77" t="str">
        <f t="shared" si="426"/>
        <v>O</v>
      </c>
      <c r="TPP91" s="79">
        <v>5</v>
      </c>
      <c r="TPQ91" s="75">
        <v>1276006</v>
      </c>
      <c r="TPR91" s="80"/>
      <c r="TPS91" s="81">
        <v>0.86944444444444446</v>
      </c>
      <c r="TPT91" s="74" t="s">
        <v>27</v>
      </c>
      <c r="TPU91" s="74" t="s">
        <v>24</v>
      </c>
      <c r="TPV91" s="75" t="s">
        <v>25</v>
      </c>
      <c r="TPW91" s="76">
        <f>IFERROR(VLOOKUP(TPV91,'[1]List KPI'!$A$103:$F$118,6,0),"")</f>
        <v>1.0416666666666666E-2</v>
      </c>
      <c r="TPX91" s="76">
        <v>0.86944444444444446</v>
      </c>
      <c r="TPY91" s="76">
        <v>0.86944444444444446</v>
      </c>
      <c r="TPZ91" s="77" t="str">
        <f t="shared" ref="TPZ91:TRV91" si="427">IF(TPY91="","",IF(TPY91&gt;TQH91,"O","P"))</f>
        <v>O</v>
      </c>
      <c r="TQA91" s="74" t="s">
        <v>28</v>
      </c>
      <c r="TQB91" s="75" t="s">
        <v>23</v>
      </c>
      <c r="TQC91" s="78">
        <f>IFERROR(VLOOKUP(TQB91,'[1]List KPI'!$M$3:$N$8,2,0),"")</f>
        <v>2.0833333333333332E-2</v>
      </c>
      <c r="TQD91" s="76">
        <v>0.89444444444444449</v>
      </c>
      <c r="TQE91" s="77" t="str">
        <f t="shared" ref="TQE91:TSA91" si="428">IF(TQD91="","",IF(TQD91&gt;TQI91,"O","P"))</f>
        <v>O</v>
      </c>
      <c r="TQF91" s="79">
        <v>5</v>
      </c>
      <c r="TQG91" s="75">
        <v>1276006</v>
      </c>
      <c r="TQH91" s="80"/>
      <c r="TQI91" s="81">
        <v>0.86944444444444446</v>
      </c>
      <c r="TQJ91" s="74" t="s">
        <v>27</v>
      </c>
      <c r="TQK91" s="74" t="s">
        <v>24</v>
      </c>
      <c r="TQL91" s="75" t="s">
        <v>25</v>
      </c>
      <c r="TQM91" s="76">
        <f>IFERROR(VLOOKUP(TQL91,'[1]List KPI'!$A$103:$F$118,6,0),"")</f>
        <v>1.0416666666666666E-2</v>
      </c>
      <c r="TQN91" s="76">
        <v>0.86944444444444446</v>
      </c>
      <c r="TQO91" s="76">
        <v>0.86944444444444446</v>
      </c>
      <c r="TQP91" s="77" t="str">
        <f t="shared" si="427"/>
        <v>O</v>
      </c>
      <c r="TQQ91" s="74" t="s">
        <v>28</v>
      </c>
      <c r="TQR91" s="75" t="s">
        <v>23</v>
      </c>
      <c r="TQS91" s="78">
        <f>IFERROR(VLOOKUP(TQR91,'[1]List KPI'!$M$3:$N$8,2,0),"")</f>
        <v>2.0833333333333332E-2</v>
      </c>
      <c r="TQT91" s="76">
        <v>0.89444444444444449</v>
      </c>
      <c r="TQU91" s="77" t="str">
        <f t="shared" si="428"/>
        <v>O</v>
      </c>
      <c r="TQV91" s="79">
        <v>5</v>
      </c>
      <c r="TQW91" s="75">
        <v>1276006</v>
      </c>
      <c r="TQX91" s="80"/>
      <c r="TQY91" s="81">
        <v>0.86944444444444446</v>
      </c>
      <c r="TQZ91" s="74" t="s">
        <v>27</v>
      </c>
      <c r="TRA91" s="74" t="s">
        <v>24</v>
      </c>
      <c r="TRB91" s="75" t="s">
        <v>25</v>
      </c>
      <c r="TRC91" s="76">
        <f>IFERROR(VLOOKUP(TRB91,'[1]List KPI'!$A$103:$F$118,6,0),"")</f>
        <v>1.0416666666666666E-2</v>
      </c>
      <c r="TRD91" s="76">
        <v>0.86944444444444446</v>
      </c>
      <c r="TRE91" s="76">
        <v>0.86944444444444446</v>
      </c>
      <c r="TRF91" s="77" t="str">
        <f t="shared" si="427"/>
        <v>O</v>
      </c>
      <c r="TRG91" s="74" t="s">
        <v>28</v>
      </c>
      <c r="TRH91" s="75" t="s">
        <v>23</v>
      </c>
      <c r="TRI91" s="78">
        <f>IFERROR(VLOOKUP(TRH91,'[1]List KPI'!$M$3:$N$8,2,0),"")</f>
        <v>2.0833333333333332E-2</v>
      </c>
      <c r="TRJ91" s="76">
        <v>0.89444444444444449</v>
      </c>
      <c r="TRK91" s="77" t="str">
        <f t="shared" si="428"/>
        <v>O</v>
      </c>
      <c r="TRL91" s="79">
        <v>5</v>
      </c>
      <c r="TRM91" s="75">
        <v>1276006</v>
      </c>
      <c r="TRN91" s="80"/>
      <c r="TRO91" s="81">
        <v>0.86944444444444446</v>
      </c>
      <c r="TRP91" s="74" t="s">
        <v>27</v>
      </c>
      <c r="TRQ91" s="74" t="s">
        <v>24</v>
      </c>
      <c r="TRR91" s="75" t="s">
        <v>25</v>
      </c>
      <c r="TRS91" s="76">
        <f>IFERROR(VLOOKUP(TRR91,'[1]List KPI'!$A$103:$F$118,6,0),"")</f>
        <v>1.0416666666666666E-2</v>
      </c>
      <c r="TRT91" s="76">
        <v>0.86944444444444446</v>
      </c>
      <c r="TRU91" s="76">
        <v>0.86944444444444446</v>
      </c>
      <c r="TRV91" s="77" t="str">
        <f t="shared" si="427"/>
        <v>O</v>
      </c>
      <c r="TRW91" s="74" t="s">
        <v>28</v>
      </c>
      <c r="TRX91" s="75" t="s">
        <v>23</v>
      </c>
      <c r="TRY91" s="78">
        <f>IFERROR(VLOOKUP(TRX91,'[1]List KPI'!$M$3:$N$8,2,0),"")</f>
        <v>2.0833333333333332E-2</v>
      </c>
      <c r="TRZ91" s="76">
        <v>0.89444444444444449</v>
      </c>
      <c r="TSA91" s="77" t="str">
        <f t="shared" si="428"/>
        <v>O</v>
      </c>
      <c r="TSB91" s="79">
        <v>5</v>
      </c>
      <c r="TSC91" s="75">
        <v>1276006</v>
      </c>
      <c r="TSD91" s="80"/>
      <c r="TSE91" s="81">
        <v>0.86944444444444446</v>
      </c>
      <c r="TSF91" s="74" t="s">
        <v>27</v>
      </c>
      <c r="TSG91" s="74" t="s">
        <v>24</v>
      </c>
      <c r="TSH91" s="75" t="s">
        <v>25</v>
      </c>
      <c r="TSI91" s="76">
        <f>IFERROR(VLOOKUP(TSH91,'[1]List KPI'!$A$103:$F$118,6,0),"")</f>
        <v>1.0416666666666666E-2</v>
      </c>
      <c r="TSJ91" s="76">
        <v>0.86944444444444446</v>
      </c>
      <c r="TSK91" s="76">
        <v>0.86944444444444446</v>
      </c>
      <c r="TSL91" s="77" t="str">
        <f t="shared" ref="TSL91:TUH91" si="429">IF(TSK91="","",IF(TSK91&gt;TST91,"O","P"))</f>
        <v>O</v>
      </c>
      <c r="TSM91" s="74" t="s">
        <v>28</v>
      </c>
      <c r="TSN91" s="75" t="s">
        <v>23</v>
      </c>
      <c r="TSO91" s="78">
        <f>IFERROR(VLOOKUP(TSN91,'[1]List KPI'!$M$3:$N$8,2,0),"")</f>
        <v>2.0833333333333332E-2</v>
      </c>
      <c r="TSP91" s="76">
        <v>0.89444444444444449</v>
      </c>
      <c r="TSQ91" s="77" t="str">
        <f t="shared" ref="TSQ91:TUM91" si="430">IF(TSP91="","",IF(TSP91&gt;TSU91,"O","P"))</f>
        <v>O</v>
      </c>
      <c r="TSR91" s="79">
        <v>5</v>
      </c>
      <c r="TSS91" s="75">
        <v>1276006</v>
      </c>
      <c r="TST91" s="80"/>
      <c r="TSU91" s="81">
        <v>0.86944444444444446</v>
      </c>
      <c r="TSV91" s="74" t="s">
        <v>27</v>
      </c>
      <c r="TSW91" s="74" t="s">
        <v>24</v>
      </c>
      <c r="TSX91" s="75" t="s">
        <v>25</v>
      </c>
      <c r="TSY91" s="76">
        <f>IFERROR(VLOOKUP(TSX91,'[1]List KPI'!$A$103:$F$118,6,0),"")</f>
        <v>1.0416666666666666E-2</v>
      </c>
      <c r="TSZ91" s="76">
        <v>0.86944444444444446</v>
      </c>
      <c r="TTA91" s="76">
        <v>0.86944444444444446</v>
      </c>
      <c r="TTB91" s="77" t="str">
        <f t="shared" si="429"/>
        <v>O</v>
      </c>
      <c r="TTC91" s="74" t="s">
        <v>28</v>
      </c>
      <c r="TTD91" s="75" t="s">
        <v>23</v>
      </c>
      <c r="TTE91" s="78">
        <f>IFERROR(VLOOKUP(TTD91,'[1]List KPI'!$M$3:$N$8,2,0),"")</f>
        <v>2.0833333333333332E-2</v>
      </c>
      <c r="TTF91" s="76">
        <v>0.89444444444444449</v>
      </c>
      <c r="TTG91" s="77" t="str">
        <f t="shared" si="430"/>
        <v>O</v>
      </c>
      <c r="TTH91" s="79">
        <v>5</v>
      </c>
      <c r="TTI91" s="75">
        <v>1276006</v>
      </c>
      <c r="TTJ91" s="80"/>
      <c r="TTK91" s="81">
        <v>0.86944444444444446</v>
      </c>
      <c r="TTL91" s="74" t="s">
        <v>27</v>
      </c>
      <c r="TTM91" s="74" t="s">
        <v>24</v>
      </c>
      <c r="TTN91" s="75" t="s">
        <v>25</v>
      </c>
      <c r="TTO91" s="76">
        <f>IFERROR(VLOOKUP(TTN91,'[1]List KPI'!$A$103:$F$118,6,0),"")</f>
        <v>1.0416666666666666E-2</v>
      </c>
      <c r="TTP91" s="76">
        <v>0.86944444444444446</v>
      </c>
      <c r="TTQ91" s="76">
        <v>0.86944444444444446</v>
      </c>
      <c r="TTR91" s="77" t="str">
        <f t="shared" si="429"/>
        <v>O</v>
      </c>
      <c r="TTS91" s="74" t="s">
        <v>28</v>
      </c>
      <c r="TTT91" s="75" t="s">
        <v>23</v>
      </c>
      <c r="TTU91" s="78">
        <f>IFERROR(VLOOKUP(TTT91,'[1]List KPI'!$M$3:$N$8,2,0),"")</f>
        <v>2.0833333333333332E-2</v>
      </c>
      <c r="TTV91" s="76">
        <v>0.89444444444444449</v>
      </c>
      <c r="TTW91" s="77" t="str">
        <f t="shared" si="430"/>
        <v>O</v>
      </c>
      <c r="TTX91" s="79">
        <v>5</v>
      </c>
      <c r="TTY91" s="75">
        <v>1276006</v>
      </c>
      <c r="TTZ91" s="80"/>
      <c r="TUA91" s="81">
        <v>0.86944444444444446</v>
      </c>
      <c r="TUB91" s="74" t="s">
        <v>27</v>
      </c>
      <c r="TUC91" s="74" t="s">
        <v>24</v>
      </c>
      <c r="TUD91" s="75" t="s">
        <v>25</v>
      </c>
      <c r="TUE91" s="76">
        <f>IFERROR(VLOOKUP(TUD91,'[1]List KPI'!$A$103:$F$118,6,0),"")</f>
        <v>1.0416666666666666E-2</v>
      </c>
      <c r="TUF91" s="76">
        <v>0.86944444444444446</v>
      </c>
      <c r="TUG91" s="76">
        <v>0.86944444444444446</v>
      </c>
      <c r="TUH91" s="77" t="str">
        <f t="shared" si="429"/>
        <v>O</v>
      </c>
      <c r="TUI91" s="74" t="s">
        <v>28</v>
      </c>
      <c r="TUJ91" s="75" t="s">
        <v>23</v>
      </c>
      <c r="TUK91" s="78">
        <f>IFERROR(VLOOKUP(TUJ91,'[1]List KPI'!$M$3:$N$8,2,0),"")</f>
        <v>2.0833333333333332E-2</v>
      </c>
      <c r="TUL91" s="76">
        <v>0.89444444444444449</v>
      </c>
      <c r="TUM91" s="77" t="str">
        <f t="shared" si="430"/>
        <v>O</v>
      </c>
      <c r="TUN91" s="79">
        <v>5</v>
      </c>
      <c r="TUO91" s="75">
        <v>1276006</v>
      </c>
      <c r="TUP91" s="80"/>
      <c r="TUQ91" s="81">
        <v>0.86944444444444446</v>
      </c>
      <c r="TUR91" s="74" t="s">
        <v>27</v>
      </c>
      <c r="TUS91" s="74" t="s">
        <v>24</v>
      </c>
      <c r="TUT91" s="75" t="s">
        <v>25</v>
      </c>
      <c r="TUU91" s="76">
        <f>IFERROR(VLOOKUP(TUT91,'[1]List KPI'!$A$103:$F$118,6,0),"")</f>
        <v>1.0416666666666666E-2</v>
      </c>
      <c r="TUV91" s="76">
        <v>0.86944444444444446</v>
      </c>
      <c r="TUW91" s="76">
        <v>0.86944444444444446</v>
      </c>
      <c r="TUX91" s="77" t="str">
        <f t="shared" ref="TUX91:TWT91" si="431">IF(TUW91="","",IF(TUW91&gt;TVF91,"O","P"))</f>
        <v>O</v>
      </c>
      <c r="TUY91" s="74" t="s">
        <v>28</v>
      </c>
      <c r="TUZ91" s="75" t="s">
        <v>23</v>
      </c>
      <c r="TVA91" s="78">
        <f>IFERROR(VLOOKUP(TUZ91,'[1]List KPI'!$M$3:$N$8,2,0),"")</f>
        <v>2.0833333333333332E-2</v>
      </c>
      <c r="TVB91" s="76">
        <v>0.89444444444444449</v>
      </c>
      <c r="TVC91" s="77" t="str">
        <f t="shared" ref="TVC91:TWY91" si="432">IF(TVB91="","",IF(TVB91&gt;TVG91,"O","P"))</f>
        <v>O</v>
      </c>
      <c r="TVD91" s="79">
        <v>5</v>
      </c>
      <c r="TVE91" s="75">
        <v>1276006</v>
      </c>
      <c r="TVF91" s="80"/>
      <c r="TVG91" s="81">
        <v>0.86944444444444446</v>
      </c>
      <c r="TVH91" s="74" t="s">
        <v>27</v>
      </c>
      <c r="TVI91" s="74" t="s">
        <v>24</v>
      </c>
      <c r="TVJ91" s="75" t="s">
        <v>25</v>
      </c>
      <c r="TVK91" s="76">
        <f>IFERROR(VLOOKUP(TVJ91,'[1]List KPI'!$A$103:$F$118,6,0),"")</f>
        <v>1.0416666666666666E-2</v>
      </c>
      <c r="TVL91" s="76">
        <v>0.86944444444444446</v>
      </c>
      <c r="TVM91" s="76">
        <v>0.86944444444444446</v>
      </c>
      <c r="TVN91" s="77" t="str">
        <f t="shared" si="431"/>
        <v>O</v>
      </c>
      <c r="TVO91" s="74" t="s">
        <v>28</v>
      </c>
      <c r="TVP91" s="75" t="s">
        <v>23</v>
      </c>
      <c r="TVQ91" s="78">
        <f>IFERROR(VLOOKUP(TVP91,'[1]List KPI'!$M$3:$N$8,2,0),"")</f>
        <v>2.0833333333333332E-2</v>
      </c>
      <c r="TVR91" s="76">
        <v>0.89444444444444449</v>
      </c>
      <c r="TVS91" s="77" t="str">
        <f t="shared" si="432"/>
        <v>O</v>
      </c>
      <c r="TVT91" s="79">
        <v>5</v>
      </c>
      <c r="TVU91" s="75">
        <v>1276006</v>
      </c>
      <c r="TVV91" s="80"/>
      <c r="TVW91" s="81">
        <v>0.86944444444444446</v>
      </c>
      <c r="TVX91" s="74" t="s">
        <v>27</v>
      </c>
      <c r="TVY91" s="74" t="s">
        <v>24</v>
      </c>
      <c r="TVZ91" s="75" t="s">
        <v>25</v>
      </c>
      <c r="TWA91" s="76">
        <f>IFERROR(VLOOKUP(TVZ91,'[1]List KPI'!$A$103:$F$118,6,0),"")</f>
        <v>1.0416666666666666E-2</v>
      </c>
      <c r="TWB91" s="76">
        <v>0.86944444444444446</v>
      </c>
      <c r="TWC91" s="76">
        <v>0.86944444444444446</v>
      </c>
      <c r="TWD91" s="77" t="str">
        <f t="shared" si="431"/>
        <v>O</v>
      </c>
      <c r="TWE91" s="74" t="s">
        <v>28</v>
      </c>
      <c r="TWF91" s="75" t="s">
        <v>23</v>
      </c>
      <c r="TWG91" s="78">
        <f>IFERROR(VLOOKUP(TWF91,'[1]List KPI'!$M$3:$N$8,2,0),"")</f>
        <v>2.0833333333333332E-2</v>
      </c>
      <c r="TWH91" s="76">
        <v>0.89444444444444449</v>
      </c>
      <c r="TWI91" s="77" t="str">
        <f t="shared" si="432"/>
        <v>O</v>
      </c>
      <c r="TWJ91" s="79">
        <v>5</v>
      </c>
      <c r="TWK91" s="75">
        <v>1276006</v>
      </c>
      <c r="TWL91" s="80"/>
      <c r="TWM91" s="81">
        <v>0.86944444444444446</v>
      </c>
      <c r="TWN91" s="74" t="s">
        <v>27</v>
      </c>
      <c r="TWO91" s="74" t="s">
        <v>24</v>
      </c>
      <c r="TWP91" s="75" t="s">
        <v>25</v>
      </c>
      <c r="TWQ91" s="76">
        <f>IFERROR(VLOOKUP(TWP91,'[1]List KPI'!$A$103:$F$118,6,0),"")</f>
        <v>1.0416666666666666E-2</v>
      </c>
      <c r="TWR91" s="76">
        <v>0.86944444444444446</v>
      </c>
      <c r="TWS91" s="76">
        <v>0.86944444444444446</v>
      </c>
      <c r="TWT91" s="77" t="str">
        <f t="shared" si="431"/>
        <v>O</v>
      </c>
      <c r="TWU91" s="74" t="s">
        <v>28</v>
      </c>
      <c r="TWV91" s="75" t="s">
        <v>23</v>
      </c>
      <c r="TWW91" s="78">
        <f>IFERROR(VLOOKUP(TWV91,'[1]List KPI'!$M$3:$N$8,2,0),"")</f>
        <v>2.0833333333333332E-2</v>
      </c>
      <c r="TWX91" s="76">
        <v>0.89444444444444449</v>
      </c>
      <c r="TWY91" s="77" t="str">
        <f t="shared" si="432"/>
        <v>O</v>
      </c>
      <c r="TWZ91" s="79">
        <v>5</v>
      </c>
      <c r="TXA91" s="75">
        <v>1276006</v>
      </c>
      <c r="TXB91" s="80"/>
      <c r="TXC91" s="81">
        <v>0.86944444444444446</v>
      </c>
      <c r="TXD91" s="74" t="s">
        <v>27</v>
      </c>
      <c r="TXE91" s="74" t="s">
        <v>24</v>
      </c>
      <c r="TXF91" s="75" t="s">
        <v>25</v>
      </c>
      <c r="TXG91" s="76">
        <f>IFERROR(VLOOKUP(TXF91,'[1]List KPI'!$A$103:$F$118,6,0),"")</f>
        <v>1.0416666666666666E-2</v>
      </c>
      <c r="TXH91" s="76">
        <v>0.86944444444444446</v>
      </c>
      <c r="TXI91" s="76">
        <v>0.86944444444444446</v>
      </c>
      <c r="TXJ91" s="77" t="str">
        <f t="shared" ref="TXJ91:TZF91" si="433">IF(TXI91="","",IF(TXI91&gt;TXR91,"O","P"))</f>
        <v>O</v>
      </c>
      <c r="TXK91" s="74" t="s">
        <v>28</v>
      </c>
      <c r="TXL91" s="75" t="s">
        <v>23</v>
      </c>
      <c r="TXM91" s="78">
        <f>IFERROR(VLOOKUP(TXL91,'[1]List KPI'!$M$3:$N$8,2,0),"")</f>
        <v>2.0833333333333332E-2</v>
      </c>
      <c r="TXN91" s="76">
        <v>0.89444444444444449</v>
      </c>
      <c r="TXO91" s="77" t="str">
        <f t="shared" ref="TXO91:TZK91" si="434">IF(TXN91="","",IF(TXN91&gt;TXS91,"O","P"))</f>
        <v>O</v>
      </c>
      <c r="TXP91" s="79">
        <v>5</v>
      </c>
      <c r="TXQ91" s="75">
        <v>1276006</v>
      </c>
      <c r="TXR91" s="80"/>
      <c r="TXS91" s="81">
        <v>0.86944444444444446</v>
      </c>
      <c r="TXT91" s="74" t="s">
        <v>27</v>
      </c>
      <c r="TXU91" s="74" t="s">
        <v>24</v>
      </c>
      <c r="TXV91" s="75" t="s">
        <v>25</v>
      </c>
      <c r="TXW91" s="76">
        <f>IFERROR(VLOOKUP(TXV91,'[1]List KPI'!$A$103:$F$118,6,0),"")</f>
        <v>1.0416666666666666E-2</v>
      </c>
      <c r="TXX91" s="76">
        <v>0.86944444444444446</v>
      </c>
      <c r="TXY91" s="76">
        <v>0.86944444444444446</v>
      </c>
      <c r="TXZ91" s="77" t="str">
        <f t="shared" si="433"/>
        <v>O</v>
      </c>
      <c r="TYA91" s="74" t="s">
        <v>28</v>
      </c>
      <c r="TYB91" s="75" t="s">
        <v>23</v>
      </c>
      <c r="TYC91" s="78">
        <f>IFERROR(VLOOKUP(TYB91,'[1]List KPI'!$M$3:$N$8,2,0),"")</f>
        <v>2.0833333333333332E-2</v>
      </c>
      <c r="TYD91" s="76">
        <v>0.89444444444444449</v>
      </c>
      <c r="TYE91" s="77" t="str">
        <f t="shared" si="434"/>
        <v>O</v>
      </c>
      <c r="TYF91" s="79">
        <v>5</v>
      </c>
      <c r="TYG91" s="75">
        <v>1276006</v>
      </c>
      <c r="TYH91" s="80"/>
      <c r="TYI91" s="81">
        <v>0.86944444444444446</v>
      </c>
      <c r="TYJ91" s="74" t="s">
        <v>27</v>
      </c>
      <c r="TYK91" s="74" t="s">
        <v>24</v>
      </c>
      <c r="TYL91" s="75" t="s">
        <v>25</v>
      </c>
      <c r="TYM91" s="76">
        <f>IFERROR(VLOOKUP(TYL91,'[1]List KPI'!$A$103:$F$118,6,0),"")</f>
        <v>1.0416666666666666E-2</v>
      </c>
      <c r="TYN91" s="76">
        <v>0.86944444444444446</v>
      </c>
      <c r="TYO91" s="76">
        <v>0.86944444444444446</v>
      </c>
      <c r="TYP91" s="77" t="str">
        <f t="shared" si="433"/>
        <v>O</v>
      </c>
      <c r="TYQ91" s="74" t="s">
        <v>28</v>
      </c>
      <c r="TYR91" s="75" t="s">
        <v>23</v>
      </c>
      <c r="TYS91" s="78">
        <f>IFERROR(VLOOKUP(TYR91,'[1]List KPI'!$M$3:$N$8,2,0),"")</f>
        <v>2.0833333333333332E-2</v>
      </c>
      <c r="TYT91" s="76">
        <v>0.89444444444444449</v>
      </c>
      <c r="TYU91" s="77" t="str">
        <f t="shared" si="434"/>
        <v>O</v>
      </c>
      <c r="TYV91" s="79">
        <v>5</v>
      </c>
      <c r="TYW91" s="75">
        <v>1276006</v>
      </c>
      <c r="TYX91" s="80"/>
      <c r="TYY91" s="81">
        <v>0.86944444444444446</v>
      </c>
      <c r="TYZ91" s="74" t="s">
        <v>27</v>
      </c>
      <c r="TZA91" s="74" t="s">
        <v>24</v>
      </c>
      <c r="TZB91" s="75" t="s">
        <v>25</v>
      </c>
      <c r="TZC91" s="76">
        <f>IFERROR(VLOOKUP(TZB91,'[1]List KPI'!$A$103:$F$118,6,0),"")</f>
        <v>1.0416666666666666E-2</v>
      </c>
      <c r="TZD91" s="76">
        <v>0.86944444444444446</v>
      </c>
      <c r="TZE91" s="76">
        <v>0.86944444444444446</v>
      </c>
      <c r="TZF91" s="77" t="str">
        <f t="shared" si="433"/>
        <v>O</v>
      </c>
      <c r="TZG91" s="74" t="s">
        <v>28</v>
      </c>
      <c r="TZH91" s="75" t="s">
        <v>23</v>
      </c>
      <c r="TZI91" s="78">
        <f>IFERROR(VLOOKUP(TZH91,'[1]List KPI'!$M$3:$N$8,2,0),"")</f>
        <v>2.0833333333333332E-2</v>
      </c>
      <c r="TZJ91" s="76">
        <v>0.89444444444444449</v>
      </c>
      <c r="TZK91" s="77" t="str">
        <f t="shared" si="434"/>
        <v>O</v>
      </c>
      <c r="TZL91" s="79">
        <v>5</v>
      </c>
      <c r="TZM91" s="75">
        <v>1276006</v>
      </c>
      <c r="TZN91" s="80"/>
      <c r="TZO91" s="81">
        <v>0.86944444444444446</v>
      </c>
      <c r="TZP91" s="74" t="s">
        <v>27</v>
      </c>
      <c r="TZQ91" s="74" t="s">
        <v>24</v>
      </c>
      <c r="TZR91" s="75" t="s">
        <v>25</v>
      </c>
      <c r="TZS91" s="76">
        <f>IFERROR(VLOOKUP(TZR91,'[1]List KPI'!$A$103:$F$118,6,0),"")</f>
        <v>1.0416666666666666E-2</v>
      </c>
      <c r="TZT91" s="76">
        <v>0.86944444444444446</v>
      </c>
      <c r="TZU91" s="76">
        <v>0.86944444444444446</v>
      </c>
      <c r="TZV91" s="77" t="str">
        <f t="shared" ref="TZV91:UBR91" si="435">IF(TZU91="","",IF(TZU91&gt;UAD91,"O","P"))</f>
        <v>O</v>
      </c>
      <c r="TZW91" s="74" t="s">
        <v>28</v>
      </c>
      <c r="TZX91" s="75" t="s">
        <v>23</v>
      </c>
      <c r="TZY91" s="78">
        <f>IFERROR(VLOOKUP(TZX91,'[1]List KPI'!$M$3:$N$8,2,0),"")</f>
        <v>2.0833333333333332E-2</v>
      </c>
      <c r="TZZ91" s="76">
        <v>0.89444444444444449</v>
      </c>
      <c r="UAA91" s="77" t="str">
        <f t="shared" ref="UAA91:UBW91" si="436">IF(TZZ91="","",IF(TZZ91&gt;UAE91,"O","P"))</f>
        <v>O</v>
      </c>
      <c r="UAB91" s="79">
        <v>5</v>
      </c>
      <c r="UAC91" s="75">
        <v>1276006</v>
      </c>
      <c r="UAD91" s="80"/>
      <c r="UAE91" s="81">
        <v>0.86944444444444446</v>
      </c>
      <c r="UAF91" s="74" t="s">
        <v>27</v>
      </c>
      <c r="UAG91" s="74" t="s">
        <v>24</v>
      </c>
      <c r="UAH91" s="75" t="s">
        <v>25</v>
      </c>
      <c r="UAI91" s="76">
        <f>IFERROR(VLOOKUP(UAH91,'[1]List KPI'!$A$103:$F$118,6,0),"")</f>
        <v>1.0416666666666666E-2</v>
      </c>
      <c r="UAJ91" s="76">
        <v>0.86944444444444446</v>
      </c>
      <c r="UAK91" s="76">
        <v>0.86944444444444446</v>
      </c>
      <c r="UAL91" s="77" t="str">
        <f t="shared" si="435"/>
        <v>O</v>
      </c>
      <c r="UAM91" s="74" t="s">
        <v>28</v>
      </c>
      <c r="UAN91" s="75" t="s">
        <v>23</v>
      </c>
      <c r="UAO91" s="78">
        <f>IFERROR(VLOOKUP(UAN91,'[1]List KPI'!$M$3:$N$8,2,0),"")</f>
        <v>2.0833333333333332E-2</v>
      </c>
      <c r="UAP91" s="76">
        <v>0.89444444444444449</v>
      </c>
      <c r="UAQ91" s="77" t="str">
        <f t="shared" si="436"/>
        <v>O</v>
      </c>
      <c r="UAR91" s="79">
        <v>5</v>
      </c>
      <c r="UAS91" s="75">
        <v>1276006</v>
      </c>
      <c r="UAT91" s="80"/>
      <c r="UAU91" s="81">
        <v>0.86944444444444446</v>
      </c>
      <c r="UAV91" s="74" t="s">
        <v>27</v>
      </c>
      <c r="UAW91" s="74" t="s">
        <v>24</v>
      </c>
      <c r="UAX91" s="75" t="s">
        <v>25</v>
      </c>
      <c r="UAY91" s="76">
        <f>IFERROR(VLOOKUP(UAX91,'[1]List KPI'!$A$103:$F$118,6,0),"")</f>
        <v>1.0416666666666666E-2</v>
      </c>
      <c r="UAZ91" s="76">
        <v>0.86944444444444446</v>
      </c>
      <c r="UBA91" s="76">
        <v>0.86944444444444446</v>
      </c>
      <c r="UBB91" s="77" t="str">
        <f t="shared" si="435"/>
        <v>O</v>
      </c>
      <c r="UBC91" s="74" t="s">
        <v>28</v>
      </c>
      <c r="UBD91" s="75" t="s">
        <v>23</v>
      </c>
      <c r="UBE91" s="78">
        <f>IFERROR(VLOOKUP(UBD91,'[1]List KPI'!$M$3:$N$8,2,0),"")</f>
        <v>2.0833333333333332E-2</v>
      </c>
      <c r="UBF91" s="76">
        <v>0.89444444444444449</v>
      </c>
      <c r="UBG91" s="77" t="str">
        <f t="shared" si="436"/>
        <v>O</v>
      </c>
      <c r="UBH91" s="79">
        <v>5</v>
      </c>
      <c r="UBI91" s="75">
        <v>1276006</v>
      </c>
      <c r="UBJ91" s="80"/>
      <c r="UBK91" s="81">
        <v>0.86944444444444446</v>
      </c>
      <c r="UBL91" s="74" t="s">
        <v>27</v>
      </c>
      <c r="UBM91" s="74" t="s">
        <v>24</v>
      </c>
      <c r="UBN91" s="75" t="s">
        <v>25</v>
      </c>
      <c r="UBO91" s="76">
        <f>IFERROR(VLOOKUP(UBN91,'[1]List KPI'!$A$103:$F$118,6,0),"")</f>
        <v>1.0416666666666666E-2</v>
      </c>
      <c r="UBP91" s="76">
        <v>0.86944444444444446</v>
      </c>
      <c r="UBQ91" s="76">
        <v>0.86944444444444446</v>
      </c>
      <c r="UBR91" s="77" t="str">
        <f t="shared" si="435"/>
        <v>O</v>
      </c>
      <c r="UBS91" s="74" t="s">
        <v>28</v>
      </c>
      <c r="UBT91" s="75" t="s">
        <v>23</v>
      </c>
      <c r="UBU91" s="78">
        <f>IFERROR(VLOOKUP(UBT91,'[1]List KPI'!$M$3:$N$8,2,0),"")</f>
        <v>2.0833333333333332E-2</v>
      </c>
      <c r="UBV91" s="76">
        <v>0.89444444444444449</v>
      </c>
      <c r="UBW91" s="77" t="str">
        <f t="shared" si="436"/>
        <v>O</v>
      </c>
      <c r="UBX91" s="79">
        <v>5</v>
      </c>
      <c r="UBY91" s="75">
        <v>1276006</v>
      </c>
      <c r="UBZ91" s="80"/>
      <c r="UCA91" s="81">
        <v>0.86944444444444446</v>
      </c>
      <c r="UCB91" s="74" t="s">
        <v>27</v>
      </c>
      <c r="UCC91" s="74" t="s">
        <v>24</v>
      </c>
      <c r="UCD91" s="75" t="s">
        <v>25</v>
      </c>
      <c r="UCE91" s="76">
        <f>IFERROR(VLOOKUP(UCD91,'[1]List KPI'!$A$103:$F$118,6,0),"")</f>
        <v>1.0416666666666666E-2</v>
      </c>
      <c r="UCF91" s="76">
        <v>0.86944444444444446</v>
      </c>
      <c r="UCG91" s="76">
        <v>0.86944444444444446</v>
      </c>
      <c r="UCH91" s="77" t="str">
        <f t="shared" ref="UCH91:UED91" si="437">IF(UCG91="","",IF(UCG91&gt;UCP91,"O","P"))</f>
        <v>O</v>
      </c>
      <c r="UCI91" s="74" t="s">
        <v>28</v>
      </c>
      <c r="UCJ91" s="75" t="s">
        <v>23</v>
      </c>
      <c r="UCK91" s="78">
        <f>IFERROR(VLOOKUP(UCJ91,'[1]List KPI'!$M$3:$N$8,2,0),"")</f>
        <v>2.0833333333333332E-2</v>
      </c>
      <c r="UCL91" s="76">
        <v>0.89444444444444449</v>
      </c>
      <c r="UCM91" s="77" t="str">
        <f t="shared" ref="UCM91:UEI91" si="438">IF(UCL91="","",IF(UCL91&gt;UCQ91,"O","P"))</f>
        <v>O</v>
      </c>
      <c r="UCN91" s="79">
        <v>5</v>
      </c>
      <c r="UCO91" s="75">
        <v>1276006</v>
      </c>
      <c r="UCP91" s="80"/>
      <c r="UCQ91" s="81">
        <v>0.86944444444444446</v>
      </c>
      <c r="UCR91" s="74" t="s">
        <v>27</v>
      </c>
      <c r="UCS91" s="74" t="s">
        <v>24</v>
      </c>
      <c r="UCT91" s="75" t="s">
        <v>25</v>
      </c>
      <c r="UCU91" s="76">
        <f>IFERROR(VLOOKUP(UCT91,'[1]List KPI'!$A$103:$F$118,6,0),"")</f>
        <v>1.0416666666666666E-2</v>
      </c>
      <c r="UCV91" s="76">
        <v>0.86944444444444446</v>
      </c>
      <c r="UCW91" s="76">
        <v>0.86944444444444446</v>
      </c>
      <c r="UCX91" s="77" t="str">
        <f t="shared" si="437"/>
        <v>O</v>
      </c>
      <c r="UCY91" s="74" t="s">
        <v>28</v>
      </c>
      <c r="UCZ91" s="75" t="s">
        <v>23</v>
      </c>
      <c r="UDA91" s="78">
        <f>IFERROR(VLOOKUP(UCZ91,'[1]List KPI'!$M$3:$N$8,2,0),"")</f>
        <v>2.0833333333333332E-2</v>
      </c>
      <c r="UDB91" s="76">
        <v>0.89444444444444449</v>
      </c>
      <c r="UDC91" s="77" t="str">
        <f t="shared" si="438"/>
        <v>O</v>
      </c>
      <c r="UDD91" s="79">
        <v>5</v>
      </c>
      <c r="UDE91" s="75">
        <v>1276006</v>
      </c>
      <c r="UDF91" s="80"/>
      <c r="UDG91" s="81">
        <v>0.86944444444444446</v>
      </c>
      <c r="UDH91" s="74" t="s">
        <v>27</v>
      </c>
      <c r="UDI91" s="74" t="s">
        <v>24</v>
      </c>
      <c r="UDJ91" s="75" t="s">
        <v>25</v>
      </c>
      <c r="UDK91" s="76">
        <f>IFERROR(VLOOKUP(UDJ91,'[1]List KPI'!$A$103:$F$118,6,0),"")</f>
        <v>1.0416666666666666E-2</v>
      </c>
      <c r="UDL91" s="76">
        <v>0.86944444444444446</v>
      </c>
      <c r="UDM91" s="76">
        <v>0.86944444444444446</v>
      </c>
      <c r="UDN91" s="77" t="str">
        <f t="shared" si="437"/>
        <v>O</v>
      </c>
      <c r="UDO91" s="74" t="s">
        <v>28</v>
      </c>
      <c r="UDP91" s="75" t="s">
        <v>23</v>
      </c>
      <c r="UDQ91" s="78">
        <f>IFERROR(VLOOKUP(UDP91,'[1]List KPI'!$M$3:$N$8,2,0),"")</f>
        <v>2.0833333333333332E-2</v>
      </c>
      <c r="UDR91" s="76">
        <v>0.89444444444444449</v>
      </c>
      <c r="UDS91" s="77" t="str">
        <f t="shared" si="438"/>
        <v>O</v>
      </c>
      <c r="UDT91" s="79">
        <v>5</v>
      </c>
      <c r="UDU91" s="75">
        <v>1276006</v>
      </c>
      <c r="UDV91" s="80"/>
      <c r="UDW91" s="81">
        <v>0.86944444444444446</v>
      </c>
      <c r="UDX91" s="74" t="s">
        <v>27</v>
      </c>
      <c r="UDY91" s="74" t="s">
        <v>24</v>
      </c>
      <c r="UDZ91" s="75" t="s">
        <v>25</v>
      </c>
      <c r="UEA91" s="76">
        <f>IFERROR(VLOOKUP(UDZ91,'[1]List KPI'!$A$103:$F$118,6,0),"")</f>
        <v>1.0416666666666666E-2</v>
      </c>
      <c r="UEB91" s="76">
        <v>0.86944444444444446</v>
      </c>
      <c r="UEC91" s="76">
        <v>0.86944444444444446</v>
      </c>
      <c r="UED91" s="77" t="str">
        <f t="shared" si="437"/>
        <v>O</v>
      </c>
      <c r="UEE91" s="74" t="s">
        <v>28</v>
      </c>
      <c r="UEF91" s="75" t="s">
        <v>23</v>
      </c>
      <c r="UEG91" s="78">
        <f>IFERROR(VLOOKUP(UEF91,'[1]List KPI'!$M$3:$N$8,2,0),"")</f>
        <v>2.0833333333333332E-2</v>
      </c>
      <c r="UEH91" s="76">
        <v>0.89444444444444449</v>
      </c>
      <c r="UEI91" s="77" t="str">
        <f t="shared" si="438"/>
        <v>O</v>
      </c>
      <c r="UEJ91" s="79">
        <v>5</v>
      </c>
      <c r="UEK91" s="75">
        <v>1276006</v>
      </c>
      <c r="UEL91" s="80"/>
      <c r="UEM91" s="81">
        <v>0.86944444444444446</v>
      </c>
      <c r="UEN91" s="74" t="s">
        <v>27</v>
      </c>
      <c r="UEO91" s="74" t="s">
        <v>24</v>
      </c>
      <c r="UEP91" s="75" t="s">
        <v>25</v>
      </c>
      <c r="UEQ91" s="76">
        <f>IFERROR(VLOOKUP(UEP91,'[1]List KPI'!$A$103:$F$118,6,0),"")</f>
        <v>1.0416666666666666E-2</v>
      </c>
      <c r="UER91" s="76">
        <v>0.86944444444444446</v>
      </c>
      <c r="UES91" s="76">
        <v>0.86944444444444446</v>
      </c>
      <c r="UET91" s="77" t="str">
        <f t="shared" ref="UET91:UGP91" si="439">IF(UES91="","",IF(UES91&gt;UFB91,"O","P"))</f>
        <v>O</v>
      </c>
      <c r="UEU91" s="74" t="s">
        <v>28</v>
      </c>
      <c r="UEV91" s="75" t="s">
        <v>23</v>
      </c>
      <c r="UEW91" s="78">
        <f>IFERROR(VLOOKUP(UEV91,'[1]List KPI'!$M$3:$N$8,2,0),"")</f>
        <v>2.0833333333333332E-2</v>
      </c>
      <c r="UEX91" s="76">
        <v>0.89444444444444449</v>
      </c>
      <c r="UEY91" s="77" t="str">
        <f t="shared" ref="UEY91:UGU91" si="440">IF(UEX91="","",IF(UEX91&gt;UFC91,"O","P"))</f>
        <v>O</v>
      </c>
      <c r="UEZ91" s="79">
        <v>5</v>
      </c>
      <c r="UFA91" s="75">
        <v>1276006</v>
      </c>
      <c r="UFB91" s="80"/>
      <c r="UFC91" s="81">
        <v>0.86944444444444446</v>
      </c>
      <c r="UFD91" s="74" t="s">
        <v>27</v>
      </c>
      <c r="UFE91" s="74" t="s">
        <v>24</v>
      </c>
      <c r="UFF91" s="75" t="s">
        <v>25</v>
      </c>
      <c r="UFG91" s="76">
        <f>IFERROR(VLOOKUP(UFF91,'[1]List KPI'!$A$103:$F$118,6,0),"")</f>
        <v>1.0416666666666666E-2</v>
      </c>
      <c r="UFH91" s="76">
        <v>0.86944444444444446</v>
      </c>
      <c r="UFI91" s="76">
        <v>0.86944444444444446</v>
      </c>
      <c r="UFJ91" s="77" t="str">
        <f t="shared" si="439"/>
        <v>O</v>
      </c>
      <c r="UFK91" s="74" t="s">
        <v>28</v>
      </c>
      <c r="UFL91" s="75" t="s">
        <v>23</v>
      </c>
      <c r="UFM91" s="78">
        <f>IFERROR(VLOOKUP(UFL91,'[1]List KPI'!$M$3:$N$8,2,0),"")</f>
        <v>2.0833333333333332E-2</v>
      </c>
      <c r="UFN91" s="76">
        <v>0.89444444444444449</v>
      </c>
      <c r="UFO91" s="77" t="str">
        <f t="shared" si="440"/>
        <v>O</v>
      </c>
      <c r="UFP91" s="79">
        <v>5</v>
      </c>
      <c r="UFQ91" s="75">
        <v>1276006</v>
      </c>
      <c r="UFR91" s="80"/>
      <c r="UFS91" s="81">
        <v>0.86944444444444446</v>
      </c>
      <c r="UFT91" s="74" t="s">
        <v>27</v>
      </c>
      <c r="UFU91" s="74" t="s">
        <v>24</v>
      </c>
      <c r="UFV91" s="75" t="s">
        <v>25</v>
      </c>
      <c r="UFW91" s="76">
        <f>IFERROR(VLOOKUP(UFV91,'[1]List KPI'!$A$103:$F$118,6,0),"")</f>
        <v>1.0416666666666666E-2</v>
      </c>
      <c r="UFX91" s="76">
        <v>0.86944444444444446</v>
      </c>
      <c r="UFY91" s="76">
        <v>0.86944444444444446</v>
      </c>
      <c r="UFZ91" s="77" t="str">
        <f t="shared" si="439"/>
        <v>O</v>
      </c>
      <c r="UGA91" s="74" t="s">
        <v>28</v>
      </c>
      <c r="UGB91" s="75" t="s">
        <v>23</v>
      </c>
      <c r="UGC91" s="78">
        <f>IFERROR(VLOOKUP(UGB91,'[1]List KPI'!$M$3:$N$8,2,0),"")</f>
        <v>2.0833333333333332E-2</v>
      </c>
      <c r="UGD91" s="76">
        <v>0.89444444444444449</v>
      </c>
      <c r="UGE91" s="77" t="str">
        <f t="shared" si="440"/>
        <v>O</v>
      </c>
      <c r="UGF91" s="79">
        <v>5</v>
      </c>
      <c r="UGG91" s="75">
        <v>1276006</v>
      </c>
      <c r="UGH91" s="80"/>
      <c r="UGI91" s="81">
        <v>0.86944444444444446</v>
      </c>
      <c r="UGJ91" s="74" t="s">
        <v>27</v>
      </c>
      <c r="UGK91" s="74" t="s">
        <v>24</v>
      </c>
      <c r="UGL91" s="75" t="s">
        <v>25</v>
      </c>
      <c r="UGM91" s="76">
        <f>IFERROR(VLOOKUP(UGL91,'[1]List KPI'!$A$103:$F$118,6,0),"")</f>
        <v>1.0416666666666666E-2</v>
      </c>
      <c r="UGN91" s="76">
        <v>0.86944444444444446</v>
      </c>
      <c r="UGO91" s="76">
        <v>0.86944444444444446</v>
      </c>
      <c r="UGP91" s="77" t="str">
        <f t="shared" si="439"/>
        <v>O</v>
      </c>
      <c r="UGQ91" s="74" t="s">
        <v>28</v>
      </c>
      <c r="UGR91" s="75" t="s">
        <v>23</v>
      </c>
      <c r="UGS91" s="78">
        <f>IFERROR(VLOOKUP(UGR91,'[1]List KPI'!$M$3:$N$8,2,0),"")</f>
        <v>2.0833333333333332E-2</v>
      </c>
      <c r="UGT91" s="76">
        <v>0.89444444444444449</v>
      </c>
      <c r="UGU91" s="77" t="str">
        <f t="shared" si="440"/>
        <v>O</v>
      </c>
      <c r="UGV91" s="79">
        <v>5</v>
      </c>
      <c r="UGW91" s="75">
        <v>1276006</v>
      </c>
      <c r="UGX91" s="80"/>
      <c r="UGY91" s="81">
        <v>0.86944444444444446</v>
      </c>
      <c r="UGZ91" s="74" t="s">
        <v>27</v>
      </c>
      <c r="UHA91" s="74" t="s">
        <v>24</v>
      </c>
      <c r="UHB91" s="75" t="s">
        <v>25</v>
      </c>
      <c r="UHC91" s="76">
        <f>IFERROR(VLOOKUP(UHB91,'[1]List KPI'!$A$103:$F$118,6,0),"")</f>
        <v>1.0416666666666666E-2</v>
      </c>
      <c r="UHD91" s="76">
        <v>0.86944444444444446</v>
      </c>
      <c r="UHE91" s="76">
        <v>0.86944444444444446</v>
      </c>
      <c r="UHF91" s="77" t="str">
        <f t="shared" ref="UHF91:UJB91" si="441">IF(UHE91="","",IF(UHE91&gt;UHN91,"O","P"))</f>
        <v>O</v>
      </c>
      <c r="UHG91" s="74" t="s">
        <v>28</v>
      </c>
      <c r="UHH91" s="75" t="s">
        <v>23</v>
      </c>
      <c r="UHI91" s="78">
        <f>IFERROR(VLOOKUP(UHH91,'[1]List KPI'!$M$3:$N$8,2,0),"")</f>
        <v>2.0833333333333332E-2</v>
      </c>
      <c r="UHJ91" s="76">
        <v>0.89444444444444449</v>
      </c>
      <c r="UHK91" s="77" t="str">
        <f t="shared" ref="UHK91:UJG91" si="442">IF(UHJ91="","",IF(UHJ91&gt;UHO91,"O","P"))</f>
        <v>O</v>
      </c>
      <c r="UHL91" s="79">
        <v>5</v>
      </c>
      <c r="UHM91" s="75">
        <v>1276006</v>
      </c>
      <c r="UHN91" s="80"/>
      <c r="UHO91" s="81">
        <v>0.86944444444444446</v>
      </c>
      <c r="UHP91" s="74" t="s">
        <v>27</v>
      </c>
      <c r="UHQ91" s="74" t="s">
        <v>24</v>
      </c>
      <c r="UHR91" s="75" t="s">
        <v>25</v>
      </c>
      <c r="UHS91" s="76">
        <f>IFERROR(VLOOKUP(UHR91,'[1]List KPI'!$A$103:$F$118,6,0),"")</f>
        <v>1.0416666666666666E-2</v>
      </c>
      <c r="UHT91" s="76">
        <v>0.86944444444444446</v>
      </c>
      <c r="UHU91" s="76">
        <v>0.86944444444444446</v>
      </c>
      <c r="UHV91" s="77" t="str">
        <f t="shared" si="441"/>
        <v>O</v>
      </c>
      <c r="UHW91" s="74" t="s">
        <v>28</v>
      </c>
      <c r="UHX91" s="75" t="s">
        <v>23</v>
      </c>
      <c r="UHY91" s="78">
        <f>IFERROR(VLOOKUP(UHX91,'[1]List KPI'!$M$3:$N$8,2,0),"")</f>
        <v>2.0833333333333332E-2</v>
      </c>
      <c r="UHZ91" s="76">
        <v>0.89444444444444449</v>
      </c>
      <c r="UIA91" s="77" t="str">
        <f t="shared" si="442"/>
        <v>O</v>
      </c>
      <c r="UIB91" s="79">
        <v>5</v>
      </c>
      <c r="UIC91" s="75">
        <v>1276006</v>
      </c>
      <c r="UID91" s="80"/>
      <c r="UIE91" s="81">
        <v>0.86944444444444446</v>
      </c>
      <c r="UIF91" s="74" t="s">
        <v>27</v>
      </c>
      <c r="UIG91" s="74" t="s">
        <v>24</v>
      </c>
      <c r="UIH91" s="75" t="s">
        <v>25</v>
      </c>
      <c r="UII91" s="76">
        <f>IFERROR(VLOOKUP(UIH91,'[1]List KPI'!$A$103:$F$118,6,0),"")</f>
        <v>1.0416666666666666E-2</v>
      </c>
      <c r="UIJ91" s="76">
        <v>0.86944444444444446</v>
      </c>
      <c r="UIK91" s="76">
        <v>0.86944444444444446</v>
      </c>
      <c r="UIL91" s="77" t="str">
        <f t="shared" si="441"/>
        <v>O</v>
      </c>
      <c r="UIM91" s="74" t="s">
        <v>28</v>
      </c>
      <c r="UIN91" s="75" t="s">
        <v>23</v>
      </c>
      <c r="UIO91" s="78">
        <f>IFERROR(VLOOKUP(UIN91,'[1]List KPI'!$M$3:$N$8,2,0),"")</f>
        <v>2.0833333333333332E-2</v>
      </c>
      <c r="UIP91" s="76">
        <v>0.89444444444444449</v>
      </c>
      <c r="UIQ91" s="77" t="str">
        <f t="shared" si="442"/>
        <v>O</v>
      </c>
      <c r="UIR91" s="79">
        <v>5</v>
      </c>
      <c r="UIS91" s="75">
        <v>1276006</v>
      </c>
      <c r="UIT91" s="80"/>
      <c r="UIU91" s="81">
        <v>0.86944444444444446</v>
      </c>
      <c r="UIV91" s="74" t="s">
        <v>27</v>
      </c>
      <c r="UIW91" s="74" t="s">
        <v>24</v>
      </c>
      <c r="UIX91" s="75" t="s">
        <v>25</v>
      </c>
      <c r="UIY91" s="76">
        <f>IFERROR(VLOOKUP(UIX91,'[1]List KPI'!$A$103:$F$118,6,0),"")</f>
        <v>1.0416666666666666E-2</v>
      </c>
      <c r="UIZ91" s="76">
        <v>0.86944444444444446</v>
      </c>
      <c r="UJA91" s="76">
        <v>0.86944444444444446</v>
      </c>
      <c r="UJB91" s="77" t="str">
        <f t="shared" si="441"/>
        <v>O</v>
      </c>
      <c r="UJC91" s="74" t="s">
        <v>28</v>
      </c>
      <c r="UJD91" s="75" t="s">
        <v>23</v>
      </c>
      <c r="UJE91" s="78">
        <f>IFERROR(VLOOKUP(UJD91,'[1]List KPI'!$M$3:$N$8,2,0),"")</f>
        <v>2.0833333333333332E-2</v>
      </c>
      <c r="UJF91" s="76">
        <v>0.89444444444444449</v>
      </c>
      <c r="UJG91" s="77" t="str">
        <f t="shared" si="442"/>
        <v>O</v>
      </c>
      <c r="UJH91" s="79">
        <v>5</v>
      </c>
      <c r="UJI91" s="75">
        <v>1276006</v>
      </c>
      <c r="UJJ91" s="80"/>
      <c r="UJK91" s="81">
        <v>0.86944444444444446</v>
      </c>
      <c r="UJL91" s="74" t="s">
        <v>27</v>
      </c>
      <c r="UJM91" s="74" t="s">
        <v>24</v>
      </c>
      <c r="UJN91" s="75" t="s">
        <v>25</v>
      </c>
      <c r="UJO91" s="76">
        <f>IFERROR(VLOOKUP(UJN91,'[1]List KPI'!$A$103:$F$118,6,0),"")</f>
        <v>1.0416666666666666E-2</v>
      </c>
      <c r="UJP91" s="76">
        <v>0.86944444444444446</v>
      </c>
      <c r="UJQ91" s="76">
        <v>0.86944444444444446</v>
      </c>
      <c r="UJR91" s="77" t="str">
        <f t="shared" ref="UJR91:ULN91" si="443">IF(UJQ91="","",IF(UJQ91&gt;UJZ91,"O","P"))</f>
        <v>O</v>
      </c>
      <c r="UJS91" s="74" t="s">
        <v>28</v>
      </c>
      <c r="UJT91" s="75" t="s">
        <v>23</v>
      </c>
      <c r="UJU91" s="78">
        <f>IFERROR(VLOOKUP(UJT91,'[1]List KPI'!$M$3:$N$8,2,0),"")</f>
        <v>2.0833333333333332E-2</v>
      </c>
      <c r="UJV91" s="76">
        <v>0.89444444444444449</v>
      </c>
      <c r="UJW91" s="77" t="str">
        <f t="shared" ref="UJW91:ULS91" si="444">IF(UJV91="","",IF(UJV91&gt;UKA91,"O","P"))</f>
        <v>O</v>
      </c>
      <c r="UJX91" s="79">
        <v>5</v>
      </c>
      <c r="UJY91" s="75">
        <v>1276006</v>
      </c>
      <c r="UJZ91" s="80"/>
      <c r="UKA91" s="81">
        <v>0.86944444444444446</v>
      </c>
      <c r="UKB91" s="74" t="s">
        <v>27</v>
      </c>
      <c r="UKC91" s="74" t="s">
        <v>24</v>
      </c>
      <c r="UKD91" s="75" t="s">
        <v>25</v>
      </c>
      <c r="UKE91" s="76">
        <f>IFERROR(VLOOKUP(UKD91,'[1]List KPI'!$A$103:$F$118,6,0),"")</f>
        <v>1.0416666666666666E-2</v>
      </c>
      <c r="UKF91" s="76">
        <v>0.86944444444444446</v>
      </c>
      <c r="UKG91" s="76">
        <v>0.86944444444444446</v>
      </c>
      <c r="UKH91" s="77" t="str">
        <f t="shared" si="443"/>
        <v>O</v>
      </c>
      <c r="UKI91" s="74" t="s">
        <v>28</v>
      </c>
      <c r="UKJ91" s="75" t="s">
        <v>23</v>
      </c>
      <c r="UKK91" s="78">
        <f>IFERROR(VLOOKUP(UKJ91,'[1]List KPI'!$M$3:$N$8,2,0),"")</f>
        <v>2.0833333333333332E-2</v>
      </c>
      <c r="UKL91" s="76">
        <v>0.89444444444444449</v>
      </c>
      <c r="UKM91" s="77" t="str">
        <f t="shared" si="444"/>
        <v>O</v>
      </c>
      <c r="UKN91" s="79">
        <v>5</v>
      </c>
      <c r="UKO91" s="75">
        <v>1276006</v>
      </c>
      <c r="UKP91" s="80"/>
      <c r="UKQ91" s="81">
        <v>0.86944444444444446</v>
      </c>
      <c r="UKR91" s="74" t="s">
        <v>27</v>
      </c>
      <c r="UKS91" s="74" t="s">
        <v>24</v>
      </c>
      <c r="UKT91" s="75" t="s">
        <v>25</v>
      </c>
      <c r="UKU91" s="76">
        <f>IFERROR(VLOOKUP(UKT91,'[1]List KPI'!$A$103:$F$118,6,0),"")</f>
        <v>1.0416666666666666E-2</v>
      </c>
      <c r="UKV91" s="76">
        <v>0.86944444444444446</v>
      </c>
      <c r="UKW91" s="76">
        <v>0.86944444444444446</v>
      </c>
      <c r="UKX91" s="77" t="str">
        <f t="shared" si="443"/>
        <v>O</v>
      </c>
      <c r="UKY91" s="74" t="s">
        <v>28</v>
      </c>
      <c r="UKZ91" s="75" t="s">
        <v>23</v>
      </c>
      <c r="ULA91" s="78">
        <f>IFERROR(VLOOKUP(UKZ91,'[1]List KPI'!$M$3:$N$8,2,0),"")</f>
        <v>2.0833333333333332E-2</v>
      </c>
      <c r="ULB91" s="76">
        <v>0.89444444444444449</v>
      </c>
      <c r="ULC91" s="77" t="str">
        <f t="shared" si="444"/>
        <v>O</v>
      </c>
      <c r="ULD91" s="79">
        <v>5</v>
      </c>
      <c r="ULE91" s="75">
        <v>1276006</v>
      </c>
      <c r="ULF91" s="80"/>
      <c r="ULG91" s="81">
        <v>0.86944444444444446</v>
      </c>
      <c r="ULH91" s="74" t="s">
        <v>27</v>
      </c>
      <c r="ULI91" s="74" t="s">
        <v>24</v>
      </c>
      <c r="ULJ91" s="75" t="s">
        <v>25</v>
      </c>
      <c r="ULK91" s="76">
        <f>IFERROR(VLOOKUP(ULJ91,'[1]List KPI'!$A$103:$F$118,6,0),"")</f>
        <v>1.0416666666666666E-2</v>
      </c>
      <c r="ULL91" s="76">
        <v>0.86944444444444446</v>
      </c>
      <c r="ULM91" s="76">
        <v>0.86944444444444446</v>
      </c>
      <c r="ULN91" s="77" t="str">
        <f t="shared" si="443"/>
        <v>O</v>
      </c>
      <c r="ULO91" s="74" t="s">
        <v>28</v>
      </c>
      <c r="ULP91" s="75" t="s">
        <v>23</v>
      </c>
      <c r="ULQ91" s="78">
        <f>IFERROR(VLOOKUP(ULP91,'[1]List KPI'!$M$3:$N$8,2,0),"")</f>
        <v>2.0833333333333332E-2</v>
      </c>
      <c r="ULR91" s="76">
        <v>0.89444444444444449</v>
      </c>
      <c r="ULS91" s="77" t="str">
        <f t="shared" si="444"/>
        <v>O</v>
      </c>
      <c r="ULT91" s="79">
        <v>5</v>
      </c>
      <c r="ULU91" s="75">
        <v>1276006</v>
      </c>
      <c r="ULV91" s="80"/>
      <c r="ULW91" s="81">
        <v>0.86944444444444446</v>
      </c>
      <c r="ULX91" s="74" t="s">
        <v>27</v>
      </c>
      <c r="ULY91" s="74" t="s">
        <v>24</v>
      </c>
      <c r="ULZ91" s="75" t="s">
        <v>25</v>
      </c>
      <c r="UMA91" s="76">
        <f>IFERROR(VLOOKUP(ULZ91,'[1]List KPI'!$A$103:$F$118,6,0),"")</f>
        <v>1.0416666666666666E-2</v>
      </c>
      <c r="UMB91" s="76">
        <v>0.86944444444444446</v>
      </c>
      <c r="UMC91" s="76">
        <v>0.86944444444444446</v>
      </c>
      <c r="UMD91" s="77" t="str">
        <f t="shared" ref="UMD91:UNZ91" si="445">IF(UMC91="","",IF(UMC91&gt;UML91,"O","P"))</f>
        <v>O</v>
      </c>
      <c r="UME91" s="74" t="s">
        <v>28</v>
      </c>
      <c r="UMF91" s="75" t="s">
        <v>23</v>
      </c>
      <c r="UMG91" s="78">
        <f>IFERROR(VLOOKUP(UMF91,'[1]List KPI'!$M$3:$N$8,2,0),"")</f>
        <v>2.0833333333333332E-2</v>
      </c>
      <c r="UMH91" s="76">
        <v>0.89444444444444449</v>
      </c>
      <c r="UMI91" s="77" t="str">
        <f t="shared" ref="UMI91:UOE91" si="446">IF(UMH91="","",IF(UMH91&gt;UMM91,"O","P"))</f>
        <v>O</v>
      </c>
      <c r="UMJ91" s="79">
        <v>5</v>
      </c>
      <c r="UMK91" s="75">
        <v>1276006</v>
      </c>
      <c r="UML91" s="80"/>
      <c r="UMM91" s="81">
        <v>0.86944444444444446</v>
      </c>
      <c r="UMN91" s="74" t="s">
        <v>27</v>
      </c>
      <c r="UMO91" s="74" t="s">
        <v>24</v>
      </c>
      <c r="UMP91" s="75" t="s">
        <v>25</v>
      </c>
      <c r="UMQ91" s="76">
        <f>IFERROR(VLOOKUP(UMP91,'[1]List KPI'!$A$103:$F$118,6,0),"")</f>
        <v>1.0416666666666666E-2</v>
      </c>
      <c r="UMR91" s="76">
        <v>0.86944444444444446</v>
      </c>
      <c r="UMS91" s="76">
        <v>0.86944444444444446</v>
      </c>
      <c r="UMT91" s="77" t="str">
        <f t="shared" si="445"/>
        <v>O</v>
      </c>
      <c r="UMU91" s="74" t="s">
        <v>28</v>
      </c>
      <c r="UMV91" s="75" t="s">
        <v>23</v>
      </c>
      <c r="UMW91" s="78">
        <f>IFERROR(VLOOKUP(UMV91,'[1]List KPI'!$M$3:$N$8,2,0),"")</f>
        <v>2.0833333333333332E-2</v>
      </c>
      <c r="UMX91" s="76">
        <v>0.89444444444444449</v>
      </c>
      <c r="UMY91" s="77" t="str">
        <f t="shared" si="446"/>
        <v>O</v>
      </c>
      <c r="UMZ91" s="79">
        <v>5</v>
      </c>
      <c r="UNA91" s="75">
        <v>1276006</v>
      </c>
      <c r="UNB91" s="80"/>
      <c r="UNC91" s="81">
        <v>0.86944444444444446</v>
      </c>
      <c r="UND91" s="74" t="s">
        <v>27</v>
      </c>
      <c r="UNE91" s="74" t="s">
        <v>24</v>
      </c>
      <c r="UNF91" s="75" t="s">
        <v>25</v>
      </c>
      <c r="UNG91" s="76">
        <f>IFERROR(VLOOKUP(UNF91,'[1]List KPI'!$A$103:$F$118,6,0),"")</f>
        <v>1.0416666666666666E-2</v>
      </c>
      <c r="UNH91" s="76">
        <v>0.86944444444444446</v>
      </c>
      <c r="UNI91" s="76">
        <v>0.86944444444444446</v>
      </c>
      <c r="UNJ91" s="77" t="str">
        <f t="shared" si="445"/>
        <v>O</v>
      </c>
      <c r="UNK91" s="74" t="s">
        <v>28</v>
      </c>
      <c r="UNL91" s="75" t="s">
        <v>23</v>
      </c>
      <c r="UNM91" s="78">
        <f>IFERROR(VLOOKUP(UNL91,'[1]List KPI'!$M$3:$N$8,2,0),"")</f>
        <v>2.0833333333333332E-2</v>
      </c>
      <c r="UNN91" s="76">
        <v>0.89444444444444449</v>
      </c>
      <c r="UNO91" s="77" t="str">
        <f t="shared" si="446"/>
        <v>O</v>
      </c>
      <c r="UNP91" s="79">
        <v>5</v>
      </c>
      <c r="UNQ91" s="75">
        <v>1276006</v>
      </c>
      <c r="UNR91" s="80"/>
      <c r="UNS91" s="81">
        <v>0.86944444444444446</v>
      </c>
      <c r="UNT91" s="74" t="s">
        <v>27</v>
      </c>
      <c r="UNU91" s="74" t="s">
        <v>24</v>
      </c>
      <c r="UNV91" s="75" t="s">
        <v>25</v>
      </c>
      <c r="UNW91" s="76">
        <f>IFERROR(VLOOKUP(UNV91,'[1]List KPI'!$A$103:$F$118,6,0),"")</f>
        <v>1.0416666666666666E-2</v>
      </c>
      <c r="UNX91" s="76">
        <v>0.86944444444444446</v>
      </c>
      <c r="UNY91" s="76">
        <v>0.86944444444444446</v>
      </c>
      <c r="UNZ91" s="77" t="str">
        <f t="shared" si="445"/>
        <v>O</v>
      </c>
      <c r="UOA91" s="74" t="s">
        <v>28</v>
      </c>
      <c r="UOB91" s="75" t="s">
        <v>23</v>
      </c>
      <c r="UOC91" s="78">
        <f>IFERROR(VLOOKUP(UOB91,'[1]List KPI'!$M$3:$N$8,2,0),"")</f>
        <v>2.0833333333333332E-2</v>
      </c>
      <c r="UOD91" s="76">
        <v>0.89444444444444449</v>
      </c>
      <c r="UOE91" s="77" t="str">
        <f t="shared" si="446"/>
        <v>O</v>
      </c>
      <c r="UOF91" s="79">
        <v>5</v>
      </c>
      <c r="UOG91" s="75">
        <v>1276006</v>
      </c>
      <c r="UOH91" s="80"/>
      <c r="UOI91" s="81">
        <v>0.86944444444444446</v>
      </c>
      <c r="UOJ91" s="74" t="s">
        <v>27</v>
      </c>
      <c r="UOK91" s="74" t="s">
        <v>24</v>
      </c>
      <c r="UOL91" s="75" t="s">
        <v>25</v>
      </c>
      <c r="UOM91" s="76">
        <f>IFERROR(VLOOKUP(UOL91,'[1]List KPI'!$A$103:$F$118,6,0),"")</f>
        <v>1.0416666666666666E-2</v>
      </c>
      <c r="UON91" s="76">
        <v>0.86944444444444446</v>
      </c>
      <c r="UOO91" s="76">
        <v>0.86944444444444446</v>
      </c>
      <c r="UOP91" s="77" t="str">
        <f t="shared" ref="UOP91:UQL91" si="447">IF(UOO91="","",IF(UOO91&gt;UOX91,"O","P"))</f>
        <v>O</v>
      </c>
      <c r="UOQ91" s="74" t="s">
        <v>28</v>
      </c>
      <c r="UOR91" s="75" t="s">
        <v>23</v>
      </c>
      <c r="UOS91" s="78">
        <f>IFERROR(VLOOKUP(UOR91,'[1]List KPI'!$M$3:$N$8,2,0),"")</f>
        <v>2.0833333333333332E-2</v>
      </c>
      <c r="UOT91" s="76">
        <v>0.89444444444444449</v>
      </c>
      <c r="UOU91" s="77" t="str">
        <f t="shared" ref="UOU91:UQQ91" si="448">IF(UOT91="","",IF(UOT91&gt;UOY91,"O","P"))</f>
        <v>O</v>
      </c>
      <c r="UOV91" s="79">
        <v>5</v>
      </c>
      <c r="UOW91" s="75">
        <v>1276006</v>
      </c>
      <c r="UOX91" s="80"/>
      <c r="UOY91" s="81">
        <v>0.86944444444444446</v>
      </c>
      <c r="UOZ91" s="74" t="s">
        <v>27</v>
      </c>
      <c r="UPA91" s="74" t="s">
        <v>24</v>
      </c>
      <c r="UPB91" s="75" t="s">
        <v>25</v>
      </c>
      <c r="UPC91" s="76">
        <f>IFERROR(VLOOKUP(UPB91,'[1]List KPI'!$A$103:$F$118,6,0),"")</f>
        <v>1.0416666666666666E-2</v>
      </c>
      <c r="UPD91" s="76">
        <v>0.86944444444444446</v>
      </c>
      <c r="UPE91" s="76">
        <v>0.86944444444444446</v>
      </c>
      <c r="UPF91" s="77" t="str">
        <f t="shared" si="447"/>
        <v>O</v>
      </c>
      <c r="UPG91" s="74" t="s">
        <v>28</v>
      </c>
      <c r="UPH91" s="75" t="s">
        <v>23</v>
      </c>
      <c r="UPI91" s="78">
        <f>IFERROR(VLOOKUP(UPH91,'[1]List KPI'!$M$3:$N$8,2,0),"")</f>
        <v>2.0833333333333332E-2</v>
      </c>
      <c r="UPJ91" s="76">
        <v>0.89444444444444449</v>
      </c>
      <c r="UPK91" s="77" t="str">
        <f t="shared" si="448"/>
        <v>O</v>
      </c>
      <c r="UPL91" s="79">
        <v>5</v>
      </c>
      <c r="UPM91" s="75">
        <v>1276006</v>
      </c>
      <c r="UPN91" s="80"/>
      <c r="UPO91" s="81">
        <v>0.86944444444444446</v>
      </c>
      <c r="UPP91" s="74" t="s">
        <v>27</v>
      </c>
      <c r="UPQ91" s="74" t="s">
        <v>24</v>
      </c>
      <c r="UPR91" s="75" t="s">
        <v>25</v>
      </c>
      <c r="UPS91" s="76">
        <f>IFERROR(VLOOKUP(UPR91,'[1]List KPI'!$A$103:$F$118,6,0),"")</f>
        <v>1.0416666666666666E-2</v>
      </c>
      <c r="UPT91" s="76">
        <v>0.86944444444444446</v>
      </c>
      <c r="UPU91" s="76">
        <v>0.86944444444444446</v>
      </c>
      <c r="UPV91" s="77" t="str">
        <f t="shared" si="447"/>
        <v>O</v>
      </c>
      <c r="UPW91" s="74" t="s">
        <v>28</v>
      </c>
      <c r="UPX91" s="75" t="s">
        <v>23</v>
      </c>
      <c r="UPY91" s="78">
        <f>IFERROR(VLOOKUP(UPX91,'[1]List KPI'!$M$3:$N$8,2,0),"")</f>
        <v>2.0833333333333332E-2</v>
      </c>
      <c r="UPZ91" s="76">
        <v>0.89444444444444449</v>
      </c>
      <c r="UQA91" s="77" t="str">
        <f t="shared" si="448"/>
        <v>O</v>
      </c>
      <c r="UQB91" s="79">
        <v>5</v>
      </c>
      <c r="UQC91" s="75">
        <v>1276006</v>
      </c>
      <c r="UQD91" s="80"/>
      <c r="UQE91" s="81">
        <v>0.86944444444444446</v>
      </c>
      <c r="UQF91" s="74" t="s">
        <v>27</v>
      </c>
      <c r="UQG91" s="74" t="s">
        <v>24</v>
      </c>
      <c r="UQH91" s="75" t="s">
        <v>25</v>
      </c>
      <c r="UQI91" s="76">
        <f>IFERROR(VLOOKUP(UQH91,'[1]List KPI'!$A$103:$F$118,6,0),"")</f>
        <v>1.0416666666666666E-2</v>
      </c>
      <c r="UQJ91" s="76">
        <v>0.86944444444444446</v>
      </c>
      <c r="UQK91" s="76">
        <v>0.86944444444444446</v>
      </c>
      <c r="UQL91" s="77" t="str">
        <f t="shared" si="447"/>
        <v>O</v>
      </c>
      <c r="UQM91" s="74" t="s">
        <v>28</v>
      </c>
      <c r="UQN91" s="75" t="s">
        <v>23</v>
      </c>
      <c r="UQO91" s="78">
        <f>IFERROR(VLOOKUP(UQN91,'[1]List KPI'!$M$3:$N$8,2,0),"")</f>
        <v>2.0833333333333332E-2</v>
      </c>
      <c r="UQP91" s="76">
        <v>0.89444444444444449</v>
      </c>
      <c r="UQQ91" s="77" t="str">
        <f t="shared" si="448"/>
        <v>O</v>
      </c>
      <c r="UQR91" s="79">
        <v>5</v>
      </c>
      <c r="UQS91" s="75">
        <v>1276006</v>
      </c>
      <c r="UQT91" s="80"/>
      <c r="UQU91" s="81">
        <v>0.86944444444444446</v>
      </c>
      <c r="UQV91" s="74" t="s">
        <v>27</v>
      </c>
      <c r="UQW91" s="74" t="s">
        <v>24</v>
      </c>
      <c r="UQX91" s="75" t="s">
        <v>25</v>
      </c>
      <c r="UQY91" s="76">
        <f>IFERROR(VLOOKUP(UQX91,'[1]List KPI'!$A$103:$F$118,6,0),"")</f>
        <v>1.0416666666666666E-2</v>
      </c>
      <c r="UQZ91" s="76">
        <v>0.86944444444444446</v>
      </c>
      <c r="URA91" s="76">
        <v>0.86944444444444446</v>
      </c>
      <c r="URB91" s="77" t="str">
        <f t="shared" ref="URB91:USX91" si="449">IF(URA91="","",IF(URA91&gt;URJ91,"O","P"))</f>
        <v>O</v>
      </c>
      <c r="URC91" s="74" t="s">
        <v>28</v>
      </c>
      <c r="URD91" s="75" t="s">
        <v>23</v>
      </c>
      <c r="URE91" s="78">
        <f>IFERROR(VLOOKUP(URD91,'[1]List KPI'!$M$3:$N$8,2,0),"")</f>
        <v>2.0833333333333332E-2</v>
      </c>
      <c r="URF91" s="76">
        <v>0.89444444444444449</v>
      </c>
      <c r="URG91" s="77" t="str">
        <f t="shared" ref="URG91:UTC91" si="450">IF(URF91="","",IF(URF91&gt;URK91,"O","P"))</f>
        <v>O</v>
      </c>
      <c r="URH91" s="79">
        <v>5</v>
      </c>
      <c r="URI91" s="75">
        <v>1276006</v>
      </c>
      <c r="URJ91" s="80"/>
      <c r="URK91" s="81">
        <v>0.86944444444444446</v>
      </c>
      <c r="URL91" s="74" t="s">
        <v>27</v>
      </c>
      <c r="URM91" s="74" t="s">
        <v>24</v>
      </c>
      <c r="URN91" s="75" t="s">
        <v>25</v>
      </c>
      <c r="URO91" s="76">
        <f>IFERROR(VLOOKUP(URN91,'[1]List KPI'!$A$103:$F$118,6,0),"")</f>
        <v>1.0416666666666666E-2</v>
      </c>
      <c r="URP91" s="76">
        <v>0.86944444444444446</v>
      </c>
      <c r="URQ91" s="76">
        <v>0.86944444444444446</v>
      </c>
      <c r="URR91" s="77" t="str">
        <f t="shared" si="449"/>
        <v>O</v>
      </c>
      <c r="URS91" s="74" t="s">
        <v>28</v>
      </c>
      <c r="URT91" s="75" t="s">
        <v>23</v>
      </c>
      <c r="URU91" s="78">
        <f>IFERROR(VLOOKUP(URT91,'[1]List KPI'!$M$3:$N$8,2,0),"")</f>
        <v>2.0833333333333332E-2</v>
      </c>
      <c r="URV91" s="76">
        <v>0.89444444444444449</v>
      </c>
      <c r="URW91" s="77" t="str">
        <f t="shared" si="450"/>
        <v>O</v>
      </c>
      <c r="URX91" s="79">
        <v>5</v>
      </c>
      <c r="URY91" s="75">
        <v>1276006</v>
      </c>
      <c r="URZ91" s="80"/>
      <c r="USA91" s="81">
        <v>0.86944444444444446</v>
      </c>
      <c r="USB91" s="74" t="s">
        <v>27</v>
      </c>
      <c r="USC91" s="74" t="s">
        <v>24</v>
      </c>
      <c r="USD91" s="75" t="s">
        <v>25</v>
      </c>
      <c r="USE91" s="76">
        <f>IFERROR(VLOOKUP(USD91,'[1]List KPI'!$A$103:$F$118,6,0),"")</f>
        <v>1.0416666666666666E-2</v>
      </c>
      <c r="USF91" s="76">
        <v>0.86944444444444446</v>
      </c>
      <c r="USG91" s="76">
        <v>0.86944444444444446</v>
      </c>
      <c r="USH91" s="77" t="str">
        <f t="shared" si="449"/>
        <v>O</v>
      </c>
      <c r="USI91" s="74" t="s">
        <v>28</v>
      </c>
      <c r="USJ91" s="75" t="s">
        <v>23</v>
      </c>
      <c r="USK91" s="78">
        <f>IFERROR(VLOOKUP(USJ91,'[1]List KPI'!$M$3:$N$8,2,0),"")</f>
        <v>2.0833333333333332E-2</v>
      </c>
      <c r="USL91" s="76">
        <v>0.89444444444444449</v>
      </c>
      <c r="USM91" s="77" t="str">
        <f t="shared" si="450"/>
        <v>O</v>
      </c>
      <c r="USN91" s="79">
        <v>5</v>
      </c>
      <c r="USO91" s="75">
        <v>1276006</v>
      </c>
      <c r="USP91" s="80"/>
      <c r="USQ91" s="81">
        <v>0.86944444444444446</v>
      </c>
      <c r="USR91" s="74" t="s">
        <v>27</v>
      </c>
      <c r="USS91" s="74" t="s">
        <v>24</v>
      </c>
      <c r="UST91" s="75" t="s">
        <v>25</v>
      </c>
      <c r="USU91" s="76">
        <f>IFERROR(VLOOKUP(UST91,'[1]List KPI'!$A$103:$F$118,6,0),"")</f>
        <v>1.0416666666666666E-2</v>
      </c>
      <c r="USV91" s="76">
        <v>0.86944444444444446</v>
      </c>
      <c r="USW91" s="76">
        <v>0.86944444444444446</v>
      </c>
      <c r="USX91" s="77" t="str">
        <f t="shared" si="449"/>
        <v>O</v>
      </c>
      <c r="USY91" s="74" t="s">
        <v>28</v>
      </c>
      <c r="USZ91" s="75" t="s">
        <v>23</v>
      </c>
      <c r="UTA91" s="78">
        <f>IFERROR(VLOOKUP(USZ91,'[1]List KPI'!$M$3:$N$8,2,0),"")</f>
        <v>2.0833333333333332E-2</v>
      </c>
      <c r="UTB91" s="76">
        <v>0.89444444444444449</v>
      </c>
      <c r="UTC91" s="77" t="str">
        <f t="shared" si="450"/>
        <v>O</v>
      </c>
      <c r="UTD91" s="79">
        <v>5</v>
      </c>
      <c r="UTE91" s="75">
        <v>1276006</v>
      </c>
      <c r="UTF91" s="80"/>
      <c r="UTG91" s="81">
        <v>0.86944444444444446</v>
      </c>
      <c r="UTH91" s="74" t="s">
        <v>27</v>
      </c>
      <c r="UTI91" s="74" t="s">
        <v>24</v>
      </c>
      <c r="UTJ91" s="75" t="s">
        <v>25</v>
      </c>
      <c r="UTK91" s="76">
        <f>IFERROR(VLOOKUP(UTJ91,'[1]List KPI'!$A$103:$F$118,6,0),"")</f>
        <v>1.0416666666666666E-2</v>
      </c>
      <c r="UTL91" s="76">
        <v>0.86944444444444446</v>
      </c>
      <c r="UTM91" s="76">
        <v>0.86944444444444446</v>
      </c>
      <c r="UTN91" s="77" t="str">
        <f t="shared" ref="UTN91:UVJ91" si="451">IF(UTM91="","",IF(UTM91&gt;UTV91,"O","P"))</f>
        <v>O</v>
      </c>
      <c r="UTO91" s="74" t="s">
        <v>28</v>
      </c>
      <c r="UTP91" s="75" t="s">
        <v>23</v>
      </c>
      <c r="UTQ91" s="78">
        <f>IFERROR(VLOOKUP(UTP91,'[1]List KPI'!$M$3:$N$8,2,0),"")</f>
        <v>2.0833333333333332E-2</v>
      </c>
      <c r="UTR91" s="76">
        <v>0.89444444444444449</v>
      </c>
      <c r="UTS91" s="77" t="str">
        <f t="shared" ref="UTS91:UVO91" si="452">IF(UTR91="","",IF(UTR91&gt;UTW91,"O","P"))</f>
        <v>O</v>
      </c>
      <c r="UTT91" s="79">
        <v>5</v>
      </c>
      <c r="UTU91" s="75">
        <v>1276006</v>
      </c>
      <c r="UTV91" s="80"/>
      <c r="UTW91" s="81">
        <v>0.86944444444444446</v>
      </c>
      <c r="UTX91" s="74" t="s">
        <v>27</v>
      </c>
      <c r="UTY91" s="74" t="s">
        <v>24</v>
      </c>
      <c r="UTZ91" s="75" t="s">
        <v>25</v>
      </c>
      <c r="UUA91" s="76">
        <f>IFERROR(VLOOKUP(UTZ91,'[1]List KPI'!$A$103:$F$118,6,0),"")</f>
        <v>1.0416666666666666E-2</v>
      </c>
      <c r="UUB91" s="76">
        <v>0.86944444444444446</v>
      </c>
      <c r="UUC91" s="76">
        <v>0.86944444444444446</v>
      </c>
      <c r="UUD91" s="77" t="str">
        <f t="shared" si="451"/>
        <v>O</v>
      </c>
      <c r="UUE91" s="74" t="s">
        <v>28</v>
      </c>
      <c r="UUF91" s="75" t="s">
        <v>23</v>
      </c>
      <c r="UUG91" s="78">
        <f>IFERROR(VLOOKUP(UUF91,'[1]List KPI'!$M$3:$N$8,2,0),"")</f>
        <v>2.0833333333333332E-2</v>
      </c>
      <c r="UUH91" s="76">
        <v>0.89444444444444449</v>
      </c>
      <c r="UUI91" s="77" t="str">
        <f t="shared" si="452"/>
        <v>O</v>
      </c>
      <c r="UUJ91" s="79">
        <v>5</v>
      </c>
      <c r="UUK91" s="75">
        <v>1276006</v>
      </c>
      <c r="UUL91" s="80"/>
      <c r="UUM91" s="81">
        <v>0.86944444444444446</v>
      </c>
      <c r="UUN91" s="74" t="s">
        <v>27</v>
      </c>
      <c r="UUO91" s="74" t="s">
        <v>24</v>
      </c>
      <c r="UUP91" s="75" t="s">
        <v>25</v>
      </c>
      <c r="UUQ91" s="76">
        <f>IFERROR(VLOOKUP(UUP91,'[1]List KPI'!$A$103:$F$118,6,0),"")</f>
        <v>1.0416666666666666E-2</v>
      </c>
      <c r="UUR91" s="76">
        <v>0.86944444444444446</v>
      </c>
      <c r="UUS91" s="76">
        <v>0.86944444444444446</v>
      </c>
      <c r="UUT91" s="77" t="str">
        <f t="shared" si="451"/>
        <v>O</v>
      </c>
      <c r="UUU91" s="74" t="s">
        <v>28</v>
      </c>
      <c r="UUV91" s="75" t="s">
        <v>23</v>
      </c>
      <c r="UUW91" s="78">
        <f>IFERROR(VLOOKUP(UUV91,'[1]List KPI'!$M$3:$N$8,2,0),"")</f>
        <v>2.0833333333333332E-2</v>
      </c>
      <c r="UUX91" s="76">
        <v>0.89444444444444449</v>
      </c>
      <c r="UUY91" s="77" t="str">
        <f t="shared" si="452"/>
        <v>O</v>
      </c>
      <c r="UUZ91" s="79">
        <v>5</v>
      </c>
      <c r="UVA91" s="75">
        <v>1276006</v>
      </c>
      <c r="UVB91" s="80"/>
      <c r="UVC91" s="81">
        <v>0.86944444444444446</v>
      </c>
      <c r="UVD91" s="74" t="s">
        <v>27</v>
      </c>
      <c r="UVE91" s="74" t="s">
        <v>24</v>
      </c>
      <c r="UVF91" s="75" t="s">
        <v>25</v>
      </c>
      <c r="UVG91" s="76">
        <f>IFERROR(VLOOKUP(UVF91,'[1]List KPI'!$A$103:$F$118,6,0),"")</f>
        <v>1.0416666666666666E-2</v>
      </c>
      <c r="UVH91" s="76">
        <v>0.86944444444444446</v>
      </c>
      <c r="UVI91" s="76">
        <v>0.86944444444444446</v>
      </c>
      <c r="UVJ91" s="77" t="str">
        <f t="shared" si="451"/>
        <v>O</v>
      </c>
      <c r="UVK91" s="74" t="s">
        <v>28</v>
      </c>
      <c r="UVL91" s="75" t="s">
        <v>23</v>
      </c>
      <c r="UVM91" s="78">
        <f>IFERROR(VLOOKUP(UVL91,'[1]List KPI'!$M$3:$N$8,2,0),"")</f>
        <v>2.0833333333333332E-2</v>
      </c>
      <c r="UVN91" s="76">
        <v>0.89444444444444449</v>
      </c>
      <c r="UVO91" s="77" t="str">
        <f t="shared" si="452"/>
        <v>O</v>
      </c>
      <c r="UVP91" s="79">
        <v>5</v>
      </c>
      <c r="UVQ91" s="75">
        <v>1276006</v>
      </c>
      <c r="UVR91" s="80"/>
      <c r="UVS91" s="81">
        <v>0.86944444444444446</v>
      </c>
      <c r="UVT91" s="74" t="s">
        <v>27</v>
      </c>
      <c r="UVU91" s="74" t="s">
        <v>24</v>
      </c>
      <c r="UVV91" s="75" t="s">
        <v>25</v>
      </c>
      <c r="UVW91" s="76">
        <f>IFERROR(VLOOKUP(UVV91,'[1]List KPI'!$A$103:$F$118,6,0),"")</f>
        <v>1.0416666666666666E-2</v>
      </c>
      <c r="UVX91" s="76">
        <v>0.86944444444444446</v>
      </c>
      <c r="UVY91" s="76">
        <v>0.86944444444444446</v>
      </c>
      <c r="UVZ91" s="77" t="str">
        <f t="shared" ref="UVZ91:UXV91" si="453">IF(UVY91="","",IF(UVY91&gt;UWH91,"O","P"))</f>
        <v>O</v>
      </c>
      <c r="UWA91" s="74" t="s">
        <v>28</v>
      </c>
      <c r="UWB91" s="75" t="s">
        <v>23</v>
      </c>
      <c r="UWC91" s="78">
        <f>IFERROR(VLOOKUP(UWB91,'[1]List KPI'!$M$3:$N$8,2,0),"")</f>
        <v>2.0833333333333332E-2</v>
      </c>
      <c r="UWD91" s="76">
        <v>0.89444444444444449</v>
      </c>
      <c r="UWE91" s="77" t="str">
        <f t="shared" ref="UWE91:UYA91" si="454">IF(UWD91="","",IF(UWD91&gt;UWI91,"O","P"))</f>
        <v>O</v>
      </c>
      <c r="UWF91" s="79">
        <v>5</v>
      </c>
      <c r="UWG91" s="75">
        <v>1276006</v>
      </c>
      <c r="UWH91" s="80"/>
      <c r="UWI91" s="81">
        <v>0.86944444444444446</v>
      </c>
      <c r="UWJ91" s="74" t="s">
        <v>27</v>
      </c>
      <c r="UWK91" s="74" t="s">
        <v>24</v>
      </c>
      <c r="UWL91" s="75" t="s">
        <v>25</v>
      </c>
      <c r="UWM91" s="76">
        <f>IFERROR(VLOOKUP(UWL91,'[1]List KPI'!$A$103:$F$118,6,0),"")</f>
        <v>1.0416666666666666E-2</v>
      </c>
      <c r="UWN91" s="76">
        <v>0.86944444444444446</v>
      </c>
      <c r="UWO91" s="76">
        <v>0.86944444444444446</v>
      </c>
      <c r="UWP91" s="77" t="str">
        <f t="shared" si="453"/>
        <v>O</v>
      </c>
      <c r="UWQ91" s="74" t="s">
        <v>28</v>
      </c>
      <c r="UWR91" s="75" t="s">
        <v>23</v>
      </c>
      <c r="UWS91" s="78">
        <f>IFERROR(VLOOKUP(UWR91,'[1]List KPI'!$M$3:$N$8,2,0),"")</f>
        <v>2.0833333333333332E-2</v>
      </c>
      <c r="UWT91" s="76">
        <v>0.89444444444444449</v>
      </c>
      <c r="UWU91" s="77" t="str">
        <f t="shared" si="454"/>
        <v>O</v>
      </c>
      <c r="UWV91" s="79">
        <v>5</v>
      </c>
      <c r="UWW91" s="75">
        <v>1276006</v>
      </c>
      <c r="UWX91" s="80"/>
      <c r="UWY91" s="81">
        <v>0.86944444444444446</v>
      </c>
      <c r="UWZ91" s="74" t="s">
        <v>27</v>
      </c>
      <c r="UXA91" s="74" t="s">
        <v>24</v>
      </c>
      <c r="UXB91" s="75" t="s">
        <v>25</v>
      </c>
      <c r="UXC91" s="76">
        <f>IFERROR(VLOOKUP(UXB91,'[1]List KPI'!$A$103:$F$118,6,0),"")</f>
        <v>1.0416666666666666E-2</v>
      </c>
      <c r="UXD91" s="76">
        <v>0.86944444444444446</v>
      </c>
      <c r="UXE91" s="76">
        <v>0.86944444444444446</v>
      </c>
      <c r="UXF91" s="77" t="str">
        <f t="shared" si="453"/>
        <v>O</v>
      </c>
      <c r="UXG91" s="74" t="s">
        <v>28</v>
      </c>
      <c r="UXH91" s="75" t="s">
        <v>23</v>
      </c>
      <c r="UXI91" s="78">
        <f>IFERROR(VLOOKUP(UXH91,'[1]List KPI'!$M$3:$N$8,2,0),"")</f>
        <v>2.0833333333333332E-2</v>
      </c>
      <c r="UXJ91" s="76">
        <v>0.89444444444444449</v>
      </c>
      <c r="UXK91" s="77" t="str">
        <f t="shared" si="454"/>
        <v>O</v>
      </c>
      <c r="UXL91" s="79">
        <v>5</v>
      </c>
      <c r="UXM91" s="75">
        <v>1276006</v>
      </c>
      <c r="UXN91" s="80"/>
      <c r="UXO91" s="81">
        <v>0.86944444444444446</v>
      </c>
      <c r="UXP91" s="74" t="s">
        <v>27</v>
      </c>
      <c r="UXQ91" s="74" t="s">
        <v>24</v>
      </c>
      <c r="UXR91" s="75" t="s">
        <v>25</v>
      </c>
      <c r="UXS91" s="76">
        <f>IFERROR(VLOOKUP(UXR91,'[1]List KPI'!$A$103:$F$118,6,0),"")</f>
        <v>1.0416666666666666E-2</v>
      </c>
      <c r="UXT91" s="76">
        <v>0.86944444444444446</v>
      </c>
      <c r="UXU91" s="76">
        <v>0.86944444444444446</v>
      </c>
      <c r="UXV91" s="77" t="str">
        <f t="shared" si="453"/>
        <v>O</v>
      </c>
      <c r="UXW91" s="74" t="s">
        <v>28</v>
      </c>
      <c r="UXX91" s="75" t="s">
        <v>23</v>
      </c>
      <c r="UXY91" s="78">
        <f>IFERROR(VLOOKUP(UXX91,'[1]List KPI'!$M$3:$N$8,2,0),"")</f>
        <v>2.0833333333333332E-2</v>
      </c>
      <c r="UXZ91" s="76">
        <v>0.89444444444444449</v>
      </c>
      <c r="UYA91" s="77" t="str">
        <f t="shared" si="454"/>
        <v>O</v>
      </c>
      <c r="UYB91" s="79">
        <v>5</v>
      </c>
      <c r="UYC91" s="75">
        <v>1276006</v>
      </c>
      <c r="UYD91" s="80"/>
      <c r="UYE91" s="81">
        <v>0.86944444444444446</v>
      </c>
      <c r="UYF91" s="74" t="s">
        <v>27</v>
      </c>
      <c r="UYG91" s="74" t="s">
        <v>24</v>
      </c>
      <c r="UYH91" s="75" t="s">
        <v>25</v>
      </c>
      <c r="UYI91" s="76">
        <f>IFERROR(VLOOKUP(UYH91,'[1]List KPI'!$A$103:$F$118,6,0),"")</f>
        <v>1.0416666666666666E-2</v>
      </c>
      <c r="UYJ91" s="76">
        <v>0.86944444444444446</v>
      </c>
      <c r="UYK91" s="76">
        <v>0.86944444444444446</v>
      </c>
      <c r="UYL91" s="77" t="str">
        <f t="shared" ref="UYL91:VAH91" si="455">IF(UYK91="","",IF(UYK91&gt;UYT91,"O","P"))</f>
        <v>O</v>
      </c>
      <c r="UYM91" s="74" t="s">
        <v>28</v>
      </c>
      <c r="UYN91" s="75" t="s">
        <v>23</v>
      </c>
      <c r="UYO91" s="78">
        <f>IFERROR(VLOOKUP(UYN91,'[1]List KPI'!$M$3:$N$8,2,0),"")</f>
        <v>2.0833333333333332E-2</v>
      </c>
      <c r="UYP91" s="76">
        <v>0.89444444444444449</v>
      </c>
      <c r="UYQ91" s="77" t="str">
        <f t="shared" ref="UYQ91:VAM91" si="456">IF(UYP91="","",IF(UYP91&gt;UYU91,"O","P"))</f>
        <v>O</v>
      </c>
      <c r="UYR91" s="79">
        <v>5</v>
      </c>
      <c r="UYS91" s="75">
        <v>1276006</v>
      </c>
      <c r="UYT91" s="80"/>
      <c r="UYU91" s="81">
        <v>0.86944444444444446</v>
      </c>
      <c r="UYV91" s="74" t="s">
        <v>27</v>
      </c>
      <c r="UYW91" s="74" t="s">
        <v>24</v>
      </c>
      <c r="UYX91" s="75" t="s">
        <v>25</v>
      </c>
      <c r="UYY91" s="76">
        <f>IFERROR(VLOOKUP(UYX91,'[1]List KPI'!$A$103:$F$118,6,0),"")</f>
        <v>1.0416666666666666E-2</v>
      </c>
      <c r="UYZ91" s="76">
        <v>0.86944444444444446</v>
      </c>
      <c r="UZA91" s="76">
        <v>0.86944444444444446</v>
      </c>
      <c r="UZB91" s="77" t="str">
        <f t="shared" si="455"/>
        <v>O</v>
      </c>
      <c r="UZC91" s="74" t="s">
        <v>28</v>
      </c>
      <c r="UZD91" s="75" t="s">
        <v>23</v>
      </c>
      <c r="UZE91" s="78">
        <f>IFERROR(VLOOKUP(UZD91,'[1]List KPI'!$M$3:$N$8,2,0),"")</f>
        <v>2.0833333333333332E-2</v>
      </c>
      <c r="UZF91" s="76">
        <v>0.89444444444444449</v>
      </c>
      <c r="UZG91" s="77" t="str">
        <f t="shared" si="456"/>
        <v>O</v>
      </c>
      <c r="UZH91" s="79">
        <v>5</v>
      </c>
      <c r="UZI91" s="75">
        <v>1276006</v>
      </c>
      <c r="UZJ91" s="80"/>
      <c r="UZK91" s="81">
        <v>0.86944444444444446</v>
      </c>
      <c r="UZL91" s="74" t="s">
        <v>27</v>
      </c>
      <c r="UZM91" s="74" t="s">
        <v>24</v>
      </c>
      <c r="UZN91" s="75" t="s">
        <v>25</v>
      </c>
      <c r="UZO91" s="76">
        <f>IFERROR(VLOOKUP(UZN91,'[1]List KPI'!$A$103:$F$118,6,0),"")</f>
        <v>1.0416666666666666E-2</v>
      </c>
      <c r="UZP91" s="76">
        <v>0.86944444444444446</v>
      </c>
      <c r="UZQ91" s="76">
        <v>0.86944444444444446</v>
      </c>
      <c r="UZR91" s="77" t="str">
        <f t="shared" si="455"/>
        <v>O</v>
      </c>
      <c r="UZS91" s="74" t="s">
        <v>28</v>
      </c>
      <c r="UZT91" s="75" t="s">
        <v>23</v>
      </c>
      <c r="UZU91" s="78">
        <f>IFERROR(VLOOKUP(UZT91,'[1]List KPI'!$M$3:$N$8,2,0),"")</f>
        <v>2.0833333333333332E-2</v>
      </c>
      <c r="UZV91" s="76">
        <v>0.89444444444444449</v>
      </c>
      <c r="UZW91" s="77" t="str">
        <f t="shared" si="456"/>
        <v>O</v>
      </c>
      <c r="UZX91" s="79">
        <v>5</v>
      </c>
      <c r="UZY91" s="75">
        <v>1276006</v>
      </c>
      <c r="UZZ91" s="80"/>
      <c r="VAA91" s="81">
        <v>0.86944444444444446</v>
      </c>
      <c r="VAB91" s="74" t="s">
        <v>27</v>
      </c>
      <c r="VAC91" s="74" t="s">
        <v>24</v>
      </c>
      <c r="VAD91" s="75" t="s">
        <v>25</v>
      </c>
      <c r="VAE91" s="76">
        <f>IFERROR(VLOOKUP(VAD91,'[1]List KPI'!$A$103:$F$118,6,0),"")</f>
        <v>1.0416666666666666E-2</v>
      </c>
      <c r="VAF91" s="76">
        <v>0.86944444444444446</v>
      </c>
      <c r="VAG91" s="76">
        <v>0.86944444444444446</v>
      </c>
      <c r="VAH91" s="77" t="str">
        <f t="shared" si="455"/>
        <v>O</v>
      </c>
      <c r="VAI91" s="74" t="s">
        <v>28</v>
      </c>
      <c r="VAJ91" s="75" t="s">
        <v>23</v>
      </c>
      <c r="VAK91" s="78">
        <f>IFERROR(VLOOKUP(VAJ91,'[1]List KPI'!$M$3:$N$8,2,0),"")</f>
        <v>2.0833333333333332E-2</v>
      </c>
      <c r="VAL91" s="76">
        <v>0.89444444444444449</v>
      </c>
      <c r="VAM91" s="77" t="str">
        <f t="shared" si="456"/>
        <v>O</v>
      </c>
      <c r="VAN91" s="79">
        <v>5</v>
      </c>
      <c r="VAO91" s="75">
        <v>1276006</v>
      </c>
      <c r="VAP91" s="80"/>
      <c r="VAQ91" s="81">
        <v>0.86944444444444446</v>
      </c>
      <c r="VAR91" s="74" t="s">
        <v>27</v>
      </c>
      <c r="VAS91" s="74" t="s">
        <v>24</v>
      </c>
      <c r="VAT91" s="75" t="s">
        <v>25</v>
      </c>
      <c r="VAU91" s="76">
        <f>IFERROR(VLOOKUP(VAT91,'[1]List KPI'!$A$103:$F$118,6,0),"")</f>
        <v>1.0416666666666666E-2</v>
      </c>
      <c r="VAV91" s="76">
        <v>0.86944444444444446</v>
      </c>
      <c r="VAW91" s="76">
        <v>0.86944444444444446</v>
      </c>
      <c r="VAX91" s="77" t="str">
        <f t="shared" ref="VAX91:VCT91" si="457">IF(VAW91="","",IF(VAW91&gt;VBF91,"O","P"))</f>
        <v>O</v>
      </c>
      <c r="VAY91" s="74" t="s">
        <v>28</v>
      </c>
      <c r="VAZ91" s="75" t="s">
        <v>23</v>
      </c>
      <c r="VBA91" s="78">
        <f>IFERROR(VLOOKUP(VAZ91,'[1]List KPI'!$M$3:$N$8,2,0),"")</f>
        <v>2.0833333333333332E-2</v>
      </c>
      <c r="VBB91" s="76">
        <v>0.89444444444444449</v>
      </c>
      <c r="VBC91" s="77" t="str">
        <f t="shared" ref="VBC91:VCY91" si="458">IF(VBB91="","",IF(VBB91&gt;VBG91,"O","P"))</f>
        <v>O</v>
      </c>
      <c r="VBD91" s="79">
        <v>5</v>
      </c>
      <c r="VBE91" s="75">
        <v>1276006</v>
      </c>
      <c r="VBF91" s="80"/>
      <c r="VBG91" s="81">
        <v>0.86944444444444446</v>
      </c>
      <c r="VBH91" s="74" t="s">
        <v>27</v>
      </c>
      <c r="VBI91" s="74" t="s">
        <v>24</v>
      </c>
      <c r="VBJ91" s="75" t="s">
        <v>25</v>
      </c>
      <c r="VBK91" s="76">
        <f>IFERROR(VLOOKUP(VBJ91,'[1]List KPI'!$A$103:$F$118,6,0),"")</f>
        <v>1.0416666666666666E-2</v>
      </c>
      <c r="VBL91" s="76">
        <v>0.86944444444444446</v>
      </c>
      <c r="VBM91" s="76">
        <v>0.86944444444444446</v>
      </c>
      <c r="VBN91" s="77" t="str">
        <f t="shared" si="457"/>
        <v>O</v>
      </c>
      <c r="VBO91" s="74" t="s">
        <v>28</v>
      </c>
      <c r="VBP91" s="75" t="s">
        <v>23</v>
      </c>
      <c r="VBQ91" s="78">
        <f>IFERROR(VLOOKUP(VBP91,'[1]List KPI'!$M$3:$N$8,2,0),"")</f>
        <v>2.0833333333333332E-2</v>
      </c>
      <c r="VBR91" s="76">
        <v>0.89444444444444449</v>
      </c>
      <c r="VBS91" s="77" t="str">
        <f t="shared" si="458"/>
        <v>O</v>
      </c>
      <c r="VBT91" s="79">
        <v>5</v>
      </c>
      <c r="VBU91" s="75">
        <v>1276006</v>
      </c>
      <c r="VBV91" s="80"/>
      <c r="VBW91" s="81">
        <v>0.86944444444444446</v>
      </c>
      <c r="VBX91" s="74" t="s">
        <v>27</v>
      </c>
      <c r="VBY91" s="74" t="s">
        <v>24</v>
      </c>
      <c r="VBZ91" s="75" t="s">
        <v>25</v>
      </c>
      <c r="VCA91" s="76">
        <f>IFERROR(VLOOKUP(VBZ91,'[1]List KPI'!$A$103:$F$118,6,0),"")</f>
        <v>1.0416666666666666E-2</v>
      </c>
      <c r="VCB91" s="76">
        <v>0.86944444444444446</v>
      </c>
      <c r="VCC91" s="76">
        <v>0.86944444444444446</v>
      </c>
      <c r="VCD91" s="77" t="str">
        <f t="shared" si="457"/>
        <v>O</v>
      </c>
      <c r="VCE91" s="74" t="s">
        <v>28</v>
      </c>
      <c r="VCF91" s="75" t="s">
        <v>23</v>
      </c>
      <c r="VCG91" s="78">
        <f>IFERROR(VLOOKUP(VCF91,'[1]List KPI'!$M$3:$N$8,2,0),"")</f>
        <v>2.0833333333333332E-2</v>
      </c>
      <c r="VCH91" s="76">
        <v>0.89444444444444449</v>
      </c>
      <c r="VCI91" s="77" t="str">
        <f t="shared" si="458"/>
        <v>O</v>
      </c>
      <c r="VCJ91" s="79">
        <v>5</v>
      </c>
      <c r="VCK91" s="75">
        <v>1276006</v>
      </c>
      <c r="VCL91" s="80"/>
      <c r="VCM91" s="81">
        <v>0.86944444444444446</v>
      </c>
      <c r="VCN91" s="74" t="s">
        <v>27</v>
      </c>
      <c r="VCO91" s="74" t="s">
        <v>24</v>
      </c>
      <c r="VCP91" s="75" t="s">
        <v>25</v>
      </c>
      <c r="VCQ91" s="76">
        <f>IFERROR(VLOOKUP(VCP91,'[1]List KPI'!$A$103:$F$118,6,0),"")</f>
        <v>1.0416666666666666E-2</v>
      </c>
      <c r="VCR91" s="76">
        <v>0.86944444444444446</v>
      </c>
      <c r="VCS91" s="76">
        <v>0.86944444444444446</v>
      </c>
      <c r="VCT91" s="77" t="str">
        <f t="shared" si="457"/>
        <v>O</v>
      </c>
      <c r="VCU91" s="74" t="s">
        <v>28</v>
      </c>
      <c r="VCV91" s="75" t="s">
        <v>23</v>
      </c>
      <c r="VCW91" s="78">
        <f>IFERROR(VLOOKUP(VCV91,'[1]List KPI'!$M$3:$N$8,2,0),"")</f>
        <v>2.0833333333333332E-2</v>
      </c>
      <c r="VCX91" s="76">
        <v>0.89444444444444449</v>
      </c>
      <c r="VCY91" s="77" t="str">
        <f t="shared" si="458"/>
        <v>O</v>
      </c>
      <c r="VCZ91" s="79">
        <v>5</v>
      </c>
      <c r="VDA91" s="75">
        <v>1276006</v>
      </c>
      <c r="VDB91" s="80"/>
      <c r="VDC91" s="81">
        <v>0.86944444444444446</v>
      </c>
      <c r="VDD91" s="74" t="s">
        <v>27</v>
      </c>
      <c r="VDE91" s="74" t="s">
        <v>24</v>
      </c>
      <c r="VDF91" s="75" t="s">
        <v>25</v>
      </c>
      <c r="VDG91" s="76">
        <f>IFERROR(VLOOKUP(VDF91,'[1]List KPI'!$A$103:$F$118,6,0),"")</f>
        <v>1.0416666666666666E-2</v>
      </c>
      <c r="VDH91" s="76">
        <v>0.86944444444444446</v>
      </c>
      <c r="VDI91" s="76">
        <v>0.86944444444444446</v>
      </c>
      <c r="VDJ91" s="77" t="str">
        <f t="shared" ref="VDJ91:VFF91" si="459">IF(VDI91="","",IF(VDI91&gt;VDR91,"O","P"))</f>
        <v>O</v>
      </c>
      <c r="VDK91" s="74" t="s">
        <v>28</v>
      </c>
      <c r="VDL91" s="75" t="s">
        <v>23</v>
      </c>
      <c r="VDM91" s="78">
        <f>IFERROR(VLOOKUP(VDL91,'[1]List KPI'!$M$3:$N$8,2,0),"")</f>
        <v>2.0833333333333332E-2</v>
      </c>
      <c r="VDN91" s="76">
        <v>0.89444444444444449</v>
      </c>
      <c r="VDO91" s="77" t="str">
        <f t="shared" ref="VDO91:VFK91" si="460">IF(VDN91="","",IF(VDN91&gt;VDS91,"O","P"))</f>
        <v>O</v>
      </c>
      <c r="VDP91" s="79">
        <v>5</v>
      </c>
      <c r="VDQ91" s="75">
        <v>1276006</v>
      </c>
      <c r="VDR91" s="80"/>
      <c r="VDS91" s="81">
        <v>0.86944444444444446</v>
      </c>
      <c r="VDT91" s="74" t="s">
        <v>27</v>
      </c>
      <c r="VDU91" s="74" t="s">
        <v>24</v>
      </c>
      <c r="VDV91" s="75" t="s">
        <v>25</v>
      </c>
      <c r="VDW91" s="76">
        <f>IFERROR(VLOOKUP(VDV91,'[1]List KPI'!$A$103:$F$118,6,0),"")</f>
        <v>1.0416666666666666E-2</v>
      </c>
      <c r="VDX91" s="76">
        <v>0.86944444444444446</v>
      </c>
      <c r="VDY91" s="76">
        <v>0.86944444444444446</v>
      </c>
      <c r="VDZ91" s="77" t="str">
        <f t="shared" si="459"/>
        <v>O</v>
      </c>
      <c r="VEA91" s="74" t="s">
        <v>28</v>
      </c>
      <c r="VEB91" s="75" t="s">
        <v>23</v>
      </c>
      <c r="VEC91" s="78">
        <f>IFERROR(VLOOKUP(VEB91,'[1]List KPI'!$M$3:$N$8,2,0),"")</f>
        <v>2.0833333333333332E-2</v>
      </c>
      <c r="VED91" s="76">
        <v>0.89444444444444449</v>
      </c>
      <c r="VEE91" s="77" t="str">
        <f t="shared" si="460"/>
        <v>O</v>
      </c>
      <c r="VEF91" s="79">
        <v>5</v>
      </c>
      <c r="VEG91" s="75">
        <v>1276006</v>
      </c>
      <c r="VEH91" s="80"/>
      <c r="VEI91" s="81">
        <v>0.86944444444444446</v>
      </c>
      <c r="VEJ91" s="74" t="s">
        <v>27</v>
      </c>
      <c r="VEK91" s="74" t="s">
        <v>24</v>
      </c>
      <c r="VEL91" s="75" t="s">
        <v>25</v>
      </c>
      <c r="VEM91" s="76">
        <f>IFERROR(VLOOKUP(VEL91,'[1]List KPI'!$A$103:$F$118,6,0),"")</f>
        <v>1.0416666666666666E-2</v>
      </c>
      <c r="VEN91" s="76">
        <v>0.86944444444444446</v>
      </c>
      <c r="VEO91" s="76">
        <v>0.86944444444444446</v>
      </c>
      <c r="VEP91" s="77" t="str">
        <f t="shared" si="459"/>
        <v>O</v>
      </c>
      <c r="VEQ91" s="74" t="s">
        <v>28</v>
      </c>
      <c r="VER91" s="75" t="s">
        <v>23</v>
      </c>
      <c r="VES91" s="78">
        <f>IFERROR(VLOOKUP(VER91,'[1]List KPI'!$M$3:$N$8,2,0),"")</f>
        <v>2.0833333333333332E-2</v>
      </c>
      <c r="VET91" s="76">
        <v>0.89444444444444449</v>
      </c>
      <c r="VEU91" s="77" t="str">
        <f t="shared" si="460"/>
        <v>O</v>
      </c>
      <c r="VEV91" s="79">
        <v>5</v>
      </c>
      <c r="VEW91" s="75">
        <v>1276006</v>
      </c>
      <c r="VEX91" s="80"/>
      <c r="VEY91" s="81">
        <v>0.86944444444444446</v>
      </c>
      <c r="VEZ91" s="74" t="s">
        <v>27</v>
      </c>
      <c r="VFA91" s="74" t="s">
        <v>24</v>
      </c>
      <c r="VFB91" s="75" t="s">
        <v>25</v>
      </c>
      <c r="VFC91" s="76">
        <f>IFERROR(VLOOKUP(VFB91,'[1]List KPI'!$A$103:$F$118,6,0),"")</f>
        <v>1.0416666666666666E-2</v>
      </c>
      <c r="VFD91" s="76">
        <v>0.86944444444444446</v>
      </c>
      <c r="VFE91" s="76">
        <v>0.86944444444444446</v>
      </c>
      <c r="VFF91" s="77" t="str">
        <f t="shared" si="459"/>
        <v>O</v>
      </c>
      <c r="VFG91" s="74" t="s">
        <v>28</v>
      </c>
      <c r="VFH91" s="75" t="s">
        <v>23</v>
      </c>
      <c r="VFI91" s="78">
        <f>IFERROR(VLOOKUP(VFH91,'[1]List KPI'!$M$3:$N$8,2,0),"")</f>
        <v>2.0833333333333332E-2</v>
      </c>
      <c r="VFJ91" s="76">
        <v>0.89444444444444449</v>
      </c>
      <c r="VFK91" s="77" t="str">
        <f t="shared" si="460"/>
        <v>O</v>
      </c>
      <c r="VFL91" s="79">
        <v>5</v>
      </c>
      <c r="VFM91" s="75">
        <v>1276006</v>
      </c>
      <c r="VFN91" s="80"/>
      <c r="VFO91" s="81">
        <v>0.86944444444444446</v>
      </c>
      <c r="VFP91" s="74" t="s">
        <v>27</v>
      </c>
      <c r="VFQ91" s="74" t="s">
        <v>24</v>
      </c>
      <c r="VFR91" s="75" t="s">
        <v>25</v>
      </c>
      <c r="VFS91" s="76">
        <f>IFERROR(VLOOKUP(VFR91,'[1]List KPI'!$A$103:$F$118,6,0),"")</f>
        <v>1.0416666666666666E-2</v>
      </c>
      <c r="VFT91" s="76">
        <v>0.86944444444444446</v>
      </c>
      <c r="VFU91" s="76">
        <v>0.86944444444444446</v>
      </c>
      <c r="VFV91" s="77" t="str">
        <f t="shared" ref="VFV91:VHR91" si="461">IF(VFU91="","",IF(VFU91&gt;VGD91,"O","P"))</f>
        <v>O</v>
      </c>
      <c r="VFW91" s="74" t="s">
        <v>28</v>
      </c>
      <c r="VFX91" s="75" t="s">
        <v>23</v>
      </c>
      <c r="VFY91" s="78">
        <f>IFERROR(VLOOKUP(VFX91,'[1]List KPI'!$M$3:$N$8,2,0),"")</f>
        <v>2.0833333333333332E-2</v>
      </c>
      <c r="VFZ91" s="76">
        <v>0.89444444444444449</v>
      </c>
      <c r="VGA91" s="77" t="str">
        <f t="shared" ref="VGA91:VHW91" si="462">IF(VFZ91="","",IF(VFZ91&gt;VGE91,"O","P"))</f>
        <v>O</v>
      </c>
      <c r="VGB91" s="79">
        <v>5</v>
      </c>
      <c r="VGC91" s="75">
        <v>1276006</v>
      </c>
      <c r="VGD91" s="80"/>
      <c r="VGE91" s="81">
        <v>0.86944444444444446</v>
      </c>
      <c r="VGF91" s="74" t="s">
        <v>27</v>
      </c>
      <c r="VGG91" s="74" t="s">
        <v>24</v>
      </c>
      <c r="VGH91" s="75" t="s">
        <v>25</v>
      </c>
      <c r="VGI91" s="76">
        <f>IFERROR(VLOOKUP(VGH91,'[1]List KPI'!$A$103:$F$118,6,0),"")</f>
        <v>1.0416666666666666E-2</v>
      </c>
      <c r="VGJ91" s="76">
        <v>0.86944444444444446</v>
      </c>
      <c r="VGK91" s="76">
        <v>0.86944444444444446</v>
      </c>
      <c r="VGL91" s="77" t="str">
        <f t="shared" si="461"/>
        <v>O</v>
      </c>
      <c r="VGM91" s="74" t="s">
        <v>28</v>
      </c>
      <c r="VGN91" s="75" t="s">
        <v>23</v>
      </c>
      <c r="VGO91" s="78">
        <f>IFERROR(VLOOKUP(VGN91,'[1]List KPI'!$M$3:$N$8,2,0),"")</f>
        <v>2.0833333333333332E-2</v>
      </c>
      <c r="VGP91" s="76">
        <v>0.89444444444444449</v>
      </c>
      <c r="VGQ91" s="77" t="str">
        <f t="shared" si="462"/>
        <v>O</v>
      </c>
      <c r="VGR91" s="79">
        <v>5</v>
      </c>
      <c r="VGS91" s="75">
        <v>1276006</v>
      </c>
      <c r="VGT91" s="80"/>
      <c r="VGU91" s="81">
        <v>0.86944444444444446</v>
      </c>
      <c r="VGV91" s="74" t="s">
        <v>27</v>
      </c>
      <c r="VGW91" s="74" t="s">
        <v>24</v>
      </c>
      <c r="VGX91" s="75" t="s">
        <v>25</v>
      </c>
      <c r="VGY91" s="76">
        <f>IFERROR(VLOOKUP(VGX91,'[1]List KPI'!$A$103:$F$118,6,0),"")</f>
        <v>1.0416666666666666E-2</v>
      </c>
      <c r="VGZ91" s="76">
        <v>0.86944444444444446</v>
      </c>
      <c r="VHA91" s="76">
        <v>0.86944444444444446</v>
      </c>
      <c r="VHB91" s="77" t="str">
        <f t="shared" si="461"/>
        <v>O</v>
      </c>
      <c r="VHC91" s="74" t="s">
        <v>28</v>
      </c>
      <c r="VHD91" s="75" t="s">
        <v>23</v>
      </c>
      <c r="VHE91" s="78">
        <f>IFERROR(VLOOKUP(VHD91,'[1]List KPI'!$M$3:$N$8,2,0),"")</f>
        <v>2.0833333333333332E-2</v>
      </c>
      <c r="VHF91" s="76">
        <v>0.89444444444444449</v>
      </c>
      <c r="VHG91" s="77" t="str">
        <f t="shared" si="462"/>
        <v>O</v>
      </c>
      <c r="VHH91" s="79">
        <v>5</v>
      </c>
      <c r="VHI91" s="75">
        <v>1276006</v>
      </c>
      <c r="VHJ91" s="80"/>
      <c r="VHK91" s="81">
        <v>0.86944444444444446</v>
      </c>
      <c r="VHL91" s="74" t="s">
        <v>27</v>
      </c>
      <c r="VHM91" s="74" t="s">
        <v>24</v>
      </c>
      <c r="VHN91" s="75" t="s">
        <v>25</v>
      </c>
      <c r="VHO91" s="76">
        <f>IFERROR(VLOOKUP(VHN91,'[1]List KPI'!$A$103:$F$118,6,0),"")</f>
        <v>1.0416666666666666E-2</v>
      </c>
      <c r="VHP91" s="76">
        <v>0.86944444444444446</v>
      </c>
      <c r="VHQ91" s="76">
        <v>0.86944444444444446</v>
      </c>
      <c r="VHR91" s="77" t="str">
        <f t="shared" si="461"/>
        <v>O</v>
      </c>
      <c r="VHS91" s="74" t="s">
        <v>28</v>
      </c>
      <c r="VHT91" s="75" t="s">
        <v>23</v>
      </c>
      <c r="VHU91" s="78">
        <f>IFERROR(VLOOKUP(VHT91,'[1]List KPI'!$M$3:$N$8,2,0),"")</f>
        <v>2.0833333333333332E-2</v>
      </c>
      <c r="VHV91" s="76">
        <v>0.89444444444444449</v>
      </c>
      <c r="VHW91" s="77" t="str">
        <f t="shared" si="462"/>
        <v>O</v>
      </c>
      <c r="VHX91" s="79">
        <v>5</v>
      </c>
      <c r="VHY91" s="75">
        <v>1276006</v>
      </c>
      <c r="VHZ91" s="80"/>
      <c r="VIA91" s="81">
        <v>0.86944444444444446</v>
      </c>
      <c r="VIB91" s="74" t="s">
        <v>27</v>
      </c>
      <c r="VIC91" s="74" t="s">
        <v>24</v>
      </c>
      <c r="VID91" s="75" t="s">
        <v>25</v>
      </c>
      <c r="VIE91" s="76">
        <f>IFERROR(VLOOKUP(VID91,'[1]List KPI'!$A$103:$F$118,6,0),"")</f>
        <v>1.0416666666666666E-2</v>
      </c>
      <c r="VIF91" s="76">
        <v>0.86944444444444446</v>
      </c>
      <c r="VIG91" s="76">
        <v>0.86944444444444446</v>
      </c>
      <c r="VIH91" s="77" t="str">
        <f t="shared" ref="VIH91:VKD91" si="463">IF(VIG91="","",IF(VIG91&gt;VIP91,"O","P"))</f>
        <v>O</v>
      </c>
      <c r="VII91" s="74" t="s">
        <v>28</v>
      </c>
      <c r="VIJ91" s="75" t="s">
        <v>23</v>
      </c>
      <c r="VIK91" s="78">
        <f>IFERROR(VLOOKUP(VIJ91,'[1]List KPI'!$M$3:$N$8,2,0),"")</f>
        <v>2.0833333333333332E-2</v>
      </c>
      <c r="VIL91" s="76">
        <v>0.89444444444444449</v>
      </c>
      <c r="VIM91" s="77" t="str">
        <f t="shared" ref="VIM91:VKI91" si="464">IF(VIL91="","",IF(VIL91&gt;VIQ91,"O","P"))</f>
        <v>O</v>
      </c>
      <c r="VIN91" s="79">
        <v>5</v>
      </c>
      <c r="VIO91" s="75">
        <v>1276006</v>
      </c>
      <c r="VIP91" s="80"/>
      <c r="VIQ91" s="81">
        <v>0.86944444444444446</v>
      </c>
      <c r="VIR91" s="74" t="s">
        <v>27</v>
      </c>
      <c r="VIS91" s="74" t="s">
        <v>24</v>
      </c>
      <c r="VIT91" s="75" t="s">
        <v>25</v>
      </c>
      <c r="VIU91" s="76">
        <f>IFERROR(VLOOKUP(VIT91,'[1]List KPI'!$A$103:$F$118,6,0),"")</f>
        <v>1.0416666666666666E-2</v>
      </c>
      <c r="VIV91" s="76">
        <v>0.86944444444444446</v>
      </c>
      <c r="VIW91" s="76">
        <v>0.86944444444444446</v>
      </c>
      <c r="VIX91" s="77" t="str">
        <f t="shared" si="463"/>
        <v>O</v>
      </c>
      <c r="VIY91" s="74" t="s">
        <v>28</v>
      </c>
      <c r="VIZ91" s="75" t="s">
        <v>23</v>
      </c>
      <c r="VJA91" s="78">
        <f>IFERROR(VLOOKUP(VIZ91,'[1]List KPI'!$M$3:$N$8,2,0),"")</f>
        <v>2.0833333333333332E-2</v>
      </c>
      <c r="VJB91" s="76">
        <v>0.89444444444444449</v>
      </c>
      <c r="VJC91" s="77" t="str">
        <f t="shared" si="464"/>
        <v>O</v>
      </c>
      <c r="VJD91" s="79">
        <v>5</v>
      </c>
      <c r="VJE91" s="75">
        <v>1276006</v>
      </c>
      <c r="VJF91" s="80"/>
      <c r="VJG91" s="81">
        <v>0.86944444444444446</v>
      </c>
      <c r="VJH91" s="74" t="s">
        <v>27</v>
      </c>
      <c r="VJI91" s="74" t="s">
        <v>24</v>
      </c>
      <c r="VJJ91" s="75" t="s">
        <v>25</v>
      </c>
      <c r="VJK91" s="76">
        <f>IFERROR(VLOOKUP(VJJ91,'[1]List KPI'!$A$103:$F$118,6,0),"")</f>
        <v>1.0416666666666666E-2</v>
      </c>
      <c r="VJL91" s="76">
        <v>0.86944444444444446</v>
      </c>
      <c r="VJM91" s="76">
        <v>0.86944444444444446</v>
      </c>
      <c r="VJN91" s="77" t="str">
        <f t="shared" si="463"/>
        <v>O</v>
      </c>
      <c r="VJO91" s="74" t="s">
        <v>28</v>
      </c>
      <c r="VJP91" s="75" t="s">
        <v>23</v>
      </c>
      <c r="VJQ91" s="78">
        <f>IFERROR(VLOOKUP(VJP91,'[1]List KPI'!$M$3:$N$8,2,0),"")</f>
        <v>2.0833333333333332E-2</v>
      </c>
      <c r="VJR91" s="76">
        <v>0.89444444444444449</v>
      </c>
      <c r="VJS91" s="77" t="str">
        <f t="shared" si="464"/>
        <v>O</v>
      </c>
      <c r="VJT91" s="79">
        <v>5</v>
      </c>
      <c r="VJU91" s="75">
        <v>1276006</v>
      </c>
      <c r="VJV91" s="80"/>
      <c r="VJW91" s="81">
        <v>0.86944444444444446</v>
      </c>
      <c r="VJX91" s="74" t="s">
        <v>27</v>
      </c>
      <c r="VJY91" s="74" t="s">
        <v>24</v>
      </c>
      <c r="VJZ91" s="75" t="s">
        <v>25</v>
      </c>
      <c r="VKA91" s="76">
        <f>IFERROR(VLOOKUP(VJZ91,'[1]List KPI'!$A$103:$F$118,6,0),"")</f>
        <v>1.0416666666666666E-2</v>
      </c>
      <c r="VKB91" s="76">
        <v>0.86944444444444446</v>
      </c>
      <c r="VKC91" s="76">
        <v>0.86944444444444446</v>
      </c>
      <c r="VKD91" s="77" t="str">
        <f t="shared" si="463"/>
        <v>O</v>
      </c>
      <c r="VKE91" s="74" t="s">
        <v>28</v>
      </c>
      <c r="VKF91" s="75" t="s">
        <v>23</v>
      </c>
      <c r="VKG91" s="78">
        <f>IFERROR(VLOOKUP(VKF91,'[1]List KPI'!$M$3:$N$8,2,0),"")</f>
        <v>2.0833333333333332E-2</v>
      </c>
      <c r="VKH91" s="76">
        <v>0.89444444444444449</v>
      </c>
      <c r="VKI91" s="77" t="str">
        <f t="shared" si="464"/>
        <v>O</v>
      </c>
      <c r="VKJ91" s="79">
        <v>5</v>
      </c>
      <c r="VKK91" s="75">
        <v>1276006</v>
      </c>
      <c r="VKL91" s="80"/>
      <c r="VKM91" s="81">
        <v>0.86944444444444446</v>
      </c>
      <c r="VKN91" s="74" t="s">
        <v>27</v>
      </c>
      <c r="VKO91" s="74" t="s">
        <v>24</v>
      </c>
      <c r="VKP91" s="75" t="s">
        <v>25</v>
      </c>
      <c r="VKQ91" s="76">
        <f>IFERROR(VLOOKUP(VKP91,'[1]List KPI'!$A$103:$F$118,6,0),"")</f>
        <v>1.0416666666666666E-2</v>
      </c>
      <c r="VKR91" s="76">
        <v>0.86944444444444446</v>
      </c>
      <c r="VKS91" s="76">
        <v>0.86944444444444446</v>
      </c>
      <c r="VKT91" s="77" t="str">
        <f t="shared" ref="VKT91:VMP91" si="465">IF(VKS91="","",IF(VKS91&gt;VLB91,"O","P"))</f>
        <v>O</v>
      </c>
      <c r="VKU91" s="74" t="s">
        <v>28</v>
      </c>
      <c r="VKV91" s="75" t="s">
        <v>23</v>
      </c>
      <c r="VKW91" s="78">
        <f>IFERROR(VLOOKUP(VKV91,'[1]List KPI'!$M$3:$N$8,2,0),"")</f>
        <v>2.0833333333333332E-2</v>
      </c>
      <c r="VKX91" s="76">
        <v>0.89444444444444449</v>
      </c>
      <c r="VKY91" s="77" t="str">
        <f t="shared" ref="VKY91:VMU91" si="466">IF(VKX91="","",IF(VKX91&gt;VLC91,"O","P"))</f>
        <v>O</v>
      </c>
      <c r="VKZ91" s="79">
        <v>5</v>
      </c>
      <c r="VLA91" s="75">
        <v>1276006</v>
      </c>
      <c r="VLB91" s="80"/>
      <c r="VLC91" s="81">
        <v>0.86944444444444446</v>
      </c>
      <c r="VLD91" s="74" t="s">
        <v>27</v>
      </c>
      <c r="VLE91" s="74" t="s">
        <v>24</v>
      </c>
      <c r="VLF91" s="75" t="s">
        <v>25</v>
      </c>
      <c r="VLG91" s="76">
        <f>IFERROR(VLOOKUP(VLF91,'[1]List KPI'!$A$103:$F$118,6,0),"")</f>
        <v>1.0416666666666666E-2</v>
      </c>
      <c r="VLH91" s="76">
        <v>0.86944444444444446</v>
      </c>
      <c r="VLI91" s="76">
        <v>0.86944444444444446</v>
      </c>
      <c r="VLJ91" s="77" t="str">
        <f t="shared" si="465"/>
        <v>O</v>
      </c>
      <c r="VLK91" s="74" t="s">
        <v>28</v>
      </c>
      <c r="VLL91" s="75" t="s">
        <v>23</v>
      </c>
      <c r="VLM91" s="78">
        <f>IFERROR(VLOOKUP(VLL91,'[1]List KPI'!$M$3:$N$8,2,0),"")</f>
        <v>2.0833333333333332E-2</v>
      </c>
      <c r="VLN91" s="76">
        <v>0.89444444444444449</v>
      </c>
      <c r="VLO91" s="77" t="str">
        <f t="shared" si="466"/>
        <v>O</v>
      </c>
      <c r="VLP91" s="79">
        <v>5</v>
      </c>
      <c r="VLQ91" s="75">
        <v>1276006</v>
      </c>
      <c r="VLR91" s="80"/>
      <c r="VLS91" s="81">
        <v>0.86944444444444446</v>
      </c>
      <c r="VLT91" s="74" t="s">
        <v>27</v>
      </c>
      <c r="VLU91" s="74" t="s">
        <v>24</v>
      </c>
      <c r="VLV91" s="75" t="s">
        <v>25</v>
      </c>
      <c r="VLW91" s="76">
        <f>IFERROR(VLOOKUP(VLV91,'[1]List KPI'!$A$103:$F$118,6,0),"")</f>
        <v>1.0416666666666666E-2</v>
      </c>
      <c r="VLX91" s="76">
        <v>0.86944444444444446</v>
      </c>
      <c r="VLY91" s="76">
        <v>0.86944444444444446</v>
      </c>
      <c r="VLZ91" s="77" t="str">
        <f t="shared" si="465"/>
        <v>O</v>
      </c>
      <c r="VMA91" s="74" t="s">
        <v>28</v>
      </c>
      <c r="VMB91" s="75" t="s">
        <v>23</v>
      </c>
      <c r="VMC91" s="78">
        <f>IFERROR(VLOOKUP(VMB91,'[1]List KPI'!$M$3:$N$8,2,0),"")</f>
        <v>2.0833333333333332E-2</v>
      </c>
      <c r="VMD91" s="76">
        <v>0.89444444444444449</v>
      </c>
      <c r="VME91" s="77" t="str">
        <f t="shared" si="466"/>
        <v>O</v>
      </c>
      <c r="VMF91" s="79">
        <v>5</v>
      </c>
      <c r="VMG91" s="75">
        <v>1276006</v>
      </c>
      <c r="VMH91" s="80"/>
      <c r="VMI91" s="81">
        <v>0.86944444444444446</v>
      </c>
      <c r="VMJ91" s="74" t="s">
        <v>27</v>
      </c>
      <c r="VMK91" s="74" t="s">
        <v>24</v>
      </c>
      <c r="VML91" s="75" t="s">
        <v>25</v>
      </c>
      <c r="VMM91" s="76">
        <f>IFERROR(VLOOKUP(VML91,'[1]List KPI'!$A$103:$F$118,6,0),"")</f>
        <v>1.0416666666666666E-2</v>
      </c>
      <c r="VMN91" s="76">
        <v>0.86944444444444446</v>
      </c>
      <c r="VMO91" s="76">
        <v>0.86944444444444446</v>
      </c>
      <c r="VMP91" s="77" t="str">
        <f t="shared" si="465"/>
        <v>O</v>
      </c>
      <c r="VMQ91" s="74" t="s">
        <v>28</v>
      </c>
      <c r="VMR91" s="75" t="s">
        <v>23</v>
      </c>
      <c r="VMS91" s="78">
        <f>IFERROR(VLOOKUP(VMR91,'[1]List KPI'!$M$3:$N$8,2,0),"")</f>
        <v>2.0833333333333332E-2</v>
      </c>
      <c r="VMT91" s="76">
        <v>0.89444444444444449</v>
      </c>
      <c r="VMU91" s="77" t="str">
        <f t="shared" si="466"/>
        <v>O</v>
      </c>
      <c r="VMV91" s="79">
        <v>5</v>
      </c>
      <c r="VMW91" s="75">
        <v>1276006</v>
      </c>
      <c r="VMX91" s="80"/>
      <c r="VMY91" s="81">
        <v>0.86944444444444446</v>
      </c>
      <c r="VMZ91" s="74" t="s">
        <v>27</v>
      </c>
      <c r="VNA91" s="74" t="s">
        <v>24</v>
      </c>
      <c r="VNB91" s="75" t="s">
        <v>25</v>
      </c>
      <c r="VNC91" s="76">
        <f>IFERROR(VLOOKUP(VNB91,'[1]List KPI'!$A$103:$F$118,6,0),"")</f>
        <v>1.0416666666666666E-2</v>
      </c>
      <c r="VND91" s="76">
        <v>0.86944444444444446</v>
      </c>
      <c r="VNE91" s="76">
        <v>0.86944444444444446</v>
      </c>
      <c r="VNF91" s="77" t="str">
        <f t="shared" ref="VNF91:VPB91" si="467">IF(VNE91="","",IF(VNE91&gt;VNN91,"O","P"))</f>
        <v>O</v>
      </c>
      <c r="VNG91" s="74" t="s">
        <v>28</v>
      </c>
      <c r="VNH91" s="75" t="s">
        <v>23</v>
      </c>
      <c r="VNI91" s="78">
        <f>IFERROR(VLOOKUP(VNH91,'[1]List KPI'!$M$3:$N$8,2,0),"")</f>
        <v>2.0833333333333332E-2</v>
      </c>
      <c r="VNJ91" s="76">
        <v>0.89444444444444449</v>
      </c>
      <c r="VNK91" s="77" t="str">
        <f t="shared" ref="VNK91:VPG91" si="468">IF(VNJ91="","",IF(VNJ91&gt;VNO91,"O","P"))</f>
        <v>O</v>
      </c>
      <c r="VNL91" s="79">
        <v>5</v>
      </c>
      <c r="VNM91" s="75">
        <v>1276006</v>
      </c>
      <c r="VNN91" s="80"/>
      <c r="VNO91" s="81">
        <v>0.86944444444444446</v>
      </c>
      <c r="VNP91" s="74" t="s">
        <v>27</v>
      </c>
      <c r="VNQ91" s="74" t="s">
        <v>24</v>
      </c>
      <c r="VNR91" s="75" t="s">
        <v>25</v>
      </c>
      <c r="VNS91" s="76">
        <f>IFERROR(VLOOKUP(VNR91,'[1]List KPI'!$A$103:$F$118,6,0),"")</f>
        <v>1.0416666666666666E-2</v>
      </c>
      <c r="VNT91" s="76">
        <v>0.86944444444444446</v>
      </c>
      <c r="VNU91" s="76">
        <v>0.86944444444444446</v>
      </c>
      <c r="VNV91" s="77" t="str">
        <f t="shared" si="467"/>
        <v>O</v>
      </c>
      <c r="VNW91" s="74" t="s">
        <v>28</v>
      </c>
      <c r="VNX91" s="75" t="s">
        <v>23</v>
      </c>
      <c r="VNY91" s="78">
        <f>IFERROR(VLOOKUP(VNX91,'[1]List KPI'!$M$3:$N$8,2,0),"")</f>
        <v>2.0833333333333332E-2</v>
      </c>
      <c r="VNZ91" s="76">
        <v>0.89444444444444449</v>
      </c>
      <c r="VOA91" s="77" t="str">
        <f t="shared" si="468"/>
        <v>O</v>
      </c>
      <c r="VOB91" s="79">
        <v>5</v>
      </c>
      <c r="VOC91" s="75">
        <v>1276006</v>
      </c>
      <c r="VOD91" s="80"/>
      <c r="VOE91" s="81">
        <v>0.86944444444444446</v>
      </c>
      <c r="VOF91" s="74" t="s">
        <v>27</v>
      </c>
      <c r="VOG91" s="74" t="s">
        <v>24</v>
      </c>
      <c r="VOH91" s="75" t="s">
        <v>25</v>
      </c>
      <c r="VOI91" s="76">
        <f>IFERROR(VLOOKUP(VOH91,'[1]List KPI'!$A$103:$F$118,6,0),"")</f>
        <v>1.0416666666666666E-2</v>
      </c>
      <c r="VOJ91" s="76">
        <v>0.86944444444444446</v>
      </c>
      <c r="VOK91" s="76">
        <v>0.86944444444444446</v>
      </c>
      <c r="VOL91" s="77" t="str">
        <f t="shared" si="467"/>
        <v>O</v>
      </c>
      <c r="VOM91" s="74" t="s">
        <v>28</v>
      </c>
      <c r="VON91" s="75" t="s">
        <v>23</v>
      </c>
      <c r="VOO91" s="78">
        <f>IFERROR(VLOOKUP(VON91,'[1]List KPI'!$M$3:$N$8,2,0),"")</f>
        <v>2.0833333333333332E-2</v>
      </c>
      <c r="VOP91" s="76">
        <v>0.89444444444444449</v>
      </c>
      <c r="VOQ91" s="77" t="str">
        <f t="shared" si="468"/>
        <v>O</v>
      </c>
      <c r="VOR91" s="79">
        <v>5</v>
      </c>
      <c r="VOS91" s="75">
        <v>1276006</v>
      </c>
      <c r="VOT91" s="80"/>
      <c r="VOU91" s="81">
        <v>0.86944444444444446</v>
      </c>
      <c r="VOV91" s="74" t="s">
        <v>27</v>
      </c>
      <c r="VOW91" s="74" t="s">
        <v>24</v>
      </c>
      <c r="VOX91" s="75" t="s">
        <v>25</v>
      </c>
      <c r="VOY91" s="76">
        <f>IFERROR(VLOOKUP(VOX91,'[1]List KPI'!$A$103:$F$118,6,0),"")</f>
        <v>1.0416666666666666E-2</v>
      </c>
      <c r="VOZ91" s="76">
        <v>0.86944444444444446</v>
      </c>
      <c r="VPA91" s="76">
        <v>0.86944444444444446</v>
      </c>
      <c r="VPB91" s="77" t="str">
        <f t="shared" si="467"/>
        <v>O</v>
      </c>
      <c r="VPC91" s="74" t="s">
        <v>28</v>
      </c>
      <c r="VPD91" s="75" t="s">
        <v>23</v>
      </c>
      <c r="VPE91" s="78">
        <f>IFERROR(VLOOKUP(VPD91,'[1]List KPI'!$M$3:$N$8,2,0),"")</f>
        <v>2.0833333333333332E-2</v>
      </c>
      <c r="VPF91" s="76">
        <v>0.89444444444444449</v>
      </c>
      <c r="VPG91" s="77" t="str">
        <f t="shared" si="468"/>
        <v>O</v>
      </c>
      <c r="VPH91" s="79">
        <v>5</v>
      </c>
      <c r="VPI91" s="75">
        <v>1276006</v>
      </c>
      <c r="VPJ91" s="80"/>
      <c r="VPK91" s="81">
        <v>0.86944444444444446</v>
      </c>
      <c r="VPL91" s="74" t="s">
        <v>27</v>
      </c>
      <c r="VPM91" s="74" t="s">
        <v>24</v>
      </c>
      <c r="VPN91" s="75" t="s">
        <v>25</v>
      </c>
      <c r="VPO91" s="76">
        <f>IFERROR(VLOOKUP(VPN91,'[1]List KPI'!$A$103:$F$118,6,0),"")</f>
        <v>1.0416666666666666E-2</v>
      </c>
      <c r="VPP91" s="76">
        <v>0.86944444444444446</v>
      </c>
      <c r="VPQ91" s="76">
        <v>0.86944444444444446</v>
      </c>
      <c r="VPR91" s="77" t="str">
        <f t="shared" ref="VPR91:VRN91" si="469">IF(VPQ91="","",IF(VPQ91&gt;VPZ91,"O","P"))</f>
        <v>O</v>
      </c>
      <c r="VPS91" s="74" t="s">
        <v>28</v>
      </c>
      <c r="VPT91" s="75" t="s">
        <v>23</v>
      </c>
      <c r="VPU91" s="78">
        <f>IFERROR(VLOOKUP(VPT91,'[1]List KPI'!$M$3:$N$8,2,0),"")</f>
        <v>2.0833333333333332E-2</v>
      </c>
      <c r="VPV91" s="76">
        <v>0.89444444444444449</v>
      </c>
      <c r="VPW91" s="77" t="str">
        <f t="shared" ref="VPW91:VRS91" si="470">IF(VPV91="","",IF(VPV91&gt;VQA91,"O","P"))</f>
        <v>O</v>
      </c>
      <c r="VPX91" s="79">
        <v>5</v>
      </c>
      <c r="VPY91" s="75">
        <v>1276006</v>
      </c>
      <c r="VPZ91" s="80"/>
      <c r="VQA91" s="81">
        <v>0.86944444444444446</v>
      </c>
      <c r="VQB91" s="74" t="s">
        <v>27</v>
      </c>
      <c r="VQC91" s="74" t="s">
        <v>24</v>
      </c>
      <c r="VQD91" s="75" t="s">
        <v>25</v>
      </c>
      <c r="VQE91" s="76">
        <f>IFERROR(VLOOKUP(VQD91,'[1]List KPI'!$A$103:$F$118,6,0),"")</f>
        <v>1.0416666666666666E-2</v>
      </c>
      <c r="VQF91" s="76">
        <v>0.86944444444444446</v>
      </c>
      <c r="VQG91" s="76">
        <v>0.86944444444444446</v>
      </c>
      <c r="VQH91" s="77" t="str">
        <f t="shared" si="469"/>
        <v>O</v>
      </c>
      <c r="VQI91" s="74" t="s">
        <v>28</v>
      </c>
      <c r="VQJ91" s="75" t="s">
        <v>23</v>
      </c>
      <c r="VQK91" s="78">
        <f>IFERROR(VLOOKUP(VQJ91,'[1]List KPI'!$M$3:$N$8,2,0),"")</f>
        <v>2.0833333333333332E-2</v>
      </c>
      <c r="VQL91" s="76">
        <v>0.89444444444444449</v>
      </c>
      <c r="VQM91" s="77" t="str">
        <f t="shared" si="470"/>
        <v>O</v>
      </c>
      <c r="VQN91" s="79">
        <v>5</v>
      </c>
      <c r="VQO91" s="75">
        <v>1276006</v>
      </c>
      <c r="VQP91" s="80"/>
      <c r="VQQ91" s="81">
        <v>0.86944444444444446</v>
      </c>
      <c r="VQR91" s="74" t="s">
        <v>27</v>
      </c>
      <c r="VQS91" s="74" t="s">
        <v>24</v>
      </c>
      <c r="VQT91" s="75" t="s">
        <v>25</v>
      </c>
      <c r="VQU91" s="76">
        <f>IFERROR(VLOOKUP(VQT91,'[1]List KPI'!$A$103:$F$118,6,0),"")</f>
        <v>1.0416666666666666E-2</v>
      </c>
      <c r="VQV91" s="76">
        <v>0.86944444444444446</v>
      </c>
      <c r="VQW91" s="76">
        <v>0.86944444444444446</v>
      </c>
      <c r="VQX91" s="77" t="str">
        <f t="shared" si="469"/>
        <v>O</v>
      </c>
      <c r="VQY91" s="74" t="s">
        <v>28</v>
      </c>
      <c r="VQZ91" s="75" t="s">
        <v>23</v>
      </c>
      <c r="VRA91" s="78">
        <f>IFERROR(VLOOKUP(VQZ91,'[1]List KPI'!$M$3:$N$8,2,0),"")</f>
        <v>2.0833333333333332E-2</v>
      </c>
      <c r="VRB91" s="76">
        <v>0.89444444444444449</v>
      </c>
      <c r="VRC91" s="77" t="str">
        <f t="shared" si="470"/>
        <v>O</v>
      </c>
      <c r="VRD91" s="79">
        <v>5</v>
      </c>
      <c r="VRE91" s="75">
        <v>1276006</v>
      </c>
      <c r="VRF91" s="80"/>
      <c r="VRG91" s="81">
        <v>0.86944444444444446</v>
      </c>
      <c r="VRH91" s="74" t="s">
        <v>27</v>
      </c>
      <c r="VRI91" s="74" t="s">
        <v>24</v>
      </c>
      <c r="VRJ91" s="75" t="s">
        <v>25</v>
      </c>
      <c r="VRK91" s="76">
        <f>IFERROR(VLOOKUP(VRJ91,'[1]List KPI'!$A$103:$F$118,6,0),"")</f>
        <v>1.0416666666666666E-2</v>
      </c>
      <c r="VRL91" s="76">
        <v>0.86944444444444446</v>
      </c>
      <c r="VRM91" s="76">
        <v>0.86944444444444446</v>
      </c>
      <c r="VRN91" s="77" t="str">
        <f t="shared" si="469"/>
        <v>O</v>
      </c>
      <c r="VRO91" s="74" t="s">
        <v>28</v>
      </c>
      <c r="VRP91" s="75" t="s">
        <v>23</v>
      </c>
      <c r="VRQ91" s="78">
        <f>IFERROR(VLOOKUP(VRP91,'[1]List KPI'!$M$3:$N$8,2,0),"")</f>
        <v>2.0833333333333332E-2</v>
      </c>
      <c r="VRR91" s="76">
        <v>0.89444444444444449</v>
      </c>
      <c r="VRS91" s="77" t="str">
        <f t="shared" si="470"/>
        <v>O</v>
      </c>
      <c r="VRT91" s="79">
        <v>5</v>
      </c>
      <c r="VRU91" s="75">
        <v>1276006</v>
      </c>
      <c r="VRV91" s="80"/>
      <c r="VRW91" s="81">
        <v>0.86944444444444446</v>
      </c>
      <c r="VRX91" s="74" t="s">
        <v>27</v>
      </c>
      <c r="VRY91" s="74" t="s">
        <v>24</v>
      </c>
      <c r="VRZ91" s="75" t="s">
        <v>25</v>
      </c>
      <c r="VSA91" s="76">
        <f>IFERROR(VLOOKUP(VRZ91,'[1]List KPI'!$A$103:$F$118,6,0),"")</f>
        <v>1.0416666666666666E-2</v>
      </c>
      <c r="VSB91" s="76">
        <v>0.86944444444444446</v>
      </c>
      <c r="VSC91" s="76">
        <v>0.86944444444444446</v>
      </c>
      <c r="VSD91" s="77" t="str">
        <f t="shared" ref="VSD91:VTZ91" si="471">IF(VSC91="","",IF(VSC91&gt;VSL91,"O","P"))</f>
        <v>O</v>
      </c>
      <c r="VSE91" s="74" t="s">
        <v>28</v>
      </c>
      <c r="VSF91" s="75" t="s">
        <v>23</v>
      </c>
      <c r="VSG91" s="78">
        <f>IFERROR(VLOOKUP(VSF91,'[1]List KPI'!$M$3:$N$8,2,0),"")</f>
        <v>2.0833333333333332E-2</v>
      </c>
      <c r="VSH91" s="76">
        <v>0.89444444444444449</v>
      </c>
      <c r="VSI91" s="77" t="str">
        <f t="shared" ref="VSI91:VUE91" si="472">IF(VSH91="","",IF(VSH91&gt;VSM91,"O","P"))</f>
        <v>O</v>
      </c>
      <c r="VSJ91" s="79">
        <v>5</v>
      </c>
      <c r="VSK91" s="75">
        <v>1276006</v>
      </c>
      <c r="VSL91" s="80"/>
      <c r="VSM91" s="81">
        <v>0.86944444444444446</v>
      </c>
      <c r="VSN91" s="74" t="s">
        <v>27</v>
      </c>
      <c r="VSO91" s="74" t="s">
        <v>24</v>
      </c>
      <c r="VSP91" s="75" t="s">
        <v>25</v>
      </c>
      <c r="VSQ91" s="76">
        <f>IFERROR(VLOOKUP(VSP91,'[1]List KPI'!$A$103:$F$118,6,0),"")</f>
        <v>1.0416666666666666E-2</v>
      </c>
      <c r="VSR91" s="76">
        <v>0.86944444444444446</v>
      </c>
      <c r="VSS91" s="76">
        <v>0.86944444444444446</v>
      </c>
      <c r="VST91" s="77" t="str">
        <f t="shared" si="471"/>
        <v>O</v>
      </c>
      <c r="VSU91" s="74" t="s">
        <v>28</v>
      </c>
      <c r="VSV91" s="75" t="s">
        <v>23</v>
      </c>
      <c r="VSW91" s="78">
        <f>IFERROR(VLOOKUP(VSV91,'[1]List KPI'!$M$3:$N$8,2,0),"")</f>
        <v>2.0833333333333332E-2</v>
      </c>
      <c r="VSX91" s="76">
        <v>0.89444444444444449</v>
      </c>
      <c r="VSY91" s="77" t="str">
        <f t="shared" si="472"/>
        <v>O</v>
      </c>
      <c r="VSZ91" s="79">
        <v>5</v>
      </c>
      <c r="VTA91" s="75">
        <v>1276006</v>
      </c>
      <c r="VTB91" s="80"/>
      <c r="VTC91" s="81">
        <v>0.86944444444444446</v>
      </c>
      <c r="VTD91" s="74" t="s">
        <v>27</v>
      </c>
      <c r="VTE91" s="74" t="s">
        <v>24</v>
      </c>
      <c r="VTF91" s="75" t="s">
        <v>25</v>
      </c>
      <c r="VTG91" s="76">
        <f>IFERROR(VLOOKUP(VTF91,'[1]List KPI'!$A$103:$F$118,6,0),"")</f>
        <v>1.0416666666666666E-2</v>
      </c>
      <c r="VTH91" s="76">
        <v>0.86944444444444446</v>
      </c>
      <c r="VTI91" s="76">
        <v>0.86944444444444446</v>
      </c>
      <c r="VTJ91" s="77" t="str">
        <f t="shared" si="471"/>
        <v>O</v>
      </c>
      <c r="VTK91" s="74" t="s">
        <v>28</v>
      </c>
      <c r="VTL91" s="75" t="s">
        <v>23</v>
      </c>
      <c r="VTM91" s="78">
        <f>IFERROR(VLOOKUP(VTL91,'[1]List KPI'!$M$3:$N$8,2,0),"")</f>
        <v>2.0833333333333332E-2</v>
      </c>
      <c r="VTN91" s="76">
        <v>0.89444444444444449</v>
      </c>
      <c r="VTO91" s="77" t="str">
        <f t="shared" si="472"/>
        <v>O</v>
      </c>
      <c r="VTP91" s="79">
        <v>5</v>
      </c>
      <c r="VTQ91" s="75">
        <v>1276006</v>
      </c>
      <c r="VTR91" s="80"/>
      <c r="VTS91" s="81">
        <v>0.86944444444444446</v>
      </c>
      <c r="VTT91" s="74" t="s">
        <v>27</v>
      </c>
      <c r="VTU91" s="74" t="s">
        <v>24</v>
      </c>
      <c r="VTV91" s="75" t="s">
        <v>25</v>
      </c>
      <c r="VTW91" s="76">
        <f>IFERROR(VLOOKUP(VTV91,'[1]List KPI'!$A$103:$F$118,6,0),"")</f>
        <v>1.0416666666666666E-2</v>
      </c>
      <c r="VTX91" s="76">
        <v>0.86944444444444446</v>
      </c>
      <c r="VTY91" s="76">
        <v>0.86944444444444446</v>
      </c>
      <c r="VTZ91" s="77" t="str">
        <f t="shared" si="471"/>
        <v>O</v>
      </c>
      <c r="VUA91" s="74" t="s">
        <v>28</v>
      </c>
      <c r="VUB91" s="75" t="s">
        <v>23</v>
      </c>
      <c r="VUC91" s="78">
        <f>IFERROR(VLOOKUP(VUB91,'[1]List KPI'!$M$3:$N$8,2,0),"")</f>
        <v>2.0833333333333332E-2</v>
      </c>
      <c r="VUD91" s="76">
        <v>0.89444444444444449</v>
      </c>
      <c r="VUE91" s="77" t="str">
        <f t="shared" si="472"/>
        <v>O</v>
      </c>
      <c r="VUF91" s="79">
        <v>5</v>
      </c>
      <c r="VUG91" s="75">
        <v>1276006</v>
      </c>
      <c r="VUH91" s="80"/>
      <c r="VUI91" s="81">
        <v>0.86944444444444446</v>
      </c>
      <c r="VUJ91" s="74" t="s">
        <v>27</v>
      </c>
      <c r="VUK91" s="74" t="s">
        <v>24</v>
      </c>
      <c r="VUL91" s="75" t="s">
        <v>25</v>
      </c>
      <c r="VUM91" s="76">
        <f>IFERROR(VLOOKUP(VUL91,'[1]List KPI'!$A$103:$F$118,6,0),"")</f>
        <v>1.0416666666666666E-2</v>
      </c>
      <c r="VUN91" s="76">
        <v>0.86944444444444446</v>
      </c>
      <c r="VUO91" s="76">
        <v>0.86944444444444446</v>
      </c>
      <c r="VUP91" s="77" t="str">
        <f t="shared" ref="VUP91:VWL91" si="473">IF(VUO91="","",IF(VUO91&gt;VUX91,"O","P"))</f>
        <v>O</v>
      </c>
      <c r="VUQ91" s="74" t="s">
        <v>28</v>
      </c>
      <c r="VUR91" s="75" t="s">
        <v>23</v>
      </c>
      <c r="VUS91" s="78">
        <f>IFERROR(VLOOKUP(VUR91,'[1]List KPI'!$M$3:$N$8,2,0),"")</f>
        <v>2.0833333333333332E-2</v>
      </c>
      <c r="VUT91" s="76">
        <v>0.89444444444444449</v>
      </c>
      <c r="VUU91" s="77" t="str">
        <f t="shared" ref="VUU91:VWQ91" si="474">IF(VUT91="","",IF(VUT91&gt;VUY91,"O","P"))</f>
        <v>O</v>
      </c>
      <c r="VUV91" s="79">
        <v>5</v>
      </c>
      <c r="VUW91" s="75">
        <v>1276006</v>
      </c>
      <c r="VUX91" s="80"/>
      <c r="VUY91" s="81">
        <v>0.86944444444444446</v>
      </c>
      <c r="VUZ91" s="74" t="s">
        <v>27</v>
      </c>
      <c r="VVA91" s="74" t="s">
        <v>24</v>
      </c>
      <c r="VVB91" s="75" t="s">
        <v>25</v>
      </c>
      <c r="VVC91" s="76">
        <f>IFERROR(VLOOKUP(VVB91,'[1]List KPI'!$A$103:$F$118,6,0),"")</f>
        <v>1.0416666666666666E-2</v>
      </c>
      <c r="VVD91" s="76">
        <v>0.86944444444444446</v>
      </c>
      <c r="VVE91" s="76">
        <v>0.86944444444444446</v>
      </c>
      <c r="VVF91" s="77" t="str">
        <f t="shared" si="473"/>
        <v>O</v>
      </c>
      <c r="VVG91" s="74" t="s">
        <v>28</v>
      </c>
      <c r="VVH91" s="75" t="s">
        <v>23</v>
      </c>
      <c r="VVI91" s="78">
        <f>IFERROR(VLOOKUP(VVH91,'[1]List KPI'!$M$3:$N$8,2,0),"")</f>
        <v>2.0833333333333332E-2</v>
      </c>
      <c r="VVJ91" s="76">
        <v>0.89444444444444449</v>
      </c>
      <c r="VVK91" s="77" t="str">
        <f t="shared" si="474"/>
        <v>O</v>
      </c>
      <c r="VVL91" s="79">
        <v>5</v>
      </c>
      <c r="VVM91" s="75">
        <v>1276006</v>
      </c>
      <c r="VVN91" s="80"/>
      <c r="VVO91" s="81">
        <v>0.86944444444444446</v>
      </c>
      <c r="VVP91" s="74" t="s">
        <v>27</v>
      </c>
      <c r="VVQ91" s="74" t="s">
        <v>24</v>
      </c>
      <c r="VVR91" s="75" t="s">
        <v>25</v>
      </c>
      <c r="VVS91" s="76">
        <f>IFERROR(VLOOKUP(VVR91,'[1]List KPI'!$A$103:$F$118,6,0),"")</f>
        <v>1.0416666666666666E-2</v>
      </c>
      <c r="VVT91" s="76">
        <v>0.86944444444444446</v>
      </c>
      <c r="VVU91" s="76">
        <v>0.86944444444444446</v>
      </c>
      <c r="VVV91" s="77" t="str">
        <f t="shared" si="473"/>
        <v>O</v>
      </c>
      <c r="VVW91" s="74" t="s">
        <v>28</v>
      </c>
      <c r="VVX91" s="75" t="s">
        <v>23</v>
      </c>
      <c r="VVY91" s="78">
        <f>IFERROR(VLOOKUP(VVX91,'[1]List KPI'!$M$3:$N$8,2,0),"")</f>
        <v>2.0833333333333332E-2</v>
      </c>
      <c r="VVZ91" s="76">
        <v>0.89444444444444449</v>
      </c>
      <c r="VWA91" s="77" t="str">
        <f t="shared" si="474"/>
        <v>O</v>
      </c>
      <c r="VWB91" s="79">
        <v>5</v>
      </c>
      <c r="VWC91" s="75">
        <v>1276006</v>
      </c>
      <c r="VWD91" s="80"/>
      <c r="VWE91" s="81">
        <v>0.86944444444444446</v>
      </c>
      <c r="VWF91" s="74" t="s">
        <v>27</v>
      </c>
      <c r="VWG91" s="74" t="s">
        <v>24</v>
      </c>
      <c r="VWH91" s="75" t="s">
        <v>25</v>
      </c>
      <c r="VWI91" s="76">
        <f>IFERROR(VLOOKUP(VWH91,'[1]List KPI'!$A$103:$F$118,6,0),"")</f>
        <v>1.0416666666666666E-2</v>
      </c>
      <c r="VWJ91" s="76">
        <v>0.86944444444444446</v>
      </c>
      <c r="VWK91" s="76">
        <v>0.86944444444444446</v>
      </c>
      <c r="VWL91" s="77" t="str">
        <f t="shared" si="473"/>
        <v>O</v>
      </c>
      <c r="VWM91" s="74" t="s">
        <v>28</v>
      </c>
      <c r="VWN91" s="75" t="s">
        <v>23</v>
      </c>
      <c r="VWO91" s="78">
        <f>IFERROR(VLOOKUP(VWN91,'[1]List KPI'!$M$3:$N$8,2,0),"")</f>
        <v>2.0833333333333332E-2</v>
      </c>
      <c r="VWP91" s="76">
        <v>0.89444444444444449</v>
      </c>
      <c r="VWQ91" s="77" t="str">
        <f t="shared" si="474"/>
        <v>O</v>
      </c>
      <c r="VWR91" s="79">
        <v>5</v>
      </c>
      <c r="VWS91" s="75">
        <v>1276006</v>
      </c>
      <c r="VWT91" s="80"/>
      <c r="VWU91" s="81">
        <v>0.86944444444444446</v>
      </c>
      <c r="VWV91" s="74" t="s">
        <v>27</v>
      </c>
      <c r="VWW91" s="74" t="s">
        <v>24</v>
      </c>
      <c r="VWX91" s="75" t="s">
        <v>25</v>
      </c>
      <c r="VWY91" s="76">
        <f>IFERROR(VLOOKUP(VWX91,'[1]List KPI'!$A$103:$F$118,6,0),"")</f>
        <v>1.0416666666666666E-2</v>
      </c>
      <c r="VWZ91" s="76">
        <v>0.86944444444444446</v>
      </c>
      <c r="VXA91" s="76">
        <v>0.86944444444444446</v>
      </c>
      <c r="VXB91" s="77" t="str">
        <f t="shared" ref="VXB91:VYX91" si="475">IF(VXA91="","",IF(VXA91&gt;VXJ91,"O","P"))</f>
        <v>O</v>
      </c>
      <c r="VXC91" s="74" t="s">
        <v>28</v>
      </c>
      <c r="VXD91" s="75" t="s">
        <v>23</v>
      </c>
      <c r="VXE91" s="78">
        <f>IFERROR(VLOOKUP(VXD91,'[1]List KPI'!$M$3:$N$8,2,0),"")</f>
        <v>2.0833333333333332E-2</v>
      </c>
      <c r="VXF91" s="76">
        <v>0.89444444444444449</v>
      </c>
      <c r="VXG91" s="77" t="str">
        <f t="shared" ref="VXG91:VZC91" si="476">IF(VXF91="","",IF(VXF91&gt;VXK91,"O","P"))</f>
        <v>O</v>
      </c>
      <c r="VXH91" s="79">
        <v>5</v>
      </c>
      <c r="VXI91" s="75">
        <v>1276006</v>
      </c>
      <c r="VXJ91" s="80"/>
      <c r="VXK91" s="81">
        <v>0.86944444444444446</v>
      </c>
      <c r="VXL91" s="74" t="s">
        <v>27</v>
      </c>
      <c r="VXM91" s="74" t="s">
        <v>24</v>
      </c>
      <c r="VXN91" s="75" t="s">
        <v>25</v>
      </c>
      <c r="VXO91" s="76">
        <f>IFERROR(VLOOKUP(VXN91,'[1]List KPI'!$A$103:$F$118,6,0),"")</f>
        <v>1.0416666666666666E-2</v>
      </c>
      <c r="VXP91" s="76">
        <v>0.86944444444444446</v>
      </c>
      <c r="VXQ91" s="76">
        <v>0.86944444444444446</v>
      </c>
      <c r="VXR91" s="77" t="str">
        <f t="shared" si="475"/>
        <v>O</v>
      </c>
      <c r="VXS91" s="74" t="s">
        <v>28</v>
      </c>
      <c r="VXT91" s="75" t="s">
        <v>23</v>
      </c>
      <c r="VXU91" s="78">
        <f>IFERROR(VLOOKUP(VXT91,'[1]List KPI'!$M$3:$N$8,2,0),"")</f>
        <v>2.0833333333333332E-2</v>
      </c>
      <c r="VXV91" s="76">
        <v>0.89444444444444449</v>
      </c>
      <c r="VXW91" s="77" t="str">
        <f t="shared" si="476"/>
        <v>O</v>
      </c>
      <c r="VXX91" s="79">
        <v>5</v>
      </c>
      <c r="VXY91" s="75">
        <v>1276006</v>
      </c>
      <c r="VXZ91" s="80"/>
      <c r="VYA91" s="81">
        <v>0.86944444444444446</v>
      </c>
      <c r="VYB91" s="74" t="s">
        <v>27</v>
      </c>
      <c r="VYC91" s="74" t="s">
        <v>24</v>
      </c>
      <c r="VYD91" s="75" t="s">
        <v>25</v>
      </c>
      <c r="VYE91" s="76">
        <f>IFERROR(VLOOKUP(VYD91,'[1]List KPI'!$A$103:$F$118,6,0),"")</f>
        <v>1.0416666666666666E-2</v>
      </c>
      <c r="VYF91" s="76">
        <v>0.86944444444444446</v>
      </c>
      <c r="VYG91" s="76">
        <v>0.86944444444444446</v>
      </c>
      <c r="VYH91" s="77" t="str">
        <f t="shared" si="475"/>
        <v>O</v>
      </c>
      <c r="VYI91" s="74" t="s">
        <v>28</v>
      </c>
      <c r="VYJ91" s="75" t="s">
        <v>23</v>
      </c>
      <c r="VYK91" s="78">
        <f>IFERROR(VLOOKUP(VYJ91,'[1]List KPI'!$M$3:$N$8,2,0),"")</f>
        <v>2.0833333333333332E-2</v>
      </c>
      <c r="VYL91" s="76">
        <v>0.89444444444444449</v>
      </c>
      <c r="VYM91" s="77" t="str">
        <f t="shared" si="476"/>
        <v>O</v>
      </c>
      <c r="VYN91" s="79">
        <v>5</v>
      </c>
      <c r="VYO91" s="75">
        <v>1276006</v>
      </c>
      <c r="VYP91" s="80"/>
      <c r="VYQ91" s="81">
        <v>0.86944444444444446</v>
      </c>
      <c r="VYR91" s="74" t="s">
        <v>27</v>
      </c>
      <c r="VYS91" s="74" t="s">
        <v>24</v>
      </c>
      <c r="VYT91" s="75" t="s">
        <v>25</v>
      </c>
      <c r="VYU91" s="76">
        <f>IFERROR(VLOOKUP(VYT91,'[1]List KPI'!$A$103:$F$118,6,0),"")</f>
        <v>1.0416666666666666E-2</v>
      </c>
      <c r="VYV91" s="76">
        <v>0.86944444444444446</v>
      </c>
      <c r="VYW91" s="76">
        <v>0.86944444444444446</v>
      </c>
      <c r="VYX91" s="77" t="str">
        <f t="shared" si="475"/>
        <v>O</v>
      </c>
      <c r="VYY91" s="74" t="s">
        <v>28</v>
      </c>
      <c r="VYZ91" s="75" t="s">
        <v>23</v>
      </c>
      <c r="VZA91" s="78">
        <f>IFERROR(VLOOKUP(VYZ91,'[1]List KPI'!$M$3:$N$8,2,0),"")</f>
        <v>2.0833333333333332E-2</v>
      </c>
      <c r="VZB91" s="76">
        <v>0.89444444444444449</v>
      </c>
      <c r="VZC91" s="77" t="str">
        <f t="shared" si="476"/>
        <v>O</v>
      </c>
      <c r="VZD91" s="79">
        <v>5</v>
      </c>
      <c r="VZE91" s="75">
        <v>1276006</v>
      </c>
      <c r="VZF91" s="80"/>
      <c r="VZG91" s="81">
        <v>0.86944444444444446</v>
      </c>
      <c r="VZH91" s="74" t="s">
        <v>27</v>
      </c>
      <c r="VZI91" s="74" t="s">
        <v>24</v>
      </c>
      <c r="VZJ91" s="75" t="s">
        <v>25</v>
      </c>
      <c r="VZK91" s="76">
        <f>IFERROR(VLOOKUP(VZJ91,'[1]List KPI'!$A$103:$F$118,6,0),"")</f>
        <v>1.0416666666666666E-2</v>
      </c>
      <c r="VZL91" s="76">
        <v>0.86944444444444446</v>
      </c>
      <c r="VZM91" s="76">
        <v>0.86944444444444446</v>
      </c>
      <c r="VZN91" s="77" t="str">
        <f t="shared" ref="VZN91:WBJ91" si="477">IF(VZM91="","",IF(VZM91&gt;VZV91,"O","P"))</f>
        <v>O</v>
      </c>
      <c r="VZO91" s="74" t="s">
        <v>28</v>
      </c>
      <c r="VZP91" s="75" t="s">
        <v>23</v>
      </c>
      <c r="VZQ91" s="78">
        <f>IFERROR(VLOOKUP(VZP91,'[1]List KPI'!$M$3:$N$8,2,0),"")</f>
        <v>2.0833333333333332E-2</v>
      </c>
      <c r="VZR91" s="76">
        <v>0.89444444444444449</v>
      </c>
      <c r="VZS91" s="77" t="str">
        <f t="shared" ref="VZS91:WBO91" si="478">IF(VZR91="","",IF(VZR91&gt;VZW91,"O","P"))</f>
        <v>O</v>
      </c>
      <c r="VZT91" s="79">
        <v>5</v>
      </c>
      <c r="VZU91" s="75">
        <v>1276006</v>
      </c>
      <c r="VZV91" s="80"/>
      <c r="VZW91" s="81">
        <v>0.86944444444444446</v>
      </c>
      <c r="VZX91" s="74" t="s">
        <v>27</v>
      </c>
      <c r="VZY91" s="74" t="s">
        <v>24</v>
      </c>
      <c r="VZZ91" s="75" t="s">
        <v>25</v>
      </c>
      <c r="WAA91" s="76">
        <f>IFERROR(VLOOKUP(VZZ91,'[1]List KPI'!$A$103:$F$118,6,0),"")</f>
        <v>1.0416666666666666E-2</v>
      </c>
      <c r="WAB91" s="76">
        <v>0.86944444444444446</v>
      </c>
      <c r="WAC91" s="76">
        <v>0.86944444444444446</v>
      </c>
      <c r="WAD91" s="77" t="str">
        <f t="shared" si="477"/>
        <v>O</v>
      </c>
      <c r="WAE91" s="74" t="s">
        <v>28</v>
      </c>
      <c r="WAF91" s="75" t="s">
        <v>23</v>
      </c>
      <c r="WAG91" s="78">
        <f>IFERROR(VLOOKUP(WAF91,'[1]List KPI'!$M$3:$N$8,2,0),"")</f>
        <v>2.0833333333333332E-2</v>
      </c>
      <c r="WAH91" s="76">
        <v>0.89444444444444449</v>
      </c>
      <c r="WAI91" s="77" t="str">
        <f t="shared" si="478"/>
        <v>O</v>
      </c>
      <c r="WAJ91" s="79">
        <v>5</v>
      </c>
      <c r="WAK91" s="75">
        <v>1276006</v>
      </c>
      <c r="WAL91" s="80"/>
      <c r="WAM91" s="81">
        <v>0.86944444444444446</v>
      </c>
      <c r="WAN91" s="74" t="s">
        <v>27</v>
      </c>
      <c r="WAO91" s="74" t="s">
        <v>24</v>
      </c>
      <c r="WAP91" s="75" t="s">
        <v>25</v>
      </c>
      <c r="WAQ91" s="76">
        <f>IFERROR(VLOOKUP(WAP91,'[1]List KPI'!$A$103:$F$118,6,0),"")</f>
        <v>1.0416666666666666E-2</v>
      </c>
      <c r="WAR91" s="76">
        <v>0.86944444444444446</v>
      </c>
      <c r="WAS91" s="76">
        <v>0.86944444444444446</v>
      </c>
      <c r="WAT91" s="77" t="str">
        <f t="shared" si="477"/>
        <v>O</v>
      </c>
      <c r="WAU91" s="74" t="s">
        <v>28</v>
      </c>
      <c r="WAV91" s="75" t="s">
        <v>23</v>
      </c>
      <c r="WAW91" s="78">
        <f>IFERROR(VLOOKUP(WAV91,'[1]List KPI'!$M$3:$N$8,2,0),"")</f>
        <v>2.0833333333333332E-2</v>
      </c>
      <c r="WAX91" s="76">
        <v>0.89444444444444449</v>
      </c>
      <c r="WAY91" s="77" t="str">
        <f t="shared" si="478"/>
        <v>O</v>
      </c>
      <c r="WAZ91" s="79">
        <v>5</v>
      </c>
      <c r="WBA91" s="75">
        <v>1276006</v>
      </c>
      <c r="WBB91" s="80"/>
      <c r="WBC91" s="81">
        <v>0.86944444444444446</v>
      </c>
      <c r="WBD91" s="74" t="s">
        <v>27</v>
      </c>
      <c r="WBE91" s="74" t="s">
        <v>24</v>
      </c>
      <c r="WBF91" s="75" t="s">
        <v>25</v>
      </c>
      <c r="WBG91" s="76">
        <f>IFERROR(VLOOKUP(WBF91,'[1]List KPI'!$A$103:$F$118,6,0),"")</f>
        <v>1.0416666666666666E-2</v>
      </c>
      <c r="WBH91" s="76">
        <v>0.86944444444444446</v>
      </c>
      <c r="WBI91" s="76">
        <v>0.86944444444444446</v>
      </c>
      <c r="WBJ91" s="77" t="str">
        <f t="shared" si="477"/>
        <v>O</v>
      </c>
      <c r="WBK91" s="74" t="s">
        <v>28</v>
      </c>
      <c r="WBL91" s="75" t="s">
        <v>23</v>
      </c>
      <c r="WBM91" s="78">
        <f>IFERROR(VLOOKUP(WBL91,'[1]List KPI'!$M$3:$N$8,2,0),"")</f>
        <v>2.0833333333333332E-2</v>
      </c>
      <c r="WBN91" s="76">
        <v>0.89444444444444449</v>
      </c>
      <c r="WBO91" s="77" t="str">
        <f t="shared" si="478"/>
        <v>O</v>
      </c>
      <c r="WBP91" s="79">
        <v>5</v>
      </c>
      <c r="WBQ91" s="75">
        <v>1276006</v>
      </c>
      <c r="WBR91" s="80"/>
      <c r="WBS91" s="81">
        <v>0.86944444444444446</v>
      </c>
      <c r="WBT91" s="74" t="s">
        <v>27</v>
      </c>
      <c r="WBU91" s="74" t="s">
        <v>24</v>
      </c>
      <c r="WBV91" s="75" t="s">
        <v>25</v>
      </c>
      <c r="WBW91" s="76">
        <f>IFERROR(VLOOKUP(WBV91,'[1]List KPI'!$A$103:$F$118,6,0),"")</f>
        <v>1.0416666666666666E-2</v>
      </c>
      <c r="WBX91" s="76">
        <v>0.86944444444444446</v>
      </c>
      <c r="WBY91" s="76">
        <v>0.86944444444444446</v>
      </c>
      <c r="WBZ91" s="77" t="str">
        <f t="shared" ref="WBZ91:WDV91" si="479">IF(WBY91="","",IF(WBY91&gt;WCH91,"O","P"))</f>
        <v>O</v>
      </c>
      <c r="WCA91" s="74" t="s">
        <v>28</v>
      </c>
      <c r="WCB91" s="75" t="s">
        <v>23</v>
      </c>
      <c r="WCC91" s="78">
        <f>IFERROR(VLOOKUP(WCB91,'[1]List KPI'!$M$3:$N$8,2,0),"")</f>
        <v>2.0833333333333332E-2</v>
      </c>
      <c r="WCD91" s="76">
        <v>0.89444444444444449</v>
      </c>
      <c r="WCE91" s="77" t="str">
        <f t="shared" ref="WCE91:WEA91" si="480">IF(WCD91="","",IF(WCD91&gt;WCI91,"O","P"))</f>
        <v>O</v>
      </c>
      <c r="WCF91" s="79">
        <v>5</v>
      </c>
      <c r="WCG91" s="75">
        <v>1276006</v>
      </c>
      <c r="WCH91" s="80"/>
      <c r="WCI91" s="81">
        <v>0.86944444444444446</v>
      </c>
      <c r="WCJ91" s="74" t="s">
        <v>27</v>
      </c>
      <c r="WCK91" s="74" t="s">
        <v>24</v>
      </c>
      <c r="WCL91" s="75" t="s">
        <v>25</v>
      </c>
      <c r="WCM91" s="76">
        <f>IFERROR(VLOOKUP(WCL91,'[1]List KPI'!$A$103:$F$118,6,0),"")</f>
        <v>1.0416666666666666E-2</v>
      </c>
      <c r="WCN91" s="76">
        <v>0.86944444444444446</v>
      </c>
      <c r="WCO91" s="76">
        <v>0.86944444444444446</v>
      </c>
      <c r="WCP91" s="77" t="str">
        <f t="shared" si="479"/>
        <v>O</v>
      </c>
      <c r="WCQ91" s="74" t="s">
        <v>28</v>
      </c>
      <c r="WCR91" s="75" t="s">
        <v>23</v>
      </c>
      <c r="WCS91" s="78">
        <f>IFERROR(VLOOKUP(WCR91,'[1]List KPI'!$M$3:$N$8,2,0),"")</f>
        <v>2.0833333333333332E-2</v>
      </c>
      <c r="WCT91" s="76">
        <v>0.89444444444444449</v>
      </c>
      <c r="WCU91" s="77" t="str">
        <f t="shared" si="480"/>
        <v>O</v>
      </c>
      <c r="WCV91" s="79">
        <v>5</v>
      </c>
      <c r="WCW91" s="75">
        <v>1276006</v>
      </c>
      <c r="WCX91" s="80"/>
      <c r="WCY91" s="81">
        <v>0.86944444444444446</v>
      </c>
      <c r="WCZ91" s="74" t="s">
        <v>27</v>
      </c>
      <c r="WDA91" s="74" t="s">
        <v>24</v>
      </c>
      <c r="WDB91" s="75" t="s">
        <v>25</v>
      </c>
      <c r="WDC91" s="76">
        <f>IFERROR(VLOOKUP(WDB91,'[1]List KPI'!$A$103:$F$118,6,0),"")</f>
        <v>1.0416666666666666E-2</v>
      </c>
      <c r="WDD91" s="76">
        <v>0.86944444444444446</v>
      </c>
      <c r="WDE91" s="76">
        <v>0.86944444444444446</v>
      </c>
      <c r="WDF91" s="77" t="str">
        <f t="shared" si="479"/>
        <v>O</v>
      </c>
      <c r="WDG91" s="74" t="s">
        <v>28</v>
      </c>
      <c r="WDH91" s="75" t="s">
        <v>23</v>
      </c>
      <c r="WDI91" s="78">
        <f>IFERROR(VLOOKUP(WDH91,'[1]List KPI'!$M$3:$N$8,2,0),"")</f>
        <v>2.0833333333333332E-2</v>
      </c>
      <c r="WDJ91" s="76">
        <v>0.89444444444444449</v>
      </c>
      <c r="WDK91" s="77" t="str">
        <f t="shared" si="480"/>
        <v>O</v>
      </c>
      <c r="WDL91" s="79">
        <v>5</v>
      </c>
      <c r="WDM91" s="75">
        <v>1276006</v>
      </c>
      <c r="WDN91" s="80"/>
      <c r="WDO91" s="81">
        <v>0.86944444444444446</v>
      </c>
      <c r="WDP91" s="74" t="s">
        <v>27</v>
      </c>
      <c r="WDQ91" s="74" t="s">
        <v>24</v>
      </c>
      <c r="WDR91" s="75" t="s">
        <v>25</v>
      </c>
      <c r="WDS91" s="76">
        <f>IFERROR(VLOOKUP(WDR91,'[1]List KPI'!$A$103:$F$118,6,0),"")</f>
        <v>1.0416666666666666E-2</v>
      </c>
      <c r="WDT91" s="76">
        <v>0.86944444444444446</v>
      </c>
      <c r="WDU91" s="76">
        <v>0.86944444444444446</v>
      </c>
      <c r="WDV91" s="77" t="str">
        <f t="shared" si="479"/>
        <v>O</v>
      </c>
      <c r="WDW91" s="74" t="s">
        <v>28</v>
      </c>
      <c r="WDX91" s="75" t="s">
        <v>23</v>
      </c>
      <c r="WDY91" s="78">
        <f>IFERROR(VLOOKUP(WDX91,'[1]List KPI'!$M$3:$N$8,2,0),"")</f>
        <v>2.0833333333333332E-2</v>
      </c>
      <c r="WDZ91" s="76">
        <v>0.89444444444444449</v>
      </c>
      <c r="WEA91" s="77" t="str">
        <f t="shared" si="480"/>
        <v>O</v>
      </c>
      <c r="WEB91" s="79">
        <v>5</v>
      </c>
      <c r="WEC91" s="75">
        <v>1276006</v>
      </c>
      <c r="WED91" s="80"/>
      <c r="WEE91" s="81">
        <v>0.86944444444444446</v>
      </c>
      <c r="WEF91" s="74" t="s">
        <v>27</v>
      </c>
      <c r="WEG91" s="74" t="s">
        <v>24</v>
      </c>
      <c r="WEH91" s="75" t="s">
        <v>25</v>
      </c>
      <c r="WEI91" s="76">
        <f>IFERROR(VLOOKUP(WEH91,'[1]List KPI'!$A$103:$F$118,6,0),"")</f>
        <v>1.0416666666666666E-2</v>
      </c>
      <c r="WEJ91" s="76">
        <v>0.86944444444444446</v>
      </c>
      <c r="WEK91" s="76">
        <v>0.86944444444444446</v>
      </c>
      <c r="WEL91" s="77" t="str">
        <f t="shared" ref="WEL91:WGH91" si="481">IF(WEK91="","",IF(WEK91&gt;WET91,"O","P"))</f>
        <v>O</v>
      </c>
      <c r="WEM91" s="74" t="s">
        <v>28</v>
      </c>
      <c r="WEN91" s="75" t="s">
        <v>23</v>
      </c>
      <c r="WEO91" s="78">
        <f>IFERROR(VLOOKUP(WEN91,'[1]List KPI'!$M$3:$N$8,2,0),"")</f>
        <v>2.0833333333333332E-2</v>
      </c>
      <c r="WEP91" s="76">
        <v>0.89444444444444449</v>
      </c>
      <c r="WEQ91" s="77" t="str">
        <f t="shared" ref="WEQ91:WGM91" si="482">IF(WEP91="","",IF(WEP91&gt;WEU91,"O","P"))</f>
        <v>O</v>
      </c>
      <c r="WER91" s="79">
        <v>5</v>
      </c>
      <c r="WES91" s="75">
        <v>1276006</v>
      </c>
      <c r="WET91" s="80"/>
      <c r="WEU91" s="81">
        <v>0.86944444444444446</v>
      </c>
      <c r="WEV91" s="74" t="s">
        <v>27</v>
      </c>
      <c r="WEW91" s="74" t="s">
        <v>24</v>
      </c>
      <c r="WEX91" s="75" t="s">
        <v>25</v>
      </c>
      <c r="WEY91" s="76">
        <f>IFERROR(VLOOKUP(WEX91,'[1]List KPI'!$A$103:$F$118,6,0),"")</f>
        <v>1.0416666666666666E-2</v>
      </c>
      <c r="WEZ91" s="76">
        <v>0.86944444444444446</v>
      </c>
      <c r="WFA91" s="76">
        <v>0.86944444444444446</v>
      </c>
      <c r="WFB91" s="77" t="str">
        <f t="shared" si="481"/>
        <v>O</v>
      </c>
      <c r="WFC91" s="74" t="s">
        <v>28</v>
      </c>
      <c r="WFD91" s="75" t="s">
        <v>23</v>
      </c>
      <c r="WFE91" s="78">
        <f>IFERROR(VLOOKUP(WFD91,'[1]List KPI'!$M$3:$N$8,2,0),"")</f>
        <v>2.0833333333333332E-2</v>
      </c>
      <c r="WFF91" s="76">
        <v>0.89444444444444449</v>
      </c>
      <c r="WFG91" s="77" t="str">
        <f t="shared" si="482"/>
        <v>O</v>
      </c>
      <c r="WFH91" s="79">
        <v>5</v>
      </c>
      <c r="WFI91" s="75">
        <v>1276006</v>
      </c>
      <c r="WFJ91" s="80"/>
      <c r="WFK91" s="81">
        <v>0.86944444444444446</v>
      </c>
      <c r="WFL91" s="74" t="s">
        <v>27</v>
      </c>
      <c r="WFM91" s="74" t="s">
        <v>24</v>
      </c>
      <c r="WFN91" s="75" t="s">
        <v>25</v>
      </c>
      <c r="WFO91" s="76">
        <f>IFERROR(VLOOKUP(WFN91,'[1]List KPI'!$A$103:$F$118,6,0),"")</f>
        <v>1.0416666666666666E-2</v>
      </c>
      <c r="WFP91" s="76">
        <v>0.86944444444444446</v>
      </c>
      <c r="WFQ91" s="76">
        <v>0.86944444444444446</v>
      </c>
      <c r="WFR91" s="77" t="str">
        <f t="shared" si="481"/>
        <v>O</v>
      </c>
      <c r="WFS91" s="74" t="s">
        <v>28</v>
      </c>
      <c r="WFT91" s="75" t="s">
        <v>23</v>
      </c>
      <c r="WFU91" s="78">
        <f>IFERROR(VLOOKUP(WFT91,'[1]List KPI'!$M$3:$N$8,2,0),"")</f>
        <v>2.0833333333333332E-2</v>
      </c>
      <c r="WFV91" s="76">
        <v>0.89444444444444449</v>
      </c>
      <c r="WFW91" s="77" t="str">
        <f t="shared" si="482"/>
        <v>O</v>
      </c>
      <c r="WFX91" s="79">
        <v>5</v>
      </c>
      <c r="WFY91" s="75">
        <v>1276006</v>
      </c>
      <c r="WFZ91" s="80"/>
      <c r="WGA91" s="81">
        <v>0.86944444444444446</v>
      </c>
      <c r="WGB91" s="74" t="s">
        <v>27</v>
      </c>
      <c r="WGC91" s="74" t="s">
        <v>24</v>
      </c>
      <c r="WGD91" s="75" t="s">
        <v>25</v>
      </c>
      <c r="WGE91" s="76">
        <f>IFERROR(VLOOKUP(WGD91,'[1]List KPI'!$A$103:$F$118,6,0),"")</f>
        <v>1.0416666666666666E-2</v>
      </c>
      <c r="WGF91" s="76">
        <v>0.86944444444444446</v>
      </c>
      <c r="WGG91" s="76">
        <v>0.86944444444444446</v>
      </c>
      <c r="WGH91" s="77" t="str">
        <f t="shared" si="481"/>
        <v>O</v>
      </c>
      <c r="WGI91" s="74" t="s">
        <v>28</v>
      </c>
      <c r="WGJ91" s="75" t="s">
        <v>23</v>
      </c>
      <c r="WGK91" s="78">
        <f>IFERROR(VLOOKUP(WGJ91,'[1]List KPI'!$M$3:$N$8,2,0),"")</f>
        <v>2.0833333333333332E-2</v>
      </c>
      <c r="WGL91" s="76">
        <v>0.89444444444444449</v>
      </c>
      <c r="WGM91" s="77" t="str">
        <f t="shared" si="482"/>
        <v>O</v>
      </c>
      <c r="WGN91" s="79">
        <v>5</v>
      </c>
      <c r="WGO91" s="75">
        <v>1276006</v>
      </c>
      <c r="WGP91" s="80"/>
      <c r="WGQ91" s="81">
        <v>0.86944444444444446</v>
      </c>
      <c r="WGR91" s="74" t="s">
        <v>27</v>
      </c>
      <c r="WGS91" s="74" t="s">
        <v>24</v>
      </c>
      <c r="WGT91" s="75" t="s">
        <v>25</v>
      </c>
      <c r="WGU91" s="76">
        <f>IFERROR(VLOOKUP(WGT91,'[1]List KPI'!$A$103:$F$118,6,0),"")</f>
        <v>1.0416666666666666E-2</v>
      </c>
      <c r="WGV91" s="76">
        <v>0.86944444444444446</v>
      </c>
      <c r="WGW91" s="76">
        <v>0.86944444444444446</v>
      </c>
      <c r="WGX91" s="77" t="str">
        <f t="shared" ref="WGX91:WIT91" si="483">IF(WGW91="","",IF(WGW91&gt;WHF91,"O","P"))</f>
        <v>O</v>
      </c>
      <c r="WGY91" s="74" t="s">
        <v>28</v>
      </c>
      <c r="WGZ91" s="75" t="s">
        <v>23</v>
      </c>
      <c r="WHA91" s="78">
        <f>IFERROR(VLOOKUP(WGZ91,'[1]List KPI'!$M$3:$N$8,2,0),"")</f>
        <v>2.0833333333333332E-2</v>
      </c>
      <c r="WHB91" s="76">
        <v>0.89444444444444449</v>
      </c>
      <c r="WHC91" s="77" t="str">
        <f t="shared" ref="WHC91:WIY91" si="484">IF(WHB91="","",IF(WHB91&gt;WHG91,"O","P"))</f>
        <v>O</v>
      </c>
      <c r="WHD91" s="79">
        <v>5</v>
      </c>
      <c r="WHE91" s="75">
        <v>1276006</v>
      </c>
      <c r="WHF91" s="80"/>
      <c r="WHG91" s="81">
        <v>0.86944444444444446</v>
      </c>
      <c r="WHH91" s="74" t="s">
        <v>27</v>
      </c>
      <c r="WHI91" s="74" t="s">
        <v>24</v>
      </c>
      <c r="WHJ91" s="75" t="s">
        <v>25</v>
      </c>
      <c r="WHK91" s="76">
        <f>IFERROR(VLOOKUP(WHJ91,'[1]List KPI'!$A$103:$F$118,6,0),"")</f>
        <v>1.0416666666666666E-2</v>
      </c>
      <c r="WHL91" s="76">
        <v>0.86944444444444446</v>
      </c>
      <c r="WHM91" s="76">
        <v>0.86944444444444446</v>
      </c>
      <c r="WHN91" s="77" t="str">
        <f t="shared" si="483"/>
        <v>O</v>
      </c>
      <c r="WHO91" s="74" t="s">
        <v>28</v>
      </c>
      <c r="WHP91" s="75" t="s">
        <v>23</v>
      </c>
      <c r="WHQ91" s="78">
        <f>IFERROR(VLOOKUP(WHP91,'[1]List KPI'!$M$3:$N$8,2,0),"")</f>
        <v>2.0833333333333332E-2</v>
      </c>
      <c r="WHR91" s="76">
        <v>0.89444444444444449</v>
      </c>
      <c r="WHS91" s="77" t="str">
        <f t="shared" si="484"/>
        <v>O</v>
      </c>
      <c r="WHT91" s="79">
        <v>5</v>
      </c>
      <c r="WHU91" s="75">
        <v>1276006</v>
      </c>
      <c r="WHV91" s="80"/>
      <c r="WHW91" s="81">
        <v>0.86944444444444446</v>
      </c>
      <c r="WHX91" s="74" t="s">
        <v>27</v>
      </c>
      <c r="WHY91" s="74" t="s">
        <v>24</v>
      </c>
      <c r="WHZ91" s="75" t="s">
        <v>25</v>
      </c>
      <c r="WIA91" s="76">
        <f>IFERROR(VLOOKUP(WHZ91,'[1]List KPI'!$A$103:$F$118,6,0),"")</f>
        <v>1.0416666666666666E-2</v>
      </c>
      <c r="WIB91" s="76">
        <v>0.86944444444444446</v>
      </c>
      <c r="WIC91" s="76">
        <v>0.86944444444444446</v>
      </c>
      <c r="WID91" s="77" t="str">
        <f t="shared" si="483"/>
        <v>O</v>
      </c>
      <c r="WIE91" s="74" t="s">
        <v>28</v>
      </c>
      <c r="WIF91" s="75" t="s">
        <v>23</v>
      </c>
      <c r="WIG91" s="78">
        <f>IFERROR(VLOOKUP(WIF91,'[1]List KPI'!$M$3:$N$8,2,0),"")</f>
        <v>2.0833333333333332E-2</v>
      </c>
      <c r="WIH91" s="76">
        <v>0.89444444444444449</v>
      </c>
      <c r="WII91" s="77" t="str">
        <f t="shared" si="484"/>
        <v>O</v>
      </c>
      <c r="WIJ91" s="79">
        <v>5</v>
      </c>
      <c r="WIK91" s="75">
        <v>1276006</v>
      </c>
      <c r="WIL91" s="80"/>
      <c r="WIM91" s="81">
        <v>0.86944444444444446</v>
      </c>
      <c r="WIN91" s="74" t="s">
        <v>27</v>
      </c>
      <c r="WIO91" s="74" t="s">
        <v>24</v>
      </c>
      <c r="WIP91" s="75" t="s">
        <v>25</v>
      </c>
      <c r="WIQ91" s="76">
        <f>IFERROR(VLOOKUP(WIP91,'[1]List KPI'!$A$103:$F$118,6,0),"")</f>
        <v>1.0416666666666666E-2</v>
      </c>
      <c r="WIR91" s="76">
        <v>0.86944444444444446</v>
      </c>
      <c r="WIS91" s="76">
        <v>0.86944444444444446</v>
      </c>
      <c r="WIT91" s="77" t="str">
        <f t="shared" si="483"/>
        <v>O</v>
      </c>
      <c r="WIU91" s="74" t="s">
        <v>28</v>
      </c>
      <c r="WIV91" s="75" t="s">
        <v>23</v>
      </c>
      <c r="WIW91" s="78">
        <f>IFERROR(VLOOKUP(WIV91,'[1]List KPI'!$M$3:$N$8,2,0),"")</f>
        <v>2.0833333333333332E-2</v>
      </c>
      <c r="WIX91" s="76">
        <v>0.89444444444444449</v>
      </c>
      <c r="WIY91" s="77" t="str">
        <f t="shared" si="484"/>
        <v>O</v>
      </c>
      <c r="WIZ91" s="79">
        <v>5</v>
      </c>
      <c r="WJA91" s="75">
        <v>1276006</v>
      </c>
      <c r="WJB91" s="80"/>
      <c r="WJC91" s="81">
        <v>0.86944444444444446</v>
      </c>
      <c r="WJD91" s="74" t="s">
        <v>27</v>
      </c>
      <c r="WJE91" s="74" t="s">
        <v>24</v>
      </c>
      <c r="WJF91" s="75" t="s">
        <v>25</v>
      </c>
      <c r="WJG91" s="76">
        <f>IFERROR(VLOOKUP(WJF91,'[1]List KPI'!$A$103:$F$118,6,0),"")</f>
        <v>1.0416666666666666E-2</v>
      </c>
      <c r="WJH91" s="76">
        <v>0.86944444444444446</v>
      </c>
      <c r="WJI91" s="76">
        <v>0.86944444444444446</v>
      </c>
      <c r="WJJ91" s="77" t="str">
        <f t="shared" ref="WJJ91:WLF91" si="485">IF(WJI91="","",IF(WJI91&gt;WJR91,"O","P"))</f>
        <v>O</v>
      </c>
      <c r="WJK91" s="74" t="s">
        <v>28</v>
      </c>
      <c r="WJL91" s="75" t="s">
        <v>23</v>
      </c>
      <c r="WJM91" s="78">
        <f>IFERROR(VLOOKUP(WJL91,'[1]List KPI'!$M$3:$N$8,2,0),"")</f>
        <v>2.0833333333333332E-2</v>
      </c>
      <c r="WJN91" s="76">
        <v>0.89444444444444449</v>
      </c>
      <c r="WJO91" s="77" t="str">
        <f t="shared" ref="WJO91:WLK91" si="486">IF(WJN91="","",IF(WJN91&gt;WJS91,"O","P"))</f>
        <v>O</v>
      </c>
      <c r="WJP91" s="79">
        <v>5</v>
      </c>
      <c r="WJQ91" s="75">
        <v>1276006</v>
      </c>
      <c r="WJR91" s="80"/>
      <c r="WJS91" s="81">
        <v>0.86944444444444446</v>
      </c>
      <c r="WJT91" s="74" t="s">
        <v>27</v>
      </c>
      <c r="WJU91" s="74" t="s">
        <v>24</v>
      </c>
      <c r="WJV91" s="75" t="s">
        <v>25</v>
      </c>
      <c r="WJW91" s="76">
        <f>IFERROR(VLOOKUP(WJV91,'[1]List KPI'!$A$103:$F$118,6,0),"")</f>
        <v>1.0416666666666666E-2</v>
      </c>
      <c r="WJX91" s="76">
        <v>0.86944444444444446</v>
      </c>
      <c r="WJY91" s="76">
        <v>0.86944444444444446</v>
      </c>
      <c r="WJZ91" s="77" t="str">
        <f t="shared" si="485"/>
        <v>O</v>
      </c>
      <c r="WKA91" s="74" t="s">
        <v>28</v>
      </c>
      <c r="WKB91" s="75" t="s">
        <v>23</v>
      </c>
      <c r="WKC91" s="78">
        <f>IFERROR(VLOOKUP(WKB91,'[1]List KPI'!$M$3:$N$8,2,0),"")</f>
        <v>2.0833333333333332E-2</v>
      </c>
      <c r="WKD91" s="76">
        <v>0.89444444444444449</v>
      </c>
      <c r="WKE91" s="77" t="str">
        <f t="shared" si="486"/>
        <v>O</v>
      </c>
      <c r="WKF91" s="79">
        <v>5</v>
      </c>
      <c r="WKG91" s="75">
        <v>1276006</v>
      </c>
      <c r="WKH91" s="80"/>
      <c r="WKI91" s="81">
        <v>0.86944444444444446</v>
      </c>
      <c r="WKJ91" s="74" t="s">
        <v>27</v>
      </c>
      <c r="WKK91" s="74" t="s">
        <v>24</v>
      </c>
      <c r="WKL91" s="75" t="s">
        <v>25</v>
      </c>
      <c r="WKM91" s="76">
        <f>IFERROR(VLOOKUP(WKL91,'[1]List KPI'!$A$103:$F$118,6,0),"")</f>
        <v>1.0416666666666666E-2</v>
      </c>
      <c r="WKN91" s="76">
        <v>0.86944444444444446</v>
      </c>
      <c r="WKO91" s="76">
        <v>0.86944444444444446</v>
      </c>
      <c r="WKP91" s="77" t="str">
        <f t="shared" si="485"/>
        <v>O</v>
      </c>
      <c r="WKQ91" s="74" t="s">
        <v>28</v>
      </c>
      <c r="WKR91" s="75" t="s">
        <v>23</v>
      </c>
      <c r="WKS91" s="78">
        <f>IFERROR(VLOOKUP(WKR91,'[1]List KPI'!$M$3:$N$8,2,0),"")</f>
        <v>2.0833333333333332E-2</v>
      </c>
      <c r="WKT91" s="76">
        <v>0.89444444444444449</v>
      </c>
      <c r="WKU91" s="77" t="str">
        <f t="shared" si="486"/>
        <v>O</v>
      </c>
      <c r="WKV91" s="79">
        <v>5</v>
      </c>
      <c r="WKW91" s="75">
        <v>1276006</v>
      </c>
      <c r="WKX91" s="80"/>
      <c r="WKY91" s="81">
        <v>0.86944444444444446</v>
      </c>
      <c r="WKZ91" s="74" t="s">
        <v>27</v>
      </c>
      <c r="WLA91" s="74" t="s">
        <v>24</v>
      </c>
      <c r="WLB91" s="75" t="s">
        <v>25</v>
      </c>
      <c r="WLC91" s="76">
        <f>IFERROR(VLOOKUP(WLB91,'[1]List KPI'!$A$103:$F$118,6,0),"")</f>
        <v>1.0416666666666666E-2</v>
      </c>
      <c r="WLD91" s="76">
        <v>0.86944444444444446</v>
      </c>
      <c r="WLE91" s="76">
        <v>0.86944444444444446</v>
      </c>
      <c r="WLF91" s="77" t="str">
        <f t="shared" si="485"/>
        <v>O</v>
      </c>
      <c r="WLG91" s="74" t="s">
        <v>28</v>
      </c>
      <c r="WLH91" s="75" t="s">
        <v>23</v>
      </c>
      <c r="WLI91" s="78">
        <f>IFERROR(VLOOKUP(WLH91,'[1]List KPI'!$M$3:$N$8,2,0),"")</f>
        <v>2.0833333333333332E-2</v>
      </c>
      <c r="WLJ91" s="76">
        <v>0.89444444444444449</v>
      </c>
      <c r="WLK91" s="77" t="str">
        <f t="shared" si="486"/>
        <v>O</v>
      </c>
      <c r="WLL91" s="79">
        <v>5</v>
      </c>
      <c r="WLM91" s="75">
        <v>1276006</v>
      </c>
      <c r="WLN91" s="80"/>
      <c r="WLO91" s="81">
        <v>0.86944444444444446</v>
      </c>
      <c r="WLP91" s="74" t="s">
        <v>27</v>
      </c>
      <c r="WLQ91" s="74" t="s">
        <v>24</v>
      </c>
      <c r="WLR91" s="75" t="s">
        <v>25</v>
      </c>
      <c r="WLS91" s="76">
        <f>IFERROR(VLOOKUP(WLR91,'[1]List KPI'!$A$103:$F$118,6,0),"")</f>
        <v>1.0416666666666666E-2</v>
      </c>
      <c r="WLT91" s="76">
        <v>0.86944444444444446</v>
      </c>
      <c r="WLU91" s="76">
        <v>0.86944444444444446</v>
      </c>
      <c r="WLV91" s="77" t="str">
        <f t="shared" ref="WLV91:WNR91" si="487">IF(WLU91="","",IF(WLU91&gt;WMD91,"O","P"))</f>
        <v>O</v>
      </c>
      <c r="WLW91" s="74" t="s">
        <v>28</v>
      </c>
      <c r="WLX91" s="75" t="s">
        <v>23</v>
      </c>
      <c r="WLY91" s="78">
        <f>IFERROR(VLOOKUP(WLX91,'[1]List KPI'!$M$3:$N$8,2,0),"")</f>
        <v>2.0833333333333332E-2</v>
      </c>
      <c r="WLZ91" s="76">
        <v>0.89444444444444449</v>
      </c>
      <c r="WMA91" s="77" t="str">
        <f t="shared" ref="WMA91:WNW91" si="488">IF(WLZ91="","",IF(WLZ91&gt;WME91,"O","P"))</f>
        <v>O</v>
      </c>
      <c r="WMB91" s="79">
        <v>5</v>
      </c>
      <c r="WMC91" s="75">
        <v>1276006</v>
      </c>
      <c r="WMD91" s="80"/>
      <c r="WME91" s="81">
        <v>0.86944444444444446</v>
      </c>
      <c r="WMF91" s="74" t="s">
        <v>27</v>
      </c>
      <c r="WMG91" s="74" t="s">
        <v>24</v>
      </c>
      <c r="WMH91" s="75" t="s">
        <v>25</v>
      </c>
      <c r="WMI91" s="76">
        <f>IFERROR(VLOOKUP(WMH91,'[1]List KPI'!$A$103:$F$118,6,0),"")</f>
        <v>1.0416666666666666E-2</v>
      </c>
      <c r="WMJ91" s="76">
        <v>0.86944444444444446</v>
      </c>
      <c r="WMK91" s="76">
        <v>0.86944444444444446</v>
      </c>
      <c r="WML91" s="77" t="str">
        <f t="shared" si="487"/>
        <v>O</v>
      </c>
      <c r="WMM91" s="74" t="s">
        <v>28</v>
      </c>
      <c r="WMN91" s="75" t="s">
        <v>23</v>
      </c>
      <c r="WMO91" s="78">
        <f>IFERROR(VLOOKUP(WMN91,'[1]List KPI'!$M$3:$N$8,2,0),"")</f>
        <v>2.0833333333333332E-2</v>
      </c>
      <c r="WMP91" s="76">
        <v>0.89444444444444449</v>
      </c>
      <c r="WMQ91" s="77" t="str">
        <f t="shared" si="488"/>
        <v>O</v>
      </c>
      <c r="WMR91" s="79">
        <v>5</v>
      </c>
      <c r="WMS91" s="75">
        <v>1276006</v>
      </c>
      <c r="WMT91" s="80"/>
      <c r="WMU91" s="81">
        <v>0.86944444444444446</v>
      </c>
      <c r="WMV91" s="74" t="s">
        <v>27</v>
      </c>
      <c r="WMW91" s="74" t="s">
        <v>24</v>
      </c>
      <c r="WMX91" s="75" t="s">
        <v>25</v>
      </c>
      <c r="WMY91" s="76">
        <f>IFERROR(VLOOKUP(WMX91,'[1]List KPI'!$A$103:$F$118,6,0),"")</f>
        <v>1.0416666666666666E-2</v>
      </c>
      <c r="WMZ91" s="76">
        <v>0.86944444444444446</v>
      </c>
      <c r="WNA91" s="76">
        <v>0.86944444444444446</v>
      </c>
      <c r="WNB91" s="77" t="str">
        <f t="shared" si="487"/>
        <v>O</v>
      </c>
      <c r="WNC91" s="74" t="s">
        <v>28</v>
      </c>
      <c r="WND91" s="75" t="s">
        <v>23</v>
      </c>
      <c r="WNE91" s="78">
        <f>IFERROR(VLOOKUP(WND91,'[1]List KPI'!$M$3:$N$8,2,0),"")</f>
        <v>2.0833333333333332E-2</v>
      </c>
      <c r="WNF91" s="76">
        <v>0.89444444444444449</v>
      </c>
      <c r="WNG91" s="77" t="str">
        <f t="shared" si="488"/>
        <v>O</v>
      </c>
      <c r="WNH91" s="79">
        <v>5</v>
      </c>
      <c r="WNI91" s="75">
        <v>1276006</v>
      </c>
      <c r="WNJ91" s="80"/>
      <c r="WNK91" s="81">
        <v>0.86944444444444446</v>
      </c>
      <c r="WNL91" s="74" t="s">
        <v>27</v>
      </c>
      <c r="WNM91" s="74" t="s">
        <v>24</v>
      </c>
      <c r="WNN91" s="75" t="s">
        <v>25</v>
      </c>
      <c r="WNO91" s="76">
        <f>IFERROR(VLOOKUP(WNN91,'[1]List KPI'!$A$103:$F$118,6,0),"")</f>
        <v>1.0416666666666666E-2</v>
      </c>
      <c r="WNP91" s="76">
        <v>0.86944444444444446</v>
      </c>
      <c r="WNQ91" s="76">
        <v>0.86944444444444446</v>
      </c>
      <c r="WNR91" s="77" t="str">
        <f t="shared" si="487"/>
        <v>O</v>
      </c>
      <c r="WNS91" s="74" t="s">
        <v>28</v>
      </c>
      <c r="WNT91" s="75" t="s">
        <v>23</v>
      </c>
      <c r="WNU91" s="78">
        <f>IFERROR(VLOOKUP(WNT91,'[1]List KPI'!$M$3:$N$8,2,0),"")</f>
        <v>2.0833333333333332E-2</v>
      </c>
      <c r="WNV91" s="76">
        <v>0.89444444444444449</v>
      </c>
      <c r="WNW91" s="77" t="str">
        <f t="shared" si="488"/>
        <v>O</v>
      </c>
      <c r="WNX91" s="79">
        <v>5</v>
      </c>
      <c r="WNY91" s="75">
        <v>1276006</v>
      </c>
      <c r="WNZ91" s="80"/>
      <c r="WOA91" s="81">
        <v>0.86944444444444446</v>
      </c>
      <c r="WOB91" s="74" t="s">
        <v>27</v>
      </c>
      <c r="WOC91" s="74" t="s">
        <v>24</v>
      </c>
      <c r="WOD91" s="75" t="s">
        <v>25</v>
      </c>
      <c r="WOE91" s="76">
        <f>IFERROR(VLOOKUP(WOD91,'[1]List KPI'!$A$103:$F$118,6,0),"")</f>
        <v>1.0416666666666666E-2</v>
      </c>
      <c r="WOF91" s="76">
        <v>0.86944444444444446</v>
      </c>
      <c r="WOG91" s="76">
        <v>0.86944444444444446</v>
      </c>
      <c r="WOH91" s="77" t="str">
        <f t="shared" ref="WOH91:WQD91" si="489">IF(WOG91="","",IF(WOG91&gt;WOP91,"O","P"))</f>
        <v>O</v>
      </c>
      <c r="WOI91" s="74" t="s">
        <v>28</v>
      </c>
      <c r="WOJ91" s="75" t="s">
        <v>23</v>
      </c>
      <c r="WOK91" s="78">
        <f>IFERROR(VLOOKUP(WOJ91,'[1]List KPI'!$M$3:$N$8,2,0),"")</f>
        <v>2.0833333333333332E-2</v>
      </c>
      <c r="WOL91" s="76">
        <v>0.89444444444444449</v>
      </c>
      <c r="WOM91" s="77" t="str">
        <f t="shared" ref="WOM91:WQI91" si="490">IF(WOL91="","",IF(WOL91&gt;WOQ91,"O","P"))</f>
        <v>O</v>
      </c>
      <c r="WON91" s="79">
        <v>5</v>
      </c>
      <c r="WOO91" s="75">
        <v>1276006</v>
      </c>
      <c r="WOP91" s="80"/>
      <c r="WOQ91" s="81">
        <v>0.86944444444444446</v>
      </c>
      <c r="WOR91" s="74" t="s">
        <v>27</v>
      </c>
      <c r="WOS91" s="74" t="s">
        <v>24</v>
      </c>
      <c r="WOT91" s="75" t="s">
        <v>25</v>
      </c>
      <c r="WOU91" s="76">
        <f>IFERROR(VLOOKUP(WOT91,'[1]List KPI'!$A$103:$F$118,6,0),"")</f>
        <v>1.0416666666666666E-2</v>
      </c>
      <c r="WOV91" s="76">
        <v>0.86944444444444446</v>
      </c>
      <c r="WOW91" s="76">
        <v>0.86944444444444446</v>
      </c>
      <c r="WOX91" s="77" t="str">
        <f t="shared" si="489"/>
        <v>O</v>
      </c>
      <c r="WOY91" s="74" t="s">
        <v>28</v>
      </c>
      <c r="WOZ91" s="75" t="s">
        <v>23</v>
      </c>
      <c r="WPA91" s="78">
        <f>IFERROR(VLOOKUP(WOZ91,'[1]List KPI'!$M$3:$N$8,2,0),"")</f>
        <v>2.0833333333333332E-2</v>
      </c>
      <c r="WPB91" s="76">
        <v>0.89444444444444449</v>
      </c>
      <c r="WPC91" s="77" t="str">
        <f t="shared" si="490"/>
        <v>O</v>
      </c>
      <c r="WPD91" s="79">
        <v>5</v>
      </c>
      <c r="WPE91" s="75">
        <v>1276006</v>
      </c>
      <c r="WPF91" s="80"/>
      <c r="WPG91" s="81">
        <v>0.86944444444444446</v>
      </c>
      <c r="WPH91" s="74" t="s">
        <v>27</v>
      </c>
      <c r="WPI91" s="74" t="s">
        <v>24</v>
      </c>
      <c r="WPJ91" s="75" t="s">
        <v>25</v>
      </c>
      <c r="WPK91" s="76">
        <f>IFERROR(VLOOKUP(WPJ91,'[1]List KPI'!$A$103:$F$118,6,0),"")</f>
        <v>1.0416666666666666E-2</v>
      </c>
      <c r="WPL91" s="76">
        <v>0.86944444444444446</v>
      </c>
      <c r="WPM91" s="76">
        <v>0.86944444444444446</v>
      </c>
      <c r="WPN91" s="77" t="str">
        <f t="shared" si="489"/>
        <v>O</v>
      </c>
      <c r="WPO91" s="74" t="s">
        <v>28</v>
      </c>
      <c r="WPP91" s="75" t="s">
        <v>23</v>
      </c>
      <c r="WPQ91" s="78">
        <f>IFERROR(VLOOKUP(WPP91,'[1]List KPI'!$M$3:$N$8,2,0),"")</f>
        <v>2.0833333333333332E-2</v>
      </c>
      <c r="WPR91" s="76">
        <v>0.89444444444444449</v>
      </c>
      <c r="WPS91" s="77" t="str">
        <f t="shared" si="490"/>
        <v>O</v>
      </c>
      <c r="WPT91" s="79">
        <v>5</v>
      </c>
      <c r="WPU91" s="75">
        <v>1276006</v>
      </c>
      <c r="WPV91" s="80"/>
      <c r="WPW91" s="81">
        <v>0.86944444444444446</v>
      </c>
      <c r="WPX91" s="74" t="s">
        <v>27</v>
      </c>
      <c r="WPY91" s="74" t="s">
        <v>24</v>
      </c>
      <c r="WPZ91" s="75" t="s">
        <v>25</v>
      </c>
      <c r="WQA91" s="76">
        <f>IFERROR(VLOOKUP(WPZ91,'[1]List KPI'!$A$103:$F$118,6,0),"")</f>
        <v>1.0416666666666666E-2</v>
      </c>
      <c r="WQB91" s="76">
        <v>0.86944444444444446</v>
      </c>
      <c r="WQC91" s="76">
        <v>0.86944444444444446</v>
      </c>
      <c r="WQD91" s="77" t="str">
        <f t="shared" si="489"/>
        <v>O</v>
      </c>
      <c r="WQE91" s="74" t="s">
        <v>28</v>
      </c>
      <c r="WQF91" s="75" t="s">
        <v>23</v>
      </c>
      <c r="WQG91" s="78">
        <f>IFERROR(VLOOKUP(WQF91,'[1]List KPI'!$M$3:$N$8,2,0),"")</f>
        <v>2.0833333333333332E-2</v>
      </c>
      <c r="WQH91" s="76">
        <v>0.89444444444444449</v>
      </c>
      <c r="WQI91" s="77" t="str">
        <f t="shared" si="490"/>
        <v>O</v>
      </c>
      <c r="WQJ91" s="79">
        <v>5</v>
      </c>
      <c r="WQK91" s="75">
        <v>1276006</v>
      </c>
      <c r="WQL91" s="80"/>
      <c r="WQM91" s="81">
        <v>0.86944444444444446</v>
      </c>
      <c r="WQN91" s="74" t="s">
        <v>27</v>
      </c>
      <c r="WQO91" s="74" t="s">
        <v>24</v>
      </c>
      <c r="WQP91" s="75" t="s">
        <v>25</v>
      </c>
      <c r="WQQ91" s="76">
        <f>IFERROR(VLOOKUP(WQP91,'[1]List KPI'!$A$103:$F$118,6,0),"")</f>
        <v>1.0416666666666666E-2</v>
      </c>
      <c r="WQR91" s="76">
        <v>0.86944444444444446</v>
      </c>
      <c r="WQS91" s="76">
        <v>0.86944444444444446</v>
      </c>
      <c r="WQT91" s="77" t="str">
        <f t="shared" ref="WQT91:WSP91" si="491">IF(WQS91="","",IF(WQS91&gt;WRB91,"O","P"))</f>
        <v>O</v>
      </c>
      <c r="WQU91" s="74" t="s">
        <v>28</v>
      </c>
      <c r="WQV91" s="75" t="s">
        <v>23</v>
      </c>
      <c r="WQW91" s="78">
        <f>IFERROR(VLOOKUP(WQV91,'[1]List KPI'!$M$3:$N$8,2,0),"")</f>
        <v>2.0833333333333332E-2</v>
      </c>
      <c r="WQX91" s="76">
        <v>0.89444444444444449</v>
      </c>
      <c r="WQY91" s="77" t="str">
        <f t="shared" ref="WQY91:WSU91" si="492">IF(WQX91="","",IF(WQX91&gt;WRC91,"O","P"))</f>
        <v>O</v>
      </c>
      <c r="WQZ91" s="79">
        <v>5</v>
      </c>
      <c r="WRA91" s="75">
        <v>1276006</v>
      </c>
      <c r="WRB91" s="80"/>
      <c r="WRC91" s="81">
        <v>0.86944444444444446</v>
      </c>
      <c r="WRD91" s="74" t="s">
        <v>27</v>
      </c>
      <c r="WRE91" s="74" t="s">
        <v>24</v>
      </c>
      <c r="WRF91" s="75" t="s">
        <v>25</v>
      </c>
      <c r="WRG91" s="76">
        <f>IFERROR(VLOOKUP(WRF91,'[1]List KPI'!$A$103:$F$118,6,0),"")</f>
        <v>1.0416666666666666E-2</v>
      </c>
      <c r="WRH91" s="76">
        <v>0.86944444444444446</v>
      </c>
      <c r="WRI91" s="76">
        <v>0.86944444444444446</v>
      </c>
      <c r="WRJ91" s="77" t="str">
        <f t="shared" si="491"/>
        <v>O</v>
      </c>
      <c r="WRK91" s="74" t="s">
        <v>28</v>
      </c>
      <c r="WRL91" s="75" t="s">
        <v>23</v>
      </c>
      <c r="WRM91" s="78">
        <f>IFERROR(VLOOKUP(WRL91,'[1]List KPI'!$M$3:$N$8,2,0),"")</f>
        <v>2.0833333333333332E-2</v>
      </c>
      <c r="WRN91" s="76">
        <v>0.89444444444444449</v>
      </c>
      <c r="WRO91" s="77" t="str">
        <f t="shared" si="492"/>
        <v>O</v>
      </c>
      <c r="WRP91" s="79">
        <v>5</v>
      </c>
      <c r="WRQ91" s="75">
        <v>1276006</v>
      </c>
      <c r="WRR91" s="80"/>
      <c r="WRS91" s="81">
        <v>0.86944444444444446</v>
      </c>
      <c r="WRT91" s="74" t="s">
        <v>27</v>
      </c>
      <c r="WRU91" s="74" t="s">
        <v>24</v>
      </c>
      <c r="WRV91" s="75" t="s">
        <v>25</v>
      </c>
      <c r="WRW91" s="76">
        <f>IFERROR(VLOOKUP(WRV91,'[1]List KPI'!$A$103:$F$118,6,0),"")</f>
        <v>1.0416666666666666E-2</v>
      </c>
      <c r="WRX91" s="76">
        <v>0.86944444444444446</v>
      </c>
      <c r="WRY91" s="76">
        <v>0.86944444444444446</v>
      </c>
      <c r="WRZ91" s="77" t="str">
        <f t="shared" si="491"/>
        <v>O</v>
      </c>
      <c r="WSA91" s="74" t="s">
        <v>28</v>
      </c>
      <c r="WSB91" s="75" t="s">
        <v>23</v>
      </c>
      <c r="WSC91" s="78">
        <f>IFERROR(VLOOKUP(WSB91,'[1]List KPI'!$M$3:$N$8,2,0),"")</f>
        <v>2.0833333333333332E-2</v>
      </c>
      <c r="WSD91" s="76">
        <v>0.89444444444444449</v>
      </c>
      <c r="WSE91" s="77" t="str">
        <f t="shared" si="492"/>
        <v>O</v>
      </c>
      <c r="WSF91" s="79">
        <v>5</v>
      </c>
      <c r="WSG91" s="75">
        <v>1276006</v>
      </c>
      <c r="WSH91" s="80"/>
      <c r="WSI91" s="81">
        <v>0.86944444444444446</v>
      </c>
      <c r="WSJ91" s="74" t="s">
        <v>27</v>
      </c>
      <c r="WSK91" s="74" t="s">
        <v>24</v>
      </c>
      <c r="WSL91" s="75" t="s">
        <v>25</v>
      </c>
      <c r="WSM91" s="76">
        <f>IFERROR(VLOOKUP(WSL91,'[1]List KPI'!$A$103:$F$118,6,0),"")</f>
        <v>1.0416666666666666E-2</v>
      </c>
      <c r="WSN91" s="76">
        <v>0.86944444444444446</v>
      </c>
      <c r="WSO91" s="76">
        <v>0.86944444444444446</v>
      </c>
      <c r="WSP91" s="77" t="str">
        <f t="shared" si="491"/>
        <v>O</v>
      </c>
      <c r="WSQ91" s="74" t="s">
        <v>28</v>
      </c>
      <c r="WSR91" s="75" t="s">
        <v>23</v>
      </c>
      <c r="WSS91" s="78">
        <f>IFERROR(VLOOKUP(WSR91,'[1]List KPI'!$M$3:$N$8,2,0),"")</f>
        <v>2.0833333333333332E-2</v>
      </c>
      <c r="WST91" s="76">
        <v>0.89444444444444449</v>
      </c>
      <c r="WSU91" s="77" t="str">
        <f t="shared" si="492"/>
        <v>O</v>
      </c>
      <c r="WSV91" s="79">
        <v>5</v>
      </c>
      <c r="WSW91" s="75">
        <v>1276006</v>
      </c>
      <c r="WSX91" s="80"/>
      <c r="WSY91" s="81">
        <v>0.86944444444444446</v>
      </c>
      <c r="WSZ91" s="74" t="s">
        <v>27</v>
      </c>
      <c r="WTA91" s="74" t="s">
        <v>24</v>
      </c>
      <c r="WTB91" s="75" t="s">
        <v>25</v>
      </c>
      <c r="WTC91" s="76">
        <f>IFERROR(VLOOKUP(WTB91,'[1]List KPI'!$A$103:$F$118,6,0),"")</f>
        <v>1.0416666666666666E-2</v>
      </c>
      <c r="WTD91" s="76">
        <v>0.86944444444444446</v>
      </c>
      <c r="WTE91" s="76">
        <v>0.86944444444444446</v>
      </c>
      <c r="WTF91" s="77" t="str">
        <f t="shared" ref="WTF91:WVB91" si="493">IF(WTE91="","",IF(WTE91&gt;WTN91,"O","P"))</f>
        <v>O</v>
      </c>
      <c r="WTG91" s="74" t="s">
        <v>28</v>
      </c>
      <c r="WTH91" s="75" t="s">
        <v>23</v>
      </c>
      <c r="WTI91" s="78">
        <f>IFERROR(VLOOKUP(WTH91,'[1]List KPI'!$M$3:$N$8,2,0),"")</f>
        <v>2.0833333333333332E-2</v>
      </c>
      <c r="WTJ91" s="76">
        <v>0.89444444444444449</v>
      </c>
      <c r="WTK91" s="77" t="str">
        <f t="shared" ref="WTK91:WVG91" si="494">IF(WTJ91="","",IF(WTJ91&gt;WTO91,"O","P"))</f>
        <v>O</v>
      </c>
      <c r="WTL91" s="79">
        <v>5</v>
      </c>
      <c r="WTM91" s="75">
        <v>1276006</v>
      </c>
      <c r="WTN91" s="80"/>
      <c r="WTO91" s="81">
        <v>0.86944444444444446</v>
      </c>
      <c r="WTP91" s="74" t="s">
        <v>27</v>
      </c>
      <c r="WTQ91" s="74" t="s">
        <v>24</v>
      </c>
      <c r="WTR91" s="75" t="s">
        <v>25</v>
      </c>
      <c r="WTS91" s="76">
        <f>IFERROR(VLOOKUP(WTR91,'[1]List KPI'!$A$103:$F$118,6,0),"")</f>
        <v>1.0416666666666666E-2</v>
      </c>
      <c r="WTT91" s="76">
        <v>0.86944444444444446</v>
      </c>
      <c r="WTU91" s="76">
        <v>0.86944444444444446</v>
      </c>
      <c r="WTV91" s="77" t="str">
        <f t="shared" si="493"/>
        <v>O</v>
      </c>
      <c r="WTW91" s="74" t="s">
        <v>28</v>
      </c>
      <c r="WTX91" s="75" t="s">
        <v>23</v>
      </c>
      <c r="WTY91" s="78">
        <f>IFERROR(VLOOKUP(WTX91,'[1]List KPI'!$M$3:$N$8,2,0),"")</f>
        <v>2.0833333333333332E-2</v>
      </c>
      <c r="WTZ91" s="76">
        <v>0.89444444444444449</v>
      </c>
      <c r="WUA91" s="77" t="str">
        <f t="shared" si="494"/>
        <v>O</v>
      </c>
      <c r="WUB91" s="79">
        <v>5</v>
      </c>
      <c r="WUC91" s="75">
        <v>1276006</v>
      </c>
      <c r="WUD91" s="80"/>
      <c r="WUE91" s="81">
        <v>0.86944444444444446</v>
      </c>
      <c r="WUF91" s="74" t="s">
        <v>27</v>
      </c>
      <c r="WUG91" s="74" t="s">
        <v>24</v>
      </c>
      <c r="WUH91" s="75" t="s">
        <v>25</v>
      </c>
      <c r="WUI91" s="76">
        <f>IFERROR(VLOOKUP(WUH91,'[1]List KPI'!$A$103:$F$118,6,0),"")</f>
        <v>1.0416666666666666E-2</v>
      </c>
      <c r="WUJ91" s="76">
        <v>0.86944444444444446</v>
      </c>
      <c r="WUK91" s="76">
        <v>0.86944444444444446</v>
      </c>
      <c r="WUL91" s="77" t="str">
        <f t="shared" si="493"/>
        <v>O</v>
      </c>
      <c r="WUM91" s="74" t="s">
        <v>28</v>
      </c>
      <c r="WUN91" s="75" t="s">
        <v>23</v>
      </c>
      <c r="WUO91" s="78">
        <f>IFERROR(VLOOKUP(WUN91,'[1]List KPI'!$M$3:$N$8,2,0),"")</f>
        <v>2.0833333333333332E-2</v>
      </c>
      <c r="WUP91" s="76">
        <v>0.89444444444444449</v>
      </c>
      <c r="WUQ91" s="77" t="str">
        <f t="shared" si="494"/>
        <v>O</v>
      </c>
      <c r="WUR91" s="79">
        <v>5</v>
      </c>
      <c r="WUS91" s="75">
        <v>1276006</v>
      </c>
      <c r="WUT91" s="80"/>
      <c r="WUU91" s="81">
        <v>0.86944444444444446</v>
      </c>
      <c r="WUV91" s="74" t="s">
        <v>27</v>
      </c>
      <c r="WUW91" s="74" t="s">
        <v>24</v>
      </c>
      <c r="WUX91" s="75" t="s">
        <v>25</v>
      </c>
      <c r="WUY91" s="76">
        <f>IFERROR(VLOOKUP(WUX91,'[1]List KPI'!$A$103:$F$118,6,0),"")</f>
        <v>1.0416666666666666E-2</v>
      </c>
      <c r="WUZ91" s="76">
        <v>0.86944444444444446</v>
      </c>
      <c r="WVA91" s="76">
        <v>0.86944444444444446</v>
      </c>
      <c r="WVB91" s="77" t="str">
        <f t="shared" si="493"/>
        <v>O</v>
      </c>
      <c r="WVC91" s="74" t="s">
        <v>28</v>
      </c>
      <c r="WVD91" s="75" t="s">
        <v>23</v>
      </c>
      <c r="WVE91" s="78">
        <f>IFERROR(VLOOKUP(WVD91,'[1]List KPI'!$M$3:$N$8,2,0),"")</f>
        <v>2.0833333333333332E-2</v>
      </c>
      <c r="WVF91" s="76">
        <v>0.89444444444444449</v>
      </c>
      <c r="WVG91" s="77" t="str">
        <f t="shared" si="494"/>
        <v>O</v>
      </c>
      <c r="WVH91" s="79">
        <v>5</v>
      </c>
      <c r="WVI91" s="75">
        <v>1276006</v>
      </c>
      <c r="WVJ91" s="80"/>
      <c r="WVK91" s="81">
        <v>0.86944444444444446</v>
      </c>
      <c r="WVL91" s="74" t="s">
        <v>27</v>
      </c>
      <c r="WVM91" s="74" t="s">
        <v>24</v>
      </c>
      <c r="WVN91" s="75" t="s">
        <v>25</v>
      </c>
      <c r="WVO91" s="76">
        <f>IFERROR(VLOOKUP(WVN91,'[1]List KPI'!$A$103:$F$118,6,0),"")</f>
        <v>1.0416666666666666E-2</v>
      </c>
      <c r="WVP91" s="76">
        <v>0.86944444444444446</v>
      </c>
      <c r="WVQ91" s="76">
        <v>0.86944444444444446</v>
      </c>
      <c r="WVR91" s="77" t="str">
        <f t="shared" ref="WVR91:WXN91" si="495">IF(WVQ91="","",IF(WVQ91&gt;WVZ91,"O","P"))</f>
        <v>O</v>
      </c>
      <c r="WVS91" s="74" t="s">
        <v>28</v>
      </c>
      <c r="WVT91" s="75" t="s">
        <v>23</v>
      </c>
      <c r="WVU91" s="78">
        <f>IFERROR(VLOOKUP(WVT91,'[1]List KPI'!$M$3:$N$8,2,0),"")</f>
        <v>2.0833333333333332E-2</v>
      </c>
      <c r="WVV91" s="76">
        <v>0.89444444444444449</v>
      </c>
      <c r="WVW91" s="77" t="str">
        <f t="shared" ref="WVW91:WXS91" si="496">IF(WVV91="","",IF(WVV91&gt;WWA91,"O","P"))</f>
        <v>O</v>
      </c>
      <c r="WVX91" s="79">
        <v>5</v>
      </c>
      <c r="WVY91" s="75">
        <v>1276006</v>
      </c>
      <c r="WVZ91" s="80"/>
      <c r="WWA91" s="81">
        <v>0.86944444444444446</v>
      </c>
      <c r="WWB91" s="74" t="s">
        <v>27</v>
      </c>
      <c r="WWC91" s="74" t="s">
        <v>24</v>
      </c>
      <c r="WWD91" s="75" t="s">
        <v>25</v>
      </c>
      <c r="WWE91" s="76">
        <f>IFERROR(VLOOKUP(WWD91,'[1]List KPI'!$A$103:$F$118,6,0),"")</f>
        <v>1.0416666666666666E-2</v>
      </c>
      <c r="WWF91" s="76">
        <v>0.86944444444444446</v>
      </c>
      <c r="WWG91" s="76">
        <v>0.86944444444444446</v>
      </c>
      <c r="WWH91" s="77" t="str">
        <f t="shared" si="495"/>
        <v>O</v>
      </c>
      <c r="WWI91" s="74" t="s">
        <v>28</v>
      </c>
      <c r="WWJ91" s="75" t="s">
        <v>23</v>
      </c>
      <c r="WWK91" s="78">
        <f>IFERROR(VLOOKUP(WWJ91,'[1]List KPI'!$M$3:$N$8,2,0),"")</f>
        <v>2.0833333333333332E-2</v>
      </c>
      <c r="WWL91" s="76">
        <v>0.89444444444444449</v>
      </c>
      <c r="WWM91" s="77" t="str">
        <f t="shared" si="496"/>
        <v>O</v>
      </c>
      <c r="WWN91" s="79">
        <v>5</v>
      </c>
      <c r="WWO91" s="75">
        <v>1276006</v>
      </c>
      <c r="WWP91" s="80"/>
      <c r="WWQ91" s="81">
        <v>0.86944444444444446</v>
      </c>
      <c r="WWR91" s="74" t="s">
        <v>27</v>
      </c>
      <c r="WWS91" s="74" t="s">
        <v>24</v>
      </c>
      <c r="WWT91" s="75" t="s">
        <v>25</v>
      </c>
      <c r="WWU91" s="76">
        <f>IFERROR(VLOOKUP(WWT91,'[1]List KPI'!$A$103:$F$118,6,0),"")</f>
        <v>1.0416666666666666E-2</v>
      </c>
      <c r="WWV91" s="76">
        <v>0.86944444444444446</v>
      </c>
      <c r="WWW91" s="76">
        <v>0.86944444444444446</v>
      </c>
      <c r="WWX91" s="77" t="str">
        <f t="shared" si="495"/>
        <v>O</v>
      </c>
      <c r="WWY91" s="74" t="s">
        <v>28</v>
      </c>
      <c r="WWZ91" s="75" t="s">
        <v>23</v>
      </c>
      <c r="WXA91" s="78">
        <f>IFERROR(VLOOKUP(WWZ91,'[1]List KPI'!$M$3:$N$8,2,0),"")</f>
        <v>2.0833333333333332E-2</v>
      </c>
      <c r="WXB91" s="76">
        <v>0.89444444444444449</v>
      </c>
      <c r="WXC91" s="77" t="str">
        <f t="shared" si="496"/>
        <v>O</v>
      </c>
      <c r="WXD91" s="79">
        <v>5</v>
      </c>
      <c r="WXE91" s="75">
        <v>1276006</v>
      </c>
      <c r="WXF91" s="80"/>
      <c r="WXG91" s="81">
        <v>0.86944444444444446</v>
      </c>
      <c r="WXH91" s="74" t="s">
        <v>27</v>
      </c>
      <c r="WXI91" s="74" t="s">
        <v>24</v>
      </c>
      <c r="WXJ91" s="75" t="s">
        <v>25</v>
      </c>
      <c r="WXK91" s="76">
        <f>IFERROR(VLOOKUP(WXJ91,'[1]List KPI'!$A$103:$F$118,6,0),"")</f>
        <v>1.0416666666666666E-2</v>
      </c>
      <c r="WXL91" s="76">
        <v>0.86944444444444446</v>
      </c>
      <c r="WXM91" s="76">
        <v>0.86944444444444446</v>
      </c>
      <c r="WXN91" s="77" t="str">
        <f t="shared" si="495"/>
        <v>O</v>
      </c>
      <c r="WXO91" s="74" t="s">
        <v>28</v>
      </c>
      <c r="WXP91" s="75" t="s">
        <v>23</v>
      </c>
      <c r="WXQ91" s="78">
        <f>IFERROR(VLOOKUP(WXP91,'[1]List KPI'!$M$3:$N$8,2,0),"")</f>
        <v>2.0833333333333332E-2</v>
      </c>
      <c r="WXR91" s="76">
        <v>0.89444444444444449</v>
      </c>
      <c r="WXS91" s="77" t="str">
        <f t="shared" si="496"/>
        <v>O</v>
      </c>
      <c r="WXT91" s="79">
        <v>5</v>
      </c>
      <c r="WXU91" s="75">
        <v>1276006</v>
      </c>
      <c r="WXV91" s="80"/>
      <c r="WXW91" s="81">
        <v>0.86944444444444446</v>
      </c>
      <c r="WXX91" s="74" t="s">
        <v>27</v>
      </c>
      <c r="WXY91" s="74" t="s">
        <v>24</v>
      </c>
      <c r="WXZ91" s="75" t="s">
        <v>25</v>
      </c>
      <c r="WYA91" s="76">
        <f>IFERROR(VLOOKUP(WXZ91,'[1]List KPI'!$A$103:$F$118,6,0),"")</f>
        <v>1.0416666666666666E-2</v>
      </c>
      <c r="WYB91" s="76">
        <v>0.86944444444444446</v>
      </c>
      <c r="WYC91" s="76">
        <v>0.86944444444444446</v>
      </c>
      <c r="WYD91" s="77" t="str">
        <f t="shared" ref="WYD91:WZZ91" si="497">IF(WYC91="","",IF(WYC91&gt;WYL91,"O","P"))</f>
        <v>O</v>
      </c>
      <c r="WYE91" s="74" t="s">
        <v>28</v>
      </c>
      <c r="WYF91" s="75" t="s">
        <v>23</v>
      </c>
      <c r="WYG91" s="78">
        <f>IFERROR(VLOOKUP(WYF91,'[1]List KPI'!$M$3:$N$8,2,0),"")</f>
        <v>2.0833333333333332E-2</v>
      </c>
      <c r="WYH91" s="76">
        <v>0.89444444444444449</v>
      </c>
      <c r="WYI91" s="77" t="str">
        <f t="shared" ref="WYI91:XAE91" si="498">IF(WYH91="","",IF(WYH91&gt;WYM91,"O","P"))</f>
        <v>O</v>
      </c>
      <c r="WYJ91" s="79">
        <v>5</v>
      </c>
      <c r="WYK91" s="75">
        <v>1276006</v>
      </c>
      <c r="WYL91" s="80"/>
      <c r="WYM91" s="81">
        <v>0.86944444444444446</v>
      </c>
      <c r="WYN91" s="74" t="s">
        <v>27</v>
      </c>
      <c r="WYO91" s="74" t="s">
        <v>24</v>
      </c>
      <c r="WYP91" s="75" t="s">
        <v>25</v>
      </c>
      <c r="WYQ91" s="76">
        <f>IFERROR(VLOOKUP(WYP91,'[1]List KPI'!$A$103:$F$118,6,0),"")</f>
        <v>1.0416666666666666E-2</v>
      </c>
      <c r="WYR91" s="76">
        <v>0.86944444444444446</v>
      </c>
      <c r="WYS91" s="76">
        <v>0.86944444444444446</v>
      </c>
      <c r="WYT91" s="77" t="str">
        <f t="shared" si="497"/>
        <v>O</v>
      </c>
      <c r="WYU91" s="74" t="s">
        <v>28</v>
      </c>
      <c r="WYV91" s="75" t="s">
        <v>23</v>
      </c>
      <c r="WYW91" s="78">
        <f>IFERROR(VLOOKUP(WYV91,'[1]List KPI'!$M$3:$N$8,2,0),"")</f>
        <v>2.0833333333333332E-2</v>
      </c>
      <c r="WYX91" s="76">
        <v>0.89444444444444449</v>
      </c>
      <c r="WYY91" s="77" t="str">
        <f t="shared" si="498"/>
        <v>O</v>
      </c>
      <c r="WYZ91" s="79">
        <v>5</v>
      </c>
      <c r="WZA91" s="75">
        <v>1276006</v>
      </c>
      <c r="WZB91" s="80"/>
      <c r="WZC91" s="81">
        <v>0.86944444444444446</v>
      </c>
      <c r="WZD91" s="74" t="s">
        <v>27</v>
      </c>
      <c r="WZE91" s="74" t="s">
        <v>24</v>
      </c>
      <c r="WZF91" s="75" t="s">
        <v>25</v>
      </c>
      <c r="WZG91" s="76">
        <f>IFERROR(VLOOKUP(WZF91,'[1]List KPI'!$A$103:$F$118,6,0),"")</f>
        <v>1.0416666666666666E-2</v>
      </c>
      <c r="WZH91" s="76">
        <v>0.86944444444444446</v>
      </c>
      <c r="WZI91" s="76">
        <v>0.86944444444444446</v>
      </c>
      <c r="WZJ91" s="77" t="str">
        <f t="shared" si="497"/>
        <v>O</v>
      </c>
      <c r="WZK91" s="74" t="s">
        <v>28</v>
      </c>
      <c r="WZL91" s="75" t="s">
        <v>23</v>
      </c>
      <c r="WZM91" s="78">
        <f>IFERROR(VLOOKUP(WZL91,'[1]List KPI'!$M$3:$N$8,2,0),"")</f>
        <v>2.0833333333333332E-2</v>
      </c>
      <c r="WZN91" s="76">
        <v>0.89444444444444449</v>
      </c>
      <c r="WZO91" s="77" t="str">
        <f t="shared" si="498"/>
        <v>O</v>
      </c>
      <c r="WZP91" s="79">
        <v>5</v>
      </c>
      <c r="WZQ91" s="75">
        <v>1276006</v>
      </c>
      <c r="WZR91" s="80"/>
      <c r="WZS91" s="81">
        <v>0.86944444444444446</v>
      </c>
      <c r="WZT91" s="74" t="s">
        <v>27</v>
      </c>
      <c r="WZU91" s="74" t="s">
        <v>24</v>
      </c>
      <c r="WZV91" s="75" t="s">
        <v>25</v>
      </c>
      <c r="WZW91" s="76">
        <f>IFERROR(VLOOKUP(WZV91,'[1]List KPI'!$A$103:$F$118,6,0),"")</f>
        <v>1.0416666666666666E-2</v>
      </c>
      <c r="WZX91" s="76">
        <v>0.86944444444444446</v>
      </c>
      <c r="WZY91" s="76">
        <v>0.86944444444444446</v>
      </c>
      <c r="WZZ91" s="77" t="str">
        <f t="shared" si="497"/>
        <v>O</v>
      </c>
      <c r="XAA91" s="74" t="s">
        <v>28</v>
      </c>
      <c r="XAB91" s="75" t="s">
        <v>23</v>
      </c>
      <c r="XAC91" s="78">
        <f>IFERROR(VLOOKUP(XAB91,'[1]List KPI'!$M$3:$N$8,2,0),"")</f>
        <v>2.0833333333333332E-2</v>
      </c>
      <c r="XAD91" s="76">
        <v>0.89444444444444449</v>
      </c>
      <c r="XAE91" s="77" t="str">
        <f t="shared" si="498"/>
        <v>O</v>
      </c>
      <c r="XAF91" s="79">
        <v>5</v>
      </c>
      <c r="XAG91" s="75">
        <v>1276006</v>
      </c>
      <c r="XAH91" s="80"/>
      <c r="XAI91" s="81">
        <v>0.86944444444444446</v>
      </c>
      <c r="XAJ91" s="74" t="s">
        <v>27</v>
      </c>
      <c r="XAK91" s="74" t="s">
        <v>24</v>
      </c>
      <c r="XAL91" s="75" t="s">
        <v>25</v>
      </c>
      <c r="XAM91" s="76">
        <f>IFERROR(VLOOKUP(XAL91,'[1]List KPI'!$A$103:$F$118,6,0),"")</f>
        <v>1.0416666666666666E-2</v>
      </c>
      <c r="XAN91" s="76">
        <v>0.86944444444444446</v>
      </c>
      <c r="XAO91" s="76">
        <v>0.86944444444444446</v>
      </c>
      <c r="XAP91" s="77" t="str">
        <f t="shared" ref="XAP91:XCL91" si="499">IF(XAO91="","",IF(XAO91&gt;XAX91,"O","P"))</f>
        <v>O</v>
      </c>
      <c r="XAQ91" s="74" t="s">
        <v>28</v>
      </c>
      <c r="XAR91" s="75" t="s">
        <v>23</v>
      </c>
      <c r="XAS91" s="78">
        <f>IFERROR(VLOOKUP(XAR91,'[1]List KPI'!$M$3:$N$8,2,0),"")</f>
        <v>2.0833333333333332E-2</v>
      </c>
      <c r="XAT91" s="76">
        <v>0.89444444444444449</v>
      </c>
      <c r="XAU91" s="77" t="str">
        <f t="shared" ref="XAU91:XCQ91" si="500">IF(XAT91="","",IF(XAT91&gt;XAY91,"O","P"))</f>
        <v>O</v>
      </c>
      <c r="XAV91" s="79">
        <v>5</v>
      </c>
      <c r="XAW91" s="75">
        <v>1276006</v>
      </c>
      <c r="XAX91" s="80"/>
      <c r="XAY91" s="81">
        <v>0.86944444444444446</v>
      </c>
      <c r="XAZ91" s="74" t="s">
        <v>27</v>
      </c>
      <c r="XBA91" s="74" t="s">
        <v>24</v>
      </c>
      <c r="XBB91" s="75" t="s">
        <v>25</v>
      </c>
      <c r="XBC91" s="76">
        <f>IFERROR(VLOOKUP(XBB91,'[1]List KPI'!$A$103:$F$118,6,0),"")</f>
        <v>1.0416666666666666E-2</v>
      </c>
      <c r="XBD91" s="76">
        <v>0.86944444444444446</v>
      </c>
      <c r="XBE91" s="76">
        <v>0.86944444444444446</v>
      </c>
      <c r="XBF91" s="77" t="str">
        <f t="shared" si="499"/>
        <v>O</v>
      </c>
      <c r="XBG91" s="74" t="s">
        <v>28</v>
      </c>
      <c r="XBH91" s="75" t="s">
        <v>23</v>
      </c>
      <c r="XBI91" s="78">
        <f>IFERROR(VLOOKUP(XBH91,'[1]List KPI'!$M$3:$N$8,2,0),"")</f>
        <v>2.0833333333333332E-2</v>
      </c>
      <c r="XBJ91" s="76">
        <v>0.89444444444444449</v>
      </c>
      <c r="XBK91" s="77" t="str">
        <f t="shared" si="500"/>
        <v>O</v>
      </c>
      <c r="XBL91" s="79">
        <v>5</v>
      </c>
      <c r="XBM91" s="75">
        <v>1276006</v>
      </c>
      <c r="XBN91" s="80"/>
      <c r="XBO91" s="81">
        <v>0.86944444444444446</v>
      </c>
      <c r="XBP91" s="74" t="s">
        <v>27</v>
      </c>
      <c r="XBQ91" s="74" t="s">
        <v>24</v>
      </c>
      <c r="XBR91" s="75" t="s">
        <v>25</v>
      </c>
      <c r="XBS91" s="76">
        <f>IFERROR(VLOOKUP(XBR91,'[1]List KPI'!$A$103:$F$118,6,0),"")</f>
        <v>1.0416666666666666E-2</v>
      </c>
      <c r="XBT91" s="76">
        <v>0.86944444444444446</v>
      </c>
      <c r="XBU91" s="76">
        <v>0.86944444444444446</v>
      </c>
      <c r="XBV91" s="77" t="str">
        <f t="shared" si="499"/>
        <v>O</v>
      </c>
      <c r="XBW91" s="74" t="s">
        <v>28</v>
      </c>
      <c r="XBX91" s="75" t="s">
        <v>23</v>
      </c>
      <c r="XBY91" s="78">
        <f>IFERROR(VLOOKUP(XBX91,'[1]List KPI'!$M$3:$N$8,2,0),"")</f>
        <v>2.0833333333333332E-2</v>
      </c>
      <c r="XBZ91" s="76">
        <v>0.89444444444444449</v>
      </c>
      <c r="XCA91" s="77" t="str">
        <f t="shared" si="500"/>
        <v>O</v>
      </c>
      <c r="XCB91" s="79">
        <v>5</v>
      </c>
      <c r="XCC91" s="75">
        <v>1276006</v>
      </c>
      <c r="XCD91" s="80"/>
      <c r="XCE91" s="81">
        <v>0.86944444444444446</v>
      </c>
      <c r="XCF91" s="74" t="s">
        <v>27</v>
      </c>
      <c r="XCG91" s="74" t="s">
        <v>24</v>
      </c>
      <c r="XCH91" s="75" t="s">
        <v>25</v>
      </c>
      <c r="XCI91" s="76">
        <f>IFERROR(VLOOKUP(XCH91,'[1]List KPI'!$A$103:$F$118,6,0),"")</f>
        <v>1.0416666666666666E-2</v>
      </c>
      <c r="XCJ91" s="76">
        <v>0.86944444444444446</v>
      </c>
      <c r="XCK91" s="76">
        <v>0.86944444444444446</v>
      </c>
      <c r="XCL91" s="77" t="str">
        <f t="shared" si="499"/>
        <v>O</v>
      </c>
      <c r="XCM91" s="74" t="s">
        <v>28</v>
      </c>
      <c r="XCN91" s="75" t="s">
        <v>23</v>
      </c>
      <c r="XCO91" s="78">
        <f>IFERROR(VLOOKUP(XCN91,'[1]List KPI'!$M$3:$N$8,2,0),"")</f>
        <v>2.0833333333333332E-2</v>
      </c>
      <c r="XCP91" s="76">
        <v>0.89444444444444449</v>
      </c>
      <c r="XCQ91" s="77" t="str">
        <f t="shared" si="500"/>
        <v>O</v>
      </c>
      <c r="XCR91" s="79">
        <v>5</v>
      </c>
      <c r="XCS91" s="75">
        <v>1276006</v>
      </c>
      <c r="XCT91" s="80"/>
      <c r="XCU91" s="81">
        <v>0.86944444444444446</v>
      </c>
      <c r="XCV91" s="74" t="s">
        <v>27</v>
      </c>
      <c r="XCW91" s="74" t="s">
        <v>24</v>
      </c>
      <c r="XCX91" s="75" t="s">
        <v>25</v>
      </c>
      <c r="XCY91" s="76">
        <f>IFERROR(VLOOKUP(XCX91,'[1]List KPI'!$A$103:$F$118,6,0),"")</f>
        <v>1.0416666666666666E-2</v>
      </c>
      <c r="XCZ91" s="76">
        <v>0.86944444444444446</v>
      </c>
      <c r="XDA91" s="76">
        <v>0.86944444444444446</v>
      </c>
      <c r="XDB91" s="77" t="str">
        <f t="shared" ref="XDB91:XEH91" si="501">IF(XDA91="","",IF(XDA91&gt;XDJ91,"O","P"))</f>
        <v>O</v>
      </c>
      <c r="XDC91" s="74" t="s">
        <v>28</v>
      </c>
      <c r="XDD91" s="75" t="s">
        <v>23</v>
      </c>
      <c r="XDE91" s="78">
        <f>IFERROR(VLOOKUP(XDD91,'[1]List KPI'!$M$3:$N$8,2,0),"")</f>
        <v>2.0833333333333332E-2</v>
      </c>
      <c r="XDF91" s="76">
        <v>0.89444444444444449</v>
      </c>
      <c r="XDG91" s="77" t="str">
        <f t="shared" ref="XDG91:XEM91" si="502">IF(XDF91="","",IF(XDF91&gt;XDK91,"O","P"))</f>
        <v>O</v>
      </c>
      <c r="XDH91" s="79">
        <v>5</v>
      </c>
      <c r="XDI91" s="75">
        <v>1276006</v>
      </c>
      <c r="XDJ91" s="80"/>
      <c r="XDK91" s="81">
        <v>0.86944444444444446</v>
      </c>
      <c r="XDL91" s="74" t="s">
        <v>27</v>
      </c>
      <c r="XDM91" s="74" t="s">
        <v>24</v>
      </c>
      <c r="XDN91" s="75" t="s">
        <v>25</v>
      </c>
      <c r="XDO91" s="76">
        <f>IFERROR(VLOOKUP(XDN91,'[1]List KPI'!$A$103:$F$118,6,0),"")</f>
        <v>1.0416666666666666E-2</v>
      </c>
      <c r="XDP91" s="76">
        <v>0.86944444444444446</v>
      </c>
      <c r="XDQ91" s="76">
        <v>0.86944444444444446</v>
      </c>
      <c r="XDR91" s="77" t="str">
        <f t="shared" si="501"/>
        <v>O</v>
      </c>
      <c r="XDS91" s="74" t="s">
        <v>28</v>
      </c>
      <c r="XDT91" s="75" t="s">
        <v>23</v>
      </c>
      <c r="XDU91" s="78">
        <f>IFERROR(VLOOKUP(XDT91,'[1]List KPI'!$M$3:$N$8,2,0),"")</f>
        <v>2.0833333333333332E-2</v>
      </c>
      <c r="XDV91" s="76">
        <v>0.89444444444444449</v>
      </c>
      <c r="XDW91" s="77" t="str">
        <f t="shared" si="502"/>
        <v>O</v>
      </c>
      <c r="XDX91" s="79">
        <v>5</v>
      </c>
      <c r="XDY91" s="75">
        <v>1276006</v>
      </c>
      <c r="XDZ91" s="80"/>
      <c r="XEA91" s="81">
        <v>0.86944444444444446</v>
      </c>
      <c r="XEB91" s="74" t="s">
        <v>27</v>
      </c>
      <c r="XEC91" s="74" t="s">
        <v>24</v>
      </c>
      <c r="XED91" s="75" t="s">
        <v>25</v>
      </c>
      <c r="XEE91" s="76">
        <f>IFERROR(VLOOKUP(XED91,'[1]List KPI'!$A$103:$F$118,6,0),"")</f>
        <v>1.0416666666666666E-2</v>
      </c>
      <c r="XEF91" s="76">
        <v>0.86944444444444446</v>
      </c>
      <c r="XEG91" s="76">
        <v>0.86944444444444446</v>
      </c>
      <c r="XEH91" s="77" t="str">
        <f t="shared" si="501"/>
        <v>O</v>
      </c>
      <c r="XEI91" s="74" t="s">
        <v>28</v>
      </c>
      <c r="XEJ91" s="75" t="s">
        <v>23</v>
      </c>
      <c r="XEK91" s="78">
        <f>IFERROR(VLOOKUP(XEJ91,'[1]List KPI'!$M$3:$N$8,2,0),"")</f>
        <v>2.0833333333333332E-2</v>
      </c>
      <c r="XEL91" s="76">
        <v>0.89444444444444449</v>
      </c>
      <c r="XEM91" s="77" t="str">
        <f t="shared" si="502"/>
        <v>O</v>
      </c>
      <c r="XEN91" s="79">
        <v>5</v>
      </c>
      <c r="XEO91" s="75">
        <v>1276006</v>
      </c>
      <c r="XEP91" s="80"/>
      <c r="XEQ91" s="81">
        <v>0.86944444444444446</v>
      </c>
      <c r="XER91" s="74" t="s">
        <v>27</v>
      </c>
      <c r="XES91" s="74" t="s">
        <v>24</v>
      </c>
      <c r="XET91" s="75" t="s">
        <v>25</v>
      </c>
      <c r="XEU91" s="76">
        <f>IFERROR(VLOOKUP(XET91,'[1]List KPI'!$A$103:$F$118,6,0),"")</f>
        <v>1.0416666666666666E-2</v>
      </c>
      <c r="XEV91" s="76">
        <v>0.86944444444444446</v>
      </c>
      <c r="XEW91" s="76">
        <v>0.86944444444444446</v>
      </c>
      <c r="XEX91" s="77" t="e">
        <f t="shared" ref="XEX91" si="503">IF(XEW91="","",IF(XEW91&gt;#REF!,"O","P"))</f>
        <v>#REF!</v>
      </c>
      <c r="XEY91" s="74" t="s">
        <v>28</v>
      </c>
      <c r="XEZ91" s="75" t="s">
        <v>23</v>
      </c>
      <c r="XFA91" s="78">
        <f>IFERROR(VLOOKUP(XEZ91,'[1]List KPI'!$M$3:$N$8,2,0),"")</f>
        <v>2.0833333333333332E-2</v>
      </c>
      <c r="XFB91" s="76">
        <v>0.89444444444444449</v>
      </c>
      <c r="XFC91" s="77" t="e">
        <f t="shared" ref="XFC91" si="504">IF(XFB91="","",IF(XFB91&gt;#REF!,"O","P"))</f>
        <v>#REF!</v>
      </c>
    </row>
    <row r="92" spans="1:16383" ht="27" x14ac:dyDescent="0.4">
      <c r="A92" s="65"/>
      <c r="B92" s="65"/>
      <c r="C92" s="66"/>
      <c r="D92" s="66"/>
      <c r="E92" s="67"/>
      <c r="F92" s="68"/>
      <c r="G92" s="68"/>
      <c r="H92" s="66"/>
      <c r="I92" s="67"/>
      <c r="J92" s="67"/>
      <c r="K92" s="67"/>
      <c r="L92" s="66"/>
      <c r="M92" s="68"/>
      <c r="N92" s="66"/>
      <c r="O92" s="69"/>
      <c r="P92" s="67"/>
      <c r="Q92" s="66"/>
      <c r="R92" s="65"/>
      <c r="S92" s="70"/>
    </row>
    <row r="93" spans="1:16383" ht="27" x14ac:dyDescent="0.4">
      <c r="A93" s="65"/>
      <c r="B93" s="65"/>
      <c r="C93" s="66"/>
      <c r="D93" s="66"/>
      <c r="E93" s="67"/>
      <c r="F93" s="68"/>
      <c r="G93" s="68"/>
      <c r="H93" s="66"/>
      <c r="I93" s="67"/>
      <c r="J93" s="67"/>
      <c r="K93" s="67"/>
      <c r="L93" s="66"/>
      <c r="M93" s="68"/>
      <c r="N93" s="66"/>
      <c r="O93" s="69"/>
      <c r="P93" s="67"/>
      <c r="Q93" s="66"/>
      <c r="R93" s="65"/>
      <c r="S93" s="70"/>
    </row>
    <row r="94" spans="1:16383" ht="27" x14ac:dyDescent="0.4">
      <c r="A94" s="65"/>
      <c r="B94" s="65"/>
      <c r="C94" s="66"/>
      <c r="D94" s="66"/>
      <c r="E94" s="67"/>
      <c r="F94" s="68"/>
      <c r="G94" s="68"/>
      <c r="H94" s="66"/>
      <c r="I94" s="67"/>
      <c r="J94" s="67"/>
      <c r="K94" s="67"/>
      <c r="L94" s="66"/>
      <c r="M94" s="68"/>
      <c r="N94" s="66"/>
      <c r="O94" s="69"/>
      <c r="P94" s="67"/>
      <c r="Q94" s="66"/>
      <c r="R94" s="65"/>
      <c r="S94" s="70"/>
    </row>
    <row r="95" spans="1:16383" ht="27" x14ac:dyDescent="0.4">
      <c r="A95" s="65"/>
      <c r="B95" s="65"/>
      <c r="C95" s="66"/>
      <c r="D95" s="66"/>
      <c r="E95" s="67"/>
      <c r="F95" s="68"/>
      <c r="G95" s="68"/>
      <c r="H95" s="66"/>
      <c r="I95" s="67"/>
      <c r="J95" s="67"/>
      <c r="K95" s="67"/>
      <c r="L95" s="66"/>
      <c r="M95" s="68"/>
      <c r="N95" s="66"/>
      <c r="O95" s="69"/>
      <c r="P95" s="67"/>
      <c r="Q95" s="66"/>
      <c r="R95" s="65"/>
      <c r="S95" s="70"/>
    </row>
    <row r="96" spans="1:16383" ht="27" x14ac:dyDescent="0.4">
      <c r="A96" s="65"/>
      <c r="B96" s="65"/>
      <c r="C96" s="66"/>
      <c r="D96" s="66"/>
      <c r="E96" s="67"/>
      <c r="F96" s="68"/>
      <c r="G96" s="68"/>
      <c r="H96" s="66"/>
      <c r="I96" s="67"/>
      <c r="J96" s="67"/>
      <c r="K96" s="67"/>
      <c r="L96" s="66"/>
      <c r="M96" s="68"/>
      <c r="N96" s="66"/>
      <c r="O96" s="69"/>
      <c r="P96" s="67"/>
      <c r="Q96" s="66"/>
      <c r="R96" s="65"/>
      <c r="S96" s="70"/>
    </row>
    <row r="97" spans="1:19" ht="27" x14ac:dyDescent="0.4">
      <c r="A97" s="65"/>
      <c r="B97" s="65"/>
      <c r="C97" s="66"/>
      <c r="D97" s="66"/>
      <c r="E97" s="67"/>
      <c r="F97" s="68"/>
      <c r="G97" s="68"/>
      <c r="H97" s="66"/>
      <c r="I97" s="67"/>
      <c r="J97" s="67"/>
      <c r="K97" s="67"/>
      <c r="L97" s="66"/>
      <c r="M97" s="68"/>
      <c r="N97" s="66"/>
      <c r="O97" s="69"/>
      <c r="P97" s="67"/>
      <c r="Q97" s="66"/>
      <c r="R97" s="65"/>
      <c r="S97" s="70"/>
    </row>
    <row r="98" spans="1:19" ht="27" x14ac:dyDescent="0.4">
      <c r="A98" s="65"/>
      <c r="B98" s="65"/>
      <c r="C98" s="66"/>
      <c r="D98" s="66"/>
      <c r="E98" s="67"/>
      <c r="F98" s="68"/>
      <c r="G98" s="68"/>
      <c r="H98" s="66"/>
      <c r="I98" s="67"/>
      <c r="J98" s="67"/>
      <c r="K98" s="67"/>
      <c r="L98" s="66"/>
      <c r="M98" s="68"/>
      <c r="N98" s="66"/>
      <c r="O98" s="69"/>
      <c r="P98" s="67"/>
      <c r="Q98" s="66"/>
      <c r="R98" s="65"/>
      <c r="S98" s="70"/>
    </row>
    <row r="99" spans="1:19" ht="27" x14ac:dyDescent="0.4">
      <c r="A99" s="65"/>
      <c r="B99" s="65"/>
      <c r="C99" s="66"/>
      <c r="D99" s="66"/>
      <c r="E99" s="67"/>
      <c r="F99" s="68"/>
      <c r="G99" s="68"/>
      <c r="H99" s="66"/>
      <c r="I99" s="67"/>
      <c r="J99" s="67"/>
      <c r="K99" s="67"/>
      <c r="L99" s="66"/>
      <c r="M99" s="68"/>
      <c r="N99" s="66"/>
      <c r="O99" s="69"/>
      <c r="P99" s="67"/>
      <c r="Q99" s="66"/>
      <c r="R99" s="65"/>
      <c r="S99" s="70"/>
    </row>
    <row r="100" spans="1:19" ht="27" x14ac:dyDescent="0.4">
      <c r="A100" s="65"/>
      <c r="B100" s="65"/>
      <c r="C100" s="66"/>
      <c r="D100" s="66"/>
      <c r="E100" s="67"/>
      <c r="F100" s="68"/>
      <c r="G100" s="68"/>
      <c r="H100" s="66"/>
      <c r="I100" s="67"/>
      <c r="J100" s="67"/>
      <c r="K100" s="67"/>
      <c r="L100" s="66"/>
      <c r="M100" s="68"/>
      <c r="N100" s="66"/>
      <c r="O100" s="69"/>
      <c r="P100" s="67"/>
      <c r="Q100" s="66"/>
      <c r="R100" s="65"/>
      <c r="S100" s="70"/>
    </row>
    <row r="101" spans="1:19" ht="27" x14ac:dyDescent="0.4">
      <c r="A101" s="65"/>
      <c r="B101" s="65"/>
      <c r="C101" s="66"/>
      <c r="D101" s="66"/>
      <c r="E101" s="67"/>
      <c r="F101" s="68"/>
      <c r="G101" s="68"/>
      <c r="H101" s="66"/>
      <c r="I101" s="67"/>
      <c r="J101" s="67"/>
      <c r="K101" s="67"/>
      <c r="L101" s="66"/>
      <c r="M101" s="68"/>
      <c r="N101" s="66"/>
      <c r="O101" s="69"/>
      <c r="P101" s="67"/>
      <c r="Q101" s="66"/>
      <c r="R101" s="65"/>
      <c r="S101" s="70"/>
    </row>
    <row r="102" spans="1:19" ht="27" x14ac:dyDescent="0.4">
      <c r="A102" s="65"/>
      <c r="B102" s="65"/>
      <c r="C102" s="66"/>
      <c r="D102" s="66"/>
      <c r="E102" s="67"/>
      <c r="F102" s="68"/>
      <c r="G102" s="68"/>
      <c r="H102" s="66"/>
      <c r="I102" s="67"/>
      <c r="J102" s="67"/>
      <c r="K102" s="67"/>
      <c r="L102" s="66"/>
      <c r="M102" s="68"/>
      <c r="N102" s="66"/>
      <c r="O102" s="69"/>
      <c r="P102" s="67"/>
      <c r="Q102" s="66"/>
      <c r="R102" s="65"/>
      <c r="S102" s="70"/>
    </row>
    <row r="103" spans="1:19" ht="27" x14ac:dyDescent="0.4">
      <c r="A103" s="65"/>
      <c r="B103" s="65"/>
      <c r="C103" s="66"/>
      <c r="D103" s="66"/>
      <c r="E103" s="67"/>
      <c r="F103" s="68"/>
      <c r="G103" s="68"/>
      <c r="H103" s="66"/>
      <c r="I103" s="67"/>
      <c r="J103" s="67"/>
      <c r="K103" s="67"/>
      <c r="L103" s="66"/>
      <c r="M103" s="68"/>
      <c r="N103" s="66"/>
      <c r="O103" s="69"/>
      <c r="P103" s="67"/>
      <c r="Q103" s="66"/>
      <c r="R103" s="65"/>
      <c r="S103" s="70"/>
    </row>
    <row r="104" spans="1:19" ht="27" x14ac:dyDescent="0.4">
      <c r="A104" s="65"/>
      <c r="B104" s="65"/>
      <c r="C104" s="66"/>
      <c r="D104" s="66"/>
      <c r="E104" s="67"/>
      <c r="F104" s="68"/>
      <c r="G104" s="68"/>
      <c r="H104" s="66"/>
      <c r="I104" s="67"/>
      <c r="J104" s="67"/>
      <c r="K104" s="67"/>
      <c r="L104" s="66"/>
      <c r="M104" s="68"/>
      <c r="N104" s="66"/>
      <c r="O104" s="69"/>
      <c r="P104" s="67"/>
      <c r="Q104" s="66"/>
      <c r="R104" s="65"/>
      <c r="S104" s="70"/>
    </row>
    <row r="105" spans="1:19" ht="27" x14ac:dyDescent="0.4">
      <c r="A105" s="65"/>
      <c r="B105" s="65"/>
      <c r="C105" s="66"/>
      <c r="D105" s="66"/>
      <c r="E105" s="67"/>
      <c r="F105" s="68"/>
      <c r="G105" s="68"/>
      <c r="H105" s="66"/>
      <c r="I105" s="67"/>
      <c r="J105" s="67"/>
      <c r="K105" s="67"/>
      <c r="L105" s="66"/>
      <c r="M105" s="68"/>
      <c r="N105" s="66"/>
      <c r="O105" s="69"/>
      <c r="P105" s="67"/>
      <c r="Q105" s="66"/>
      <c r="R105" s="65"/>
      <c r="S105" s="70"/>
    </row>
    <row r="106" spans="1:19" ht="27" x14ac:dyDescent="0.4">
      <c r="A106" s="65"/>
      <c r="B106" s="65"/>
      <c r="C106" s="66"/>
      <c r="D106" s="66"/>
      <c r="E106" s="67"/>
      <c r="F106" s="68"/>
      <c r="G106" s="68"/>
      <c r="H106" s="66"/>
      <c r="I106" s="67"/>
      <c r="J106" s="67"/>
      <c r="K106" s="67"/>
      <c r="L106" s="66"/>
      <c r="M106" s="68"/>
      <c r="N106" s="66"/>
      <c r="O106" s="69"/>
      <c r="P106" s="67"/>
      <c r="Q106" s="66"/>
      <c r="R106" s="65"/>
      <c r="S106" s="70"/>
    </row>
    <row r="107" spans="1:19" ht="27" x14ac:dyDescent="0.4">
      <c r="A107" s="65"/>
      <c r="B107" s="65"/>
      <c r="C107" s="66"/>
      <c r="D107" s="66"/>
      <c r="E107" s="67"/>
      <c r="F107" s="68"/>
      <c r="G107" s="68"/>
      <c r="H107" s="66"/>
      <c r="I107" s="67"/>
      <c r="J107" s="67"/>
      <c r="K107" s="67"/>
      <c r="L107" s="66"/>
      <c r="M107" s="68"/>
      <c r="N107" s="66"/>
      <c r="O107" s="69"/>
      <c r="P107" s="67"/>
      <c r="Q107" s="66"/>
      <c r="R107" s="65"/>
      <c r="S107" s="70"/>
    </row>
    <row r="108" spans="1:19" ht="27" x14ac:dyDescent="0.4">
      <c r="A108" s="65"/>
      <c r="B108" s="65"/>
      <c r="C108" s="66"/>
      <c r="D108" s="66"/>
      <c r="E108" s="67"/>
      <c r="F108" s="68"/>
      <c r="G108" s="68"/>
      <c r="H108" s="66"/>
      <c r="I108" s="67"/>
      <c r="J108" s="67"/>
      <c r="K108" s="67"/>
      <c r="L108" s="66"/>
      <c r="M108" s="68"/>
      <c r="N108" s="66"/>
      <c r="O108" s="69"/>
      <c r="P108" s="67"/>
      <c r="Q108" s="66"/>
      <c r="R108" s="65"/>
      <c r="S108" s="70"/>
    </row>
    <row r="109" spans="1:19" ht="27" x14ac:dyDescent="0.4">
      <c r="A109" s="65"/>
      <c r="B109" s="65"/>
      <c r="C109" s="66"/>
      <c r="D109" s="66"/>
      <c r="E109" s="67"/>
      <c r="F109" s="68"/>
      <c r="G109" s="68"/>
      <c r="H109" s="66"/>
      <c r="I109" s="67"/>
      <c r="J109" s="67"/>
      <c r="K109" s="67"/>
      <c r="L109" s="66"/>
      <c r="M109" s="68"/>
      <c r="N109" s="66"/>
      <c r="O109" s="69"/>
      <c r="P109" s="67"/>
      <c r="Q109" s="66"/>
      <c r="R109" s="65"/>
      <c r="S109" s="70"/>
    </row>
    <row r="110" spans="1:19" ht="27" x14ac:dyDescent="0.4">
      <c r="A110" s="65"/>
      <c r="B110" s="65"/>
      <c r="C110" s="66"/>
      <c r="D110" s="66"/>
      <c r="E110" s="67"/>
      <c r="F110" s="68"/>
      <c r="G110" s="68"/>
      <c r="H110" s="66"/>
      <c r="I110" s="67"/>
      <c r="J110" s="67"/>
      <c r="K110" s="67"/>
      <c r="L110" s="66"/>
      <c r="M110" s="68"/>
      <c r="N110" s="66"/>
      <c r="O110" s="69"/>
      <c r="P110" s="67"/>
      <c r="Q110" s="66"/>
      <c r="R110" s="65"/>
      <c r="S110" s="70"/>
    </row>
    <row r="111" spans="1:19" ht="27" x14ac:dyDescent="0.4">
      <c r="A111" s="65"/>
      <c r="B111" s="65"/>
      <c r="C111" s="66"/>
      <c r="D111" s="66"/>
      <c r="E111" s="67"/>
      <c r="F111" s="68"/>
      <c r="G111" s="68"/>
      <c r="H111" s="66"/>
      <c r="I111" s="67"/>
      <c r="J111" s="67"/>
      <c r="K111" s="67"/>
      <c r="L111" s="66"/>
      <c r="M111" s="68"/>
      <c r="N111" s="66"/>
      <c r="O111" s="69"/>
      <c r="P111" s="67"/>
      <c r="Q111" s="66"/>
      <c r="R111" s="65"/>
      <c r="S111" s="70"/>
    </row>
    <row r="112" spans="1:19" ht="27" x14ac:dyDescent="0.4">
      <c r="A112" s="65"/>
      <c r="B112" s="65"/>
      <c r="C112" s="66"/>
      <c r="D112" s="66"/>
      <c r="E112" s="67"/>
      <c r="F112" s="68"/>
      <c r="G112" s="68"/>
      <c r="H112" s="66"/>
      <c r="I112" s="67"/>
      <c r="J112" s="67"/>
      <c r="K112" s="67"/>
      <c r="L112" s="66"/>
      <c r="M112" s="68"/>
      <c r="N112" s="66"/>
      <c r="O112" s="69"/>
      <c r="P112" s="67"/>
      <c r="Q112" s="66"/>
      <c r="R112" s="65"/>
      <c r="S112" s="70"/>
    </row>
    <row r="113" spans="1:19" ht="27" x14ac:dyDescent="0.4">
      <c r="A113" s="65"/>
      <c r="B113" s="65"/>
      <c r="C113" s="66"/>
      <c r="D113" s="66"/>
      <c r="E113" s="67"/>
      <c r="F113" s="68"/>
      <c r="G113" s="68"/>
      <c r="H113" s="66"/>
      <c r="I113" s="67"/>
      <c r="J113" s="67"/>
      <c r="K113" s="67"/>
      <c r="L113" s="66"/>
      <c r="M113" s="68"/>
      <c r="N113" s="66"/>
      <c r="O113" s="69"/>
      <c r="P113" s="67"/>
      <c r="Q113" s="66"/>
      <c r="R113" s="65"/>
      <c r="S113" s="70"/>
    </row>
    <row r="114" spans="1:19" ht="27" x14ac:dyDescent="0.4">
      <c r="A114" s="65"/>
      <c r="B114" s="65"/>
      <c r="C114" s="66"/>
      <c r="D114" s="66"/>
      <c r="E114" s="67"/>
      <c r="F114" s="68"/>
      <c r="G114" s="68"/>
      <c r="H114" s="66"/>
      <c r="I114" s="67"/>
      <c r="J114" s="67"/>
      <c r="K114" s="67"/>
      <c r="L114" s="66"/>
      <c r="M114" s="68"/>
      <c r="N114" s="66"/>
      <c r="O114" s="69"/>
      <c r="P114" s="67"/>
      <c r="Q114" s="66"/>
      <c r="R114" s="65"/>
      <c r="S114" s="70"/>
    </row>
    <row r="115" spans="1:19" ht="27" x14ac:dyDescent="0.4">
      <c r="A115" s="65"/>
      <c r="B115" s="65"/>
      <c r="C115" s="66"/>
      <c r="D115" s="66"/>
      <c r="E115" s="67"/>
      <c r="F115" s="68"/>
      <c r="G115" s="68"/>
      <c r="H115" s="66"/>
      <c r="I115" s="67"/>
      <c r="J115" s="67"/>
      <c r="K115" s="67"/>
      <c r="L115" s="66"/>
      <c r="M115" s="68"/>
      <c r="N115" s="66"/>
      <c r="O115" s="69"/>
      <c r="P115" s="67"/>
      <c r="Q115" s="66"/>
      <c r="R115" s="65"/>
      <c r="S115" s="70"/>
    </row>
    <row r="116" spans="1:19" ht="27" x14ac:dyDescent="0.4">
      <c r="A116" s="65"/>
      <c r="B116" s="65"/>
      <c r="C116" s="66"/>
      <c r="D116" s="66"/>
      <c r="E116" s="67"/>
      <c r="F116" s="68"/>
      <c r="G116" s="68"/>
      <c r="H116" s="66"/>
      <c r="I116" s="67"/>
      <c r="J116" s="67"/>
      <c r="K116" s="67"/>
      <c r="L116" s="66"/>
      <c r="M116" s="68"/>
      <c r="N116" s="66"/>
      <c r="O116" s="69"/>
      <c r="P116" s="67"/>
      <c r="Q116" s="66"/>
      <c r="R116" s="65"/>
      <c r="S116" s="70"/>
    </row>
    <row r="117" spans="1:19" ht="27" x14ac:dyDescent="0.4">
      <c r="A117" s="65"/>
      <c r="B117" s="65"/>
      <c r="C117" s="66"/>
      <c r="D117" s="66"/>
      <c r="E117" s="67"/>
      <c r="F117" s="68"/>
      <c r="G117" s="68"/>
      <c r="H117" s="66"/>
      <c r="I117" s="67"/>
      <c r="J117" s="67"/>
      <c r="K117" s="67"/>
      <c r="L117" s="66"/>
      <c r="M117" s="68"/>
      <c r="N117" s="66"/>
      <c r="O117" s="69"/>
      <c r="P117" s="67"/>
      <c r="Q117" s="66"/>
      <c r="R117" s="65"/>
      <c r="S117" s="70"/>
    </row>
    <row r="118" spans="1:19" ht="27" x14ac:dyDescent="0.4">
      <c r="A118" s="65"/>
      <c r="B118" s="65"/>
      <c r="C118" s="66"/>
      <c r="D118" s="66"/>
      <c r="E118" s="67"/>
      <c r="F118" s="68"/>
      <c r="G118" s="68"/>
      <c r="H118" s="66"/>
      <c r="I118" s="67"/>
      <c r="J118" s="67"/>
      <c r="K118" s="67"/>
      <c r="L118" s="66"/>
      <c r="M118" s="68"/>
      <c r="N118" s="66"/>
      <c r="O118" s="69"/>
      <c r="P118" s="67"/>
      <c r="Q118" s="66"/>
      <c r="R118" s="65"/>
      <c r="S118" s="70"/>
    </row>
    <row r="119" spans="1:19" ht="27" x14ac:dyDescent="0.4">
      <c r="A119" s="65"/>
      <c r="B119" s="65"/>
      <c r="C119" s="66"/>
      <c r="D119" s="66"/>
      <c r="E119" s="67"/>
      <c r="F119" s="68"/>
      <c r="G119" s="68"/>
      <c r="H119" s="66"/>
      <c r="I119" s="67"/>
      <c r="J119" s="67"/>
      <c r="K119" s="67"/>
      <c r="L119" s="66"/>
      <c r="M119" s="68"/>
      <c r="N119" s="66"/>
      <c r="O119" s="69"/>
      <c r="P119" s="67"/>
      <c r="Q119" s="66"/>
      <c r="R119" s="65"/>
      <c r="S119" s="70"/>
    </row>
    <row r="120" spans="1:19" ht="27" x14ac:dyDescent="0.4">
      <c r="A120" s="65"/>
      <c r="B120" s="65"/>
      <c r="C120" s="66"/>
      <c r="D120" s="66"/>
      <c r="E120" s="67"/>
      <c r="F120" s="68"/>
      <c r="G120" s="68"/>
      <c r="H120" s="66"/>
      <c r="I120" s="67"/>
      <c r="J120" s="67"/>
      <c r="K120" s="67"/>
      <c r="L120" s="66"/>
      <c r="M120" s="68"/>
      <c r="N120" s="66"/>
      <c r="O120" s="69"/>
      <c r="P120" s="67"/>
      <c r="Q120" s="66"/>
      <c r="R120" s="65"/>
      <c r="S120" s="70"/>
    </row>
    <row r="121" spans="1:19" ht="27" x14ac:dyDescent="0.4">
      <c r="A121" s="65"/>
      <c r="B121" s="65"/>
      <c r="C121" s="66"/>
      <c r="D121" s="66"/>
      <c r="E121" s="67"/>
      <c r="F121" s="68"/>
      <c r="G121" s="68"/>
      <c r="H121" s="66"/>
      <c r="I121" s="67"/>
      <c r="J121" s="67"/>
      <c r="K121" s="67"/>
      <c r="L121" s="66"/>
      <c r="M121" s="68"/>
      <c r="N121" s="66"/>
      <c r="O121" s="69"/>
      <c r="P121" s="67"/>
      <c r="Q121" s="66"/>
      <c r="R121" s="65"/>
      <c r="S121" s="70"/>
    </row>
    <row r="122" spans="1:19" ht="27" x14ac:dyDescent="0.4">
      <c r="A122" s="65"/>
      <c r="B122" s="65"/>
      <c r="C122" s="66"/>
      <c r="D122" s="66"/>
      <c r="E122" s="67"/>
      <c r="F122" s="68"/>
      <c r="G122" s="68"/>
      <c r="H122" s="66"/>
      <c r="I122" s="67"/>
      <c r="J122" s="67"/>
      <c r="K122" s="67"/>
      <c r="L122" s="66"/>
      <c r="M122" s="68"/>
      <c r="N122" s="66"/>
      <c r="O122" s="69"/>
      <c r="P122" s="67"/>
      <c r="Q122" s="66"/>
      <c r="R122" s="65"/>
      <c r="S122" s="70"/>
    </row>
    <row r="123" spans="1:19" ht="27" x14ac:dyDescent="0.4">
      <c r="A123" s="65"/>
      <c r="B123" s="65"/>
      <c r="C123" s="66"/>
      <c r="D123" s="66"/>
      <c r="E123" s="67"/>
      <c r="F123" s="68"/>
      <c r="G123" s="68"/>
      <c r="H123" s="66"/>
      <c r="I123" s="67"/>
      <c r="J123" s="67"/>
      <c r="K123" s="67"/>
      <c r="L123" s="66"/>
      <c r="M123" s="68"/>
      <c r="N123" s="66"/>
      <c r="O123" s="69"/>
      <c r="P123" s="67"/>
      <c r="Q123" s="66"/>
      <c r="R123" s="65"/>
      <c r="S123" s="68"/>
    </row>
    <row r="124" spans="1:19" ht="27" x14ac:dyDescent="0.4">
      <c r="A124" s="65"/>
      <c r="B124" s="65"/>
      <c r="C124" s="66"/>
      <c r="D124" s="66"/>
      <c r="E124" s="67"/>
      <c r="F124" s="68"/>
      <c r="G124" s="68"/>
      <c r="H124" s="66"/>
      <c r="I124" s="67"/>
      <c r="J124" s="67"/>
      <c r="K124" s="67"/>
      <c r="L124" s="66"/>
      <c r="M124" s="68"/>
      <c r="N124" s="66"/>
      <c r="O124" s="69"/>
      <c r="P124" s="67"/>
      <c r="Q124" s="66"/>
      <c r="R124" s="65"/>
      <c r="S124" s="70"/>
    </row>
    <row r="125" spans="1:19" ht="27" x14ac:dyDescent="0.4">
      <c r="A125" s="65"/>
      <c r="B125" s="65"/>
      <c r="C125" s="66"/>
      <c r="D125" s="66"/>
      <c r="E125" s="67"/>
      <c r="F125" s="68"/>
      <c r="G125" s="68"/>
      <c r="H125" s="66"/>
      <c r="I125" s="67"/>
      <c r="J125" s="67"/>
      <c r="K125" s="67"/>
      <c r="L125" s="66"/>
      <c r="M125" s="68"/>
      <c r="N125" s="66"/>
      <c r="O125" s="69"/>
      <c r="P125" s="67"/>
      <c r="Q125" s="66"/>
      <c r="R125" s="65"/>
      <c r="S125" s="70"/>
    </row>
    <row r="126" spans="1:19" ht="27" x14ac:dyDescent="0.4">
      <c r="A126" s="65"/>
      <c r="B126" s="65"/>
      <c r="C126" s="66"/>
      <c r="D126" s="66"/>
      <c r="E126" s="67"/>
      <c r="F126" s="68"/>
      <c r="G126" s="68"/>
      <c r="H126" s="66"/>
      <c r="I126" s="67"/>
      <c r="J126" s="67"/>
      <c r="K126" s="67"/>
      <c r="L126" s="66"/>
      <c r="M126" s="68"/>
      <c r="N126" s="66"/>
      <c r="O126" s="69"/>
      <c r="P126" s="67"/>
      <c r="Q126" s="66"/>
      <c r="R126" s="65"/>
      <c r="S126" s="70"/>
    </row>
    <row r="127" spans="1:19" ht="27" x14ac:dyDescent="0.4">
      <c r="A127" s="65"/>
      <c r="B127" s="65"/>
      <c r="C127" s="66"/>
      <c r="D127" s="66"/>
      <c r="E127" s="67"/>
      <c r="F127" s="68"/>
      <c r="G127" s="68"/>
      <c r="H127" s="66"/>
      <c r="I127" s="67"/>
      <c r="J127" s="67"/>
      <c r="K127" s="67"/>
      <c r="L127" s="66"/>
      <c r="M127" s="68"/>
      <c r="N127" s="66"/>
      <c r="O127" s="69"/>
      <c r="P127" s="67"/>
      <c r="Q127" s="66"/>
      <c r="R127" s="65"/>
      <c r="S127" s="70"/>
    </row>
    <row r="128" spans="1:19" ht="27" x14ac:dyDescent="0.4">
      <c r="A128" s="65"/>
      <c r="B128" s="65"/>
      <c r="C128" s="66"/>
      <c r="D128" s="66"/>
      <c r="E128" s="67"/>
      <c r="F128" s="68"/>
      <c r="G128" s="68"/>
      <c r="H128" s="66"/>
      <c r="I128" s="67"/>
      <c r="J128" s="67"/>
      <c r="K128" s="67"/>
      <c r="L128" s="66"/>
      <c r="M128" s="68"/>
      <c r="N128" s="66"/>
      <c r="O128" s="69"/>
      <c r="P128" s="67"/>
      <c r="Q128" s="66"/>
      <c r="R128" s="65"/>
      <c r="S128" s="68"/>
    </row>
    <row r="129" spans="1:19" ht="27" x14ac:dyDescent="0.4">
      <c r="A129" s="65"/>
      <c r="B129" s="65"/>
      <c r="C129" s="66"/>
      <c r="D129" s="66"/>
      <c r="E129" s="67"/>
      <c r="F129" s="68"/>
      <c r="G129" s="68"/>
      <c r="H129" s="66"/>
      <c r="I129" s="67"/>
      <c r="J129" s="67"/>
      <c r="K129" s="67"/>
      <c r="L129" s="66"/>
      <c r="M129" s="68"/>
      <c r="N129" s="66"/>
      <c r="O129" s="69"/>
      <c r="P129" s="67"/>
      <c r="Q129" s="66"/>
      <c r="R129" s="65"/>
      <c r="S129" s="68"/>
    </row>
    <row r="130" spans="1:19" ht="27" x14ac:dyDescent="0.4">
      <c r="A130" s="65"/>
      <c r="B130" s="65"/>
      <c r="C130" s="66"/>
      <c r="D130" s="66"/>
      <c r="E130" s="67"/>
      <c r="F130" s="68"/>
      <c r="G130" s="68"/>
      <c r="H130" s="66"/>
      <c r="I130" s="67"/>
      <c r="J130" s="67"/>
      <c r="K130" s="67"/>
      <c r="L130" s="66"/>
      <c r="M130" s="68"/>
      <c r="N130" s="66"/>
      <c r="O130" s="69"/>
      <c r="P130" s="67"/>
      <c r="Q130" s="66"/>
      <c r="R130" s="65"/>
      <c r="S130" s="68"/>
    </row>
    <row r="131" spans="1:19" ht="27" x14ac:dyDescent="0.4">
      <c r="A131" s="65"/>
      <c r="B131" s="65"/>
      <c r="C131" s="66"/>
      <c r="D131" s="66"/>
      <c r="E131" s="67"/>
      <c r="F131" s="68"/>
      <c r="G131" s="68"/>
      <c r="H131" s="66"/>
      <c r="I131" s="67"/>
      <c r="J131" s="67"/>
      <c r="K131" s="67"/>
      <c r="L131" s="66"/>
      <c r="M131" s="68"/>
      <c r="N131" s="66"/>
      <c r="O131" s="69"/>
      <c r="P131" s="67"/>
      <c r="Q131" s="66"/>
      <c r="R131" s="65"/>
      <c r="S131" s="68"/>
    </row>
    <row r="132" spans="1:19" ht="27" x14ac:dyDescent="0.4">
      <c r="A132" s="65"/>
      <c r="B132" s="65"/>
      <c r="C132" s="66"/>
      <c r="D132" s="66"/>
      <c r="E132" s="67"/>
      <c r="F132" s="68"/>
      <c r="G132" s="68"/>
      <c r="H132" s="66"/>
      <c r="I132" s="67"/>
      <c r="J132" s="67"/>
      <c r="K132" s="67"/>
      <c r="L132" s="66"/>
      <c r="M132" s="68"/>
      <c r="N132" s="66"/>
      <c r="O132" s="69"/>
      <c r="P132" s="67"/>
      <c r="Q132" s="66"/>
      <c r="R132" s="65"/>
      <c r="S132" s="68"/>
    </row>
    <row r="133" spans="1:19" ht="27" x14ac:dyDescent="0.4">
      <c r="A133" s="65"/>
      <c r="B133" s="65"/>
      <c r="C133" s="66"/>
      <c r="D133" s="66"/>
      <c r="E133" s="67"/>
      <c r="F133" s="68"/>
      <c r="G133" s="68"/>
      <c r="H133" s="66"/>
      <c r="I133" s="67"/>
      <c r="J133" s="67"/>
      <c r="K133" s="67"/>
      <c r="L133" s="66"/>
      <c r="M133" s="68"/>
      <c r="N133" s="66"/>
      <c r="O133" s="69"/>
      <c r="P133" s="67"/>
      <c r="Q133" s="66"/>
      <c r="R133" s="65"/>
      <c r="S133" s="68"/>
    </row>
    <row r="134" spans="1:19" ht="27" x14ac:dyDescent="0.4">
      <c r="A134" s="65"/>
      <c r="B134" s="65"/>
      <c r="C134" s="66"/>
      <c r="D134" s="66"/>
      <c r="E134" s="67"/>
      <c r="F134" s="68"/>
      <c r="G134" s="68"/>
      <c r="H134" s="66"/>
      <c r="I134" s="67"/>
      <c r="J134" s="67"/>
      <c r="K134" s="67"/>
      <c r="L134" s="66"/>
      <c r="M134" s="68"/>
      <c r="N134" s="66"/>
      <c r="O134" s="69"/>
      <c r="P134" s="67"/>
      <c r="Q134" s="66"/>
      <c r="R134" s="65"/>
      <c r="S134" s="68"/>
    </row>
    <row r="135" spans="1:19" ht="27" x14ac:dyDescent="0.4">
      <c r="A135" s="65"/>
      <c r="B135" s="65"/>
      <c r="C135" s="66"/>
      <c r="D135" s="66"/>
      <c r="E135" s="67"/>
      <c r="F135" s="68"/>
      <c r="G135" s="68"/>
      <c r="H135" s="66"/>
      <c r="I135" s="67"/>
      <c r="J135" s="67"/>
      <c r="K135" s="67"/>
      <c r="L135" s="66"/>
      <c r="M135" s="68"/>
      <c r="N135" s="66"/>
      <c r="O135" s="69"/>
      <c r="P135" s="67"/>
      <c r="Q135" s="66"/>
      <c r="R135" s="65"/>
      <c r="S135" s="68"/>
    </row>
    <row r="136" spans="1:19" ht="27" x14ac:dyDescent="0.4">
      <c r="A136" s="65"/>
      <c r="B136" s="65"/>
      <c r="C136" s="66"/>
      <c r="D136" s="66"/>
      <c r="E136" s="67"/>
      <c r="F136" s="68"/>
      <c r="G136" s="68"/>
      <c r="H136" s="66"/>
      <c r="I136" s="67"/>
      <c r="J136" s="67"/>
      <c r="K136" s="67"/>
      <c r="L136" s="66"/>
      <c r="M136" s="68"/>
      <c r="N136" s="66"/>
      <c r="O136" s="69"/>
      <c r="P136" s="67"/>
      <c r="Q136" s="66"/>
      <c r="R136" s="65"/>
      <c r="S136" s="68"/>
    </row>
    <row r="137" spans="1:19" ht="27" x14ac:dyDescent="0.4">
      <c r="A137" s="65"/>
      <c r="B137" s="65"/>
      <c r="C137" s="66"/>
      <c r="D137" s="66"/>
      <c r="E137" s="67"/>
      <c r="F137" s="68"/>
      <c r="G137" s="68"/>
      <c r="H137" s="66"/>
      <c r="I137" s="67"/>
      <c r="J137" s="67"/>
      <c r="K137" s="67"/>
      <c r="L137" s="66"/>
      <c r="M137" s="68"/>
      <c r="N137" s="66"/>
      <c r="O137" s="69"/>
      <c r="P137" s="67"/>
      <c r="Q137" s="66"/>
      <c r="R137" s="65"/>
      <c r="S137" s="68"/>
    </row>
    <row r="138" spans="1:19" ht="27" x14ac:dyDescent="0.4">
      <c r="A138" s="65"/>
      <c r="B138" s="65"/>
      <c r="C138" s="66"/>
      <c r="D138" s="66"/>
      <c r="E138" s="67"/>
      <c r="F138" s="68"/>
      <c r="G138" s="68"/>
      <c r="H138" s="66"/>
      <c r="I138" s="67"/>
      <c r="J138" s="67"/>
      <c r="K138" s="67"/>
      <c r="L138" s="66"/>
      <c r="M138" s="68"/>
      <c r="N138" s="66"/>
      <c r="O138" s="69"/>
      <c r="P138" s="67"/>
      <c r="Q138" s="66"/>
      <c r="R138" s="65"/>
      <c r="S138" s="68"/>
    </row>
    <row r="139" spans="1:19" ht="27" x14ac:dyDescent="0.4">
      <c r="A139" s="65"/>
      <c r="B139" s="65"/>
      <c r="C139" s="66"/>
      <c r="D139" s="66"/>
      <c r="E139" s="67"/>
      <c r="F139" s="68"/>
      <c r="G139" s="68"/>
      <c r="H139" s="66"/>
      <c r="I139" s="67"/>
      <c r="J139" s="67"/>
      <c r="K139" s="67"/>
      <c r="L139" s="66"/>
      <c r="M139" s="68"/>
      <c r="N139" s="66"/>
      <c r="O139" s="69"/>
      <c r="P139" s="67"/>
      <c r="Q139" s="66"/>
      <c r="R139" s="65"/>
      <c r="S139" s="68"/>
    </row>
    <row r="140" spans="1:19" ht="27" x14ac:dyDescent="0.4">
      <c r="A140" s="65"/>
      <c r="B140" s="65"/>
      <c r="C140" s="66"/>
      <c r="D140" s="66"/>
      <c r="E140" s="67"/>
      <c r="F140" s="68"/>
      <c r="G140" s="68"/>
      <c r="H140" s="66"/>
      <c r="I140" s="67"/>
      <c r="J140" s="67"/>
      <c r="K140" s="67"/>
      <c r="L140" s="66"/>
      <c r="M140" s="68"/>
      <c r="N140" s="66"/>
      <c r="O140" s="69"/>
      <c r="P140" s="67"/>
      <c r="Q140" s="66"/>
      <c r="R140" s="65"/>
      <c r="S140" s="68"/>
    </row>
    <row r="141" spans="1:19" ht="27" x14ac:dyDescent="0.4">
      <c r="A141" s="65"/>
      <c r="B141" s="65"/>
      <c r="C141" s="66"/>
      <c r="D141" s="66"/>
      <c r="E141" s="67"/>
      <c r="F141" s="68"/>
      <c r="G141" s="68"/>
      <c r="H141" s="66"/>
      <c r="I141" s="67"/>
      <c r="J141" s="67"/>
      <c r="K141" s="67"/>
      <c r="L141" s="66"/>
      <c r="M141" s="68"/>
      <c r="N141" s="66"/>
      <c r="O141" s="69"/>
      <c r="P141" s="67"/>
      <c r="Q141" s="66"/>
      <c r="R141" s="65"/>
      <c r="S141" s="68"/>
    </row>
    <row r="142" spans="1:19" ht="27" x14ac:dyDescent="0.4">
      <c r="A142" s="65"/>
      <c r="B142" s="65"/>
      <c r="C142" s="66"/>
      <c r="D142" s="66"/>
      <c r="E142" s="67"/>
      <c r="F142" s="68"/>
      <c r="G142" s="68"/>
      <c r="H142" s="66"/>
      <c r="I142" s="67"/>
      <c r="J142" s="67"/>
      <c r="K142" s="67"/>
      <c r="L142" s="66"/>
      <c r="M142" s="68"/>
      <c r="N142" s="66"/>
      <c r="O142" s="69"/>
      <c r="P142" s="67"/>
      <c r="Q142" s="66"/>
      <c r="R142" s="65"/>
      <c r="S142" s="70"/>
    </row>
    <row r="143" spans="1:19" ht="27" x14ac:dyDescent="0.4">
      <c r="A143" s="65"/>
      <c r="B143" s="65"/>
      <c r="C143" s="66"/>
      <c r="D143" s="66"/>
      <c r="E143" s="67"/>
      <c r="F143" s="68"/>
      <c r="G143" s="68"/>
      <c r="H143" s="66"/>
      <c r="I143" s="67"/>
      <c r="J143" s="67"/>
      <c r="K143" s="67"/>
      <c r="L143" s="66"/>
      <c r="M143" s="68"/>
      <c r="N143" s="66"/>
      <c r="O143" s="69"/>
      <c r="P143" s="67"/>
      <c r="Q143" s="66"/>
      <c r="R143" s="65"/>
      <c r="S143" s="70"/>
    </row>
    <row r="144" spans="1:19" ht="27" x14ac:dyDescent="0.4">
      <c r="A144" s="65"/>
      <c r="B144" s="65"/>
      <c r="C144" s="66"/>
      <c r="D144" s="66"/>
      <c r="E144" s="67"/>
      <c r="F144" s="68"/>
      <c r="G144" s="68"/>
      <c r="H144" s="66"/>
      <c r="I144" s="67"/>
      <c r="J144" s="67"/>
      <c r="K144" s="67"/>
      <c r="L144" s="66"/>
      <c r="M144" s="68"/>
      <c r="N144" s="66"/>
      <c r="O144" s="69"/>
      <c r="P144" s="67"/>
      <c r="Q144" s="66"/>
      <c r="R144" s="65"/>
      <c r="S144" s="68"/>
    </row>
    <row r="145" spans="1:25" ht="27" x14ac:dyDescent="0.4">
      <c r="A145" s="65"/>
      <c r="B145" s="65"/>
      <c r="C145" s="66"/>
      <c r="D145" s="66"/>
      <c r="E145" s="67"/>
      <c r="F145" s="68"/>
      <c r="G145" s="68"/>
      <c r="H145" s="66"/>
      <c r="I145" s="67"/>
      <c r="J145" s="67"/>
      <c r="K145" s="67"/>
      <c r="L145" s="66"/>
      <c r="M145" s="68"/>
      <c r="N145" s="66"/>
      <c r="O145" s="69"/>
      <c r="P145" s="67"/>
      <c r="Q145" s="66"/>
      <c r="R145" s="65"/>
      <c r="S145" s="68"/>
    </row>
    <row r="146" spans="1:25" ht="27" x14ac:dyDescent="0.4">
      <c r="A146" s="65"/>
      <c r="B146" s="65"/>
      <c r="C146" s="66"/>
      <c r="D146" s="66"/>
      <c r="E146" s="67"/>
      <c r="F146" s="68"/>
      <c r="G146" s="68"/>
      <c r="H146" s="66"/>
      <c r="I146" s="67"/>
      <c r="J146" s="67"/>
      <c r="K146" s="67"/>
      <c r="L146" s="66"/>
      <c r="M146" s="68"/>
      <c r="N146" s="66"/>
      <c r="O146" s="69"/>
      <c r="P146" s="67"/>
      <c r="Q146" s="66"/>
      <c r="R146" s="65"/>
      <c r="S146" s="68"/>
    </row>
    <row r="147" spans="1:25" ht="33" x14ac:dyDescent="0.4">
      <c r="A147" s="65"/>
      <c r="B147" s="65"/>
      <c r="C147" s="66"/>
      <c r="D147" s="66"/>
      <c r="E147" s="67"/>
      <c r="F147" s="68"/>
      <c r="G147" s="68"/>
      <c r="H147" s="66"/>
      <c r="I147" s="67"/>
      <c r="J147" s="67"/>
      <c r="K147" s="67"/>
      <c r="L147" s="66"/>
      <c r="M147" s="68"/>
      <c r="N147" s="66"/>
      <c r="O147" s="69"/>
      <c r="P147" s="67"/>
      <c r="Q147" s="66"/>
      <c r="R147" s="65"/>
      <c r="S147" s="68"/>
      <c r="U147" s="59">
        <v>144</v>
      </c>
      <c r="V147" s="60" t="s">
        <v>20</v>
      </c>
      <c r="W147" s="61" t="s">
        <v>18</v>
      </c>
      <c r="X147" s="61">
        <v>118</v>
      </c>
      <c r="Y147" s="62">
        <f>X147/U147</f>
        <v>0.81944444444444442</v>
      </c>
    </row>
    <row r="148" spans="1:25" ht="33" x14ac:dyDescent="0.4">
      <c r="A148" s="65"/>
      <c r="B148" s="65"/>
      <c r="C148" s="66"/>
      <c r="D148" s="66"/>
      <c r="E148" s="67"/>
      <c r="F148" s="68"/>
      <c r="G148" s="68"/>
      <c r="H148" s="66"/>
      <c r="I148" s="67"/>
      <c r="J148" s="67"/>
      <c r="K148" s="67"/>
      <c r="L148" s="66"/>
      <c r="M148" s="68"/>
      <c r="N148" s="66"/>
      <c r="O148" s="69"/>
      <c r="P148" s="67"/>
      <c r="Q148" s="66"/>
      <c r="R148" s="65"/>
      <c r="S148" s="68"/>
      <c r="U148" s="53"/>
      <c r="V148" s="53"/>
      <c r="W148" s="61" t="s">
        <v>19</v>
      </c>
      <c r="X148" s="61">
        <v>26</v>
      </c>
      <c r="Y148" s="62">
        <f>X148/U147</f>
        <v>0.18055555555555555</v>
      </c>
    </row>
    <row r="149" spans="1:25" ht="33" x14ac:dyDescent="0.4">
      <c r="A149" s="65"/>
      <c r="B149" s="65"/>
      <c r="C149" s="66"/>
      <c r="D149" s="66"/>
      <c r="E149" s="67"/>
      <c r="F149" s="68"/>
      <c r="G149" s="68"/>
      <c r="H149" s="66"/>
      <c r="I149" s="67"/>
      <c r="J149" s="67"/>
      <c r="K149" s="67"/>
      <c r="L149" s="66"/>
      <c r="M149" s="68"/>
      <c r="N149" s="66"/>
      <c r="O149" s="69"/>
      <c r="P149" s="67"/>
      <c r="Q149" s="66"/>
      <c r="R149" s="65"/>
      <c r="S149" s="68"/>
      <c r="U149" s="53"/>
      <c r="V149" s="60" t="s">
        <v>21</v>
      </c>
      <c r="W149" s="61" t="s">
        <v>18</v>
      </c>
      <c r="X149" s="61">
        <v>134</v>
      </c>
      <c r="Y149" s="62">
        <f>X149/U147</f>
        <v>0.93055555555555558</v>
      </c>
    </row>
    <row r="150" spans="1:25" ht="33" x14ac:dyDescent="0.4">
      <c r="A150" s="65"/>
      <c r="B150" s="65"/>
      <c r="C150" s="66"/>
      <c r="D150" s="66"/>
      <c r="E150" s="67"/>
      <c r="F150" s="68"/>
      <c r="G150" s="68"/>
      <c r="H150" s="66"/>
      <c r="I150" s="67"/>
      <c r="J150" s="67"/>
      <c r="K150" s="67"/>
      <c r="L150" s="66"/>
      <c r="M150" s="68"/>
      <c r="N150" s="66"/>
      <c r="O150" s="69"/>
      <c r="P150" s="67"/>
      <c r="Q150" s="66"/>
      <c r="R150" s="65"/>
      <c r="S150" s="68"/>
      <c r="U150" s="53"/>
      <c r="V150" s="53"/>
      <c r="W150" s="61" t="s">
        <v>19</v>
      </c>
      <c r="X150" s="61">
        <v>10</v>
      </c>
      <c r="Y150" s="62">
        <f>X150/U147</f>
        <v>6.9444444444444448E-2</v>
      </c>
    </row>
    <row r="151" spans="1:25" ht="33" x14ac:dyDescent="0.4">
      <c r="A151" s="65"/>
      <c r="B151" s="65"/>
      <c r="C151" s="66"/>
      <c r="D151" s="66"/>
      <c r="E151" s="67"/>
      <c r="F151" s="68"/>
      <c r="G151" s="68"/>
      <c r="H151" s="66"/>
      <c r="I151" s="67"/>
      <c r="J151" s="67"/>
      <c r="K151" s="67"/>
      <c r="L151" s="66"/>
      <c r="M151" s="68"/>
      <c r="N151" s="66"/>
      <c r="O151" s="69"/>
      <c r="P151" s="67"/>
      <c r="Q151" s="66"/>
      <c r="R151" s="65"/>
      <c r="S151" s="68"/>
      <c r="U151" s="53"/>
      <c r="V151" s="60" t="s">
        <v>22</v>
      </c>
      <c r="W151" s="61" t="s">
        <v>18</v>
      </c>
      <c r="X151" s="61">
        <v>135</v>
      </c>
      <c r="Y151" s="62">
        <f>X151/U147</f>
        <v>0.9375</v>
      </c>
    </row>
    <row r="152" spans="1:25" ht="30.75" x14ac:dyDescent="0.4">
      <c r="A152" s="65"/>
      <c r="B152" s="65"/>
      <c r="C152" s="66"/>
      <c r="D152" s="66"/>
      <c r="E152" s="67"/>
      <c r="F152" s="68"/>
      <c r="G152" s="68"/>
      <c r="H152" s="66"/>
      <c r="I152" s="67"/>
      <c r="J152" s="67"/>
      <c r="K152" s="67"/>
      <c r="L152" s="66"/>
      <c r="M152" s="68"/>
      <c r="N152" s="66"/>
      <c r="O152" s="69"/>
      <c r="P152" s="67"/>
      <c r="Q152" s="66"/>
      <c r="R152" s="65"/>
      <c r="S152" s="68"/>
      <c r="U152" s="56"/>
      <c r="V152" s="56"/>
      <c r="W152" s="61" t="s">
        <v>19</v>
      </c>
      <c r="X152" s="61">
        <v>9</v>
      </c>
      <c r="Y152" s="62">
        <f>X152/U147</f>
        <v>6.25E-2</v>
      </c>
    </row>
    <row r="153" spans="1:25" ht="27" x14ac:dyDescent="0.4">
      <c r="A153" s="65"/>
      <c r="B153" s="65"/>
      <c r="C153" s="66"/>
      <c r="D153" s="66"/>
      <c r="E153" s="67"/>
      <c r="F153" s="68"/>
      <c r="G153" s="68"/>
      <c r="H153" s="66"/>
      <c r="I153" s="67"/>
      <c r="J153" s="67"/>
      <c r="K153" s="67"/>
      <c r="L153" s="66"/>
      <c r="M153" s="68"/>
      <c r="N153" s="66"/>
      <c r="O153" s="69"/>
      <c r="P153" s="67"/>
      <c r="Q153" s="66"/>
      <c r="R153" s="65"/>
      <c r="S153" s="68"/>
    </row>
    <row r="154" spans="1:25" ht="27" x14ac:dyDescent="0.4">
      <c r="A154" s="65"/>
      <c r="B154" s="65"/>
      <c r="C154" s="66"/>
      <c r="D154" s="66"/>
      <c r="E154" s="67"/>
      <c r="F154" s="68"/>
      <c r="G154" s="68"/>
      <c r="H154" s="66"/>
      <c r="I154" s="67"/>
      <c r="J154" s="67"/>
      <c r="K154" s="67"/>
      <c r="L154" s="66"/>
      <c r="M154" s="68"/>
      <c r="N154" s="66"/>
      <c r="O154" s="69"/>
      <c r="P154" s="67"/>
      <c r="Q154" s="66"/>
      <c r="R154" s="65"/>
      <c r="S154" s="68"/>
    </row>
    <row r="155" spans="1:25" ht="27" x14ac:dyDescent="0.4">
      <c r="A155" s="65"/>
      <c r="B155" s="65"/>
      <c r="C155" s="66"/>
      <c r="D155" s="66"/>
      <c r="E155" s="67"/>
      <c r="F155" s="68"/>
      <c r="G155" s="68"/>
      <c r="H155" s="66"/>
      <c r="I155" s="67"/>
      <c r="J155" s="67"/>
      <c r="K155" s="67"/>
      <c r="L155" s="66"/>
      <c r="M155" s="68"/>
      <c r="N155" s="66"/>
      <c r="O155" s="69"/>
      <c r="P155" s="67"/>
      <c r="Q155" s="66"/>
      <c r="R155" s="65"/>
      <c r="S155" s="68"/>
    </row>
    <row r="156" spans="1:25" ht="33" x14ac:dyDescent="0.4">
      <c r="A156" s="65"/>
      <c r="B156" s="65"/>
      <c r="C156" s="66"/>
      <c r="D156" s="66"/>
      <c r="E156" s="67"/>
      <c r="F156" s="68"/>
      <c r="G156" s="68"/>
      <c r="H156" s="66"/>
      <c r="I156" s="67"/>
      <c r="J156" s="67"/>
      <c r="K156" s="67"/>
      <c r="L156" s="66"/>
      <c r="M156" s="68"/>
      <c r="N156" s="66"/>
      <c r="O156" s="69"/>
      <c r="P156" s="67"/>
      <c r="Q156" s="66"/>
      <c r="R156" s="65"/>
      <c r="S156" s="68"/>
      <c r="U156" s="59">
        <v>144</v>
      </c>
      <c r="V156" s="60" t="s">
        <v>20</v>
      </c>
      <c r="W156" s="61" t="s">
        <v>18</v>
      </c>
      <c r="X156" s="61">
        <v>118</v>
      </c>
      <c r="Y156" s="62">
        <f>X156/U156</f>
        <v>0.81944444444444442</v>
      </c>
    </row>
    <row r="157" spans="1:25" ht="33" x14ac:dyDescent="0.4">
      <c r="A157" s="65"/>
      <c r="B157" s="65"/>
      <c r="C157" s="66"/>
      <c r="D157" s="66"/>
      <c r="E157" s="67"/>
      <c r="F157" s="68"/>
      <c r="G157" s="68"/>
      <c r="H157" s="66"/>
      <c r="I157" s="67"/>
      <c r="J157" s="67"/>
      <c r="K157" s="67"/>
      <c r="L157" s="66"/>
      <c r="M157" s="68"/>
      <c r="N157" s="66"/>
      <c r="O157" s="69"/>
      <c r="P157" s="67"/>
      <c r="Q157" s="66"/>
      <c r="R157" s="65"/>
      <c r="S157" s="68"/>
      <c r="U157" s="53"/>
      <c r="V157" s="53"/>
      <c r="W157" s="61" t="s">
        <v>19</v>
      </c>
      <c r="X157" s="61">
        <v>26</v>
      </c>
      <c r="Y157" s="62">
        <f>X157/U156</f>
        <v>0.18055555555555555</v>
      </c>
    </row>
    <row r="158" spans="1:25" ht="33" x14ac:dyDescent="0.4">
      <c r="A158" s="65"/>
      <c r="B158" s="65"/>
      <c r="C158" s="66"/>
      <c r="D158" s="66"/>
      <c r="E158" s="67"/>
      <c r="F158" s="68"/>
      <c r="G158" s="68"/>
      <c r="H158" s="66"/>
      <c r="I158" s="67"/>
      <c r="J158" s="67"/>
      <c r="K158" s="67"/>
      <c r="L158" s="66"/>
      <c r="M158" s="68"/>
      <c r="N158" s="66"/>
      <c r="O158" s="69"/>
      <c r="P158" s="67"/>
      <c r="Q158" s="66"/>
      <c r="R158" s="65"/>
      <c r="S158" s="68"/>
      <c r="U158" s="53"/>
      <c r="V158" s="60" t="s">
        <v>21</v>
      </c>
      <c r="W158" s="61" t="s">
        <v>18</v>
      </c>
      <c r="X158" s="61">
        <v>134</v>
      </c>
      <c r="Y158" s="62">
        <f>X158/U156</f>
        <v>0.93055555555555558</v>
      </c>
    </row>
    <row r="159" spans="1:25" ht="33" x14ac:dyDescent="0.4">
      <c r="A159" s="65"/>
      <c r="B159" s="65"/>
      <c r="C159" s="66"/>
      <c r="D159" s="66"/>
      <c r="E159" s="67"/>
      <c r="F159" s="68"/>
      <c r="G159" s="68"/>
      <c r="H159" s="66"/>
      <c r="I159" s="67"/>
      <c r="J159" s="67"/>
      <c r="K159" s="67"/>
      <c r="L159" s="66"/>
      <c r="M159" s="68"/>
      <c r="N159" s="66"/>
      <c r="O159" s="69"/>
      <c r="P159" s="67"/>
      <c r="Q159" s="66"/>
      <c r="R159" s="65"/>
      <c r="S159" s="68"/>
      <c r="U159" s="53"/>
      <c r="V159" s="53"/>
      <c r="W159" s="61" t="s">
        <v>19</v>
      </c>
      <c r="X159" s="61">
        <v>10</v>
      </c>
      <c r="Y159" s="62">
        <f>X159/U156</f>
        <v>6.9444444444444448E-2</v>
      </c>
    </row>
    <row r="160" spans="1:25" ht="33" x14ac:dyDescent="0.4">
      <c r="A160" s="65"/>
      <c r="B160" s="65"/>
      <c r="C160" s="66"/>
      <c r="D160" s="66"/>
      <c r="E160" s="67"/>
      <c r="F160" s="68"/>
      <c r="G160" s="68"/>
      <c r="H160" s="66"/>
      <c r="I160" s="67"/>
      <c r="J160" s="67"/>
      <c r="K160" s="67"/>
      <c r="L160" s="66"/>
      <c r="M160" s="68"/>
      <c r="N160" s="66"/>
      <c r="O160" s="69"/>
      <c r="P160" s="67"/>
      <c r="Q160" s="66"/>
      <c r="R160" s="65"/>
      <c r="S160" s="68"/>
      <c r="U160" s="53"/>
      <c r="V160" s="60" t="s">
        <v>22</v>
      </c>
      <c r="W160" s="61" t="s">
        <v>18</v>
      </c>
      <c r="X160" s="61">
        <v>134</v>
      </c>
      <c r="Y160" s="62">
        <f>X160/U156</f>
        <v>0.93055555555555558</v>
      </c>
    </row>
    <row r="161" spans="1:25" ht="30.75" x14ac:dyDescent="0.4">
      <c r="A161" s="65"/>
      <c r="B161" s="65"/>
      <c r="C161" s="66"/>
      <c r="D161" s="66"/>
      <c r="E161" s="67"/>
      <c r="F161" s="68"/>
      <c r="G161" s="68"/>
      <c r="H161" s="66"/>
      <c r="I161" s="67"/>
      <c r="J161" s="67"/>
      <c r="K161" s="67"/>
      <c r="L161" s="66"/>
      <c r="M161" s="68"/>
      <c r="N161" s="66"/>
      <c r="O161" s="69"/>
      <c r="P161" s="67"/>
      <c r="Q161" s="66"/>
      <c r="R161" s="65"/>
      <c r="S161" s="68"/>
      <c r="U161" s="56"/>
      <c r="V161" s="56"/>
      <c r="W161" s="61" t="s">
        <v>19</v>
      </c>
      <c r="X161" s="61">
        <v>10</v>
      </c>
      <c r="Y161" s="62">
        <f>X161/U156</f>
        <v>6.9444444444444448E-2</v>
      </c>
    </row>
    <row r="162" spans="1:25" ht="27" x14ac:dyDescent="0.4">
      <c r="A162" s="65"/>
      <c r="B162" s="65"/>
      <c r="C162" s="66"/>
      <c r="D162" s="66"/>
      <c r="E162" s="67"/>
      <c r="F162" s="68"/>
      <c r="G162" s="68"/>
      <c r="H162" s="66"/>
      <c r="I162" s="67"/>
      <c r="J162" s="67"/>
      <c r="K162" s="67"/>
      <c r="L162" s="66"/>
      <c r="M162" s="68"/>
      <c r="N162" s="66"/>
      <c r="O162" s="69"/>
      <c r="P162" s="67"/>
      <c r="Q162" s="66"/>
      <c r="R162" s="65"/>
      <c r="S162" s="68"/>
    </row>
    <row r="163" spans="1:25" ht="27" x14ac:dyDescent="0.4">
      <c r="A163" s="65"/>
      <c r="B163" s="65"/>
      <c r="C163" s="66"/>
      <c r="D163" s="66"/>
      <c r="E163" s="67"/>
      <c r="F163" s="68"/>
      <c r="G163" s="68"/>
      <c r="H163" s="66"/>
      <c r="I163" s="67"/>
      <c r="J163" s="67"/>
      <c r="K163" s="67"/>
      <c r="L163" s="66"/>
      <c r="M163" s="68"/>
      <c r="N163" s="66"/>
      <c r="O163" s="69"/>
      <c r="P163" s="67"/>
      <c r="Q163" s="66"/>
      <c r="R163" s="65"/>
      <c r="S163" s="68"/>
    </row>
    <row r="164" spans="1:25" ht="27" x14ac:dyDescent="0.4">
      <c r="A164" s="65"/>
      <c r="B164" s="65"/>
      <c r="C164" s="66"/>
      <c r="D164" s="66"/>
      <c r="E164" s="67"/>
      <c r="F164" s="68"/>
      <c r="G164" s="68"/>
      <c r="H164" s="66"/>
      <c r="I164" s="67"/>
      <c r="J164" s="67"/>
      <c r="K164" s="67"/>
      <c r="L164" s="66"/>
      <c r="M164" s="68"/>
      <c r="N164" s="66"/>
      <c r="O164" s="69"/>
      <c r="P164" s="67"/>
      <c r="Q164" s="66"/>
      <c r="R164" s="65"/>
      <c r="S164" s="68"/>
    </row>
    <row r="165" spans="1:25" ht="27" x14ac:dyDescent="0.4">
      <c r="A165" s="65"/>
      <c r="B165" s="65"/>
      <c r="C165" s="66"/>
      <c r="D165" s="66"/>
      <c r="E165" s="67"/>
      <c r="F165" s="68"/>
      <c r="G165" s="68"/>
      <c r="H165" s="66"/>
      <c r="I165" s="67"/>
      <c r="J165" s="67"/>
      <c r="K165" s="67"/>
      <c r="L165" s="66"/>
      <c r="M165" s="68"/>
      <c r="N165" s="66"/>
      <c r="O165" s="69"/>
      <c r="P165" s="67"/>
      <c r="Q165" s="66"/>
      <c r="R165" s="65"/>
      <c r="S165" s="68"/>
    </row>
    <row r="166" spans="1:25" ht="27" x14ac:dyDescent="0.4">
      <c r="A166" s="65"/>
      <c r="B166" s="65"/>
      <c r="C166" s="66"/>
      <c r="D166" s="66"/>
      <c r="E166" s="67"/>
      <c r="F166" s="68"/>
      <c r="G166" s="68"/>
      <c r="H166" s="66"/>
      <c r="I166" s="67"/>
      <c r="J166" s="67"/>
      <c r="K166" s="67"/>
      <c r="L166" s="66"/>
      <c r="M166" s="68"/>
      <c r="N166" s="66"/>
      <c r="O166" s="69"/>
      <c r="P166" s="67"/>
      <c r="Q166" s="66"/>
      <c r="R166" s="65"/>
      <c r="S166" s="68"/>
    </row>
    <row r="167" spans="1:25" ht="27" x14ac:dyDescent="0.4">
      <c r="A167" s="65"/>
      <c r="B167" s="65"/>
      <c r="C167" s="66"/>
      <c r="D167" s="66"/>
      <c r="E167" s="67"/>
      <c r="F167" s="68"/>
      <c r="G167" s="68"/>
      <c r="H167" s="66"/>
      <c r="I167" s="67"/>
      <c r="J167" s="67"/>
      <c r="K167" s="67"/>
      <c r="L167" s="66"/>
      <c r="M167" s="68"/>
      <c r="N167" s="66"/>
      <c r="O167" s="69"/>
      <c r="P167" s="67"/>
      <c r="Q167" s="66"/>
      <c r="R167" s="65"/>
      <c r="S167" s="68"/>
    </row>
    <row r="168" spans="1:25" ht="27" x14ac:dyDescent="0.4">
      <c r="A168" s="65"/>
      <c r="B168" s="65"/>
      <c r="C168" s="66"/>
      <c r="D168" s="66"/>
      <c r="E168" s="67"/>
      <c r="F168" s="68"/>
      <c r="G168" s="68"/>
      <c r="H168" s="66"/>
      <c r="I168" s="67"/>
      <c r="J168" s="67"/>
      <c r="K168" s="67"/>
      <c r="L168" s="66"/>
      <c r="M168" s="68"/>
      <c r="N168" s="66"/>
      <c r="O168" s="69"/>
      <c r="P168" s="67"/>
      <c r="Q168" s="66"/>
      <c r="R168" s="65"/>
      <c r="S168" s="70"/>
    </row>
    <row r="169" spans="1:25" ht="27" x14ac:dyDescent="0.4">
      <c r="A169" s="65"/>
      <c r="B169" s="65"/>
      <c r="C169" s="66"/>
      <c r="D169" s="66"/>
      <c r="E169" s="67"/>
      <c r="F169" s="68"/>
      <c r="G169" s="68"/>
      <c r="H169" s="66"/>
      <c r="I169" s="67"/>
      <c r="J169" s="67"/>
      <c r="K169" s="67"/>
      <c r="L169" s="66"/>
      <c r="M169" s="68"/>
      <c r="N169" s="66"/>
      <c r="O169" s="69"/>
      <c r="P169" s="67"/>
      <c r="Q169" s="66"/>
      <c r="R169" s="65"/>
      <c r="S169" s="70"/>
    </row>
    <row r="170" spans="1:25" ht="27" x14ac:dyDescent="0.4">
      <c r="A170" s="65"/>
      <c r="B170" s="65"/>
      <c r="C170" s="66"/>
      <c r="D170" s="66"/>
      <c r="E170" s="67"/>
      <c r="F170" s="68"/>
      <c r="G170" s="68"/>
      <c r="H170" s="66"/>
      <c r="I170" s="67"/>
      <c r="J170" s="67"/>
      <c r="K170" s="67"/>
      <c r="L170" s="66"/>
      <c r="M170" s="68"/>
      <c r="N170" s="66"/>
      <c r="O170" s="69"/>
      <c r="P170" s="67"/>
      <c r="Q170" s="66"/>
      <c r="R170" s="65"/>
      <c r="S170" s="70"/>
    </row>
    <row r="171" spans="1:25" ht="27" x14ac:dyDescent="0.4">
      <c r="A171" s="65"/>
      <c r="B171" s="65"/>
      <c r="C171" s="66"/>
      <c r="D171" s="66"/>
      <c r="E171" s="67"/>
      <c r="F171" s="68"/>
      <c r="G171" s="68"/>
      <c r="H171" s="66"/>
      <c r="I171" s="67"/>
      <c r="J171" s="67"/>
      <c r="K171" s="67"/>
      <c r="L171" s="66"/>
      <c r="M171" s="68"/>
      <c r="N171" s="66"/>
      <c r="O171" s="69"/>
      <c r="P171" s="67"/>
      <c r="Q171" s="66"/>
      <c r="R171" s="65"/>
      <c r="S171" s="70"/>
    </row>
    <row r="172" spans="1:25" ht="27" x14ac:dyDescent="0.4">
      <c r="A172" s="65"/>
      <c r="B172" s="65"/>
      <c r="C172" s="66"/>
      <c r="D172" s="66"/>
      <c r="E172" s="67"/>
      <c r="F172" s="68"/>
      <c r="G172" s="68"/>
      <c r="H172" s="66"/>
      <c r="I172" s="67"/>
      <c r="J172" s="67"/>
      <c r="K172" s="67"/>
      <c r="L172" s="66"/>
      <c r="M172" s="68"/>
      <c r="N172" s="66"/>
      <c r="O172" s="69"/>
      <c r="P172" s="67"/>
      <c r="Q172" s="66"/>
      <c r="R172" s="65"/>
      <c r="S172" s="70"/>
    </row>
    <row r="173" spans="1:25" ht="27" x14ac:dyDescent="0.4">
      <c r="A173" s="65"/>
      <c r="B173" s="65"/>
      <c r="C173" s="66"/>
      <c r="D173" s="66"/>
      <c r="E173" s="67"/>
      <c r="F173" s="68"/>
      <c r="G173" s="68"/>
      <c r="H173" s="66"/>
      <c r="I173" s="67"/>
      <c r="J173" s="67"/>
      <c r="K173" s="67"/>
      <c r="L173" s="66"/>
      <c r="M173" s="68"/>
      <c r="N173" s="66"/>
      <c r="O173" s="69"/>
      <c r="P173" s="67"/>
      <c r="Q173" s="66"/>
      <c r="R173" s="65"/>
      <c r="S173" s="70"/>
    </row>
    <row r="174" spans="1:25" ht="27" x14ac:dyDescent="0.4">
      <c r="A174" s="65"/>
      <c r="B174" s="65"/>
      <c r="C174" s="66"/>
      <c r="D174" s="66"/>
      <c r="E174" s="67"/>
      <c r="F174" s="68"/>
      <c r="G174" s="68"/>
      <c r="H174" s="66"/>
      <c r="I174" s="67"/>
      <c r="J174" s="67"/>
      <c r="K174" s="67"/>
      <c r="L174" s="66"/>
      <c r="M174" s="68"/>
      <c r="N174" s="66"/>
      <c r="O174" s="69"/>
      <c r="P174" s="67"/>
      <c r="Q174" s="66"/>
      <c r="R174" s="65"/>
      <c r="S174" s="70"/>
    </row>
    <row r="175" spans="1:25" ht="27" x14ac:dyDescent="0.4">
      <c r="A175" s="65"/>
      <c r="B175" s="65"/>
      <c r="C175" s="66"/>
      <c r="D175" s="66"/>
      <c r="E175" s="67"/>
      <c r="F175" s="68"/>
      <c r="G175" s="68"/>
      <c r="H175" s="66"/>
      <c r="I175" s="67"/>
      <c r="J175" s="67"/>
      <c r="K175" s="67"/>
      <c r="L175" s="66"/>
      <c r="M175" s="68"/>
      <c r="N175" s="66"/>
      <c r="O175" s="69"/>
      <c r="P175" s="67"/>
      <c r="Q175" s="66"/>
      <c r="R175" s="65"/>
      <c r="S175" s="70"/>
    </row>
    <row r="176" spans="1:25" ht="27" x14ac:dyDescent="0.4">
      <c r="A176" s="65"/>
      <c r="B176" s="65"/>
      <c r="C176" s="66"/>
      <c r="D176" s="66"/>
      <c r="E176" s="67"/>
      <c r="F176" s="68"/>
      <c r="G176" s="68"/>
      <c r="H176" s="66"/>
      <c r="I176" s="67"/>
      <c r="J176" s="67"/>
      <c r="K176" s="67"/>
      <c r="L176" s="66"/>
      <c r="M176" s="68"/>
      <c r="N176" s="66"/>
      <c r="O176" s="69"/>
      <c r="P176" s="67"/>
      <c r="Q176" s="66"/>
      <c r="R176" s="65"/>
      <c r="S176" s="70"/>
    </row>
    <row r="177" spans="1:19" ht="27" x14ac:dyDescent="0.4">
      <c r="A177" s="65"/>
      <c r="B177" s="65"/>
      <c r="C177" s="66"/>
      <c r="D177" s="66"/>
      <c r="E177" s="67"/>
      <c r="F177" s="68"/>
      <c r="G177" s="68"/>
      <c r="H177" s="66"/>
      <c r="I177" s="67"/>
      <c r="J177" s="67"/>
      <c r="K177" s="67"/>
      <c r="L177" s="66"/>
      <c r="M177" s="68"/>
      <c r="N177" s="66"/>
      <c r="O177" s="69"/>
      <c r="P177" s="67"/>
      <c r="Q177" s="66"/>
      <c r="R177" s="65"/>
      <c r="S177" s="70"/>
    </row>
    <row r="178" spans="1:19" ht="27" x14ac:dyDescent="0.4">
      <c r="A178" s="65"/>
      <c r="B178" s="65"/>
      <c r="C178" s="66"/>
      <c r="D178" s="66"/>
      <c r="E178" s="67"/>
      <c r="F178" s="68"/>
      <c r="G178" s="68"/>
      <c r="H178" s="66"/>
      <c r="I178" s="67"/>
      <c r="J178" s="67"/>
      <c r="K178" s="67"/>
      <c r="L178" s="66"/>
      <c r="M178" s="68"/>
      <c r="N178" s="66"/>
      <c r="O178" s="69"/>
      <c r="P178" s="67"/>
      <c r="Q178" s="66"/>
      <c r="R178" s="65"/>
      <c r="S178" s="70"/>
    </row>
    <row r="179" spans="1:19" ht="27" x14ac:dyDescent="0.4">
      <c r="A179" s="65"/>
      <c r="B179" s="65"/>
      <c r="C179" s="66"/>
      <c r="D179" s="66"/>
      <c r="E179" s="67"/>
      <c r="F179" s="68"/>
      <c r="G179" s="68"/>
      <c r="H179" s="66"/>
      <c r="I179" s="67"/>
      <c r="J179" s="67"/>
      <c r="K179" s="67"/>
      <c r="L179" s="66"/>
      <c r="M179" s="68"/>
      <c r="N179" s="66"/>
      <c r="O179" s="69"/>
      <c r="P179" s="67"/>
      <c r="Q179" s="66"/>
      <c r="R179" s="65"/>
      <c r="S179" s="70"/>
    </row>
    <row r="180" spans="1:19" ht="27" x14ac:dyDescent="0.4">
      <c r="A180" s="65"/>
      <c r="B180" s="65"/>
      <c r="C180" s="66"/>
      <c r="D180" s="66"/>
      <c r="E180" s="67"/>
      <c r="F180" s="68"/>
      <c r="G180" s="68"/>
      <c r="H180" s="66"/>
      <c r="I180" s="67"/>
      <c r="J180" s="67"/>
      <c r="K180" s="67"/>
      <c r="L180" s="66"/>
      <c r="M180" s="68"/>
      <c r="N180" s="66"/>
      <c r="O180" s="69"/>
      <c r="P180" s="67"/>
      <c r="Q180" s="66"/>
      <c r="R180" s="65"/>
      <c r="S180" s="70"/>
    </row>
    <row r="181" spans="1:19" ht="27" x14ac:dyDescent="0.4">
      <c r="A181" s="65"/>
      <c r="B181" s="65"/>
      <c r="C181" s="66"/>
      <c r="D181" s="66"/>
      <c r="E181" s="67"/>
      <c r="F181" s="68"/>
      <c r="G181" s="68"/>
      <c r="H181" s="66"/>
      <c r="I181" s="67"/>
      <c r="J181" s="67"/>
      <c r="K181" s="67"/>
      <c r="L181" s="66"/>
      <c r="M181" s="68"/>
      <c r="N181" s="66"/>
      <c r="O181" s="69"/>
      <c r="P181" s="67"/>
      <c r="Q181" s="66"/>
      <c r="R181" s="65"/>
      <c r="S181" s="70"/>
    </row>
    <row r="182" spans="1:19" ht="27" x14ac:dyDescent="0.4">
      <c r="A182" s="65"/>
      <c r="B182" s="65"/>
      <c r="C182" s="66"/>
      <c r="D182" s="66"/>
      <c r="E182" s="67"/>
      <c r="F182" s="68"/>
      <c r="G182" s="68"/>
      <c r="H182" s="66"/>
      <c r="I182" s="67"/>
      <c r="J182" s="67"/>
      <c r="K182" s="67"/>
      <c r="L182" s="66"/>
      <c r="M182" s="68"/>
      <c r="N182" s="66"/>
      <c r="O182" s="69"/>
      <c r="P182" s="67"/>
      <c r="Q182" s="66"/>
      <c r="R182" s="65"/>
      <c r="S182" s="68"/>
    </row>
    <row r="183" spans="1:19" ht="27" x14ac:dyDescent="0.4">
      <c r="A183" s="65"/>
      <c r="B183" s="65"/>
      <c r="C183" s="66"/>
      <c r="D183" s="66"/>
      <c r="E183" s="67"/>
      <c r="F183" s="68"/>
      <c r="G183" s="68"/>
      <c r="H183" s="66"/>
      <c r="I183" s="67"/>
      <c r="J183" s="67"/>
      <c r="K183" s="67"/>
      <c r="L183" s="66"/>
      <c r="M183" s="68"/>
      <c r="N183" s="66"/>
      <c r="O183" s="69"/>
      <c r="P183" s="67"/>
      <c r="Q183" s="66"/>
      <c r="R183" s="65"/>
      <c r="S183" s="70"/>
    </row>
    <row r="184" spans="1:19" ht="27" x14ac:dyDescent="0.4">
      <c r="A184" s="65"/>
      <c r="B184" s="65"/>
      <c r="C184" s="66"/>
      <c r="D184" s="66"/>
      <c r="E184" s="67"/>
      <c r="F184" s="68"/>
      <c r="G184" s="68"/>
      <c r="H184" s="66"/>
      <c r="I184" s="67"/>
      <c r="J184" s="67"/>
      <c r="K184" s="67"/>
      <c r="L184" s="66"/>
      <c r="M184" s="68"/>
      <c r="N184" s="66"/>
      <c r="O184" s="69"/>
      <c r="P184" s="67"/>
      <c r="Q184" s="66"/>
      <c r="R184" s="65"/>
      <c r="S184" s="70"/>
    </row>
    <row r="185" spans="1:19" ht="27" x14ac:dyDescent="0.4">
      <c r="A185" s="65"/>
      <c r="B185" s="65"/>
      <c r="C185" s="66"/>
      <c r="D185" s="66"/>
      <c r="E185" s="67"/>
      <c r="F185" s="68"/>
      <c r="G185" s="68"/>
      <c r="H185" s="66"/>
      <c r="I185" s="67"/>
      <c r="J185" s="67"/>
      <c r="K185" s="67"/>
      <c r="L185" s="66"/>
      <c r="M185" s="68"/>
      <c r="N185" s="66"/>
      <c r="O185" s="69"/>
      <c r="P185" s="67"/>
      <c r="Q185" s="66"/>
      <c r="R185" s="65"/>
      <c r="S185" s="68"/>
    </row>
    <row r="186" spans="1:19" ht="27" x14ac:dyDescent="0.4">
      <c r="A186" s="65"/>
      <c r="B186" s="65"/>
      <c r="C186" s="66"/>
      <c r="D186" s="66"/>
      <c r="E186" s="67"/>
      <c r="F186" s="68"/>
      <c r="G186" s="68"/>
      <c r="H186" s="66"/>
      <c r="I186" s="67"/>
      <c r="J186" s="67"/>
      <c r="K186" s="67"/>
      <c r="L186" s="66"/>
      <c r="M186" s="68"/>
      <c r="N186" s="66"/>
      <c r="O186" s="69"/>
      <c r="P186" s="67"/>
      <c r="Q186" s="66"/>
      <c r="R186" s="65"/>
      <c r="S186" s="68"/>
    </row>
    <row r="187" spans="1:19" ht="27" x14ac:dyDescent="0.4">
      <c r="A187" s="65"/>
      <c r="B187" s="65"/>
      <c r="C187" s="66"/>
      <c r="D187" s="66"/>
      <c r="E187" s="67"/>
      <c r="F187" s="68"/>
      <c r="G187" s="68"/>
      <c r="H187" s="66"/>
      <c r="I187" s="67"/>
      <c r="J187" s="67"/>
      <c r="K187" s="67"/>
      <c r="L187" s="66"/>
      <c r="M187" s="68"/>
      <c r="N187" s="66"/>
      <c r="O187" s="69"/>
      <c r="P187" s="67"/>
      <c r="Q187" s="66"/>
      <c r="R187" s="65"/>
      <c r="S187" s="68"/>
    </row>
    <row r="188" spans="1:19" ht="27" x14ac:dyDescent="0.4">
      <c r="A188" s="65"/>
      <c r="B188" s="65"/>
      <c r="C188" s="66"/>
      <c r="D188" s="66"/>
      <c r="E188" s="67"/>
      <c r="F188" s="68"/>
      <c r="G188" s="68"/>
      <c r="H188" s="66"/>
      <c r="I188" s="67"/>
      <c r="J188" s="67"/>
      <c r="K188" s="67"/>
      <c r="L188" s="66"/>
      <c r="M188" s="68"/>
      <c r="N188" s="66"/>
      <c r="O188" s="69"/>
      <c r="P188" s="67"/>
      <c r="Q188" s="66"/>
      <c r="R188" s="65"/>
      <c r="S188" s="68"/>
    </row>
    <row r="189" spans="1:19" ht="27" x14ac:dyDescent="0.4">
      <c r="A189" s="65"/>
      <c r="B189" s="65"/>
      <c r="C189" s="66"/>
      <c r="D189" s="66"/>
      <c r="E189" s="67"/>
      <c r="F189" s="68"/>
      <c r="G189" s="68"/>
      <c r="H189" s="66"/>
      <c r="I189" s="67"/>
      <c r="J189" s="67"/>
      <c r="K189" s="67"/>
      <c r="L189" s="66"/>
      <c r="M189" s="68"/>
      <c r="N189" s="66"/>
      <c r="O189" s="69"/>
      <c r="P189" s="67"/>
      <c r="Q189" s="66"/>
      <c r="R189" s="65"/>
      <c r="S189" s="68"/>
    </row>
    <row r="190" spans="1:19" ht="27" x14ac:dyDescent="0.4">
      <c r="A190" s="65"/>
      <c r="B190" s="65"/>
      <c r="C190" s="66"/>
      <c r="D190" s="66"/>
      <c r="E190" s="67"/>
      <c r="F190" s="68"/>
      <c r="G190" s="68"/>
      <c r="H190" s="66"/>
      <c r="I190" s="67"/>
      <c r="J190" s="67"/>
      <c r="K190" s="67"/>
      <c r="L190" s="66"/>
      <c r="M190" s="68"/>
      <c r="N190" s="66"/>
      <c r="O190" s="69"/>
      <c r="P190" s="67"/>
      <c r="Q190" s="66"/>
      <c r="R190" s="65"/>
      <c r="S190" s="68"/>
    </row>
    <row r="191" spans="1:19" ht="27" x14ac:dyDescent="0.4">
      <c r="A191" s="65"/>
      <c r="B191" s="65"/>
      <c r="C191" s="66"/>
      <c r="D191" s="66"/>
      <c r="E191" s="67"/>
      <c r="F191" s="68"/>
      <c r="G191" s="68"/>
      <c r="H191" s="66"/>
      <c r="I191" s="67"/>
      <c r="J191" s="67"/>
      <c r="K191" s="67"/>
      <c r="L191" s="66"/>
      <c r="M191" s="68"/>
      <c r="N191" s="66"/>
      <c r="O191" s="69"/>
      <c r="P191" s="67"/>
      <c r="Q191" s="66"/>
      <c r="R191" s="65"/>
      <c r="S191" s="68"/>
    </row>
    <row r="192" spans="1:19" ht="27" x14ac:dyDescent="0.4">
      <c r="A192" s="65"/>
      <c r="B192" s="65"/>
      <c r="C192" s="66"/>
      <c r="D192" s="66"/>
      <c r="E192" s="67"/>
      <c r="F192" s="68"/>
      <c r="G192" s="68"/>
      <c r="H192" s="66"/>
      <c r="I192" s="67"/>
      <c r="J192" s="67"/>
      <c r="K192" s="67"/>
      <c r="L192" s="66"/>
      <c r="M192" s="68"/>
      <c r="N192" s="66"/>
      <c r="O192" s="69"/>
      <c r="P192" s="67"/>
      <c r="Q192" s="66"/>
      <c r="R192" s="65"/>
      <c r="S192" s="68"/>
    </row>
    <row r="193" spans="1:19" ht="27" x14ac:dyDescent="0.4">
      <c r="A193" s="65"/>
      <c r="B193" s="65"/>
      <c r="C193" s="66"/>
      <c r="D193" s="66"/>
      <c r="E193" s="67"/>
      <c r="F193" s="68"/>
      <c r="G193" s="68"/>
      <c r="H193" s="66"/>
      <c r="I193" s="67"/>
      <c r="J193" s="67"/>
      <c r="K193" s="67"/>
      <c r="L193" s="66"/>
      <c r="M193" s="68"/>
      <c r="N193" s="66"/>
      <c r="O193" s="69"/>
      <c r="P193" s="67"/>
      <c r="Q193" s="66"/>
      <c r="R193" s="65"/>
      <c r="S193" s="68"/>
    </row>
    <row r="194" spans="1:19" ht="27" x14ac:dyDescent="0.4">
      <c r="A194" s="65"/>
      <c r="B194" s="65"/>
      <c r="C194" s="66"/>
      <c r="D194" s="66"/>
      <c r="E194" s="67"/>
      <c r="F194" s="68"/>
      <c r="G194" s="68"/>
      <c r="H194" s="66"/>
      <c r="I194" s="67"/>
      <c r="J194" s="67"/>
      <c r="K194" s="67"/>
      <c r="L194" s="66"/>
      <c r="M194" s="68"/>
      <c r="N194" s="66"/>
      <c r="O194" s="69"/>
      <c r="P194" s="67"/>
      <c r="Q194" s="66"/>
      <c r="R194" s="65"/>
      <c r="S194" s="68"/>
    </row>
    <row r="195" spans="1:19" ht="27" x14ac:dyDescent="0.4">
      <c r="A195" s="65"/>
      <c r="B195" s="65"/>
      <c r="C195" s="66"/>
      <c r="D195" s="66"/>
      <c r="E195" s="67"/>
      <c r="F195" s="68"/>
      <c r="G195" s="68"/>
      <c r="H195" s="66"/>
      <c r="I195" s="67"/>
      <c r="J195" s="67"/>
      <c r="K195" s="67"/>
      <c r="L195" s="66"/>
      <c r="M195" s="68"/>
      <c r="N195" s="66"/>
      <c r="O195" s="69"/>
      <c r="P195" s="67"/>
      <c r="Q195" s="66"/>
      <c r="R195" s="65"/>
      <c r="S195" s="68"/>
    </row>
    <row r="196" spans="1:19" ht="27" x14ac:dyDescent="0.4">
      <c r="A196" s="65"/>
      <c r="B196" s="65"/>
      <c r="C196" s="66"/>
      <c r="D196" s="66"/>
      <c r="E196" s="67"/>
      <c r="F196" s="68"/>
      <c r="G196" s="68"/>
      <c r="H196" s="66"/>
      <c r="I196" s="67"/>
      <c r="J196" s="67"/>
      <c r="K196" s="67"/>
      <c r="L196" s="66"/>
      <c r="M196" s="68"/>
      <c r="N196" s="66"/>
      <c r="O196" s="69"/>
      <c r="P196" s="67"/>
      <c r="Q196" s="66"/>
      <c r="R196" s="65"/>
      <c r="S196" s="68"/>
    </row>
    <row r="197" spans="1:19" ht="27" x14ac:dyDescent="0.4">
      <c r="A197" s="65"/>
      <c r="B197" s="65"/>
      <c r="C197" s="66"/>
      <c r="D197" s="66"/>
      <c r="E197" s="67"/>
      <c r="F197" s="68"/>
      <c r="G197" s="68"/>
      <c r="H197" s="66"/>
      <c r="I197" s="67"/>
      <c r="J197" s="67"/>
      <c r="K197" s="67"/>
      <c r="L197" s="66"/>
      <c r="M197" s="68"/>
      <c r="N197" s="66"/>
      <c r="O197" s="69"/>
      <c r="P197" s="67"/>
      <c r="Q197" s="66"/>
      <c r="R197" s="65"/>
      <c r="S197" s="68"/>
    </row>
    <row r="198" spans="1:19" ht="27" x14ac:dyDescent="0.4">
      <c r="A198" s="65"/>
      <c r="B198" s="65"/>
      <c r="C198" s="66"/>
      <c r="D198" s="66"/>
      <c r="E198" s="67"/>
      <c r="F198" s="68"/>
      <c r="G198" s="68"/>
      <c r="H198" s="66"/>
      <c r="I198" s="67"/>
      <c r="J198" s="67"/>
      <c r="K198" s="67"/>
      <c r="L198" s="66"/>
      <c r="M198" s="68"/>
      <c r="N198" s="66"/>
      <c r="O198" s="69"/>
      <c r="P198" s="67"/>
      <c r="Q198" s="66"/>
      <c r="R198" s="65"/>
      <c r="S198" s="68"/>
    </row>
    <row r="199" spans="1:19" ht="27" x14ac:dyDescent="0.4">
      <c r="A199" s="65"/>
      <c r="B199" s="65"/>
      <c r="C199" s="66"/>
      <c r="D199" s="66"/>
      <c r="E199" s="67"/>
      <c r="F199" s="68"/>
      <c r="G199" s="68"/>
      <c r="H199" s="66"/>
      <c r="I199" s="67"/>
      <c r="J199" s="67"/>
      <c r="K199" s="67"/>
      <c r="L199" s="66"/>
      <c r="M199" s="68"/>
      <c r="N199" s="66"/>
      <c r="O199" s="69"/>
      <c r="P199" s="67"/>
      <c r="Q199" s="66"/>
      <c r="R199" s="65"/>
      <c r="S199" s="68"/>
    </row>
    <row r="200" spans="1:19" ht="27" x14ac:dyDescent="0.4">
      <c r="A200" s="65"/>
      <c r="B200" s="65"/>
      <c r="C200" s="66"/>
      <c r="D200" s="66"/>
      <c r="E200" s="67"/>
      <c r="F200" s="68"/>
      <c r="G200" s="68"/>
      <c r="H200" s="66"/>
      <c r="I200" s="67"/>
      <c r="J200" s="67"/>
      <c r="K200" s="67"/>
      <c r="L200" s="66"/>
      <c r="M200" s="68"/>
      <c r="N200" s="66"/>
      <c r="O200" s="69"/>
      <c r="P200" s="67"/>
      <c r="Q200" s="66"/>
      <c r="R200" s="65"/>
      <c r="S200" s="68"/>
    </row>
    <row r="201" spans="1:19" ht="27" x14ac:dyDescent="0.4">
      <c r="A201" s="65"/>
      <c r="B201" s="65"/>
      <c r="C201" s="66"/>
      <c r="D201" s="66"/>
      <c r="E201" s="67"/>
      <c r="F201" s="68"/>
      <c r="G201" s="68"/>
      <c r="H201" s="66"/>
      <c r="I201" s="67"/>
      <c r="J201" s="67"/>
      <c r="K201" s="67"/>
      <c r="L201" s="66"/>
      <c r="M201" s="68"/>
      <c r="N201" s="66"/>
      <c r="O201" s="69"/>
      <c r="P201" s="67"/>
      <c r="Q201" s="66"/>
      <c r="R201" s="65"/>
      <c r="S201" s="68"/>
    </row>
    <row r="202" spans="1:19" ht="27" x14ac:dyDescent="0.4">
      <c r="A202" s="65"/>
      <c r="B202" s="65"/>
      <c r="C202" s="66"/>
      <c r="D202" s="66"/>
      <c r="E202" s="67"/>
      <c r="F202" s="68"/>
      <c r="G202" s="68"/>
      <c r="H202" s="66"/>
      <c r="I202" s="67"/>
      <c r="J202" s="67"/>
      <c r="K202" s="67"/>
      <c r="L202" s="66"/>
      <c r="M202" s="68"/>
      <c r="N202" s="66"/>
      <c r="O202" s="69"/>
      <c r="P202" s="67"/>
      <c r="Q202" s="66"/>
      <c r="R202" s="65"/>
      <c r="S202" s="68"/>
    </row>
    <row r="203" spans="1:19" ht="27" x14ac:dyDescent="0.4">
      <c r="A203" s="65"/>
      <c r="B203" s="65"/>
      <c r="C203" s="66"/>
      <c r="D203" s="66"/>
      <c r="E203" s="67"/>
      <c r="F203" s="68"/>
      <c r="G203" s="68"/>
      <c r="H203" s="66"/>
      <c r="I203" s="67"/>
      <c r="J203" s="67"/>
      <c r="K203" s="67"/>
      <c r="L203" s="66"/>
      <c r="M203" s="68"/>
      <c r="N203" s="66"/>
      <c r="O203" s="69"/>
      <c r="P203" s="67"/>
      <c r="Q203" s="66"/>
      <c r="R203" s="65"/>
      <c r="S203" s="68"/>
    </row>
    <row r="204" spans="1:19" ht="27" x14ac:dyDescent="0.4">
      <c r="A204" s="65"/>
      <c r="B204" s="65"/>
      <c r="C204" s="66"/>
      <c r="D204" s="66"/>
      <c r="E204" s="67"/>
      <c r="F204" s="68"/>
      <c r="G204" s="68"/>
      <c r="H204" s="66"/>
      <c r="I204" s="67"/>
      <c r="J204" s="67"/>
      <c r="K204" s="67"/>
      <c r="L204" s="66"/>
      <c r="M204" s="68"/>
      <c r="N204" s="66"/>
      <c r="O204" s="69"/>
      <c r="P204" s="67"/>
      <c r="Q204" s="66"/>
      <c r="R204" s="65"/>
      <c r="S204" s="68"/>
    </row>
    <row r="205" spans="1:19" ht="27" x14ac:dyDescent="0.4">
      <c r="A205" s="65"/>
      <c r="B205" s="65"/>
      <c r="C205" s="66"/>
      <c r="D205" s="66"/>
      <c r="E205" s="67"/>
      <c r="F205" s="68"/>
      <c r="G205" s="68"/>
      <c r="H205" s="66"/>
      <c r="I205" s="67"/>
      <c r="J205" s="67"/>
      <c r="K205" s="67"/>
      <c r="L205" s="66"/>
      <c r="M205" s="68"/>
      <c r="N205" s="66"/>
      <c r="O205" s="69"/>
      <c r="P205" s="67"/>
      <c r="Q205" s="66"/>
      <c r="R205" s="65"/>
      <c r="S205" s="68"/>
    </row>
    <row r="206" spans="1:19" ht="27" x14ac:dyDescent="0.4">
      <c r="A206" s="65"/>
      <c r="B206" s="65"/>
      <c r="C206" s="66"/>
      <c r="D206" s="66"/>
      <c r="E206" s="67"/>
      <c r="F206" s="68"/>
      <c r="G206" s="68"/>
      <c r="H206" s="66"/>
      <c r="I206" s="67"/>
      <c r="J206" s="67"/>
      <c r="K206" s="67"/>
      <c r="L206" s="66"/>
      <c r="M206" s="68"/>
      <c r="N206" s="66"/>
      <c r="O206" s="69"/>
      <c r="P206" s="67"/>
      <c r="Q206" s="66"/>
      <c r="R206" s="65"/>
      <c r="S206" s="68"/>
    </row>
    <row r="207" spans="1:19" ht="27" x14ac:dyDescent="0.4">
      <c r="A207" s="65"/>
      <c r="B207" s="65"/>
      <c r="C207" s="66"/>
      <c r="D207" s="66"/>
      <c r="E207" s="67"/>
      <c r="F207" s="68"/>
      <c r="G207" s="68"/>
      <c r="H207" s="66"/>
      <c r="I207" s="67"/>
      <c r="J207" s="67"/>
      <c r="K207" s="67"/>
      <c r="L207" s="66"/>
      <c r="M207" s="68"/>
      <c r="N207" s="66"/>
      <c r="O207" s="69"/>
      <c r="P207" s="67"/>
      <c r="Q207" s="66"/>
      <c r="R207" s="65"/>
      <c r="S207" s="68"/>
    </row>
    <row r="208" spans="1:19" ht="27" x14ac:dyDescent="0.4">
      <c r="A208" s="65"/>
      <c r="B208" s="65"/>
      <c r="C208" s="66"/>
      <c r="D208" s="66"/>
      <c r="E208" s="67"/>
      <c r="F208" s="68"/>
      <c r="G208" s="68"/>
      <c r="H208" s="66"/>
      <c r="I208" s="67"/>
      <c r="J208" s="67"/>
      <c r="K208" s="67"/>
      <c r="L208" s="66"/>
      <c r="M208" s="68"/>
      <c r="N208" s="66"/>
      <c r="O208" s="69"/>
      <c r="P208" s="67"/>
      <c r="Q208" s="66"/>
      <c r="R208" s="65"/>
      <c r="S208" s="68"/>
    </row>
    <row r="209" spans="1:19" ht="27" x14ac:dyDescent="0.4">
      <c r="A209" s="65"/>
      <c r="B209" s="65"/>
      <c r="C209" s="66"/>
      <c r="D209" s="66"/>
      <c r="E209" s="67"/>
      <c r="F209" s="68"/>
      <c r="G209" s="68"/>
      <c r="H209" s="66"/>
      <c r="I209" s="67"/>
      <c r="J209" s="67"/>
      <c r="K209" s="67"/>
      <c r="L209" s="66"/>
      <c r="M209" s="68"/>
      <c r="N209" s="66"/>
      <c r="O209" s="69"/>
      <c r="P209" s="67"/>
      <c r="Q209" s="66"/>
      <c r="R209" s="65"/>
      <c r="S209" s="68"/>
    </row>
    <row r="210" spans="1:19" ht="27" x14ac:dyDescent="0.4">
      <c r="A210" s="65"/>
      <c r="B210" s="65"/>
      <c r="C210" s="66"/>
      <c r="D210" s="66"/>
      <c r="E210" s="67"/>
      <c r="F210" s="68"/>
      <c r="G210" s="68"/>
      <c r="H210" s="66"/>
      <c r="I210" s="67"/>
      <c r="J210" s="67"/>
      <c r="K210" s="67"/>
      <c r="L210" s="66"/>
      <c r="M210" s="68"/>
      <c r="N210" s="66"/>
      <c r="O210" s="69"/>
      <c r="P210" s="67"/>
      <c r="Q210" s="66"/>
      <c r="R210" s="65"/>
      <c r="S210" s="68"/>
    </row>
    <row r="211" spans="1:19" ht="27" x14ac:dyDescent="0.4">
      <c r="A211" s="65"/>
      <c r="B211" s="65"/>
      <c r="C211" s="125"/>
      <c r="D211" s="125"/>
      <c r="E211" s="126"/>
      <c r="F211" s="127"/>
      <c r="G211" s="127"/>
      <c r="H211" s="125"/>
      <c r="I211" s="126"/>
      <c r="J211" s="126"/>
      <c r="K211" s="126"/>
      <c r="L211" s="125"/>
      <c r="M211" s="127"/>
      <c r="N211" s="125"/>
      <c r="O211" s="128"/>
      <c r="P211" s="126"/>
      <c r="Q211" s="125"/>
      <c r="R211" s="65"/>
      <c r="S211" s="68"/>
    </row>
    <row r="212" spans="1:19" ht="27" x14ac:dyDescent="0.4">
      <c r="A212" s="65"/>
      <c r="B212" s="65"/>
      <c r="C212" s="125"/>
      <c r="D212" s="125"/>
      <c r="E212" s="126"/>
      <c r="F212" s="127"/>
      <c r="G212" s="127"/>
      <c r="H212" s="125"/>
      <c r="I212" s="126"/>
      <c r="J212" s="126"/>
      <c r="K212" s="126"/>
      <c r="L212" s="125"/>
      <c r="M212" s="127"/>
      <c r="N212" s="125"/>
      <c r="O212" s="128"/>
      <c r="P212" s="126"/>
      <c r="Q212" s="125"/>
      <c r="R212" s="65"/>
      <c r="S212" s="68"/>
    </row>
    <row r="213" spans="1:19" ht="27" x14ac:dyDescent="0.4">
      <c r="A213" s="65"/>
      <c r="B213" s="65"/>
      <c r="C213" s="125"/>
      <c r="D213" s="125"/>
      <c r="E213" s="126"/>
      <c r="F213" s="127"/>
      <c r="G213" s="127"/>
      <c r="H213" s="125"/>
      <c r="I213" s="126"/>
      <c r="J213" s="126"/>
      <c r="K213" s="126"/>
      <c r="L213" s="125"/>
      <c r="M213" s="127"/>
      <c r="N213" s="125"/>
      <c r="O213" s="128"/>
      <c r="P213" s="126"/>
      <c r="Q213" s="125"/>
      <c r="R213" s="65"/>
      <c r="S213" s="68"/>
    </row>
    <row r="214" spans="1:19" ht="27" x14ac:dyDescent="0.4">
      <c r="A214" s="65"/>
      <c r="B214" s="65"/>
      <c r="C214" s="125"/>
      <c r="D214" s="125"/>
      <c r="E214" s="126"/>
      <c r="F214" s="127"/>
      <c r="G214" s="127"/>
      <c r="H214" s="125"/>
      <c r="I214" s="126"/>
      <c r="J214" s="126"/>
      <c r="K214" s="126"/>
      <c r="L214" s="125"/>
      <c r="M214" s="127"/>
      <c r="N214" s="125"/>
      <c r="O214" s="128"/>
      <c r="P214" s="126"/>
      <c r="Q214" s="125"/>
      <c r="R214" s="65"/>
      <c r="S214" s="68"/>
    </row>
    <row r="215" spans="1:19" ht="27" x14ac:dyDescent="0.4">
      <c r="A215" s="65"/>
      <c r="B215" s="65"/>
      <c r="C215" s="125"/>
      <c r="D215" s="125"/>
      <c r="E215" s="126"/>
      <c r="F215" s="127"/>
      <c r="G215" s="127"/>
      <c r="H215" s="125"/>
      <c r="I215" s="126"/>
      <c r="J215" s="126"/>
      <c r="K215" s="126"/>
      <c r="L215" s="125"/>
      <c r="M215" s="127"/>
      <c r="N215" s="125"/>
      <c r="O215" s="128"/>
      <c r="P215" s="126"/>
      <c r="Q215" s="125"/>
      <c r="R215" s="65"/>
      <c r="S215" s="68"/>
    </row>
    <row r="216" spans="1:19" ht="27" x14ac:dyDescent="0.4">
      <c r="A216" s="65"/>
      <c r="B216" s="65"/>
      <c r="C216" s="125"/>
      <c r="D216" s="125"/>
      <c r="E216" s="126"/>
      <c r="F216" s="127"/>
      <c r="G216" s="127"/>
      <c r="H216" s="125"/>
      <c r="I216" s="126"/>
      <c r="J216" s="126"/>
      <c r="K216" s="126"/>
      <c r="L216" s="125"/>
      <c r="M216" s="127"/>
      <c r="N216" s="125"/>
      <c r="O216" s="128"/>
      <c r="P216" s="126"/>
      <c r="Q216" s="125"/>
      <c r="R216" s="65"/>
      <c r="S216" s="68"/>
    </row>
    <row r="217" spans="1:19" ht="27" x14ac:dyDescent="0.4">
      <c r="A217" s="65"/>
      <c r="B217" s="65"/>
      <c r="C217" s="125"/>
      <c r="D217" s="125"/>
      <c r="E217" s="126"/>
      <c r="F217" s="127"/>
      <c r="G217" s="127"/>
      <c r="H217" s="125"/>
      <c r="I217" s="126"/>
      <c r="J217" s="126"/>
      <c r="K217" s="126"/>
      <c r="L217" s="125"/>
      <c r="M217" s="127"/>
      <c r="N217" s="125"/>
      <c r="O217" s="128"/>
      <c r="P217" s="126"/>
      <c r="Q217" s="125"/>
      <c r="R217" s="65"/>
      <c r="S217" s="68"/>
    </row>
    <row r="218" spans="1:19" ht="27" x14ac:dyDescent="0.4">
      <c r="A218" s="65"/>
      <c r="B218" s="65"/>
      <c r="C218" s="125"/>
      <c r="D218" s="125"/>
      <c r="E218" s="126"/>
      <c r="F218" s="127"/>
      <c r="G218" s="127"/>
      <c r="H218" s="125"/>
      <c r="I218" s="126"/>
      <c r="J218" s="126"/>
      <c r="K218" s="126"/>
      <c r="L218" s="125"/>
      <c r="M218" s="127"/>
      <c r="N218" s="125"/>
      <c r="O218" s="128"/>
      <c r="P218" s="126"/>
      <c r="Q218" s="125"/>
      <c r="R218" s="65"/>
      <c r="S218" s="68"/>
    </row>
    <row r="219" spans="1:19" ht="27" x14ac:dyDescent="0.4">
      <c r="A219" s="65"/>
      <c r="B219" s="65"/>
      <c r="C219" s="66"/>
      <c r="D219" s="65"/>
      <c r="E219" s="67"/>
      <c r="F219" s="68"/>
      <c r="G219" s="68"/>
      <c r="H219" s="66"/>
      <c r="I219" s="67"/>
      <c r="J219" s="67"/>
      <c r="K219" s="67"/>
      <c r="L219" s="66"/>
      <c r="M219" s="68"/>
      <c r="N219" s="66"/>
      <c r="O219" s="69"/>
      <c r="P219" s="67"/>
      <c r="Q219" s="66"/>
      <c r="R219" s="65"/>
      <c r="S219" s="68"/>
    </row>
    <row r="220" spans="1:19" ht="27" x14ac:dyDescent="0.4">
      <c r="A220" s="65"/>
      <c r="B220" s="65"/>
      <c r="C220" s="66"/>
      <c r="D220" s="66"/>
      <c r="E220" s="67"/>
      <c r="F220" s="68"/>
      <c r="G220" s="68"/>
      <c r="H220" s="66"/>
      <c r="I220" s="67"/>
      <c r="J220" s="67"/>
      <c r="K220" s="67"/>
      <c r="L220" s="66"/>
      <c r="M220" s="68"/>
      <c r="N220" s="66"/>
      <c r="O220" s="69"/>
      <c r="P220" s="67"/>
      <c r="Q220" s="66"/>
      <c r="R220" s="65"/>
      <c r="S220" s="68"/>
    </row>
    <row r="221" spans="1:19" ht="27" x14ac:dyDescent="0.4">
      <c r="A221" s="65"/>
      <c r="B221" s="65"/>
      <c r="C221" s="66"/>
      <c r="D221" s="66"/>
      <c r="E221" s="67"/>
      <c r="F221" s="68"/>
      <c r="G221" s="68"/>
      <c r="H221" s="66"/>
      <c r="I221" s="67"/>
      <c r="J221" s="67"/>
      <c r="K221" s="67"/>
      <c r="L221" s="66"/>
      <c r="M221" s="68"/>
      <c r="N221" s="66"/>
      <c r="O221" s="69"/>
      <c r="P221" s="67"/>
      <c r="Q221" s="66"/>
      <c r="R221" s="65"/>
      <c r="S221" s="65"/>
    </row>
    <row r="222" spans="1:19" ht="27" x14ac:dyDescent="0.4">
      <c r="A222" s="65"/>
      <c r="B222" s="65"/>
      <c r="C222" s="66"/>
      <c r="D222" s="66"/>
      <c r="E222" s="67"/>
      <c r="F222" s="68"/>
      <c r="G222" s="68"/>
      <c r="H222" s="66"/>
      <c r="I222" s="67"/>
      <c r="J222" s="67"/>
      <c r="K222" s="67"/>
      <c r="L222" s="66"/>
      <c r="M222" s="68"/>
      <c r="N222" s="66"/>
      <c r="O222" s="69"/>
      <c r="P222" s="67"/>
      <c r="Q222" s="66"/>
      <c r="R222" s="65"/>
      <c r="S222" s="65"/>
    </row>
    <row r="223" spans="1:19" ht="27" x14ac:dyDescent="0.4">
      <c r="A223" s="65"/>
      <c r="B223" s="65"/>
      <c r="C223" s="66"/>
      <c r="D223" s="66"/>
      <c r="E223" s="67"/>
      <c r="F223" s="68"/>
      <c r="G223" s="68"/>
      <c r="H223" s="66"/>
      <c r="I223" s="67"/>
      <c r="J223" s="67"/>
      <c r="K223" s="67"/>
      <c r="L223" s="66"/>
      <c r="M223" s="68"/>
      <c r="N223" s="66"/>
      <c r="O223" s="69"/>
      <c r="P223" s="67"/>
      <c r="Q223" s="66"/>
      <c r="R223" s="65"/>
      <c r="S223" s="65"/>
    </row>
    <row r="224" spans="1:19" ht="27" x14ac:dyDescent="0.4">
      <c r="A224" s="65"/>
      <c r="B224" s="65"/>
      <c r="C224" s="66"/>
      <c r="D224" s="66"/>
      <c r="E224" s="67"/>
      <c r="F224" s="68"/>
      <c r="G224" s="68"/>
      <c r="H224" s="66"/>
      <c r="I224" s="67"/>
      <c r="J224" s="67"/>
      <c r="K224" s="67"/>
      <c r="L224" s="66"/>
      <c r="M224" s="68"/>
      <c r="N224" s="66"/>
      <c r="O224" s="69"/>
      <c r="P224" s="67"/>
      <c r="Q224" s="66"/>
      <c r="R224" s="65"/>
      <c r="S224" s="65"/>
    </row>
    <row r="225" spans="1:19" ht="27" x14ac:dyDescent="0.4">
      <c r="A225" s="65"/>
      <c r="B225" s="65"/>
      <c r="C225" s="66"/>
      <c r="D225" s="66"/>
      <c r="E225" s="67"/>
      <c r="F225" s="68"/>
      <c r="G225" s="68"/>
      <c r="H225" s="66"/>
      <c r="I225" s="67"/>
      <c r="J225" s="67"/>
      <c r="K225" s="67"/>
      <c r="L225" s="66"/>
      <c r="M225" s="68"/>
      <c r="N225" s="66"/>
      <c r="O225" s="69"/>
      <c r="P225" s="67"/>
      <c r="Q225" s="66"/>
      <c r="R225" s="65"/>
      <c r="S225" s="65"/>
    </row>
    <row r="226" spans="1:19" ht="27" x14ac:dyDescent="0.4">
      <c r="A226" s="65"/>
      <c r="B226" s="65"/>
      <c r="C226" s="66"/>
      <c r="D226" s="66"/>
      <c r="E226" s="67"/>
      <c r="F226" s="68"/>
      <c r="G226" s="68"/>
      <c r="H226" s="66"/>
      <c r="I226" s="67"/>
      <c r="J226" s="67"/>
      <c r="K226" s="67"/>
      <c r="L226" s="66"/>
      <c r="M226" s="68"/>
      <c r="N226" s="66"/>
      <c r="O226" s="69"/>
      <c r="P226" s="67"/>
      <c r="Q226" s="66"/>
      <c r="R226" s="65"/>
      <c r="S226" s="70"/>
    </row>
    <row r="227" spans="1:19" ht="27" x14ac:dyDescent="0.4">
      <c r="A227" s="65"/>
      <c r="B227" s="65"/>
      <c r="C227" s="66"/>
      <c r="D227" s="66"/>
      <c r="E227" s="67"/>
      <c r="F227" s="68"/>
      <c r="G227" s="68"/>
      <c r="H227" s="66"/>
      <c r="I227" s="67"/>
      <c r="J227" s="67"/>
      <c r="K227" s="67"/>
      <c r="L227" s="66"/>
      <c r="M227" s="68"/>
      <c r="N227" s="66"/>
      <c r="O227" s="69"/>
      <c r="P227" s="67"/>
      <c r="Q227" s="66"/>
      <c r="R227" s="65"/>
      <c r="S227" s="65"/>
    </row>
    <row r="228" spans="1:19" ht="27" x14ac:dyDescent="0.4">
      <c r="A228" s="65"/>
      <c r="B228" s="65"/>
      <c r="C228" s="66"/>
      <c r="D228" s="66"/>
      <c r="E228" s="67"/>
      <c r="F228" s="68"/>
      <c r="G228" s="68"/>
      <c r="H228" s="66"/>
      <c r="I228" s="67"/>
      <c r="J228" s="67"/>
      <c r="K228" s="67"/>
      <c r="L228" s="66"/>
      <c r="M228" s="68"/>
      <c r="N228" s="66"/>
      <c r="O228" s="69"/>
      <c r="P228" s="67"/>
      <c r="Q228" s="66"/>
      <c r="R228" s="65"/>
      <c r="S228" s="68"/>
    </row>
    <row r="229" spans="1:19" ht="27" x14ac:dyDescent="0.4">
      <c r="A229" s="65"/>
      <c r="B229" s="65"/>
      <c r="C229" s="66"/>
      <c r="D229" s="66"/>
      <c r="E229" s="67"/>
      <c r="F229" s="68"/>
      <c r="G229" s="68"/>
      <c r="H229" s="66"/>
      <c r="I229" s="67"/>
      <c r="J229" s="67"/>
      <c r="K229" s="67"/>
      <c r="L229" s="66"/>
      <c r="M229" s="68"/>
      <c r="N229" s="66"/>
      <c r="O229" s="69"/>
      <c r="P229" s="67"/>
      <c r="Q229" s="66"/>
      <c r="R229" s="65"/>
      <c r="S229" s="68"/>
    </row>
    <row r="230" spans="1:19" ht="27" x14ac:dyDescent="0.4">
      <c r="A230" s="65"/>
      <c r="B230" s="65"/>
      <c r="C230" s="66"/>
      <c r="D230" s="66"/>
      <c r="E230" s="67"/>
      <c r="F230" s="68"/>
      <c r="G230" s="68"/>
      <c r="H230" s="66"/>
      <c r="I230" s="67"/>
      <c r="J230" s="67"/>
      <c r="K230" s="67"/>
      <c r="L230" s="66"/>
      <c r="M230" s="68"/>
      <c r="N230" s="66"/>
      <c r="O230" s="69"/>
      <c r="P230" s="67"/>
      <c r="Q230" s="66"/>
      <c r="R230" s="65"/>
      <c r="S230" s="68"/>
    </row>
    <row r="231" spans="1:19" ht="27" x14ac:dyDescent="0.4">
      <c r="A231" s="65"/>
      <c r="B231" s="65"/>
      <c r="C231" s="66"/>
      <c r="D231" s="66"/>
      <c r="E231" s="67"/>
      <c r="F231" s="68"/>
      <c r="G231" s="68"/>
      <c r="H231" s="66"/>
      <c r="I231" s="67"/>
      <c r="J231" s="67"/>
      <c r="K231" s="67"/>
      <c r="L231" s="66"/>
      <c r="M231" s="68"/>
      <c r="N231" s="66"/>
      <c r="O231" s="69"/>
      <c r="P231" s="67"/>
      <c r="Q231" s="66"/>
      <c r="R231" s="65"/>
      <c r="S231" s="68"/>
    </row>
    <row r="232" spans="1:19" ht="27" x14ac:dyDescent="0.4">
      <c r="A232" s="65"/>
      <c r="B232" s="65"/>
      <c r="C232" s="66"/>
      <c r="D232" s="66"/>
      <c r="E232" s="67"/>
      <c r="F232" s="68"/>
      <c r="G232" s="68"/>
      <c r="H232" s="66"/>
      <c r="I232" s="67"/>
      <c r="J232" s="67"/>
      <c r="K232" s="67"/>
      <c r="L232" s="66"/>
      <c r="M232" s="68"/>
      <c r="N232" s="66"/>
      <c r="O232" s="69"/>
      <c r="P232" s="67"/>
      <c r="Q232" s="66"/>
      <c r="R232" s="65"/>
      <c r="S232" s="68"/>
    </row>
    <row r="233" spans="1:19" ht="27" x14ac:dyDescent="0.4">
      <c r="A233" s="65"/>
      <c r="B233" s="65"/>
      <c r="C233" s="66"/>
      <c r="D233" s="66"/>
      <c r="E233" s="67"/>
      <c r="F233" s="68"/>
      <c r="G233" s="68"/>
      <c r="H233" s="66"/>
      <c r="I233" s="67"/>
      <c r="J233" s="67"/>
      <c r="K233" s="67"/>
      <c r="L233" s="66"/>
      <c r="M233" s="68"/>
      <c r="N233" s="66"/>
      <c r="O233" s="69"/>
      <c r="P233" s="67"/>
      <c r="Q233" s="66"/>
      <c r="R233" s="65"/>
      <c r="S233" s="68"/>
    </row>
    <row r="234" spans="1:19" ht="27" x14ac:dyDescent="0.4">
      <c r="A234" s="65"/>
      <c r="B234" s="65"/>
      <c r="C234" s="66"/>
      <c r="D234" s="66"/>
      <c r="E234" s="67"/>
      <c r="F234" s="68"/>
      <c r="G234" s="68"/>
      <c r="H234" s="66"/>
      <c r="I234" s="67"/>
      <c r="J234" s="67"/>
      <c r="K234" s="67"/>
      <c r="L234" s="66"/>
      <c r="M234" s="68"/>
      <c r="N234" s="66"/>
      <c r="O234" s="69"/>
      <c r="P234" s="67"/>
      <c r="Q234" s="66"/>
      <c r="R234" s="65"/>
      <c r="S234" s="68"/>
    </row>
    <row r="235" spans="1:19" ht="27" x14ac:dyDescent="0.4">
      <c r="A235" s="65"/>
      <c r="B235" s="65"/>
      <c r="C235" s="66"/>
      <c r="D235" s="66"/>
      <c r="E235" s="67"/>
      <c r="F235" s="68"/>
      <c r="G235" s="68"/>
      <c r="H235" s="66"/>
      <c r="I235" s="67"/>
      <c r="J235" s="67"/>
      <c r="K235" s="67"/>
      <c r="L235" s="66"/>
      <c r="M235" s="68"/>
      <c r="N235" s="66"/>
      <c r="O235" s="69"/>
      <c r="P235" s="67"/>
      <c r="Q235" s="66"/>
      <c r="R235" s="65"/>
      <c r="S235" s="68"/>
    </row>
    <row r="236" spans="1:19" ht="27" x14ac:dyDescent="0.4">
      <c r="A236" s="65"/>
      <c r="B236" s="65"/>
      <c r="C236" s="66"/>
      <c r="D236" s="66"/>
      <c r="E236" s="67"/>
      <c r="F236" s="68"/>
      <c r="G236" s="68"/>
      <c r="H236" s="66"/>
      <c r="I236" s="67"/>
      <c r="J236" s="67"/>
      <c r="K236" s="67"/>
      <c r="L236" s="66"/>
      <c r="M236" s="68"/>
      <c r="N236" s="66"/>
      <c r="O236" s="69"/>
      <c r="P236" s="67"/>
      <c r="Q236" s="66"/>
      <c r="R236" s="65"/>
      <c r="S236" s="68"/>
    </row>
    <row r="237" spans="1:19" ht="27" x14ac:dyDescent="0.4">
      <c r="A237" s="65"/>
      <c r="B237" s="65"/>
      <c r="C237" s="66"/>
      <c r="D237" s="66"/>
      <c r="E237" s="67"/>
      <c r="F237" s="68"/>
      <c r="G237" s="68"/>
      <c r="H237" s="66"/>
      <c r="I237" s="67"/>
      <c r="J237" s="67"/>
      <c r="K237" s="67"/>
      <c r="L237" s="66"/>
      <c r="M237" s="68"/>
      <c r="N237" s="66"/>
      <c r="O237" s="69"/>
      <c r="P237" s="67"/>
      <c r="Q237" s="66"/>
      <c r="R237" s="65"/>
      <c r="S237" s="68"/>
    </row>
    <row r="238" spans="1:19" ht="27" x14ac:dyDescent="0.4">
      <c r="A238" s="65"/>
      <c r="B238" s="65"/>
      <c r="C238" s="66"/>
      <c r="D238" s="66"/>
      <c r="E238" s="67"/>
      <c r="F238" s="68"/>
      <c r="G238" s="68"/>
      <c r="H238" s="66"/>
      <c r="I238" s="67"/>
      <c r="J238" s="67"/>
      <c r="K238" s="67"/>
      <c r="L238" s="66"/>
      <c r="M238" s="68"/>
      <c r="N238" s="66"/>
      <c r="O238" s="69"/>
      <c r="P238" s="67"/>
      <c r="Q238" s="66"/>
      <c r="R238" s="65"/>
      <c r="S238" s="68"/>
    </row>
    <row r="239" spans="1:19" ht="27" x14ac:dyDescent="0.4">
      <c r="A239" s="65"/>
      <c r="B239" s="65"/>
      <c r="C239" s="66"/>
      <c r="D239" s="66"/>
      <c r="E239" s="67"/>
      <c r="F239" s="68"/>
      <c r="G239" s="68"/>
      <c r="H239" s="66"/>
      <c r="I239" s="67"/>
      <c r="J239" s="67"/>
      <c r="K239" s="67"/>
      <c r="L239" s="66"/>
      <c r="M239" s="68"/>
      <c r="N239" s="66"/>
      <c r="O239" s="69"/>
      <c r="P239" s="67"/>
      <c r="Q239" s="66"/>
      <c r="R239" s="65"/>
      <c r="S239" s="68"/>
    </row>
    <row r="240" spans="1:19" ht="27" x14ac:dyDescent="0.4">
      <c r="A240" s="65"/>
      <c r="B240" s="65"/>
      <c r="C240" s="66"/>
      <c r="D240" s="66"/>
      <c r="E240" s="67"/>
      <c r="F240" s="68"/>
      <c r="G240" s="68"/>
      <c r="H240" s="66"/>
      <c r="I240" s="67"/>
      <c r="J240" s="67"/>
      <c r="K240" s="67"/>
      <c r="L240" s="66"/>
      <c r="M240" s="68"/>
      <c r="N240" s="66"/>
      <c r="O240" s="69"/>
      <c r="P240" s="67"/>
      <c r="Q240" s="66"/>
      <c r="R240" s="65"/>
      <c r="S240" s="68"/>
    </row>
    <row r="241" spans="1:19" ht="27" x14ac:dyDescent="0.4">
      <c r="A241" s="65"/>
      <c r="B241" s="65"/>
      <c r="C241" s="66"/>
      <c r="D241" s="66"/>
      <c r="E241" s="67"/>
      <c r="F241" s="68"/>
      <c r="G241" s="68"/>
      <c r="H241" s="66"/>
      <c r="I241" s="67"/>
      <c r="J241" s="67"/>
      <c r="K241" s="67"/>
      <c r="L241" s="66"/>
      <c r="M241" s="68"/>
      <c r="N241" s="66"/>
      <c r="O241" s="69"/>
      <c r="P241" s="67"/>
      <c r="Q241" s="66"/>
      <c r="R241" s="65"/>
      <c r="S241" s="68"/>
    </row>
    <row r="242" spans="1:19" ht="27" x14ac:dyDescent="0.4">
      <c r="A242" s="65"/>
      <c r="B242" s="65"/>
      <c r="C242" s="66"/>
      <c r="D242" s="66"/>
      <c r="E242" s="67"/>
      <c r="F242" s="68"/>
      <c r="G242" s="68"/>
      <c r="H242" s="66"/>
      <c r="I242" s="67"/>
      <c r="J242" s="67"/>
      <c r="K242" s="67"/>
      <c r="L242" s="66"/>
      <c r="M242" s="68"/>
      <c r="N242" s="66"/>
      <c r="O242" s="69"/>
      <c r="P242" s="67"/>
      <c r="Q242" s="66"/>
      <c r="R242" s="65"/>
      <c r="S242" s="68"/>
    </row>
    <row r="243" spans="1:19" ht="27" x14ac:dyDescent="0.4">
      <c r="A243" s="65"/>
      <c r="B243" s="65"/>
      <c r="C243" s="66"/>
      <c r="D243" s="66"/>
      <c r="E243" s="67"/>
      <c r="F243" s="68"/>
      <c r="G243" s="68"/>
      <c r="H243" s="66"/>
      <c r="I243" s="67"/>
      <c r="J243" s="67"/>
      <c r="K243" s="67"/>
      <c r="L243" s="66"/>
      <c r="M243" s="68"/>
      <c r="N243" s="66"/>
      <c r="O243" s="69"/>
      <c r="P243" s="67"/>
      <c r="Q243" s="66"/>
      <c r="R243" s="65"/>
      <c r="S243" s="68"/>
    </row>
    <row r="244" spans="1:19" ht="27" x14ac:dyDescent="0.4">
      <c r="A244" s="65"/>
      <c r="B244" s="65"/>
      <c r="C244" s="66"/>
      <c r="D244" s="66"/>
      <c r="E244" s="67"/>
      <c r="F244" s="68"/>
      <c r="G244" s="68"/>
      <c r="H244" s="66"/>
      <c r="I244" s="67"/>
      <c r="J244" s="67"/>
      <c r="K244" s="67"/>
      <c r="L244" s="66"/>
      <c r="M244" s="68"/>
      <c r="N244" s="66"/>
      <c r="O244" s="69"/>
      <c r="P244" s="67"/>
      <c r="Q244" s="66"/>
      <c r="R244" s="65"/>
      <c r="S244" s="68"/>
    </row>
    <row r="245" spans="1:19" ht="27" x14ac:dyDescent="0.4">
      <c r="A245" s="65"/>
      <c r="B245" s="65"/>
      <c r="C245" s="66"/>
      <c r="D245" s="66"/>
      <c r="E245" s="67"/>
      <c r="F245" s="68"/>
      <c r="G245" s="68"/>
      <c r="H245" s="66"/>
      <c r="I245" s="67"/>
      <c r="J245" s="67"/>
      <c r="K245" s="67"/>
      <c r="L245" s="66"/>
      <c r="M245" s="68"/>
      <c r="N245" s="66"/>
      <c r="O245" s="69"/>
      <c r="P245" s="67"/>
      <c r="Q245" s="66"/>
      <c r="R245" s="65"/>
      <c r="S245" s="68"/>
    </row>
    <row r="246" spans="1:19" ht="27" x14ac:dyDescent="0.4">
      <c r="A246" s="65"/>
      <c r="B246" s="65"/>
      <c r="C246" s="66"/>
      <c r="D246" s="66"/>
      <c r="E246" s="67"/>
      <c r="F246" s="68"/>
      <c r="G246" s="68"/>
      <c r="H246" s="66"/>
      <c r="I246" s="67"/>
      <c r="J246" s="67"/>
      <c r="K246" s="67"/>
      <c r="L246" s="66"/>
      <c r="M246" s="68"/>
      <c r="N246" s="66"/>
      <c r="O246" s="69"/>
      <c r="P246" s="67"/>
      <c r="Q246" s="66"/>
      <c r="R246" s="65"/>
      <c r="S246" s="68"/>
    </row>
    <row r="247" spans="1:19" ht="27" x14ac:dyDescent="0.4">
      <c r="A247" s="65"/>
      <c r="B247" s="65"/>
      <c r="C247" s="66"/>
      <c r="D247" s="66"/>
      <c r="E247" s="67"/>
      <c r="F247" s="68"/>
      <c r="G247" s="68"/>
      <c r="H247" s="66"/>
      <c r="I247" s="67"/>
      <c r="J247" s="67"/>
      <c r="K247" s="67"/>
      <c r="L247" s="66"/>
      <c r="M247" s="68"/>
      <c r="N247" s="66"/>
      <c r="O247" s="69"/>
      <c r="P247" s="67"/>
      <c r="Q247" s="66"/>
      <c r="R247" s="65"/>
      <c r="S247" s="68"/>
    </row>
    <row r="248" spans="1:19" ht="27" x14ac:dyDescent="0.4">
      <c r="A248" s="65"/>
      <c r="B248" s="65"/>
      <c r="C248" s="66"/>
      <c r="D248" s="66"/>
      <c r="E248" s="67"/>
      <c r="F248" s="68"/>
      <c r="G248" s="68"/>
      <c r="H248" s="66"/>
      <c r="I248" s="67"/>
      <c r="J248" s="67"/>
      <c r="K248" s="67"/>
      <c r="L248" s="66"/>
      <c r="M248" s="68"/>
      <c r="N248" s="66"/>
      <c r="O248" s="69"/>
      <c r="P248" s="67"/>
      <c r="Q248" s="66"/>
      <c r="R248" s="65"/>
      <c r="S248" s="68"/>
    </row>
    <row r="249" spans="1:19" ht="27" x14ac:dyDescent="0.4">
      <c r="A249" s="65"/>
      <c r="B249" s="65"/>
      <c r="C249" s="66"/>
      <c r="D249" s="66"/>
      <c r="E249" s="67"/>
      <c r="F249" s="68"/>
      <c r="G249" s="68"/>
      <c r="H249" s="66"/>
      <c r="I249" s="67"/>
      <c r="J249" s="67"/>
      <c r="K249" s="67"/>
      <c r="L249" s="66"/>
      <c r="M249" s="68"/>
      <c r="N249" s="66"/>
      <c r="O249" s="69"/>
      <c r="P249" s="67"/>
      <c r="Q249" s="66"/>
      <c r="R249" s="65"/>
      <c r="S249" s="68"/>
    </row>
    <row r="250" spans="1:19" ht="27" x14ac:dyDescent="0.4">
      <c r="A250" s="65"/>
      <c r="B250" s="65"/>
      <c r="C250" s="66"/>
      <c r="D250" s="66"/>
      <c r="E250" s="67"/>
      <c r="F250" s="68"/>
      <c r="G250" s="68"/>
      <c r="H250" s="66"/>
      <c r="I250" s="67"/>
      <c r="J250" s="67"/>
      <c r="K250" s="67"/>
      <c r="L250" s="66"/>
      <c r="M250" s="68"/>
      <c r="N250" s="66"/>
      <c r="O250" s="69"/>
      <c r="P250" s="67"/>
      <c r="Q250" s="66"/>
      <c r="R250" s="65"/>
      <c r="S250" s="68"/>
    </row>
    <row r="251" spans="1:19" ht="27" x14ac:dyDescent="0.4">
      <c r="A251" s="65"/>
      <c r="B251" s="65"/>
      <c r="C251" s="66"/>
      <c r="D251" s="66"/>
      <c r="E251" s="67"/>
      <c r="F251" s="68"/>
      <c r="G251" s="68"/>
      <c r="H251" s="66"/>
      <c r="I251" s="67"/>
      <c r="J251" s="67"/>
      <c r="K251" s="67"/>
      <c r="L251" s="66"/>
      <c r="M251" s="68"/>
      <c r="N251" s="66"/>
      <c r="O251" s="69"/>
      <c r="P251" s="67"/>
      <c r="Q251" s="66"/>
      <c r="R251" s="65"/>
      <c r="S251" s="68"/>
    </row>
    <row r="252" spans="1:19" ht="27" x14ac:dyDescent="0.4">
      <c r="A252" s="65"/>
      <c r="B252" s="65"/>
      <c r="C252" s="66"/>
      <c r="D252" s="66"/>
      <c r="E252" s="67"/>
      <c r="F252" s="68"/>
      <c r="G252" s="68"/>
      <c r="H252" s="66"/>
      <c r="I252" s="67"/>
      <c r="J252" s="67"/>
      <c r="K252" s="67"/>
      <c r="L252" s="66"/>
      <c r="M252" s="68"/>
      <c r="N252" s="66"/>
      <c r="O252" s="69"/>
      <c r="P252" s="67"/>
      <c r="Q252" s="66"/>
      <c r="R252" s="65"/>
      <c r="S252" s="68"/>
    </row>
    <row r="253" spans="1:19" ht="27" x14ac:dyDescent="0.4">
      <c r="A253" s="65"/>
      <c r="B253" s="65"/>
      <c r="C253" s="66"/>
      <c r="D253" s="66"/>
      <c r="E253" s="67"/>
      <c r="F253" s="68"/>
      <c r="G253" s="68"/>
      <c r="H253" s="66"/>
      <c r="I253" s="67"/>
      <c r="J253" s="67"/>
      <c r="K253" s="67"/>
      <c r="L253" s="66"/>
      <c r="M253" s="68"/>
      <c r="N253" s="66"/>
      <c r="O253" s="69"/>
      <c r="P253" s="67"/>
      <c r="Q253" s="66"/>
      <c r="R253" s="65"/>
      <c r="S253" s="70"/>
    </row>
    <row r="254" spans="1:19" ht="27" x14ac:dyDescent="0.4">
      <c r="A254" s="65"/>
      <c r="B254" s="65"/>
      <c r="C254" s="66"/>
      <c r="D254" s="66"/>
      <c r="E254" s="67"/>
      <c r="F254" s="68"/>
      <c r="G254" s="68"/>
      <c r="H254" s="66"/>
      <c r="I254" s="67"/>
      <c r="J254" s="67"/>
      <c r="K254" s="67"/>
      <c r="L254" s="66"/>
      <c r="M254" s="68"/>
      <c r="N254" s="66"/>
      <c r="O254" s="69"/>
      <c r="P254" s="67"/>
      <c r="Q254" s="66"/>
      <c r="R254" s="65"/>
      <c r="S254" s="68"/>
    </row>
    <row r="255" spans="1:19" ht="27" x14ac:dyDescent="0.4">
      <c r="A255" s="65"/>
      <c r="B255" s="65"/>
      <c r="C255" s="66"/>
      <c r="D255" s="66"/>
      <c r="E255" s="67"/>
      <c r="F255" s="68"/>
      <c r="G255" s="68"/>
      <c r="H255" s="66"/>
      <c r="I255" s="67"/>
      <c r="J255" s="67"/>
      <c r="K255" s="67"/>
      <c r="L255" s="66"/>
      <c r="M255" s="68"/>
      <c r="N255" s="66"/>
      <c r="O255" s="69"/>
      <c r="P255" s="67"/>
      <c r="Q255" s="66"/>
      <c r="R255" s="65"/>
      <c r="S255" s="68"/>
    </row>
    <row r="256" spans="1:19" ht="27" x14ac:dyDescent="0.4">
      <c r="A256" s="65"/>
      <c r="B256" s="65"/>
      <c r="C256" s="66"/>
      <c r="D256" s="66"/>
      <c r="E256" s="67"/>
      <c r="F256" s="68"/>
      <c r="G256" s="68"/>
      <c r="H256" s="66"/>
      <c r="I256" s="67"/>
      <c r="J256" s="67"/>
      <c r="K256" s="67"/>
      <c r="L256" s="66"/>
      <c r="M256" s="68"/>
      <c r="N256" s="66"/>
      <c r="O256" s="69"/>
      <c r="P256" s="67"/>
      <c r="Q256" s="66"/>
      <c r="R256" s="65"/>
      <c r="S256" s="68"/>
    </row>
    <row r="257" spans="1:19" ht="27" x14ac:dyDescent="0.4">
      <c r="A257" s="65"/>
      <c r="B257" s="65"/>
      <c r="C257" s="66"/>
      <c r="D257" s="66"/>
      <c r="E257" s="67"/>
      <c r="F257" s="68"/>
      <c r="G257" s="68"/>
      <c r="H257" s="66"/>
      <c r="I257" s="67"/>
      <c r="J257" s="67"/>
      <c r="K257" s="67"/>
      <c r="L257" s="66"/>
      <c r="M257" s="68"/>
      <c r="N257" s="66"/>
      <c r="O257" s="69"/>
      <c r="P257" s="67"/>
      <c r="Q257" s="66"/>
      <c r="R257" s="65"/>
      <c r="S257" s="68"/>
    </row>
    <row r="258" spans="1:19" ht="27" x14ac:dyDescent="0.4">
      <c r="A258" s="65"/>
      <c r="B258" s="65"/>
      <c r="C258" s="66"/>
      <c r="D258" s="66"/>
      <c r="E258" s="67"/>
      <c r="F258" s="68"/>
      <c r="G258" s="68"/>
      <c r="H258" s="66"/>
      <c r="I258" s="67"/>
      <c r="J258" s="67"/>
      <c r="K258" s="67"/>
      <c r="L258" s="66"/>
      <c r="M258" s="68"/>
      <c r="N258" s="66"/>
      <c r="O258" s="69"/>
      <c r="P258" s="67"/>
      <c r="Q258" s="66"/>
      <c r="R258" s="65"/>
      <c r="S258" s="68"/>
    </row>
    <row r="259" spans="1:19" ht="27" x14ac:dyDescent="0.4">
      <c r="A259" s="65"/>
      <c r="B259" s="65"/>
      <c r="C259" s="66"/>
      <c r="D259" s="66"/>
      <c r="E259" s="67"/>
      <c r="F259" s="68"/>
      <c r="G259" s="68"/>
      <c r="H259" s="66"/>
      <c r="I259" s="67"/>
      <c r="J259" s="67"/>
      <c r="K259" s="67"/>
      <c r="L259" s="66"/>
      <c r="M259" s="68"/>
      <c r="N259" s="66"/>
      <c r="O259" s="69"/>
      <c r="P259" s="67"/>
      <c r="Q259" s="66"/>
      <c r="R259" s="65"/>
      <c r="S259" s="68"/>
    </row>
    <row r="260" spans="1:19" ht="27" x14ac:dyDescent="0.4">
      <c r="A260" s="65"/>
      <c r="B260" s="65"/>
      <c r="C260" s="66"/>
      <c r="D260" s="66"/>
      <c r="E260" s="67"/>
      <c r="F260" s="68"/>
      <c r="G260" s="68"/>
      <c r="H260" s="66"/>
      <c r="I260" s="67"/>
      <c r="J260" s="67"/>
      <c r="K260" s="67"/>
      <c r="L260" s="66"/>
      <c r="M260" s="68"/>
      <c r="N260" s="66"/>
      <c r="O260" s="69"/>
      <c r="P260" s="67"/>
      <c r="Q260" s="66"/>
      <c r="R260" s="65"/>
      <c r="S260" s="68"/>
    </row>
    <row r="261" spans="1:19" ht="27" x14ac:dyDescent="0.4">
      <c r="A261" s="65"/>
      <c r="B261" s="65"/>
      <c r="C261" s="66"/>
      <c r="D261" s="66"/>
      <c r="E261" s="67"/>
      <c r="F261" s="68"/>
      <c r="G261" s="68"/>
      <c r="H261" s="66"/>
      <c r="I261" s="67"/>
      <c r="J261" s="67"/>
      <c r="K261" s="67"/>
      <c r="L261" s="66"/>
      <c r="M261" s="68"/>
      <c r="N261" s="66"/>
      <c r="O261" s="69"/>
      <c r="P261" s="67"/>
      <c r="Q261" s="66"/>
      <c r="R261" s="65"/>
      <c r="S261" s="68"/>
    </row>
    <row r="262" spans="1:19" ht="27" x14ac:dyDescent="0.4">
      <c r="A262" s="65"/>
      <c r="B262" s="65"/>
      <c r="C262" s="66"/>
      <c r="D262" s="66"/>
      <c r="E262" s="67"/>
      <c r="F262" s="68"/>
      <c r="G262" s="68"/>
      <c r="H262" s="66"/>
      <c r="I262" s="67"/>
      <c r="J262" s="67"/>
      <c r="K262" s="67"/>
      <c r="L262" s="66"/>
      <c r="M262" s="68"/>
      <c r="N262" s="66"/>
      <c r="O262" s="69"/>
      <c r="P262" s="67"/>
      <c r="Q262" s="66"/>
      <c r="R262" s="65"/>
      <c r="S262" s="68"/>
    </row>
    <row r="263" spans="1:19" ht="27" x14ac:dyDescent="0.4">
      <c r="A263" s="65"/>
      <c r="B263" s="65"/>
      <c r="C263" s="66"/>
      <c r="D263" s="66"/>
      <c r="E263" s="67"/>
      <c r="F263" s="68"/>
      <c r="G263" s="68"/>
      <c r="H263" s="66"/>
      <c r="I263" s="67"/>
      <c r="J263" s="67"/>
      <c r="K263" s="67"/>
      <c r="L263" s="66"/>
      <c r="M263" s="68"/>
      <c r="N263" s="66"/>
      <c r="O263" s="69"/>
      <c r="P263" s="67"/>
      <c r="Q263" s="66"/>
      <c r="R263" s="65"/>
      <c r="S263" s="70"/>
    </row>
    <row r="264" spans="1:19" ht="27" x14ac:dyDescent="0.4">
      <c r="A264" s="65"/>
      <c r="B264" s="65"/>
      <c r="C264" s="66"/>
      <c r="D264" s="66"/>
      <c r="E264" s="67"/>
      <c r="F264" s="68"/>
      <c r="G264" s="68"/>
      <c r="H264" s="66"/>
      <c r="I264" s="67"/>
      <c r="J264" s="67"/>
      <c r="K264" s="67"/>
      <c r="L264" s="66"/>
      <c r="M264" s="68"/>
      <c r="N264" s="66"/>
      <c r="O264" s="69"/>
      <c r="P264" s="67"/>
      <c r="Q264" s="66"/>
      <c r="R264" s="65"/>
      <c r="S264" s="70"/>
    </row>
    <row r="265" spans="1:19" ht="27" x14ac:dyDescent="0.4">
      <c r="A265" s="65"/>
      <c r="B265" s="65"/>
      <c r="C265" s="66"/>
      <c r="D265" s="121"/>
      <c r="E265" s="67"/>
      <c r="F265" s="68"/>
      <c r="G265" s="68"/>
      <c r="H265" s="66"/>
      <c r="I265" s="67"/>
      <c r="J265" s="67"/>
      <c r="K265" s="67"/>
      <c r="L265" s="66"/>
      <c r="M265" s="68"/>
      <c r="N265" s="66"/>
      <c r="O265" s="69"/>
      <c r="P265" s="67"/>
      <c r="Q265" s="66"/>
      <c r="R265" s="65"/>
      <c r="S265" s="70"/>
    </row>
    <row r="266" spans="1:19" ht="27" x14ac:dyDescent="0.4">
      <c r="A266" s="65"/>
      <c r="B266" s="65"/>
      <c r="C266" s="66"/>
      <c r="D266" s="66"/>
      <c r="E266" s="67"/>
      <c r="F266" s="68"/>
      <c r="G266" s="68"/>
      <c r="H266" s="66"/>
      <c r="I266" s="67"/>
      <c r="J266" s="67"/>
      <c r="K266" s="67"/>
      <c r="L266" s="66"/>
      <c r="M266" s="68"/>
      <c r="N266" s="66"/>
      <c r="O266" s="69"/>
      <c r="P266" s="67"/>
      <c r="Q266" s="66"/>
      <c r="R266" s="65"/>
      <c r="S266" s="70"/>
    </row>
    <row r="267" spans="1:19" ht="27" x14ac:dyDescent="0.4">
      <c r="A267" s="65"/>
      <c r="B267" s="65"/>
      <c r="C267" s="66"/>
      <c r="D267" s="66"/>
      <c r="E267" s="67"/>
      <c r="F267" s="68"/>
      <c r="G267" s="68"/>
      <c r="H267" s="66"/>
      <c r="I267" s="67"/>
      <c r="J267" s="67"/>
      <c r="K267" s="67"/>
      <c r="L267" s="66"/>
      <c r="M267" s="68"/>
      <c r="N267" s="66"/>
      <c r="O267" s="69"/>
      <c r="P267" s="67"/>
      <c r="Q267" s="66"/>
      <c r="R267" s="65"/>
      <c r="S267" s="70"/>
    </row>
    <row r="268" spans="1:19" ht="27" x14ac:dyDescent="0.4">
      <c r="A268" s="65"/>
      <c r="B268" s="65"/>
      <c r="C268" s="66"/>
      <c r="D268" s="66"/>
      <c r="E268" s="67"/>
      <c r="F268" s="68"/>
      <c r="G268" s="68"/>
      <c r="H268" s="66"/>
      <c r="I268" s="67"/>
      <c r="J268" s="67"/>
      <c r="K268" s="67"/>
      <c r="L268" s="66"/>
      <c r="M268" s="68"/>
      <c r="N268" s="66"/>
      <c r="O268" s="69"/>
      <c r="P268" s="67"/>
      <c r="Q268" s="66"/>
      <c r="R268" s="65"/>
      <c r="S268" s="70"/>
    </row>
    <row r="269" spans="1:19" ht="27" x14ac:dyDescent="0.4">
      <c r="A269" s="65"/>
      <c r="B269" s="65"/>
      <c r="C269" s="66"/>
      <c r="D269" s="66"/>
      <c r="E269" s="67"/>
      <c r="F269" s="68"/>
      <c r="G269" s="68"/>
      <c r="H269" s="66"/>
      <c r="I269" s="67"/>
      <c r="J269" s="67"/>
      <c r="K269" s="67"/>
      <c r="L269" s="66"/>
      <c r="M269" s="68"/>
      <c r="N269" s="66"/>
      <c r="O269" s="69"/>
      <c r="P269" s="67"/>
      <c r="Q269" s="66"/>
      <c r="R269" s="65"/>
      <c r="S269" s="70"/>
    </row>
    <row r="270" spans="1:19" ht="27" x14ac:dyDescent="0.4">
      <c r="A270" s="65"/>
      <c r="B270" s="65"/>
      <c r="C270" s="66"/>
      <c r="D270" s="66"/>
      <c r="E270" s="67"/>
      <c r="F270" s="68"/>
      <c r="G270" s="68"/>
      <c r="H270" s="66"/>
      <c r="I270" s="67"/>
      <c r="J270" s="67"/>
      <c r="K270" s="67"/>
      <c r="L270" s="66"/>
      <c r="M270" s="68"/>
      <c r="N270" s="66"/>
      <c r="O270" s="69"/>
      <c r="P270" s="67"/>
      <c r="Q270" s="66"/>
      <c r="R270" s="65"/>
      <c r="S270" s="68"/>
    </row>
    <row r="271" spans="1:19" ht="27" x14ac:dyDescent="0.4">
      <c r="A271" s="65"/>
      <c r="B271" s="65"/>
      <c r="C271" s="66"/>
      <c r="D271" s="66"/>
      <c r="E271" s="67"/>
      <c r="F271" s="68"/>
      <c r="G271" s="68"/>
      <c r="H271" s="66"/>
      <c r="I271" s="67"/>
      <c r="J271" s="67"/>
      <c r="K271" s="67"/>
      <c r="L271" s="66"/>
      <c r="M271" s="68"/>
      <c r="N271" s="66"/>
      <c r="O271" s="69"/>
      <c r="P271" s="67"/>
      <c r="Q271" s="66"/>
      <c r="R271" s="65"/>
      <c r="S271" s="68"/>
    </row>
    <row r="272" spans="1:19" ht="27" x14ac:dyDescent="0.4">
      <c r="A272" s="65"/>
      <c r="B272" s="65"/>
      <c r="C272" s="66"/>
      <c r="D272" s="66"/>
      <c r="E272" s="67"/>
      <c r="F272" s="68"/>
      <c r="G272" s="68"/>
      <c r="H272" s="66"/>
      <c r="I272" s="67"/>
      <c r="J272" s="67"/>
      <c r="K272" s="67"/>
      <c r="L272" s="66"/>
      <c r="M272" s="68"/>
      <c r="N272" s="66"/>
      <c r="O272" s="69"/>
      <c r="P272" s="67"/>
      <c r="Q272" s="66"/>
      <c r="R272" s="65"/>
      <c r="S272" s="68"/>
    </row>
    <row r="273" spans="1:19" ht="27" x14ac:dyDescent="0.4">
      <c r="A273" s="65"/>
      <c r="B273" s="65"/>
      <c r="C273" s="66"/>
      <c r="D273" s="66"/>
      <c r="E273" s="67"/>
      <c r="F273" s="68"/>
      <c r="G273" s="68"/>
      <c r="H273" s="66"/>
      <c r="I273" s="67"/>
      <c r="J273" s="67"/>
      <c r="K273" s="67"/>
      <c r="L273" s="66"/>
      <c r="M273" s="68"/>
      <c r="N273" s="66"/>
      <c r="O273" s="69"/>
      <c r="P273" s="67"/>
      <c r="Q273" s="66"/>
      <c r="R273" s="65"/>
      <c r="S273" s="68"/>
    </row>
    <row r="274" spans="1:19" ht="27" x14ac:dyDescent="0.4">
      <c r="A274" s="65"/>
      <c r="B274" s="65"/>
      <c r="C274" s="66"/>
      <c r="D274" s="66"/>
      <c r="E274" s="67"/>
      <c r="F274" s="68"/>
      <c r="G274" s="68"/>
      <c r="H274" s="66"/>
      <c r="I274" s="67"/>
      <c r="J274" s="67"/>
      <c r="K274" s="67"/>
      <c r="L274" s="66"/>
      <c r="M274" s="68"/>
      <c r="N274" s="66"/>
      <c r="O274" s="69"/>
      <c r="P274" s="67"/>
      <c r="Q274" s="66"/>
      <c r="R274" s="65"/>
      <c r="S274" s="68"/>
    </row>
    <row r="275" spans="1:19" ht="27" x14ac:dyDescent="0.4">
      <c r="A275" s="65"/>
      <c r="B275" s="65"/>
      <c r="C275" s="66"/>
      <c r="D275" s="66"/>
      <c r="E275" s="67"/>
      <c r="F275" s="68"/>
      <c r="G275" s="68"/>
      <c r="H275" s="66"/>
      <c r="I275" s="67"/>
      <c r="J275" s="67"/>
      <c r="K275" s="67"/>
      <c r="L275" s="66"/>
      <c r="M275" s="68"/>
      <c r="N275" s="66"/>
      <c r="O275" s="69"/>
      <c r="P275" s="67"/>
      <c r="Q275" s="66"/>
      <c r="R275" s="65"/>
      <c r="S275" s="68"/>
    </row>
    <row r="276" spans="1:19" ht="27" x14ac:dyDescent="0.4">
      <c r="A276" s="65"/>
      <c r="B276" s="65"/>
      <c r="C276" s="66"/>
      <c r="D276" s="66"/>
      <c r="E276" s="67"/>
      <c r="F276" s="68"/>
      <c r="G276" s="68"/>
      <c r="H276" s="66"/>
      <c r="I276" s="67"/>
      <c r="J276" s="67"/>
      <c r="K276" s="67"/>
      <c r="L276" s="66"/>
      <c r="M276" s="68"/>
      <c r="N276" s="66"/>
      <c r="O276" s="69"/>
      <c r="P276" s="67"/>
      <c r="Q276" s="66"/>
      <c r="R276" s="65"/>
      <c r="S276" s="68"/>
    </row>
    <row r="277" spans="1:19" ht="27" x14ac:dyDescent="0.4">
      <c r="A277" s="65"/>
      <c r="B277" s="65"/>
      <c r="C277" s="66"/>
      <c r="D277" s="66"/>
      <c r="E277" s="67"/>
      <c r="F277" s="68"/>
      <c r="G277" s="68"/>
      <c r="H277" s="66"/>
      <c r="I277" s="67"/>
      <c r="J277" s="67"/>
      <c r="K277" s="67"/>
      <c r="L277" s="66"/>
      <c r="M277" s="68"/>
      <c r="N277" s="66"/>
      <c r="O277" s="69"/>
      <c r="P277" s="67"/>
      <c r="Q277" s="66"/>
      <c r="R277" s="65"/>
      <c r="S277" s="68"/>
    </row>
    <row r="278" spans="1:19" ht="27" x14ac:dyDescent="0.4">
      <c r="A278" s="65"/>
      <c r="B278" s="65"/>
      <c r="C278" s="66"/>
      <c r="D278" s="66"/>
      <c r="E278" s="67"/>
      <c r="F278" s="68"/>
      <c r="G278" s="68"/>
      <c r="H278" s="66"/>
      <c r="I278" s="67"/>
      <c r="J278" s="67"/>
      <c r="K278" s="67"/>
      <c r="L278" s="66"/>
      <c r="M278" s="68"/>
      <c r="N278" s="66"/>
      <c r="O278" s="69"/>
      <c r="P278" s="67"/>
      <c r="Q278" s="66"/>
      <c r="R278" s="65"/>
      <c r="S278" s="68"/>
    </row>
    <row r="279" spans="1:19" ht="27" x14ac:dyDescent="0.4">
      <c r="A279" s="65"/>
      <c r="B279" s="65"/>
      <c r="C279" s="66"/>
      <c r="D279" s="66"/>
      <c r="E279" s="67"/>
      <c r="F279" s="68"/>
      <c r="G279" s="68"/>
      <c r="H279" s="66"/>
      <c r="I279" s="67"/>
      <c r="J279" s="67"/>
      <c r="K279" s="67"/>
      <c r="L279" s="66"/>
      <c r="M279" s="68"/>
      <c r="N279" s="66"/>
      <c r="O279" s="69"/>
      <c r="P279" s="67"/>
      <c r="Q279" s="66"/>
      <c r="R279" s="65"/>
      <c r="S279" s="68"/>
    </row>
    <row r="280" spans="1:19" ht="27" x14ac:dyDescent="0.4">
      <c r="A280" s="65"/>
      <c r="B280" s="65"/>
      <c r="C280" s="66"/>
      <c r="D280" s="66"/>
      <c r="E280" s="67"/>
      <c r="F280" s="68"/>
      <c r="G280" s="68"/>
      <c r="H280" s="66"/>
      <c r="I280" s="67"/>
      <c r="J280" s="67"/>
      <c r="K280" s="67"/>
      <c r="L280" s="66"/>
      <c r="M280" s="68"/>
      <c r="N280" s="66"/>
      <c r="O280" s="69"/>
      <c r="P280" s="67"/>
      <c r="Q280" s="66"/>
      <c r="R280" s="65"/>
      <c r="S280" s="68"/>
    </row>
    <row r="281" spans="1:19" ht="27" x14ac:dyDescent="0.4">
      <c r="A281" s="65"/>
      <c r="B281" s="65"/>
      <c r="C281" s="66"/>
      <c r="D281" s="66"/>
      <c r="E281" s="67"/>
      <c r="F281" s="68"/>
      <c r="G281" s="68"/>
      <c r="H281" s="66"/>
      <c r="I281" s="67"/>
      <c r="J281" s="67"/>
      <c r="K281" s="67"/>
      <c r="L281" s="66"/>
      <c r="M281" s="68"/>
      <c r="N281" s="66"/>
      <c r="O281" s="69"/>
      <c r="P281" s="67"/>
      <c r="Q281" s="66"/>
      <c r="R281" s="65"/>
      <c r="S281" s="68"/>
    </row>
    <row r="282" spans="1:19" ht="27" x14ac:dyDescent="0.4">
      <c r="A282" s="65"/>
      <c r="B282" s="65"/>
      <c r="C282" s="66"/>
      <c r="D282" s="66"/>
      <c r="E282" s="67"/>
      <c r="F282" s="68"/>
      <c r="G282" s="68"/>
      <c r="H282" s="66"/>
      <c r="I282" s="67"/>
      <c r="J282" s="67"/>
      <c r="K282" s="67"/>
      <c r="L282" s="66"/>
      <c r="M282" s="68"/>
      <c r="N282" s="66"/>
      <c r="O282" s="69"/>
      <c r="P282" s="67"/>
      <c r="Q282" s="66"/>
      <c r="R282" s="65"/>
      <c r="S282" s="68"/>
    </row>
    <row r="283" spans="1:19" ht="27" x14ac:dyDescent="0.4">
      <c r="A283" s="65"/>
      <c r="B283" s="65"/>
      <c r="C283" s="66"/>
      <c r="D283" s="66"/>
      <c r="E283" s="67"/>
      <c r="F283" s="68"/>
      <c r="G283" s="68"/>
      <c r="H283" s="66"/>
      <c r="I283" s="67"/>
      <c r="J283" s="67"/>
      <c r="K283" s="67"/>
      <c r="L283" s="66"/>
      <c r="M283" s="68"/>
      <c r="N283" s="66"/>
      <c r="O283" s="69"/>
      <c r="P283" s="67"/>
      <c r="Q283" s="66"/>
      <c r="R283" s="65"/>
      <c r="S283" s="68"/>
    </row>
    <row r="284" spans="1:19" ht="27" x14ac:dyDescent="0.4">
      <c r="A284" s="65"/>
      <c r="B284" s="65"/>
      <c r="C284" s="66"/>
      <c r="D284" s="66"/>
      <c r="E284" s="67"/>
      <c r="F284" s="68"/>
      <c r="G284" s="68"/>
      <c r="H284" s="66"/>
      <c r="I284" s="67"/>
      <c r="J284" s="67"/>
      <c r="K284" s="67"/>
      <c r="L284" s="66"/>
      <c r="M284" s="68"/>
      <c r="N284" s="66"/>
      <c r="O284" s="69"/>
      <c r="P284" s="67"/>
      <c r="Q284" s="66"/>
      <c r="R284" s="65"/>
      <c r="S284" s="68"/>
    </row>
    <row r="285" spans="1:19" ht="27" x14ac:dyDescent="0.4">
      <c r="A285" s="65"/>
      <c r="B285" s="65"/>
      <c r="C285" s="66"/>
      <c r="D285" s="66"/>
      <c r="E285" s="67"/>
      <c r="F285" s="68"/>
      <c r="G285" s="68"/>
      <c r="H285" s="66"/>
      <c r="I285" s="67"/>
      <c r="J285" s="67"/>
      <c r="K285" s="67"/>
      <c r="L285" s="66"/>
      <c r="M285" s="68"/>
      <c r="N285" s="66"/>
      <c r="O285" s="69"/>
      <c r="P285" s="67"/>
      <c r="Q285" s="66"/>
      <c r="R285" s="65"/>
      <c r="S285" s="68"/>
    </row>
    <row r="286" spans="1:19" ht="27" x14ac:dyDescent="0.4">
      <c r="A286" s="65"/>
      <c r="B286" s="65"/>
      <c r="C286" s="66"/>
      <c r="D286" s="66"/>
      <c r="E286" s="67"/>
      <c r="F286" s="68"/>
      <c r="G286" s="68"/>
      <c r="H286" s="66"/>
      <c r="I286" s="67"/>
      <c r="J286" s="67"/>
      <c r="K286" s="67"/>
      <c r="L286" s="66"/>
      <c r="M286" s="68"/>
      <c r="N286" s="66"/>
      <c r="O286" s="69"/>
      <c r="P286" s="67"/>
      <c r="Q286" s="66"/>
      <c r="R286" s="65"/>
      <c r="S286" s="68"/>
    </row>
    <row r="287" spans="1:19" ht="27" x14ac:dyDescent="0.4">
      <c r="A287" s="65"/>
      <c r="B287" s="65"/>
      <c r="C287" s="66"/>
      <c r="D287" s="66"/>
      <c r="E287" s="67"/>
      <c r="F287" s="68"/>
      <c r="G287" s="68"/>
      <c r="H287" s="66"/>
      <c r="I287" s="67"/>
      <c r="J287" s="67"/>
      <c r="K287" s="67"/>
      <c r="L287" s="66"/>
      <c r="M287" s="68"/>
      <c r="N287" s="66"/>
      <c r="O287" s="69"/>
      <c r="P287" s="67"/>
      <c r="Q287" s="66"/>
      <c r="R287" s="65"/>
      <c r="S287" s="68"/>
    </row>
    <row r="288" spans="1:19" ht="27" x14ac:dyDescent="0.4">
      <c r="A288" s="65"/>
      <c r="B288" s="65"/>
      <c r="C288" s="66"/>
      <c r="D288" s="66"/>
      <c r="E288" s="67"/>
      <c r="F288" s="68"/>
      <c r="G288" s="68"/>
      <c r="H288" s="66"/>
      <c r="I288" s="67"/>
      <c r="J288" s="67"/>
      <c r="K288" s="67"/>
      <c r="L288" s="66"/>
      <c r="M288" s="68"/>
      <c r="N288" s="66"/>
      <c r="O288" s="69"/>
      <c r="P288" s="67"/>
      <c r="Q288" s="66"/>
      <c r="R288" s="65"/>
      <c r="S288" s="68"/>
    </row>
    <row r="289" spans="1:19" ht="27" x14ac:dyDescent="0.4">
      <c r="A289" s="65"/>
      <c r="B289" s="65"/>
      <c r="C289" s="66"/>
      <c r="D289" s="65"/>
      <c r="E289" s="67"/>
      <c r="F289" s="68"/>
      <c r="G289" s="68"/>
      <c r="H289" s="66"/>
      <c r="I289" s="67"/>
      <c r="J289" s="67"/>
      <c r="K289" s="67"/>
      <c r="L289" s="66"/>
      <c r="M289" s="68"/>
      <c r="N289" s="66"/>
      <c r="O289" s="69"/>
      <c r="P289" s="67"/>
      <c r="Q289" s="66"/>
      <c r="R289" s="65"/>
      <c r="S289" s="68"/>
    </row>
    <row r="290" spans="1:19" ht="27" x14ac:dyDescent="0.4">
      <c r="A290" s="65"/>
      <c r="B290" s="65"/>
      <c r="C290" s="66"/>
      <c r="D290" s="66"/>
      <c r="E290" s="67"/>
      <c r="F290" s="68"/>
      <c r="G290" s="68"/>
      <c r="H290" s="66"/>
      <c r="I290" s="67"/>
      <c r="J290" s="67"/>
      <c r="K290" s="67"/>
      <c r="L290" s="66"/>
      <c r="M290" s="68"/>
      <c r="N290" s="66"/>
      <c r="O290" s="69"/>
      <c r="P290" s="67"/>
      <c r="Q290" s="66"/>
      <c r="R290" s="65"/>
      <c r="S290" s="68"/>
    </row>
    <row r="291" spans="1:19" ht="27" x14ac:dyDescent="0.4">
      <c r="A291" s="65"/>
      <c r="B291" s="65"/>
      <c r="C291" s="66"/>
      <c r="D291" s="66"/>
      <c r="E291" s="67"/>
      <c r="F291" s="68"/>
      <c r="G291" s="68"/>
      <c r="H291" s="66"/>
      <c r="I291" s="67"/>
      <c r="J291" s="67"/>
      <c r="K291" s="67"/>
      <c r="L291" s="66"/>
      <c r="M291" s="68"/>
      <c r="N291" s="66"/>
      <c r="O291" s="69"/>
      <c r="P291" s="67"/>
      <c r="Q291" s="66"/>
      <c r="R291" s="65"/>
      <c r="S291" s="68"/>
    </row>
    <row r="292" spans="1:19" ht="27" x14ac:dyDescent="0.4">
      <c r="A292" s="65"/>
      <c r="B292" s="65"/>
      <c r="C292" s="66"/>
      <c r="D292" s="66"/>
      <c r="E292" s="67"/>
      <c r="F292" s="68"/>
      <c r="G292" s="68"/>
      <c r="H292" s="66"/>
      <c r="I292" s="67"/>
      <c r="J292" s="67"/>
      <c r="K292" s="67"/>
      <c r="L292" s="66"/>
      <c r="M292" s="68"/>
      <c r="N292" s="66"/>
      <c r="O292" s="69"/>
      <c r="P292" s="67"/>
      <c r="Q292" s="66"/>
      <c r="R292" s="65"/>
      <c r="S292" s="68"/>
    </row>
    <row r="293" spans="1:19" ht="27" x14ac:dyDescent="0.4">
      <c r="A293" s="65"/>
      <c r="B293" s="65"/>
      <c r="C293" s="66"/>
      <c r="D293" s="66"/>
      <c r="E293" s="67"/>
      <c r="F293" s="68"/>
      <c r="G293" s="68"/>
      <c r="H293" s="66"/>
      <c r="I293" s="67"/>
      <c r="J293" s="67"/>
      <c r="K293" s="67"/>
      <c r="L293" s="66"/>
      <c r="M293" s="68"/>
      <c r="N293" s="66"/>
      <c r="O293" s="69"/>
      <c r="P293" s="67"/>
      <c r="Q293" s="66"/>
      <c r="R293" s="65"/>
      <c r="S293" s="68"/>
    </row>
    <row r="294" spans="1:19" ht="27" x14ac:dyDescent="0.4">
      <c r="A294" s="65"/>
      <c r="B294" s="65"/>
      <c r="C294" s="66"/>
      <c r="D294" s="66"/>
      <c r="E294" s="67"/>
      <c r="F294" s="68"/>
      <c r="G294" s="68"/>
      <c r="H294" s="66"/>
      <c r="I294" s="67"/>
      <c r="J294" s="67"/>
      <c r="K294" s="67"/>
      <c r="L294" s="66"/>
      <c r="M294" s="68"/>
      <c r="N294" s="66"/>
      <c r="O294" s="69"/>
      <c r="P294" s="67"/>
      <c r="Q294" s="66"/>
      <c r="R294" s="65"/>
      <c r="S294" s="68"/>
    </row>
    <row r="295" spans="1:19" ht="27" x14ac:dyDescent="0.4">
      <c r="A295" s="65"/>
      <c r="B295" s="65"/>
      <c r="C295" s="66"/>
      <c r="D295" s="66"/>
      <c r="E295" s="67"/>
      <c r="F295" s="68"/>
      <c r="G295" s="68"/>
      <c r="H295" s="66"/>
      <c r="I295" s="67"/>
      <c r="J295" s="67"/>
      <c r="K295" s="67"/>
      <c r="L295" s="66"/>
      <c r="M295" s="68"/>
      <c r="N295" s="66"/>
      <c r="O295" s="69"/>
      <c r="P295" s="67"/>
      <c r="Q295" s="66"/>
      <c r="R295" s="65"/>
      <c r="S295" s="68"/>
    </row>
    <row r="296" spans="1:19" ht="27" x14ac:dyDescent="0.4">
      <c r="A296" s="65"/>
      <c r="B296" s="65"/>
      <c r="C296" s="66"/>
      <c r="D296" s="66"/>
      <c r="E296" s="67"/>
      <c r="F296" s="68"/>
      <c r="G296" s="68"/>
      <c r="H296" s="66"/>
      <c r="I296" s="67"/>
      <c r="J296" s="67"/>
      <c r="K296" s="67"/>
      <c r="L296" s="66"/>
      <c r="M296" s="68"/>
      <c r="N296" s="66"/>
      <c r="O296" s="69"/>
      <c r="P296" s="67"/>
      <c r="Q296" s="66"/>
      <c r="R296" s="65"/>
      <c r="S296" s="68"/>
    </row>
    <row r="297" spans="1:19" ht="27" x14ac:dyDescent="0.4">
      <c r="A297" s="65"/>
      <c r="B297" s="65"/>
      <c r="C297" s="66"/>
      <c r="D297" s="66"/>
      <c r="E297" s="67"/>
      <c r="F297" s="68"/>
      <c r="G297" s="68"/>
      <c r="H297" s="66"/>
      <c r="I297" s="67"/>
      <c r="J297" s="67"/>
      <c r="K297" s="67"/>
      <c r="L297" s="66"/>
      <c r="M297" s="68"/>
      <c r="N297" s="66"/>
      <c r="O297" s="69"/>
      <c r="P297" s="67"/>
      <c r="Q297" s="66"/>
      <c r="R297" s="65"/>
      <c r="S297" s="68"/>
    </row>
    <row r="298" spans="1:19" ht="27" x14ac:dyDescent="0.4">
      <c r="A298" s="65"/>
      <c r="B298" s="65"/>
      <c r="C298" s="66"/>
      <c r="D298" s="66"/>
      <c r="E298" s="67"/>
      <c r="F298" s="68"/>
      <c r="G298" s="68"/>
      <c r="H298" s="66"/>
      <c r="I298" s="67"/>
      <c r="J298" s="67"/>
      <c r="K298" s="67"/>
      <c r="L298" s="66"/>
      <c r="M298" s="68"/>
      <c r="N298" s="66"/>
      <c r="O298" s="69"/>
      <c r="P298" s="67"/>
      <c r="Q298" s="66"/>
      <c r="R298" s="65"/>
      <c r="S298" s="68"/>
    </row>
    <row r="299" spans="1:19" ht="27" x14ac:dyDescent="0.4">
      <c r="A299" s="65"/>
      <c r="B299" s="65"/>
      <c r="C299" s="66"/>
      <c r="D299" s="66"/>
      <c r="E299" s="67"/>
      <c r="F299" s="68"/>
      <c r="G299" s="68"/>
      <c r="H299" s="66"/>
      <c r="I299" s="67"/>
      <c r="J299" s="67"/>
      <c r="K299" s="67"/>
      <c r="L299" s="66"/>
      <c r="M299" s="68"/>
      <c r="N299" s="66"/>
      <c r="O299" s="69"/>
      <c r="P299" s="67"/>
      <c r="Q299" s="66"/>
      <c r="R299" s="65"/>
      <c r="S299" s="68"/>
    </row>
    <row r="300" spans="1:19" ht="27" x14ac:dyDescent="0.4">
      <c r="A300" s="65"/>
      <c r="B300" s="65"/>
      <c r="C300" s="66"/>
      <c r="D300" s="66"/>
      <c r="E300" s="67"/>
      <c r="F300" s="68"/>
      <c r="G300" s="68"/>
      <c r="H300" s="66"/>
      <c r="I300" s="67"/>
      <c r="J300" s="67"/>
      <c r="K300" s="67"/>
      <c r="L300" s="66"/>
      <c r="M300" s="68"/>
      <c r="N300" s="66"/>
      <c r="O300" s="69"/>
      <c r="P300" s="67"/>
      <c r="Q300" s="66"/>
      <c r="R300" s="65"/>
      <c r="S300" s="68"/>
    </row>
    <row r="301" spans="1:19" ht="27" x14ac:dyDescent="0.4">
      <c r="A301" s="65"/>
      <c r="B301" s="65"/>
      <c r="C301" s="66"/>
      <c r="D301" s="66"/>
      <c r="E301" s="67"/>
      <c r="F301" s="68"/>
      <c r="G301" s="68"/>
      <c r="H301" s="66"/>
      <c r="I301" s="67"/>
      <c r="J301" s="67"/>
      <c r="K301" s="67"/>
      <c r="L301" s="66"/>
      <c r="M301" s="68"/>
      <c r="N301" s="66"/>
      <c r="O301" s="69"/>
      <c r="P301" s="67"/>
      <c r="Q301" s="66"/>
      <c r="R301" s="65"/>
      <c r="S301" s="68"/>
    </row>
    <row r="302" spans="1:19" ht="27" x14ac:dyDescent="0.4">
      <c r="A302" s="65"/>
      <c r="B302" s="65"/>
      <c r="C302" s="66"/>
      <c r="D302" s="66"/>
      <c r="E302" s="67"/>
      <c r="F302" s="68"/>
      <c r="G302" s="68"/>
      <c r="H302" s="66"/>
      <c r="I302" s="67"/>
      <c r="J302" s="67"/>
      <c r="K302" s="67"/>
      <c r="L302" s="66"/>
      <c r="M302" s="68"/>
      <c r="N302" s="66"/>
      <c r="O302" s="69"/>
      <c r="P302" s="67"/>
      <c r="Q302" s="66"/>
      <c r="R302" s="65"/>
      <c r="S302" s="68"/>
    </row>
    <row r="303" spans="1:19" ht="27" x14ac:dyDescent="0.4">
      <c r="A303" s="65"/>
      <c r="B303" s="65"/>
      <c r="C303" s="66"/>
      <c r="D303" s="66"/>
      <c r="E303" s="67"/>
      <c r="F303" s="68"/>
      <c r="G303" s="68"/>
      <c r="H303" s="66"/>
      <c r="I303" s="67"/>
      <c r="J303" s="67"/>
      <c r="K303" s="67"/>
      <c r="L303" s="66"/>
      <c r="M303" s="68"/>
      <c r="N303" s="66"/>
      <c r="O303" s="69"/>
      <c r="P303" s="67"/>
      <c r="Q303" s="66"/>
      <c r="R303" s="65"/>
      <c r="S303" s="68"/>
    </row>
    <row r="304" spans="1:19" ht="27" x14ac:dyDescent="0.4">
      <c r="A304" s="65"/>
      <c r="B304" s="65"/>
      <c r="C304" s="66"/>
      <c r="D304" s="66"/>
      <c r="E304" s="67"/>
      <c r="F304" s="68"/>
      <c r="G304" s="68"/>
      <c r="H304" s="66"/>
      <c r="I304" s="67"/>
      <c r="J304" s="67"/>
      <c r="K304" s="67"/>
      <c r="L304" s="66"/>
      <c r="M304" s="68"/>
      <c r="N304" s="66"/>
      <c r="O304" s="69"/>
      <c r="P304" s="67"/>
      <c r="Q304" s="66"/>
      <c r="R304" s="65"/>
      <c r="S304" s="68"/>
    </row>
    <row r="305" spans="1:19" ht="27" x14ac:dyDescent="0.4">
      <c r="A305" s="65"/>
      <c r="B305" s="65"/>
      <c r="C305" s="66"/>
      <c r="D305" s="66"/>
      <c r="E305" s="67"/>
      <c r="F305" s="68"/>
      <c r="G305" s="68"/>
      <c r="H305" s="66"/>
      <c r="I305" s="67"/>
      <c r="J305" s="67"/>
      <c r="K305" s="67"/>
      <c r="L305" s="66"/>
      <c r="M305" s="68"/>
      <c r="N305" s="66"/>
      <c r="O305" s="69"/>
      <c r="P305" s="67"/>
      <c r="Q305" s="66"/>
      <c r="R305" s="65"/>
      <c r="S305" s="68"/>
    </row>
    <row r="306" spans="1:19" ht="27" x14ac:dyDescent="0.4">
      <c r="A306" s="65"/>
      <c r="B306" s="65"/>
      <c r="C306" s="66"/>
      <c r="D306" s="66"/>
      <c r="E306" s="67"/>
      <c r="F306" s="68"/>
      <c r="G306" s="68"/>
      <c r="H306" s="66"/>
      <c r="I306" s="67"/>
      <c r="J306" s="67"/>
      <c r="K306" s="67"/>
      <c r="L306" s="66"/>
      <c r="M306" s="68"/>
      <c r="N306" s="66"/>
      <c r="O306" s="69"/>
      <c r="P306" s="67"/>
      <c r="Q306" s="66"/>
      <c r="R306" s="65"/>
      <c r="S306" s="68"/>
    </row>
    <row r="307" spans="1:19" ht="27" x14ac:dyDescent="0.4">
      <c r="A307" s="65"/>
      <c r="B307" s="65"/>
      <c r="C307" s="66"/>
      <c r="D307" s="66"/>
      <c r="E307" s="67"/>
      <c r="F307" s="68"/>
      <c r="G307" s="68"/>
      <c r="H307" s="66"/>
      <c r="I307" s="67"/>
      <c r="J307" s="67"/>
      <c r="K307" s="67"/>
      <c r="L307" s="66"/>
      <c r="M307" s="68"/>
      <c r="N307" s="66"/>
      <c r="O307" s="69"/>
      <c r="P307" s="67"/>
      <c r="Q307" s="66"/>
      <c r="R307" s="65"/>
      <c r="S307" s="68"/>
    </row>
    <row r="308" spans="1:19" ht="27" x14ac:dyDescent="0.4">
      <c r="A308" s="65"/>
      <c r="B308" s="65"/>
      <c r="C308" s="66"/>
      <c r="D308" s="66"/>
      <c r="E308" s="67"/>
      <c r="F308" s="68"/>
      <c r="G308" s="68"/>
      <c r="H308" s="66"/>
      <c r="I308" s="67"/>
      <c r="J308" s="67"/>
      <c r="K308" s="67"/>
      <c r="L308" s="66"/>
      <c r="M308" s="68"/>
      <c r="N308" s="66"/>
      <c r="O308" s="69"/>
      <c r="P308" s="67"/>
      <c r="Q308" s="66"/>
      <c r="R308" s="65"/>
      <c r="S308" s="68"/>
    </row>
    <row r="309" spans="1:19" ht="27" x14ac:dyDescent="0.4">
      <c r="A309" s="65"/>
      <c r="B309" s="65"/>
      <c r="C309" s="66"/>
      <c r="D309" s="66"/>
      <c r="E309" s="67"/>
      <c r="F309" s="68"/>
      <c r="G309" s="68"/>
      <c r="H309" s="66"/>
      <c r="I309" s="67"/>
      <c r="J309" s="67"/>
      <c r="K309" s="67"/>
      <c r="L309" s="66"/>
      <c r="M309" s="68"/>
      <c r="N309" s="66"/>
      <c r="O309" s="69"/>
      <c r="P309" s="67"/>
      <c r="Q309" s="66"/>
      <c r="R309" s="65"/>
      <c r="S309" s="68"/>
    </row>
    <row r="310" spans="1:19" ht="27" x14ac:dyDescent="0.4">
      <c r="A310" s="65"/>
      <c r="B310" s="65"/>
      <c r="C310" s="66"/>
      <c r="D310" s="66"/>
      <c r="E310" s="67"/>
      <c r="F310" s="68"/>
      <c r="G310" s="68"/>
      <c r="H310" s="66"/>
      <c r="I310" s="67"/>
      <c r="J310" s="67"/>
      <c r="K310" s="67"/>
      <c r="L310" s="66"/>
      <c r="M310" s="68"/>
      <c r="N310" s="66"/>
      <c r="O310" s="69"/>
      <c r="P310" s="67"/>
      <c r="Q310" s="66"/>
      <c r="R310" s="65"/>
      <c r="S310" s="68"/>
    </row>
    <row r="311" spans="1:19" ht="27" x14ac:dyDescent="0.4">
      <c r="A311" s="65"/>
      <c r="B311" s="65"/>
      <c r="C311" s="66"/>
      <c r="D311" s="66"/>
      <c r="E311" s="67"/>
      <c r="F311" s="68"/>
      <c r="G311" s="68"/>
      <c r="H311" s="66"/>
      <c r="I311" s="67"/>
      <c r="J311" s="67"/>
      <c r="K311" s="67"/>
      <c r="L311" s="66"/>
      <c r="M311" s="68"/>
      <c r="N311" s="66"/>
      <c r="O311" s="69"/>
      <c r="P311" s="67"/>
      <c r="Q311" s="66"/>
      <c r="R311" s="65"/>
      <c r="S311" s="68"/>
    </row>
    <row r="312" spans="1:19" ht="27" x14ac:dyDescent="0.4">
      <c r="A312" s="65"/>
      <c r="B312" s="65"/>
      <c r="C312" s="66"/>
      <c r="D312" s="66"/>
      <c r="E312" s="67"/>
      <c r="F312" s="68"/>
      <c r="G312" s="68"/>
      <c r="H312" s="66"/>
      <c r="I312" s="67"/>
      <c r="J312" s="67"/>
      <c r="K312" s="67"/>
      <c r="L312" s="66"/>
      <c r="M312" s="68"/>
      <c r="N312" s="66"/>
      <c r="O312" s="69"/>
      <c r="P312" s="67"/>
      <c r="Q312" s="66"/>
      <c r="R312" s="65"/>
      <c r="S312" s="68"/>
    </row>
    <row r="313" spans="1:19" ht="27" x14ac:dyDescent="0.4">
      <c r="A313" s="65"/>
      <c r="B313" s="65"/>
      <c r="C313" s="66"/>
      <c r="D313" s="66"/>
      <c r="E313" s="67"/>
      <c r="F313" s="68"/>
      <c r="G313" s="68"/>
      <c r="H313" s="66"/>
      <c r="I313" s="67"/>
      <c r="J313" s="67"/>
      <c r="K313" s="67"/>
      <c r="L313" s="66"/>
      <c r="M313" s="68"/>
      <c r="N313" s="66"/>
      <c r="O313" s="69"/>
      <c r="P313" s="67"/>
      <c r="Q313" s="66"/>
      <c r="R313" s="65"/>
      <c r="S313" s="68"/>
    </row>
    <row r="314" spans="1:19" ht="27" x14ac:dyDescent="0.4">
      <c r="A314" s="65"/>
      <c r="B314" s="65"/>
      <c r="C314" s="66"/>
      <c r="D314" s="66"/>
      <c r="E314" s="67"/>
      <c r="F314" s="68"/>
      <c r="G314" s="68"/>
      <c r="H314" s="66"/>
      <c r="I314" s="67"/>
      <c r="J314" s="67"/>
      <c r="K314" s="67"/>
      <c r="L314" s="66"/>
      <c r="M314" s="68"/>
      <c r="N314" s="66"/>
      <c r="O314" s="69"/>
      <c r="P314" s="67"/>
      <c r="Q314" s="66"/>
      <c r="R314" s="65"/>
      <c r="S314" s="68"/>
    </row>
    <row r="315" spans="1:19" ht="27" x14ac:dyDescent="0.4">
      <c r="A315" s="65"/>
      <c r="B315" s="65"/>
      <c r="C315" s="66"/>
      <c r="D315" s="66"/>
      <c r="E315" s="67"/>
      <c r="F315" s="68"/>
      <c r="G315" s="68"/>
      <c r="H315" s="66"/>
      <c r="I315" s="67"/>
      <c r="J315" s="67"/>
      <c r="K315" s="67"/>
      <c r="L315" s="66"/>
      <c r="M315" s="68"/>
      <c r="N315" s="66"/>
      <c r="O315" s="69"/>
      <c r="P315" s="67"/>
      <c r="Q315" s="66"/>
      <c r="R315" s="65"/>
      <c r="S315" s="68"/>
    </row>
    <row r="316" spans="1:19" ht="27" x14ac:dyDescent="0.4">
      <c r="A316" s="65"/>
      <c r="B316" s="65"/>
      <c r="C316" s="66"/>
      <c r="D316" s="66"/>
      <c r="E316" s="67"/>
      <c r="F316" s="68"/>
      <c r="G316" s="68"/>
      <c r="H316" s="66"/>
      <c r="I316" s="67"/>
      <c r="J316" s="67"/>
      <c r="K316" s="67"/>
      <c r="L316" s="66"/>
      <c r="M316" s="68"/>
      <c r="N316" s="66"/>
      <c r="O316" s="69"/>
      <c r="P316" s="67"/>
      <c r="Q316" s="66"/>
      <c r="R316" s="65"/>
      <c r="S316" s="68"/>
    </row>
    <row r="317" spans="1:19" ht="27" x14ac:dyDescent="0.4">
      <c r="A317" s="65"/>
      <c r="B317" s="65"/>
      <c r="C317" s="66"/>
      <c r="D317" s="66"/>
      <c r="E317" s="67"/>
      <c r="F317" s="68"/>
      <c r="G317" s="68"/>
      <c r="H317" s="66"/>
      <c r="I317" s="67"/>
      <c r="J317" s="67"/>
      <c r="K317" s="67"/>
      <c r="L317" s="66"/>
      <c r="M317" s="68"/>
      <c r="N317" s="66"/>
      <c r="O317" s="69"/>
      <c r="P317" s="67"/>
      <c r="Q317" s="66"/>
      <c r="R317" s="65"/>
      <c r="S317" s="68"/>
    </row>
    <row r="318" spans="1:19" ht="27" x14ac:dyDescent="0.4">
      <c r="A318" s="65"/>
      <c r="B318" s="65"/>
      <c r="C318" s="66"/>
      <c r="D318" s="66"/>
      <c r="E318" s="67"/>
      <c r="F318" s="68"/>
      <c r="G318" s="68"/>
      <c r="H318" s="66"/>
      <c r="I318" s="67"/>
      <c r="J318" s="67"/>
      <c r="K318" s="67"/>
      <c r="L318" s="66"/>
      <c r="M318" s="68"/>
      <c r="N318" s="66"/>
      <c r="O318" s="69"/>
      <c r="P318" s="67"/>
      <c r="Q318" s="66"/>
      <c r="R318" s="65"/>
      <c r="S318" s="68"/>
    </row>
    <row r="319" spans="1:19" ht="27" x14ac:dyDescent="0.4">
      <c r="A319" s="65"/>
      <c r="B319" s="65"/>
      <c r="C319" s="66"/>
      <c r="D319" s="66"/>
      <c r="E319" s="67"/>
      <c r="F319" s="68"/>
      <c r="G319" s="68"/>
      <c r="H319" s="66"/>
      <c r="I319" s="67"/>
      <c r="J319" s="67"/>
      <c r="K319" s="67"/>
      <c r="L319" s="66"/>
      <c r="M319" s="68"/>
      <c r="N319" s="66"/>
      <c r="O319" s="69"/>
      <c r="P319" s="67"/>
      <c r="Q319" s="66"/>
      <c r="R319" s="65"/>
      <c r="S319" s="68"/>
    </row>
    <row r="320" spans="1:19" ht="27" x14ac:dyDescent="0.4">
      <c r="A320" s="65"/>
      <c r="B320" s="65"/>
      <c r="C320" s="66"/>
      <c r="D320" s="66"/>
      <c r="E320" s="67"/>
      <c r="F320" s="68"/>
      <c r="G320" s="68"/>
      <c r="H320" s="66"/>
      <c r="I320" s="67"/>
      <c r="J320" s="67"/>
      <c r="K320" s="67"/>
      <c r="L320" s="66"/>
      <c r="M320" s="68"/>
      <c r="N320" s="66"/>
      <c r="O320" s="69"/>
      <c r="P320" s="67"/>
      <c r="Q320" s="66"/>
      <c r="R320" s="65"/>
      <c r="S320" s="68"/>
    </row>
    <row r="321" spans="1:19" ht="27" x14ac:dyDescent="0.4">
      <c r="A321" s="65"/>
      <c r="B321" s="65"/>
      <c r="C321" s="66"/>
      <c r="D321" s="66"/>
      <c r="E321" s="67"/>
      <c r="F321" s="68"/>
      <c r="G321" s="68"/>
      <c r="H321" s="66"/>
      <c r="I321" s="67"/>
      <c r="J321" s="67"/>
      <c r="K321" s="67"/>
      <c r="L321" s="66"/>
      <c r="M321" s="68"/>
      <c r="N321" s="66"/>
      <c r="O321" s="69"/>
      <c r="P321" s="67"/>
      <c r="Q321" s="66"/>
      <c r="R321" s="65"/>
      <c r="S321" s="68"/>
    </row>
  </sheetData>
  <mergeCells count="11">
    <mergeCell ref="G1:G2"/>
    <mergeCell ref="H1:L1"/>
    <mergeCell ref="M1:M2"/>
    <mergeCell ref="N1:R1"/>
    <mergeCell ref="S1:S2"/>
    <mergeCell ref="A1:A2"/>
    <mergeCell ref="C1:C2"/>
    <mergeCell ref="D1:D2"/>
    <mergeCell ref="E1:E2"/>
    <mergeCell ref="F1:F2"/>
    <mergeCell ref="B1:B2"/>
  </mergeCells>
  <phoneticPr fontId="4" type="noConversion"/>
  <dataValidations count="3">
    <dataValidation type="list" allowBlank="1" showInputMessage="1" showErrorMessage="1" sqref="AB91 AR91 BH91 BX91 CN91 DD91 DT91 EJ91 EZ91 FP91 GF91 GV91 HL91 IB91 IR91 JH91 JX91 KN91 LD91 LT91 MJ91 MZ91 NP91 OF91 OV91 PL91 QB91 QR91 RH91 RX91 SN91 TD91 TT91 UJ91 UZ91 VP91 WF91 WV91 XL91 YB91 YR91 ZH91 ZX91 AAN91 ABD91 ABT91 ACJ91 ACZ91 ADP91 AEF91 AEV91 AFL91 AGB91 AGR91 AHH91 AHX91 AIN91 AJD91 AJT91 AKJ91 AKZ91 ALP91 AMF91 AMV91 ANL91 AOB91 AOR91 APH91 APX91 AQN91 ARD91 ART91 ASJ91 ASZ91 ATP91 AUF91 AUV91 AVL91 AWB91 AWR91 AXH91 AXX91 AYN91 AZD91 AZT91 BAJ91 BAZ91 BBP91 BCF91 BCV91 BDL91 BEB91 BER91 BFH91 BFX91 BGN91 BHD91 BHT91 BIJ91 BIZ91 BJP91 BKF91 BKV91 BLL91 BMB91 BMR91 BNH91 BNX91 BON91 BPD91 BPT91 BQJ91 BQZ91 BRP91 BSF91 BSV91 BTL91 BUB91 BUR91 BVH91 BVX91 BWN91 BXD91 BXT91 BYJ91 BYZ91 BZP91 CAF91 CAV91 CBL91 CCB91 CCR91 CDH91 CDX91 CEN91 CFD91 CFT91 CGJ91 CGZ91 CHP91 CIF91 CIV91 CJL91 CKB91 CKR91 CLH91 CLX91 CMN91 CND91 CNT91 COJ91 COZ91 CPP91 CQF91 CQV91 CRL91 CSB91 CSR91 CTH91 CTX91 CUN91 CVD91 CVT91 CWJ91 CWZ91 CXP91 CYF91 CYV91 CZL91 DAB91 DAR91 DBH91 DBX91 DCN91 DDD91 DDT91 DEJ91 DEZ91 DFP91 DGF91 DGV91 DHL91 DIB91 DIR91 DJH91 DJX91 DKN91 DLD91 DLT91 DMJ91 DMZ91 DNP91 DOF91 DOV91 DPL91 DQB91 DQR91 DRH91 DRX91 DSN91 DTD91 DTT91 DUJ91 DUZ91 DVP91 DWF91 DWV91 DXL91 DYB91 DYR91 DZH91 DZX91 EAN91 EBD91 EBT91 ECJ91 ECZ91 EDP91 EEF91 EEV91 EFL91 EGB91 EGR91 EHH91 EHX91 EIN91 EJD91 EJT91 EKJ91 EKZ91 ELP91 EMF91 EMV91 ENL91 EOB91 EOR91 EPH91 EPX91 EQN91 ERD91 ERT91 ESJ91 ESZ91 ETP91 EUF91 EUV91 EVL91 EWB91 EWR91 EXH91 EXX91 EYN91 EZD91 EZT91 FAJ91 FAZ91 FBP91 FCF91 FCV91 FDL91 FEB91 FER91 FFH91 FFX91 FGN91 FHD91 FHT91 FIJ91 FIZ91 FJP91 FKF91 FKV91 FLL91 FMB91 FMR91 FNH91 FNX91 FON91 FPD91 FPT91 FQJ91 FQZ91 FRP91 FSF91 FSV91 FTL91 FUB91 FUR91 FVH91 FVX91 FWN91 FXD91 FXT91 FYJ91 FYZ91 FZP91 GAF91 GAV91 GBL91 GCB91 GCR91 GDH91 GDX91 GEN91 GFD91 GFT91 GGJ91 GGZ91 GHP91 GIF91 GIV91 GJL91 GKB91 GKR91 GLH91 GLX91 GMN91 GND91 GNT91 GOJ91 GOZ91 GPP91 GQF91 GQV91 GRL91 GSB91 GSR91 GTH91 GTX91 GUN91 GVD91 GVT91 GWJ91 GWZ91 GXP91 GYF91 GYV91 GZL91 HAB91 HAR91 HBH91 HBX91 HCN91 HDD91 HDT91 HEJ91 HEZ91 HFP91 HGF91 HGV91 HHL91 HIB91 HIR91 HJH91 HJX91 HKN91 HLD91 HLT91 HMJ91 HMZ91 HNP91 HOF91 HOV91 HPL91 HQB91 HQR91 HRH91 HRX91 HSN91 HTD91 HTT91 HUJ91 HUZ91 HVP91 HWF91 HWV91 HXL91 HYB91 HYR91 HZH91 HZX91 IAN91 IBD91 IBT91 ICJ91 ICZ91 IDP91 IEF91 IEV91 IFL91 IGB91 IGR91 IHH91 IHX91 IIN91 IJD91 IJT91 IKJ91 IKZ91 ILP91 IMF91 IMV91 INL91 IOB91 IOR91 IPH91 IPX91 IQN91 IRD91 IRT91 ISJ91 ISZ91 ITP91 IUF91 IUV91 IVL91 IWB91 IWR91 IXH91 IXX91 IYN91 IZD91 IZT91 JAJ91 JAZ91 JBP91 JCF91 JCV91 JDL91 JEB91 JER91 JFH91 JFX91 JGN91 JHD91 JHT91 JIJ91 JIZ91 JJP91 JKF91 JKV91 JLL91 JMB91 JMR91 JNH91 JNX91 JON91 JPD91 JPT91 JQJ91 JQZ91 JRP91 JSF91 JSV91 JTL91 JUB91 JUR91 JVH91 JVX91 JWN91 JXD91 JXT91 JYJ91 JYZ91 JZP91 KAF91 KAV91 KBL91 KCB91 KCR91 KDH91 KDX91 KEN91 KFD91 KFT91 KGJ91 KGZ91 KHP91 KIF91 KIV91 KJL91 KKB91 KKR91 KLH91 KLX91 KMN91 KND91 KNT91 KOJ91 KOZ91 KPP91 KQF91 KQV91 KRL91 KSB91 KSR91 KTH91 KTX91 KUN91 KVD91 KVT91 KWJ91 KWZ91 KXP91 KYF91 KYV91 KZL91 LAB91 LAR91 LBH91 LBX91 LCN91 LDD91 LDT91 LEJ91 LEZ91 LFP91 LGF91 LGV91 LHL91 LIB91 LIR91 LJH91 LJX91 LKN91 LLD91 LLT91 LMJ91 LMZ91 LNP91 LOF91 LOV91 LPL91 LQB91 LQR91 LRH91 LRX91 LSN91 LTD91 LTT91 LUJ91 LUZ91 LVP91 LWF91 LWV91 LXL91 LYB91 LYR91 LZH91 LZX91 MAN91 MBD91 MBT91 MCJ91 MCZ91 MDP91 MEF91 MEV91 MFL91 MGB91 MGR91 MHH91 MHX91 MIN91 MJD91 MJT91 MKJ91 MKZ91 MLP91 MMF91 MMV91 MNL91 MOB91 MOR91 MPH91 MPX91 MQN91 MRD91 MRT91 MSJ91 MSZ91 MTP91 MUF91 MUV91 MVL91 MWB91 MWR91 MXH91 MXX91 MYN91 MZD91 MZT91 NAJ91 NAZ91 NBP91 NCF91 NCV91 NDL91 NEB91 NER91 NFH91 NFX91 NGN91 NHD91 NHT91 NIJ91 NIZ91 NJP91 NKF91 NKV91 NLL91 NMB91 NMR91 NNH91 NNX91 NON91 NPD91 NPT91 NQJ91 NQZ91 NRP91 NSF91 NSV91 NTL91 NUB91 NUR91 NVH91 NVX91 NWN91 NXD91 NXT91 NYJ91 NYZ91 NZP91 OAF91 OAV91 OBL91 OCB91 OCR91 ODH91 ODX91 OEN91 OFD91 OFT91 OGJ91 OGZ91 OHP91 OIF91 OIV91 OJL91 OKB91 OKR91 OLH91 OLX91 OMN91 OND91 ONT91 OOJ91 OOZ91 OPP91 OQF91 OQV91 ORL91 OSB91 OSR91 OTH91 OTX91 OUN91 OVD91 OVT91 OWJ91 OWZ91 OXP91 OYF91 OYV91 OZL91 PAB91 PAR91 PBH91 PBX91 PCN91 PDD91 PDT91 PEJ91 PEZ91 PFP91 PGF91 PGV91 PHL91 PIB91 PIR91 PJH91 PJX91 PKN91 PLD91 PLT91 PMJ91 PMZ91 PNP91 POF91 POV91 PPL91 PQB91 PQR91 PRH91 PRX91 PSN91 PTD91 PTT91 PUJ91 PUZ91 PVP91 PWF91 PWV91 PXL91 PYB91 PYR91 PZH91 PZX91 QAN91 QBD91 QBT91 QCJ91 QCZ91 QDP91 QEF91 QEV91 QFL91 QGB91 QGR91 QHH91 QHX91 QIN91 QJD91 QJT91 QKJ91 QKZ91 QLP91 QMF91 QMV91 QNL91 QOB91 QOR91 QPH91 QPX91 QQN91 QRD91 QRT91 QSJ91 QSZ91 QTP91 QUF91 QUV91 QVL91 QWB91 QWR91 QXH91 QXX91 QYN91 QZD91 QZT91 RAJ91 RAZ91 RBP91 RCF91 RCV91 RDL91 REB91 RER91 RFH91 RFX91 RGN91 RHD91 RHT91 RIJ91 RIZ91 RJP91 RKF91 RKV91 RLL91 RMB91 RMR91 RNH91 RNX91 RON91 RPD91 RPT91 RQJ91 RQZ91 RRP91 RSF91 RSV91 RTL91 RUB91 RUR91 RVH91 RVX91 RWN91 RXD91 RXT91 RYJ91 RYZ91 RZP91 SAF91 SAV91 SBL91 SCB91 SCR91 SDH91 SDX91 SEN91 SFD91 SFT91 SGJ91 SGZ91 SHP91 SIF91 SIV91 SJL91 SKB91 SKR91 SLH91 SLX91 SMN91 SND91 SNT91 SOJ91 SOZ91 SPP91 SQF91 SQV91 SRL91 SSB91 SSR91 STH91 STX91 SUN91 SVD91 SVT91 SWJ91 SWZ91 SXP91 SYF91 SYV91 SZL91 TAB91 TAR91 TBH91 TBX91 TCN91 TDD91 TDT91 TEJ91 TEZ91 TFP91 TGF91 TGV91 THL91 TIB91 TIR91 TJH91 TJX91 TKN91 TLD91 TLT91 TMJ91 TMZ91 TNP91 TOF91 TOV91 TPL91 TQB91 TQR91 TRH91 TRX91 TSN91 TTD91 TTT91 TUJ91 TUZ91 TVP91 TWF91 TWV91 TXL91 TYB91 TYR91 TZH91 TZX91 UAN91 UBD91 UBT91 UCJ91 UCZ91 UDP91 UEF91 UEV91 UFL91 UGB91 UGR91 UHH91 UHX91 UIN91 UJD91 UJT91 UKJ91 UKZ91 ULP91 UMF91 UMV91 UNL91 UOB91 UOR91 UPH91 UPX91 UQN91 URD91 URT91 USJ91 USZ91 UTP91 UUF91 UUV91 UVL91 UWB91 UWR91 UXH91 UXX91 UYN91 UZD91 UZT91 VAJ91 VAZ91 VBP91 VCF91 VCV91 VDL91 VEB91 VER91 VFH91 VFX91 VGN91 VHD91 VHT91 VIJ91 VIZ91 VJP91 VKF91 VKV91 VLL91 VMB91 VMR91 VNH91 VNX91 VON91 VPD91 VPT91 VQJ91 VQZ91 VRP91 VSF91 VSV91 VTL91 VUB91 VUR91 VVH91 VVX91 VWN91 VXD91 VXT91 VYJ91 VYZ91 VZP91 WAF91 WAV91 WBL91 WCB91 WCR91 WDH91 WDX91 WEN91 WFD91 WFT91 WGJ91 WGZ91 WHP91 WIF91 WIV91 WJL91 WKB91 WKR91 WLH91 WLX91 WMN91 WND91 WNT91 WOJ91 WOZ91 WPP91 WQF91 WQV91 WRL91 WSB91 WSR91 WTH91 WTX91 WUN91 WVD91 WVT91 WWJ91 WWZ91 WXP91 WYF91 WYV91 WZL91 XAB91 XAR91 XBH91 XBX91 XCN91 XDD91 XDT91 XEJ91" xr:uid="{186B2FF9-99E9-442E-A95A-E7F2E80AC48E}">
      <formula1>INDIRECT(AJ91)</formula1>
    </dataValidation>
    <dataValidation type="list" allowBlank="1" showInputMessage="1" showErrorMessage="1" sqref="XEZ91" xr:uid="{424AF0E1-21B8-45A9-AB1B-36D8E2211A7F}">
      <formula1>INDIRECT(F91)</formula1>
    </dataValidation>
    <dataValidation type="list" allowBlank="1" showInputMessage="1" showErrorMessage="1" sqref="N3:N321" xr:uid="{A5D35C96-5EF8-45BE-A398-A26BA193DA40}">
      <formula1>INDIRECT(T3)</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Month CM</vt:lpstr>
      <vt:lpstr>ALL_ZONE</vt:lpstr>
      <vt:lpstr>MTB</vt:lpstr>
      <vt:lpstr>Z2</vt:lpstr>
      <vt:lpstr>FZ</vt:lpstr>
      <vt:lpstr>SAT1</vt:lpstr>
      <vt:lpstr>ALL_ZONE!Print_Area</vt:lpstr>
      <vt:lpstr>'Month CM'!Print_Area</vt:lpstr>
      <vt:lpstr>ALL_ZONE!Print_Titles</vt:lpstr>
      <vt:lpstr>'Month CM'!Print_Titles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amplo engineering</dc:creator>
  <cp:lastModifiedBy>ANAN-NB</cp:lastModifiedBy>
  <cp:lastPrinted>2026-03-26T02:46:07Z</cp:lastPrinted>
  <dcterms:created xsi:type="dcterms:W3CDTF">2025-11-04T03:37:08Z</dcterms:created>
  <dcterms:modified xsi:type="dcterms:W3CDTF">2026-08-10T07:22:28Z</dcterms:modified>
</cp:coreProperties>
</file>