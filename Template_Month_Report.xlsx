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0c72e3775f6cf830/เดสก์ท็อป/CM APP/"/>
    </mc:Choice>
  </mc:AlternateContent>
  <xr:revisionPtr revIDLastSave="12" documentId="13_ncr:1_{3F119106-7F25-48BC-850E-94BF96CB438A}" xr6:coauthVersionLast="47" xr6:coauthVersionMax="47" xr10:uidLastSave="{C949637D-3274-43F5-B798-DC0AC7EF56F7}"/>
  <bookViews>
    <workbookView xWindow="-120" yWindow="-120" windowWidth="29040" windowHeight="15720" xr2:uid="{3533483A-3DDF-4850-9041-B6D66A517557}"/>
  </bookViews>
  <sheets>
    <sheet name="Month CM" sheetId="10" r:id="rId1"/>
    <sheet name="ALL_ZONE" sheetId="2" r:id="rId2"/>
    <sheet name="MTB" sheetId="3" r:id="rId3"/>
    <sheet name="Z2" sheetId="4" r:id="rId4"/>
    <sheet name="FZ" sheetId="5" r:id="rId5"/>
    <sheet name="SAT1" sheetId="6" r:id="rId6"/>
  </sheets>
  <externalReferences>
    <externalReference r:id="rId7"/>
  </externalReferences>
  <definedNames>
    <definedName name="_xlnm._FilterDatabase" localSheetId="1" hidden="1">ALL_ZONE!$A$1:$R$777</definedName>
    <definedName name="_xlnm.Print_Area" localSheetId="1">ALL_ZONE!$A$1:$R$748</definedName>
    <definedName name="_xlnm.Print_Area" localSheetId="0">'Month CM'!$A$1:$P$49</definedName>
    <definedName name="_xlnm.Print_Titles" localSheetId="1">ALL_ZONE!$1:$2</definedName>
    <definedName name="_xlnm.Print_Titles" localSheetId="0">'Month CM'!$1:$8</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161" i="6" l="1"/>
  <c r="X160" i="6"/>
  <c r="X159" i="6"/>
  <c r="X158" i="6"/>
  <c r="X157" i="6"/>
  <c r="X156" i="6"/>
  <c r="XFB91" i="6" l="1"/>
  <c r="XEZ91" i="6"/>
  <c r="XEW91" i="6"/>
  <c r="XET91" i="6"/>
  <c r="XEL91" i="6"/>
  <c r="XEJ91" i="6"/>
  <c r="XEG91" i="6"/>
  <c r="XED91" i="6"/>
  <c r="XDV91" i="6"/>
  <c r="XDT91" i="6"/>
  <c r="XDQ91" i="6"/>
  <c r="XDN91" i="6"/>
  <c r="XDF91" i="6"/>
  <c r="XDD91" i="6"/>
  <c r="XDA91" i="6"/>
  <c r="XCX91" i="6"/>
  <c r="XCP91" i="6"/>
  <c r="XCN91" i="6"/>
  <c r="XCK91" i="6"/>
  <c r="XCH91" i="6"/>
  <c r="XBZ91" i="6"/>
  <c r="XBX91" i="6"/>
  <c r="XBU91" i="6"/>
  <c r="XBR91" i="6"/>
  <c r="XBJ91" i="6"/>
  <c r="XBH91" i="6"/>
  <c r="XBE91" i="6"/>
  <c r="XBB91" i="6"/>
  <c r="XAT91" i="6"/>
  <c r="XAR91" i="6"/>
  <c r="XAO91" i="6"/>
  <c r="XAL91" i="6"/>
  <c r="XAD91" i="6"/>
  <c r="XAB91" i="6"/>
  <c r="WZY91" i="6"/>
  <c r="WZV91" i="6"/>
  <c r="WZN91" i="6"/>
  <c r="WZL91" i="6"/>
  <c r="WZI91" i="6"/>
  <c r="WZF91" i="6"/>
  <c r="WYX91" i="6"/>
  <c r="WYV91" i="6"/>
  <c r="WYS91" i="6"/>
  <c r="WYP91" i="6"/>
  <c r="WYH91" i="6"/>
  <c r="WYF91" i="6"/>
  <c r="WYC91" i="6"/>
  <c r="WXZ91" i="6"/>
  <c r="WXR91" i="6"/>
  <c r="WXP91" i="6"/>
  <c r="WXM91" i="6"/>
  <c r="WXJ91" i="6"/>
  <c r="WXB91" i="6"/>
  <c r="WWZ91" i="6"/>
  <c r="WWW91" i="6"/>
  <c r="WWT91" i="6"/>
  <c r="WWL91" i="6"/>
  <c r="WWJ91" i="6"/>
  <c r="WWG91" i="6"/>
  <c r="WWD91" i="6"/>
  <c r="WVV91" i="6"/>
  <c r="WVT91" i="6"/>
  <c r="WVQ91" i="6"/>
  <c r="WVN91" i="6"/>
  <c r="WVF91" i="6"/>
  <c r="WVD91" i="6"/>
  <c r="WVA91" i="6"/>
  <c r="WUX91" i="6"/>
  <c r="WUP91" i="6"/>
  <c r="WUN91" i="6"/>
  <c r="WUK91" i="6"/>
  <c r="WUH91" i="6"/>
  <c r="WTZ91" i="6"/>
  <c r="WTX91" i="6"/>
  <c r="WTU91" i="6"/>
  <c r="WTR91" i="6"/>
  <c r="WTJ91" i="6"/>
  <c r="WTH91" i="6"/>
  <c r="WTE91" i="6"/>
  <c r="WTB91" i="6"/>
  <c r="WST91" i="6"/>
  <c r="WSR91" i="6"/>
  <c r="WSO91" i="6"/>
  <c r="WSL91" i="6"/>
  <c r="WSD91" i="6"/>
  <c r="WSB91" i="6"/>
  <c r="WRY91" i="6"/>
  <c r="WRV91" i="6"/>
  <c r="WRN91" i="6"/>
  <c r="WRL91" i="6"/>
  <c r="WRI91" i="6"/>
  <c r="WRF91" i="6"/>
  <c r="WQX91" i="6"/>
  <c r="WQV91" i="6"/>
  <c r="WQS91" i="6"/>
  <c r="WQP91" i="6"/>
  <c r="WQH91" i="6"/>
  <c r="WQF91" i="6"/>
  <c r="WQC91" i="6"/>
  <c r="WPZ91" i="6"/>
  <c r="WPR91" i="6"/>
  <c r="WPP91" i="6"/>
  <c r="WPM91" i="6"/>
  <c r="WPJ91" i="6"/>
  <c r="WPB91" i="6"/>
  <c r="WOZ91" i="6"/>
  <c r="WOW91" i="6"/>
  <c r="WOT91" i="6"/>
  <c r="WOL91" i="6"/>
  <c r="WOJ91" i="6"/>
  <c r="WOG91" i="6"/>
  <c r="WOD91" i="6"/>
  <c r="WNV91" i="6"/>
  <c r="WNT91" i="6"/>
  <c r="WNQ91" i="6"/>
  <c r="WNN91" i="6"/>
  <c r="WNF91" i="6"/>
  <c r="WND91" i="6"/>
  <c r="WNA91" i="6"/>
  <c r="WMX91" i="6"/>
  <c r="WMP91" i="6"/>
  <c r="WMN91" i="6"/>
  <c r="WMK91" i="6"/>
  <c r="WMH91" i="6"/>
  <c r="WLZ91" i="6"/>
  <c r="WLX91" i="6"/>
  <c r="WLU91" i="6"/>
  <c r="WLR91" i="6"/>
  <c r="WLJ91" i="6"/>
  <c r="WLH91" i="6"/>
  <c r="WLE91" i="6"/>
  <c r="WLB91" i="6"/>
  <c r="WKT91" i="6"/>
  <c r="WKR91" i="6"/>
  <c r="WKO91" i="6"/>
  <c r="WKL91" i="6"/>
  <c r="WKD91" i="6"/>
  <c r="WKB91" i="6"/>
  <c r="WJY91" i="6"/>
  <c r="WJV91" i="6"/>
  <c r="WJN91" i="6"/>
  <c r="WJL91" i="6"/>
  <c r="WJI91" i="6"/>
  <c r="WJF91" i="6"/>
  <c r="WIX91" i="6"/>
  <c r="WIV91" i="6"/>
  <c r="WIS91" i="6"/>
  <c r="WIP91" i="6"/>
  <c r="WIH91" i="6"/>
  <c r="WIF91" i="6"/>
  <c r="WIC91" i="6"/>
  <c r="WHZ91" i="6"/>
  <c r="WHR91" i="6"/>
  <c r="WHP91" i="6"/>
  <c r="WHM91" i="6"/>
  <c r="WHJ91" i="6"/>
  <c r="WHB91" i="6"/>
  <c r="WGZ91" i="6"/>
  <c r="WGW91" i="6"/>
  <c r="WGT91" i="6"/>
  <c r="WGL91" i="6"/>
  <c r="WGJ91" i="6"/>
  <c r="WGG91" i="6"/>
  <c r="WGD91" i="6"/>
  <c r="WFV91" i="6"/>
  <c r="WFT91" i="6"/>
  <c r="WFQ91" i="6"/>
  <c r="WFN91" i="6"/>
  <c r="WFF91" i="6"/>
  <c r="WFD91" i="6"/>
  <c r="WFA91" i="6"/>
  <c r="WEX91" i="6"/>
  <c r="WEP91" i="6"/>
  <c r="WEN91" i="6"/>
  <c r="WEK91" i="6"/>
  <c r="WEH91" i="6"/>
  <c r="WDZ91" i="6"/>
  <c r="WDX91" i="6"/>
  <c r="WDU91" i="6"/>
  <c r="WDR91" i="6"/>
  <c r="WDJ91" i="6"/>
  <c r="WDH91" i="6"/>
  <c r="WDE91" i="6"/>
  <c r="WDB91" i="6"/>
  <c r="WCT91" i="6"/>
  <c r="WCR91" i="6"/>
  <c r="WCO91" i="6"/>
  <c r="WCL91" i="6"/>
  <c r="WCD91" i="6"/>
  <c r="WCB91" i="6"/>
  <c r="WBY91" i="6"/>
  <c r="WBV91" i="6"/>
  <c r="WBN91" i="6"/>
  <c r="WBL91" i="6"/>
  <c r="WBI91" i="6"/>
  <c r="WBF91" i="6"/>
  <c r="WAX91" i="6"/>
  <c r="WAV91" i="6"/>
  <c r="WAS91" i="6"/>
  <c r="WAP91" i="6"/>
  <c r="WAH91" i="6"/>
  <c r="WAF91" i="6"/>
  <c r="WAC91" i="6"/>
  <c r="VZZ91" i="6"/>
  <c r="VZR91" i="6"/>
  <c r="VZP91" i="6"/>
  <c r="VZM91" i="6"/>
  <c r="VZJ91" i="6"/>
  <c r="VZB91" i="6"/>
  <c r="VYZ91" i="6"/>
  <c r="VYW91" i="6"/>
  <c r="VYT91" i="6"/>
  <c r="VYL91" i="6"/>
  <c r="VYJ91" i="6"/>
  <c r="VYG91" i="6"/>
  <c r="VYD91" i="6"/>
  <c r="VXV91" i="6"/>
  <c r="VXT91" i="6"/>
  <c r="VXQ91" i="6"/>
  <c r="VXN91" i="6"/>
  <c r="VXF91" i="6"/>
  <c r="VXD91" i="6"/>
  <c r="VXA91" i="6"/>
  <c r="VWX91" i="6"/>
  <c r="VWP91" i="6"/>
  <c r="VWN91" i="6"/>
  <c r="VWK91" i="6"/>
  <c r="VWH91" i="6"/>
  <c r="VVZ91" i="6"/>
  <c r="VVX91" i="6"/>
  <c r="VVU91" i="6"/>
  <c r="VVR91" i="6"/>
  <c r="VVJ91" i="6"/>
  <c r="VVH91" i="6"/>
  <c r="VVE91" i="6"/>
  <c r="VVB91" i="6"/>
  <c r="VUT91" i="6"/>
  <c r="VUR91" i="6"/>
  <c r="VUO91" i="6"/>
  <c r="VUL91" i="6"/>
  <c r="VUD91" i="6"/>
  <c r="VUB91" i="6"/>
  <c r="VTY91" i="6"/>
  <c r="VTV91" i="6"/>
  <c r="VTN91" i="6"/>
  <c r="VTL91" i="6"/>
  <c r="VTI91" i="6"/>
  <c r="VTF91" i="6"/>
  <c r="VSX91" i="6"/>
  <c r="VSV91" i="6"/>
  <c r="VSS91" i="6"/>
  <c r="VSP91" i="6"/>
  <c r="VSH91" i="6"/>
  <c r="VSF91" i="6"/>
  <c r="VSC91" i="6"/>
  <c r="VRZ91" i="6"/>
  <c r="VRR91" i="6"/>
  <c r="VRP91" i="6"/>
  <c r="VRM91" i="6"/>
  <c r="VRJ91" i="6"/>
  <c r="VRB91" i="6"/>
  <c r="VQZ91" i="6"/>
  <c r="VQW91" i="6"/>
  <c r="VQT91" i="6"/>
  <c r="VQL91" i="6"/>
  <c r="VQJ91" i="6"/>
  <c r="VQG91" i="6"/>
  <c r="VQD91" i="6"/>
  <c r="VPV91" i="6"/>
  <c r="VPT91" i="6"/>
  <c r="VPQ91" i="6"/>
  <c r="VPN91" i="6"/>
  <c r="VPF91" i="6"/>
  <c r="VPD91" i="6"/>
  <c r="VPA91" i="6"/>
  <c r="VOX91" i="6"/>
  <c r="VOP91" i="6"/>
  <c r="VON91" i="6"/>
  <c r="VOK91" i="6"/>
  <c r="VOH91" i="6"/>
  <c r="VNZ91" i="6"/>
  <c r="VNX91" i="6"/>
  <c r="VNU91" i="6"/>
  <c r="VNR91" i="6"/>
  <c r="VNJ91" i="6"/>
  <c r="VNH91" i="6"/>
  <c r="VNE91" i="6"/>
  <c r="VNB91" i="6"/>
  <c r="VMT91" i="6"/>
  <c r="VMR91" i="6"/>
  <c r="VMO91" i="6"/>
  <c r="VML91" i="6"/>
  <c r="VMD91" i="6"/>
  <c r="VMB91" i="6"/>
  <c r="VLY91" i="6"/>
  <c r="VLV91" i="6"/>
  <c r="VLN91" i="6"/>
  <c r="VLL91" i="6"/>
  <c r="VLI91" i="6"/>
  <c r="VLF91" i="6"/>
  <c r="VKX91" i="6"/>
  <c r="VKV91" i="6"/>
  <c r="VKS91" i="6"/>
  <c r="VKP91" i="6"/>
  <c r="VKH91" i="6"/>
  <c r="VKF91" i="6"/>
  <c r="VKC91" i="6"/>
  <c r="VJZ91" i="6"/>
  <c r="VJR91" i="6"/>
  <c r="VJP91" i="6"/>
  <c r="VJM91" i="6"/>
  <c r="VJJ91" i="6"/>
  <c r="VJB91" i="6"/>
  <c r="VIZ91" i="6"/>
  <c r="VIW91" i="6"/>
  <c r="VIT91" i="6"/>
  <c r="VIL91" i="6"/>
  <c r="VIJ91" i="6"/>
  <c r="VIG91" i="6"/>
  <c r="VID91" i="6"/>
  <c r="VHV91" i="6"/>
  <c r="VHT91" i="6"/>
  <c r="VHQ91" i="6"/>
  <c r="VHN91" i="6"/>
  <c r="VHF91" i="6"/>
  <c r="VHD91" i="6"/>
  <c r="VHA91" i="6"/>
  <c r="VGX91" i="6"/>
  <c r="VGP91" i="6"/>
  <c r="VGN91" i="6"/>
  <c r="VGK91" i="6"/>
  <c r="VGH91" i="6"/>
  <c r="VFZ91" i="6"/>
  <c r="VFX91" i="6"/>
  <c r="VFU91" i="6"/>
  <c r="VFR91" i="6"/>
  <c r="VFJ91" i="6"/>
  <c r="VFH91" i="6"/>
  <c r="VFE91" i="6"/>
  <c r="VFB91" i="6"/>
  <c r="VET91" i="6"/>
  <c r="VER91" i="6"/>
  <c r="VEO91" i="6"/>
  <c r="VEL91" i="6"/>
  <c r="VED91" i="6"/>
  <c r="VEB91" i="6"/>
  <c r="VDY91" i="6"/>
  <c r="VDV91" i="6"/>
  <c r="VDN91" i="6"/>
  <c r="VDL91" i="6"/>
  <c r="VDI91" i="6"/>
  <c r="VDF91" i="6"/>
  <c r="VCX91" i="6"/>
  <c r="VCV91" i="6"/>
  <c r="VCS91" i="6"/>
  <c r="VCP91" i="6"/>
  <c r="VCH91" i="6"/>
  <c r="VCF91" i="6"/>
  <c r="VCC91" i="6"/>
  <c r="VBZ91" i="6"/>
  <c r="VBR91" i="6"/>
  <c r="VBP91" i="6"/>
  <c r="VBM91" i="6"/>
  <c r="VBJ91" i="6"/>
  <c r="VBB91" i="6"/>
  <c r="VAZ91" i="6"/>
  <c r="VAW91" i="6"/>
  <c r="VAT91" i="6"/>
  <c r="VAL91" i="6"/>
  <c r="VAJ91" i="6"/>
  <c r="VAG91" i="6"/>
  <c r="VAD91" i="6"/>
  <c r="UZV91" i="6"/>
  <c r="UZT91" i="6"/>
  <c r="UZQ91" i="6"/>
  <c r="UZN91" i="6"/>
  <c r="UZF91" i="6"/>
  <c r="UZD91" i="6"/>
  <c r="UZA91" i="6"/>
  <c r="UYX91" i="6"/>
  <c r="UYP91" i="6"/>
  <c r="UYN91" i="6"/>
  <c r="UYK91" i="6"/>
  <c r="UYH91" i="6"/>
  <c r="UXZ91" i="6"/>
  <c r="UXX91" i="6"/>
  <c r="UXU91" i="6"/>
  <c r="UXR91" i="6"/>
  <c r="UXJ91" i="6"/>
  <c r="UXH91" i="6"/>
  <c r="UXE91" i="6"/>
  <c r="UXB91" i="6"/>
  <c r="UWT91" i="6"/>
  <c r="UWR91" i="6"/>
  <c r="UWO91" i="6"/>
  <c r="UWL91" i="6"/>
  <c r="UWD91" i="6"/>
  <c r="UWB91" i="6"/>
  <c r="UVY91" i="6"/>
  <c r="UVV91" i="6"/>
  <c r="UVN91" i="6"/>
  <c r="UVL91" i="6"/>
  <c r="UVI91" i="6"/>
  <c r="UVF91" i="6"/>
  <c r="UUX91" i="6"/>
  <c r="UUV91" i="6"/>
  <c r="UUS91" i="6"/>
  <c r="UUP91" i="6"/>
  <c r="UUH91" i="6"/>
  <c r="UUF91" i="6"/>
  <c r="UUC91" i="6"/>
  <c r="UTZ91" i="6"/>
  <c r="UTR91" i="6"/>
  <c r="UTP91" i="6"/>
  <c r="UTM91" i="6"/>
  <c r="UTJ91" i="6"/>
  <c r="UTB91" i="6"/>
  <c r="USZ91" i="6"/>
  <c r="USW91" i="6"/>
  <c r="UST91" i="6"/>
  <c r="USL91" i="6"/>
  <c r="USJ91" i="6"/>
  <c r="USG91" i="6"/>
  <c r="USD91" i="6"/>
  <c r="URV91" i="6"/>
  <c r="URT91" i="6"/>
  <c r="URQ91" i="6"/>
  <c r="URN91" i="6"/>
  <c r="URF91" i="6"/>
  <c r="URD91" i="6"/>
  <c r="URA91" i="6"/>
  <c r="UQX91" i="6"/>
  <c r="UQP91" i="6"/>
  <c r="UQN91" i="6"/>
  <c r="UQK91" i="6"/>
  <c r="UQH91" i="6"/>
  <c r="UPZ91" i="6"/>
  <c r="UPX91" i="6"/>
  <c r="UPU91" i="6"/>
  <c r="UPR91" i="6"/>
  <c r="UPJ91" i="6"/>
  <c r="UPH91" i="6"/>
  <c r="UPE91" i="6"/>
  <c r="UPB91" i="6"/>
  <c r="UOT91" i="6"/>
  <c r="UOR91" i="6"/>
  <c r="UOO91" i="6"/>
  <c r="UOL91" i="6"/>
  <c r="UOD91" i="6"/>
  <c r="UOB91" i="6"/>
  <c r="UNY91" i="6"/>
  <c r="UNV91" i="6"/>
  <c r="UNN91" i="6"/>
  <c r="UNL91" i="6"/>
  <c r="UNI91" i="6"/>
  <c r="UNF91" i="6"/>
  <c r="UMX91" i="6"/>
  <c r="UMV91" i="6"/>
  <c r="UMS91" i="6"/>
  <c r="UMP91" i="6"/>
  <c r="UMH91" i="6"/>
  <c r="UMF91" i="6"/>
  <c r="UMC91" i="6"/>
  <c r="ULZ91" i="6"/>
  <c r="ULR91" i="6"/>
  <c r="ULP91" i="6"/>
  <c r="ULM91" i="6"/>
  <c r="ULJ91" i="6"/>
  <c r="ULB91" i="6"/>
  <c r="UKZ91" i="6"/>
  <c r="UKW91" i="6"/>
  <c r="UKT91" i="6"/>
  <c r="UKL91" i="6"/>
  <c r="UKJ91" i="6"/>
  <c r="UKG91" i="6"/>
  <c r="UKD91" i="6"/>
  <c r="UJV91" i="6"/>
  <c r="UJT91" i="6"/>
  <c r="UJQ91" i="6"/>
  <c r="UJN91" i="6"/>
  <c r="UJF91" i="6"/>
  <c r="UJD91" i="6"/>
  <c r="UJA91" i="6"/>
  <c r="UIX91" i="6"/>
  <c r="UIP91" i="6"/>
  <c r="UIN91" i="6"/>
  <c r="UIK91" i="6"/>
  <c r="UIH91" i="6"/>
  <c r="UHZ91" i="6"/>
  <c r="UHX91" i="6"/>
  <c r="UHU91" i="6"/>
  <c r="UHR91" i="6"/>
  <c r="UHJ91" i="6"/>
  <c r="UHH91" i="6"/>
  <c r="UHE91" i="6"/>
  <c r="UHB91" i="6"/>
  <c r="UGT91" i="6"/>
  <c r="UGR91" i="6"/>
  <c r="UGO91" i="6"/>
  <c r="UGL91" i="6"/>
  <c r="UGD91" i="6"/>
  <c r="UGB91" i="6"/>
  <c r="UFY91" i="6"/>
  <c r="UFV91" i="6"/>
  <c r="UFN91" i="6"/>
  <c r="UFL91" i="6"/>
  <c r="UFI91" i="6"/>
  <c r="UFF91" i="6"/>
  <c r="UEX91" i="6"/>
  <c r="UEV91" i="6"/>
  <c r="UES91" i="6"/>
  <c r="UEP91" i="6"/>
  <c r="UEH91" i="6"/>
  <c r="UEF91" i="6"/>
  <c r="UEC91" i="6"/>
  <c r="UDZ91" i="6"/>
  <c r="UDR91" i="6"/>
  <c r="UDP91" i="6"/>
  <c r="UDM91" i="6"/>
  <c r="UDJ91" i="6"/>
  <c r="UDB91" i="6"/>
  <c r="UCZ91" i="6"/>
  <c r="UCW91" i="6"/>
  <c r="UCT91" i="6"/>
  <c r="UCL91" i="6"/>
  <c r="UCJ91" i="6"/>
  <c r="UCG91" i="6"/>
  <c r="UCD91" i="6"/>
  <c r="UBV91" i="6"/>
  <c r="UBT91" i="6"/>
  <c r="UBQ91" i="6"/>
  <c r="UBN91" i="6"/>
  <c r="UBF91" i="6"/>
  <c r="UBD91" i="6"/>
  <c r="UBA91" i="6"/>
  <c r="UAX91" i="6"/>
  <c r="UAP91" i="6"/>
  <c r="UAN91" i="6"/>
  <c r="UAK91" i="6"/>
  <c r="UAH91" i="6"/>
  <c r="TZZ91" i="6"/>
  <c r="TZX91" i="6"/>
  <c r="TZU91" i="6"/>
  <c r="TZR91" i="6"/>
  <c r="TZJ91" i="6"/>
  <c r="TZH91" i="6"/>
  <c r="TZE91" i="6"/>
  <c r="TZB91" i="6"/>
  <c r="TYT91" i="6"/>
  <c r="TYR91" i="6"/>
  <c r="TYO91" i="6"/>
  <c r="TYL91" i="6"/>
  <c r="TYD91" i="6"/>
  <c r="TYB91" i="6"/>
  <c r="TXY91" i="6"/>
  <c r="TXV91" i="6"/>
  <c r="TXN91" i="6"/>
  <c r="TXL91" i="6"/>
  <c r="TXI91" i="6"/>
  <c r="TXF91" i="6"/>
  <c r="TWX91" i="6"/>
  <c r="TWV91" i="6"/>
  <c r="TWS91" i="6"/>
  <c r="TWP91" i="6"/>
  <c r="TWH91" i="6"/>
  <c r="TWF91" i="6"/>
  <c r="TWC91" i="6"/>
  <c r="TVZ91" i="6"/>
  <c r="TVR91" i="6"/>
  <c r="TVP91" i="6"/>
  <c r="TVM91" i="6"/>
  <c r="TVJ91" i="6"/>
  <c r="TVB91" i="6"/>
  <c r="TUZ91" i="6"/>
  <c r="TUW91" i="6"/>
  <c r="TUT91" i="6"/>
  <c r="TUL91" i="6"/>
  <c r="TUJ91" i="6"/>
  <c r="TUG91" i="6"/>
  <c r="TUD91" i="6"/>
  <c r="TTV91" i="6"/>
  <c r="TTT91" i="6"/>
  <c r="TTQ91" i="6"/>
  <c r="TTN91" i="6"/>
  <c r="TTF91" i="6"/>
  <c r="TTD91" i="6"/>
  <c r="TTA91" i="6"/>
  <c r="TSX91" i="6"/>
  <c r="TSP91" i="6"/>
  <c r="TSN91" i="6"/>
  <c r="TSK91" i="6"/>
  <c r="TSH91" i="6"/>
  <c r="TRZ91" i="6"/>
  <c r="TRX91" i="6"/>
  <c r="TRU91" i="6"/>
  <c r="TRR91" i="6"/>
  <c r="TRJ91" i="6"/>
  <c r="TRH91" i="6"/>
  <c r="TRE91" i="6"/>
  <c r="TRB91" i="6"/>
  <c r="TQT91" i="6"/>
  <c r="TQR91" i="6"/>
  <c r="TQO91" i="6"/>
  <c r="TQL91" i="6"/>
  <c r="TQD91" i="6"/>
  <c r="TQB91" i="6"/>
  <c r="TPY91" i="6"/>
  <c r="TPV91" i="6"/>
  <c r="TPN91" i="6"/>
  <c r="TPL91" i="6"/>
  <c r="TPI91" i="6"/>
  <c r="TPF91" i="6"/>
  <c r="TOX91" i="6"/>
  <c r="TOV91" i="6"/>
  <c r="TOS91" i="6"/>
  <c r="TOP91" i="6"/>
  <c r="TOH91" i="6"/>
  <c r="TOF91" i="6"/>
  <c r="TOC91" i="6"/>
  <c r="TNZ91" i="6"/>
  <c r="TNR91" i="6"/>
  <c r="TNP91" i="6"/>
  <c r="TNM91" i="6"/>
  <c r="TNJ91" i="6"/>
  <c r="TNB91" i="6"/>
  <c r="TMZ91" i="6"/>
  <c r="TMW91" i="6"/>
  <c r="TMT91" i="6"/>
  <c r="TML91" i="6"/>
  <c r="TMJ91" i="6"/>
  <c r="TMG91" i="6"/>
  <c r="TMD91" i="6"/>
  <c r="TLV91" i="6"/>
  <c r="TLT91" i="6"/>
  <c r="TLQ91" i="6"/>
  <c r="TLN91" i="6"/>
  <c r="TLF91" i="6"/>
  <c r="TLD91" i="6"/>
  <c r="TLA91" i="6"/>
  <c r="TKX91" i="6"/>
  <c r="TKP91" i="6"/>
  <c r="TKN91" i="6"/>
  <c r="TKK91" i="6"/>
  <c r="TKH91" i="6"/>
  <c r="TJZ91" i="6"/>
  <c r="TJX91" i="6"/>
  <c r="TJU91" i="6"/>
  <c r="TJR91" i="6"/>
  <c r="TJJ91" i="6"/>
  <c r="TJH91" i="6"/>
  <c r="TJE91" i="6"/>
  <c r="TJB91" i="6"/>
  <c r="TIT91" i="6"/>
  <c r="TIR91" i="6"/>
  <c r="TIO91" i="6"/>
  <c r="TIL91" i="6"/>
  <c r="TID91" i="6"/>
  <c r="TIB91" i="6"/>
  <c r="THY91" i="6"/>
  <c r="THV91" i="6"/>
  <c r="THN91" i="6"/>
  <c r="THL91" i="6"/>
  <c r="THI91" i="6"/>
  <c r="THF91" i="6"/>
  <c r="TGX91" i="6"/>
  <c r="TGV91" i="6"/>
  <c r="TGS91" i="6"/>
  <c r="TGP91" i="6"/>
  <c r="TGH91" i="6"/>
  <c r="TGF91" i="6"/>
  <c r="TGC91" i="6"/>
  <c r="TFZ91" i="6"/>
  <c r="TFR91" i="6"/>
  <c r="TFP91" i="6"/>
  <c r="TFM91" i="6"/>
  <c r="TFJ91" i="6"/>
  <c r="TFB91" i="6"/>
  <c r="TEZ91" i="6"/>
  <c r="TEW91" i="6"/>
  <c r="TET91" i="6"/>
  <c r="TEL91" i="6"/>
  <c r="TEJ91" i="6"/>
  <c r="TEG91" i="6"/>
  <c r="TED91" i="6"/>
  <c r="TDV91" i="6"/>
  <c r="TDT91" i="6"/>
  <c r="TDQ91" i="6"/>
  <c r="TDN91" i="6"/>
  <c r="TDF91" i="6"/>
  <c r="TDD91" i="6"/>
  <c r="TDA91" i="6"/>
  <c r="TCX91" i="6"/>
  <c r="TCP91" i="6"/>
  <c r="TCN91" i="6"/>
  <c r="TCK91" i="6"/>
  <c r="TCH91" i="6"/>
  <c r="TBZ91" i="6"/>
  <c r="TBX91" i="6"/>
  <c r="TBU91" i="6"/>
  <c r="TBR91" i="6"/>
  <c r="TBJ91" i="6"/>
  <c r="TBH91" i="6"/>
  <c r="TBE91" i="6"/>
  <c r="TBB91" i="6"/>
  <c r="TAT91" i="6"/>
  <c r="TAR91" i="6"/>
  <c r="TAO91" i="6"/>
  <c r="TAL91" i="6"/>
  <c r="TAD91" i="6"/>
  <c r="TAB91" i="6"/>
  <c r="SZY91" i="6"/>
  <c r="SZV91" i="6"/>
  <c r="SZN91" i="6"/>
  <c r="SZL91" i="6"/>
  <c r="SZI91" i="6"/>
  <c r="SZF91" i="6"/>
  <c r="SYX91" i="6"/>
  <c r="SYV91" i="6"/>
  <c r="SYS91" i="6"/>
  <c r="SYP91" i="6"/>
  <c r="SYH91" i="6"/>
  <c r="SYF91" i="6"/>
  <c r="SYC91" i="6"/>
  <c r="SXZ91" i="6"/>
  <c r="SXR91" i="6"/>
  <c r="SXP91" i="6"/>
  <c r="SXM91" i="6"/>
  <c r="SXJ91" i="6"/>
  <c r="SXB91" i="6"/>
  <c r="SWZ91" i="6"/>
  <c r="SWW91" i="6"/>
  <c r="SWT91" i="6"/>
  <c r="SWL91" i="6"/>
  <c r="SWJ91" i="6"/>
  <c r="SWG91" i="6"/>
  <c r="SWD91" i="6"/>
  <c r="SVV91" i="6"/>
  <c r="SVT91" i="6"/>
  <c r="SVQ91" i="6"/>
  <c r="SVN91" i="6"/>
  <c r="SVF91" i="6"/>
  <c r="SVD91" i="6"/>
  <c r="SVA91" i="6"/>
  <c r="SUX91" i="6"/>
  <c r="SUP91" i="6"/>
  <c r="SUN91" i="6"/>
  <c r="SUK91" i="6"/>
  <c r="SUH91" i="6"/>
  <c r="STZ91" i="6"/>
  <c r="STX91" i="6"/>
  <c r="STU91" i="6"/>
  <c r="STR91" i="6"/>
  <c r="STJ91" i="6"/>
  <c r="STH91" i="6"/>
  <c r="STE91" i="6"/>
  <c r="STB91" i="6"/>
  <c r="SST91" i="6"/>
  <c r="SSR91" i="6"/>
  <c r="SSO91" i="6"/>
  <c r="SSL91" i="6"/>
  <c r="SSD91" i="6"/>
  <c r="SSB91" i="6"/>
  <c r="SRY91" i="6"/>
  <c r="SRV91" i="6"/>
  <c r="SRN91" i="6"/>
  <c r="SRL91" i="6"/>
  <c r="SRI91" i="6"/>
  <c r="SRF91" i="6"/>
  <c r="SQX91" i="6"/>
  <c r="SQV91" i="6"/>
  <c r="SQS91" i="6"/>
  <c r="SQP91" i="6"/>
  <c r="SQH91" i="6"/>
  <c r="SQF91" i="6"/>
  <c r="SQC91" i="6"/>
  <c r="SPZ91" i="6"/>
  <c r="SPR91" i="6"/>
  <c r="SPP91" i="6"/>
  <c r="SPM91" i="6"/>
  <c r="SPJ91" i="6"/>
  <c r="SPB91" i="6"/>
  <c r="SOZ91" i="6"/>
  <c r="SOW91" i="6"/>
  <c r="SOT91" i="6"/>
  <c r="SOL91" i="6"/>
  <c r="SOJ91" i="6"/>
  <c r="SOG91" i="6"/>
  <c r="SOD91" i="6"/>
  <c r="SNV91" i="6"/>
  <c r="SNT91" i="6"/>
  <c r="SNQ91" i="6"/>
  <c r="SNN91" i="6"/>
  <c r="SNF91" i="6"/>
  <c r="SND91" i="6"/>
  <c r="SNA91" i="6"/>
  <c r="SMX91" i="6"/>
  <c r="SMP91" i="6"/>
  <c r="SMN91" i="6"/>
  <c r="SMK91" i="6"/>
  <c r="SMH91" i="6"/>
  <c r="SLZ91" i="6"/>
  <c r="SLX91" i="6"/>
  <c r="SLU91" i="6"/>
  <c r="SLR91" i="6"/>
  <c r="SLJ91" i="6"/>
  <c r="SLH91" i="6"/>
  <c r="SLE91" i="6"/>
  <c r="SLB91" i="6"/>
  <c r="SKT91" i="6"/>
  <c r="SKR91" i="6"/>
  <c r="SKO91" i="6"/>
  <c r="SKL91" i="6"/>
  <c r="SKD91" i="6"/>
  <c r="SKB91" i="6"/>
  <c r="SJY91" i="6"/>
  <c r="SJV91" i="6"/>
  <c r="SJN91" i="6"/>
  <c r="SJL91" i="6"/>
  <c r="SJI91" i="6"/>
  <c r="SJF91" i="6"/>
  <c r="SIX91" i="6"/>
  <c r="SIV91" i="6"/>
  <c r="SIS91" i="6"/>
  <c r="SIP91" i="6"/>
  <c r="SIH91" i="6"/>
  <c r="SIF91" i="6"/>
  <c r="SIC91" i="6"/>
  <c r="SHZ91" i="6"/>
  <c r="SHR91" i="6"/>
  <c r="SHP91" i="6"/>
  <c r="SHM91" i="6"/>
  <c r="SHJ91" i="6"/>
  <c r="SHB91" i="6"/>
  <c r="SGZ91" i="6"/>
  <c r="SGW91" i="6"/>
  <c r="SGT91" i="6"/>
  <c r="SGL91" i="6"/>
  <c r="SGJ91" i="6"/>
  <c r="SGG91" i="6"/>
  <c r="SGD91" i="6"/>
  <c r="SFV91" i="6"/>
  <c r="SFT91" i="6"/>
  <c r="SFQ91" i="6"/>
  <c r="SFN91" i="6"/>
  <c r="SFF91" i="6"/>
  <c r="SFD91" i="6"/>
  <c r="SFA91" i="6"/>
  <c r="SEX91" i="6"/>
  <c r="SEP91" i="6"/>
  <c r="SEN91" i="6"/>
  <c r="SEK91" i="6"/>
  <c r="SEH91" i="6"/>
  <c r="SDZ91" i="6"/>
  <c r="SDX91" i="6"/>
  <c r="SDU91" i="6"/>
  <c r="SDR91" i="6"/>
  <c r="SDJ91" i="6"/>
  <c r="SDH91" i="6"/>
  <c r="SDE91" i="6"/>
  <c r="SDB91" i="6"/>
  <c r="SCT91" i="6"/>
  <c r="SCR91" i="6"/>
  <c r="SCO91" i="6"/>
  <c r="SCL91" i="6"/>
  <c r="SCD91" i="6"/>
  <c r="SCB91" i="6"/>
  <c r="SBY91" i="6"/>
  <c r="SBV91" i="6"/>
  <c r="SBN91" i="6"/>
  <c r="SBL91" i="6"/>
  <c r="SBI91" i="6"/>
  <c r="SBF91" i="6"/>
  <c r="SAX91" i="6"/>
  <c r="SAV91" i="6"/>
  <c r="SAS91" i="6"/>
  <c r="SAP91" i="6"/>
  <c r="SAH91" i="6"/>
  <c r="SAF91" i="6"/>
  <c r="SAC91" i="6"/>
  <c r="RZZ91" i="6"/>
  <c r="RZR91" i="6"/>
  <c r="RZP91" i="6"/>
  <c r="RZM91" i="6"/>
  <c r="RZJ91" i="6"/>
  <c r="RZB91" i="6"/>
  <c r="RYZ91" i="6"/>
  <c r="RYW91" i="6"/>
  <c r="RYT91" i="6"/>
  <c r="RYL91" i="6"/>
  <c r="RYJ91" i="6"/>
  <c r="RYG91" i="6"/>
  <c r="RYD91" i="6"/>
  <c r="RXV91" i="6"/>
  <c r="RXT91" i="6"/>
  <c r="RXQ91" i="6"/>
  <c r="RXN91" i="6"/>
  <c r="RXF91" i="6"/>
  <c r="RXD91" i="6"/>
  <c r="RXA91" i="6"/>
  <c r="RWX91" i="6"/>
  <c r="RWP91" i="6"/>
  <c r="RWN91" i="6"/>
  <c r="RWK91" i="6"/>
  <c r="RWH91" i="6"/>
  <c r="RVZ91" i="6"/>
  <c r="RVX91" i="6"/>
  <c r="RVU91" i="6"/>
  <c r="RVR91" i="6"/>
  <c r="RVJ91" i="6"/>
  <c r="RVH91" i="6"/>
  <c r="RVE91" i="6"/>
  <c r="RVB91" i="6"/>
  <c r="RUT91" i="6"/>
  <c r="RUR91" i="6"/>
  <c r="RUO91" i="6"/>
  <c r="RUL91" i="6"/>
  <c r="RUD91" i="6"/>
  <c r="RUB91" i="6"/>
  <c r="RTY91" i="6"/>
  <c r="RTV91" i="6"/>
  <c r="RTN91" i="6"/>
  <c r="RTL91" i="6"/>
  <c r="RTI91" i="6"/>
  <c r="RTF91" i="6"/>
  <c r="RSX91" i="6"/>
  <c r="RSV91" i="6"/>
  <c r="RSS91" i="6"/>
  <c r="RSP91" i="6"/>
  <c r="RSH91" i="6"/>
  <c r="RSF91" i="6"/>
  <c r="RSC91" i="6"/>
  <c r="RRZ91" i="6"/>
  <c r="RRR91" i="6"/>
  <c r="RRP91" i="6"/>
  <c r="RRM91" i="6"/>
  <c r="RRJ91" i="6"/>
  <c r="RRB91" i="6"/>
  <c r="RQZ91" i="6"/>
  <c r="RQW91" i="6"/>
  <c r="RQT91" i="6"/>
  <c r="RQL91" i="6"/>
  <c r="RQJ91" i="6"/>
  <c r="RQG91" i="6"/>
  <c r="RQD91" i="6"/>
  <c r="RPV91" i="6"/>
  <c r="RPT91" i="6"/>
  <c r="RPQ91" i="6"/>
  <c r="RPN91" i="6"/>
  <c r="RPF91" i="6"/>
  <c r="RPD91" i="6"/>
  <c r="RPA91" i="6"/>
  <c r="ROX91" i="6"/>
  <c r="ROP91" i="6"/>
  <c r="RON91" i="6"/>
  <c r="ROK91" i="6"/>
  <c r="ROH91" i="6"/>
  <c r="RNZ91" i="6"/>
  <c r="RNX91" i="6"/>
  <c r="RNU91" i="6"/>
  <c r="RNR91" i="6"/>
  <c r="RNJ91" i="6"/>
  <c r="RNH91" i="6"/>
  <c r="RNE91" i="6"/>
  <c r="RNB91" i="6"/>
  <c r="RMT91" i="6"/>
  <c r="RMR91" i="6"/>
  <c r="RMO91" i="6"/>
  <c r="RML91" i="6"/>
  <c r="RMD91" i="6"/>
  <c r="RMB91" i="6"/>
  <c r="RLY91" i="6"/>
  <c r="RLV91" i="6"/>
  <c r="RLN91" i="6"/>
  <c r="RLL91" i="6"/>
  <c r="RLI91" i="6"/>
  <c r="RLF91" i="6"/>
  <c r="RKX91" i="6"/>
  <c r="RKV91" i="6"/>
  <c r="RKS91" i="6"/>
  <c r="RKP91" i="6"/>
  <c r="RKH91" i="6"/>
  <c r="RKF91" i="6"/>
  <c r="RKC91" i="6"/>
  <c r="RJZ91" i="6"/>
  <c r="RJR91" i="6"/>
  <c r="RJP91" i="6"/>
  <c r="RJM91" i="6"/>
  <c r="RJJ91" i="6"/>
  <c r="RJB91" i="6"/>
  <c r="RIZ91" i="6"/>
  <c r="RIW91" i="6"/>
  <c r="RIT91" i="6"/>
  <c r="RIL91" i="6"/>
  <c r="RIJ91" i="6"/>
  <c r="RIG91" i="6"/>
  <c r="RID91" i="6"/>
  <c r="RHV91" i="6"/>
  <c r="RHT91" i="6"/>
  <c r="RHQ91" i="6"/>
  <c r="RHN91" i="6"/>
  <c r="RHF91" i="6"/>
  <c r="RHD91" i="6"/>
  <c r="RHA91" i="6"/>
  <c r="RGX91" i="6"/>
  <c r="RGP91" i="6"/>
  <c r="RGN91" i="6"/>
  <c r="RGK91" i="6"/>
  <c r="RGH91" i="6"/>
  <c r="RFZ91" i="6"/>
  <c r="RFX91" i="6"/>
  <c r="RFU91" i="6"/>
  <c r="RFR91" i="6"/>
  <c r="RFJ91" i="6"/>
  <c r="RFH91" i="6"/>
  <c r="RFE91" i="6"/>
  <c r="RFB91" i="6"/>
  <c r="RET91" i="6"/>
  <c r="RER91" i="6"/>
  <c r="REO91" i="6"/>
  <c r="REL91" i="6"/>
  <c r="RED91" i="6"/>
  <c r="REB91" i="6"/>
  <c r="RDY91" i="6"/>
  <c r="RDV91" i="6"/>
  <c r="RDN91" i="6"/>
  <c r="RDL91" i="6"/>
  <c r="RDI91" i="6"/>
  <c r="RDF91" i="6"/>
  <c r="RCX91" i="6"/>
  <c r="RCV91" i="6"/>
  <c r="RCS91" i="6"/>
  <c r="RCP91" i="6"/>
  <c r="RCH91" i="6"/>
  <c r="RCF91" i="6"/>
  <c r="RCC91" i="6"/>
  <c r="RBZ91" i="6"/>
  <c r="RBR91" i="6"/>
  <c r="RBP91" i="6"/>
  <c r="RBM91" i="6"/>
  <c r="RBJ91" i="6"/>
  <c r="RBB91" i="6"/>
  <c r="RAZ91" i="6"/>
  <c r="RAW91" i="6"/>
  <c r="RAT91" i="6"/>
  <c r="RAL91" i="6"/>
  <c r="RAJ91" i="6"/>
  <c r="RAG91" i="6"/>
  <c r="RAD91" i="6"/>
  <c r="QZV91" i="6"/>
  <c r="QZT91" i="6"/>
  <c r="QZQ91" i="6"/>
  <c r="QZN91" i="6"/>
  <c r="QZF91" i="6"/>
  <c r="QZD91" i="6"/>
  <c r="QZA91" i="6"/>
  <c r="QYX91" i="6"/>
  <c r="QYP91" i="6"/>
  <c r="QYN91" i="6"/>
  <c r="QYK91" i="6"/>
  <c r="QYH91" i="6"/>
  <c r="QXZ91" i="6"/>
  <c r="QXX91" i="6"/>
  <c r="QXU91" i="6"/>
  <c r="QXR91" i="6"/>
  <c r="QXJ91" i="6"/>
  <c r="QXH91" i="6"/>
  <c r="QXE91" i="6"/>
  <c r="QXB91" i="6"/>
  <c r="QWT91" i="6"/>
  <c r="QWR91" i="6"/>
  <c r="QWO91" i="6"/>
  <c r="QWL91" i="6"/>
  <c r="QWD91" i="6"/>
  <c r="QWB91" i="6"/>
  <c r="QVY91" i="6"/>
  <c r="QVV91" i="6"/>
  <c r="QVN91" i="6"/>
  <c r="QVL91" i="6"/>
  <c r="QVI91" i="6"/>
  <c r="QVF91" i="6"/>
  <c r="QUX91" i="6"/>
  <c r="QUV91" i="6"/>
  <c r="QUS91" i="6"/>
  <c r="QUP91" i="6"/>
  <c r="QUH91" i="6"/>
  <c r="QUF91" i="6"/>
  <c r="QUC91" i="6"/>
  <c r="QTZ91" i="6"/>
  <c r="QTR91" i="6"/>
  <c r="QTP91" i="6"/>
  <c r="QTM91" i="6"/>
  <c r="QTJ91" i="6"/>
  <c r="QTB91" i="6"/>
  <c r="QSZ91" i="6"/>
  <c r="QSW91" i="6"/>
  <c r="QST91" i="6"/>
  <c r="QSL91" i="6"/>
  <c r="QSJ91" i="6"/>
  <c r="QSG91" i="6"/>
  <c r="QSD91" i="6"/>
  <c r="QRV91" i="6"/>
  <c r="QRT91" i="6"/>
  <c r="QRQ91" i="6"/>
  <c r="QRN91" i="6"/>
  <c r="QRF91" i="6"/>
  <c r="QRD91" i="6"/>
  <c r="QRA91" i="6"/>
  <c r="QQX91" i="6"/>
  <c r="QQP91" i="6"/>
  <c r="QQN91" i="6"/>
  <c r="QQK91" i="6"/>
  <c r="QQH91" i="6"/>
  <c r="QPZ91" i="6"/>
  <c r="QPX91" i="6"/>
  <c r="QPU91" i="6"/>
  <c r="QPR91" i="6"/>
  <c r="QPJ91" i="6"/>
  <c r="QPH91" i="6"/>
  <c r="QPE91" i="6"/>
  <c r="QPB91" i="6"/>
  <c r="QOT91" i="6"/>
  <c r="QOR91" i="6"/>
  <c r="QOO91" i="6"/>
  <c r="QOL91" i="6"/>
  <c r="QOD91" i="6"/>
  <c r="QOB91" i="6"/>
  <c r="QNY91" i="6"/>
  <c r="QNV91" i="6"/>
  <c r="QNN91" i="6"/>
  <c r="QNL91" i="6"/>
  <c r="QNI91" i="6"/>
  <c r="QNF91" i="6"/>
  <c r="QMX91" i="6"/>
  <c r="QMV91" i="6"/>
  <c r="QMS91" i="6"/>
  <c r="QMP91" i="6"/>
  <c r="QMH91" i="6"/>
  <c r="QMF91" i="6"/>
  <c r="QMC91" i="6"/>
  <c r="QLZ91" i="6"/>
  <c r="QLR91" i="6"/>
  <c r="QLP91" i="6"/>
  <c r="QLM91" i="6"/>
  <c r="QLJ91" i="6"/>
  <c r="QLB91" i="6"/>
  <c r="QKZ91" i="6"/>
  <c r="QKW91" i="6"/>
  <c r="QKT91" i="6"/>
  <c r="QKL91" i="6"/>
  <c r="QKJ91" i="6"/>
  <c r="QKG91" i="6"/>
  <c r="QKD91" i="6"/>
  <c r="QJV91" i="6"/>
  <c r="QJT91" i="6"/>
  <c r="QJQ91" i="6"/>
  <c r="QJN91" i="6"/>
  <c r="QJF91" i="6"/>
  <c r="QJD91" i="6"/>
  <c r="QJA91" i="6"/>
  <c r="QIX91" i="6"/>
  <c r="QIP91" i="6"/>
  <c r="QIN91" i="6"/>
  <c r="QIK91" i="6"/>
  <c r="QIH91" i="6"/>
  <c r="QHZ91" i="6"/>
  <c r="QHX91" i="6"/>
  <c r="QHU91" i="6"/>
  <c r="QHR91" i="6"/>
  <c r="QHJ91" i="6"/>
  <c r="QHH91" i="6"/>
  <c r="QHE91" i="6"/>
  <c r="QHB91" i="6"/>
  <c r="QGT91" i="6"/>
  <c r="QGR91" i="6"/>
  <c r="QGO91" i="6"/>
  <c r="QGL91" i="6"/>
  <c r="QGD91" i="6"/>
  <c r="QGB91" i="6"/>
  <c r="QFY91" i="6"/>
  <c r="QFV91" i="6"/>
  <c r="QFN91" i="6"/>
  <c r="QFL91" i="6"/>
  <c r="QFI91" i="6"/>
  <c r="QFF91" i="6"/>
  <c r="QEX91" i="6"/>
  <c r="QEV91" i="6"/>
  <c r="QES91" i="6"/>
  <c r="QEP91" i="6"/>
  <c r="QEH91" i="6"/>
  <c r="QEF91" i="6"/>
  <c r="QEC91" i="6"/>
  <c r="QDZ91" i="6"/>
  <c r="QDR91" i="6"/>
  <c r="QDP91" i="6"/>
  <c r="QDM91" i="6"/>
  <c r="QDJ91" i="6"/>
  <c r="QDB91" i="6"/>
  <c r="QCZ91" i="6"/>
  <c r="QCW91" i="6"/>
  <c r="QCT91" i="6"/>
  <c r="QCL91" i="6"/>
  <c r="QCJ91" i="6"/>
  <c r="QCG91" i="6"/>
  <c r="QCD91" i="6"/>
  <c r="QBV91" i="6"/>
  <c r="QBT91" i="6"/>
  <c r="QBQ91" i="6"/>
  <c r="QBN91" i="6"/>
  <c r="QBF91" i="6"/>
  <c r="QBD91" i="6"/>
  <c r="QBA91" i="6"/>
  <c r="QAX91" i="6"/>
  <c r="QAP91" i="6"/>
  <c r="QAN91" i="6"/>
  <c r="QAK91" i="6"/>
  <c r="QAH91" i="6"/>
  <c r="PZZ91" i="6"/>
  <c r="PZX91" i="6"/>
  <c r="PZU91" i="6"/>
  <c r="PZR91" i="6"/>
  <c r="PZJ91" i="6"/>
  <c r="PZH91" i="6"/>
  <c r="PZE91" i="6"/>
  <c r="PZB91" i="6"/>
  <c r="PYT91" i="6"/>
  <c r="PYR91" i="6"/>
  <c r="PYO91" i="6"/>
  <c r="PYL91" i="6"/>
  <c r="PYD91" i="6"/>
  <c r="PYB91" i="6"/>
  <c r="PXY91" i="6"/>
  <c r="PXV91" i="6"/>
  <c r="PXN91" i="6"/>
  <c r="PXL91" i="6"/>
  <c r="PXI91" i="6"/>
  <c r="PXF91" i="6"/>
  <c r="PWX91" i="6"/>
  <c r="PWV91" i="6"/>
  <c r="PWS91" i="6"/>
  <c r="PWP91" i="6"/>
  <c r="PWH91" i="6"/>
  <c r="PWF91" i="6"/>
  <c r="PWC91" i="6"/>
  <c r="PVZ91" i="6"/>
  <c r="PVR91" i="6"/>
  <c r="PVP91" i="6"/>
  <c r="PVM91" i="6"/>
  <c r="PVJ91" i="6"/>
  <c r="PVB91" i="6"/>
  <c r="PUZ91" i="6"/>
  <c r="PUW91" i="6"/>
  <c r="PUT91" i="6"/>
  <c r="PUL91" i="6"/>
  <c r="PUJ91" i="6"/>
  <c r="PUG91" i="6"/>
  <c r="PUD91" i="6"/>
  <c r="PTV91" i="6"/>
  <c r="PTT91" i="6"/>
  <c r="PTQ91" i="6"/>
  <c r="PTN91" i="6"/>
  <c r="PTF91" i="6"/>
  <c r="PTD91" i="6"/>
  <c r="PTA91" i="6"/>
  <c r="PSX91" i="6"/>
  <c r="PSP91" i="6"/>
  <c r="PSN91" i="6"/>
  <c r="PSK91" i="6"/>
  <c r="PSH91" i="6"/>
  <c r="PRZ91" i="6"/>
  <c r="PRX91" i="6"/>
  <c r="PRU91" i="6"/>
  <c r="PRR91" i="6"/>
  <c r="PRJ91" i="6"/>
  <c r="PRH91" i="6"/>
  <c r="PRE91" i="6"/>
  <c r="PRB91" i="6"/>
  <c r="PQT91" i="6"/>
  <c r="PQR91" i="6"/>
  <c r="PQO91" i="6"/>
  <c r="PQL91" i="6"/>
  <c r="PQD91" i="6"/>
  <c r="PQB91" i="6"/>
  <c r="PPY91" i="6"/>
  <c r="PPV91" i="6"/>
  <c r="PPN91" i="6"/>
  <c r="PPL91" i="6"/>
  <c r="PPI91" i="6"/>
  <c r="PPF91" i="6"/>
  <c r="POX91" i="6"/>
  <c r="POV91" i="6"/>
  <c r="POS91" i="6"/>
  <c r="POP91" i="6"/>
  <c r="POH91" i="6"/>
  <c r="POF91" i="6"/>
  <c r="POC91" i="6"/>
  <c r="PNZ91" i="6"/>
  <c r="PNR91" i="6"/>
  <c r="PNP91" i="6"/>
  <c r="PNM91" i="6"/>
  <c r="PNJ91" i="6"/>
  <c r="PNB91" i="6"/>
  <c r="PMZ91" i="6"/>
  <c r="PMW91" i="6"/>
  <c r="PMT91" i="6"/>
  <c r="PML91" i="6"/>
  <c r="PMJ91" i="6"/>
  <c r="PMG91" i="6"/>
  <c r="PMD91" i="6"/>
  <c r="PLV91" i="6"/>
  <c r="PLT91" i="6"/>
  <c r="PLQ91" i="6"/>
  <c r="PLN91" i="6"/>
  <c r="PLF91" i="6"/>
  <c r="PLD91" i="6"/>
  <c r="PLA91" i="6"/>
  <c r="PKX91" i="6"/>
  <c r="PKP91" i="6"/>
  <c r="PKN91" i="6"/>
  <c r="PKK91" i="6"/>
  <c r="PKH91" i="6"/>
  <c r="PJZ91" i="6"/>
  <c r="PJX91" i="6"/>
  <c r="PJU91" i="6"/>
  <c r="PJR91" i="6"/>
  <c r="PJJ91" i="6"/>
  <c r="PJH91" i="6"/>
  <c r="PJE91" i="6"/>
  <c r="PJB91" i="6"/>
  <c r="PIT91" i="6"/>
  <c r="PIR91" i="6"/>
  <c r="PIO91" i="6"/>
  <c r="PIL91" i="6"/>
  <c r="PID91" i="6"/>
  <c r="PIB91" i="6"/>
  <c r="PHY91" i="6"/>
  <c r="PHV91" i="6"/>
  <c r="PHN91" i="6"/>
  <c r="PHL91" i="6"/>
  <c r="PHI91" i="6"/>
  <c r="PHF91" i="6"/>
  <c r="PGX91" i="6"/>
  <c r="PGV91" i="6"/>
  <c r="PGS91" i="6"/>
  <c r="PGP91" i="6"/>
  <c r="PGH91" i="6"/>
  <c r="PGF91" i="6"/>
  <c r="PGC91" i="6"/>
  <c r="PFZ91" i="6"/>
  <c r="PFR91" i="6"/>
  <c r="PFP91" i="6"/>
  <c r="PFM91" i="6"/>
  <c r="PFJ91" i="6"/>
  <c r="PFB91" i="6"/>
  <c r="PEZ91" i="6"/>
  <c r="PEW91" i="6"/>
  <c r="PET91" i="6"/>
  <c r="PEL91" i="6"/>
  <c r="PEJ91" i="6"/>
  <c r="PEG91" i="6"/>
  <c r="PED91" i="6"/>
  <c r="PDV91" i="6"/>
  <c r="PDT91" i="6"/>
  <c r="PDQ91" i="6"/>
  <c r="PDN91" i="6"/>
  <c r="PDF91" i="6"/>
  <c r="PDD91" i="6"/>
  <c r="PDA91" i="6"/>
  <c r="PCX91" i="6"/>
  <c r="PCP91" i="6"/>
  <c r="PCN91" i="6"/>
  <c r="PCK91" i="6"/>
  <c r="PCH91" i="6"/>
  <c r="PBZ91" i="6"/>
  <c r="PBX91" i="6"/>
  <c r="PBU91" i="6"/>
  <c r="PBR91" i="6"/>
  <c r="PBJ91" i="6"/>
  <c r="PBH91" i="6"/>
  <c r="PBE91" i="6"/>
  <c r="PBB91" i="6"/>
  <c r="PAT91" i="6"/>
  <c r="PAR91" i="6"/>
  <c r="PAO91" i="6"/>
  <c r="PAL91" i="6"/>
  <c r="PAD91" i="6"/>
  <c r="PAB91" i="6"/>
  <c r="OZY91" i="6"/>
  <c r="OZV91" i="6"/>
  <c r="OZN91" i="6"/>
  <c r="OZL91" i="6"/>
  <c r="OZI91" i="6"/>
  <c r="OZF91" i="6"/>
  <c r="OYX91" i="6"/>
  <c r="OYV91" i="6"/>
  <c r="OYS91" i="6"/>
  <c r="OYP91" i="6"/>
  <c r="OYH91" i="6"/>
  <c r="OYF91" i="6"/>
  <c r="OYC91" i="6"/>
  <c r="OXZ91" i="6"/>
  <c r="OXR91" i="6"/>
  <c r="OXP91" i="6"/>
  <c r="OXM91" i="6"/>
  <c r="OXJ91" i="6"/>
  <c r="OXB91" i="6"/>
  <c r="OWZ91" i="6"/>
  <c r="OWW91" i="6"/>
  <c r="OWT91" i="6"/>
  <c r="OWL91" i="6"/>
  <c r="OWJ91" i="6"/>
  <c r="OWG91" i="6"/>
  <c r="OWD91" i="6"/>
  <c r="OVV91" i="6"/>
  <c r="OVT91" i="6"/>
  <c r="OVQ91" i="6"/>
  <c r="OVN91" i="6"/>
  <c r="OVF91" i="6"/>
  <c r="OVD91" i="6"/>
  <c r="OVA91" i="6"/>
  <c r="OUX91" i="6"/>
  <c r="OUP91" i="6"/>
  <c r="OUN91" i="6"/>
  <c r="OUK91" i="6"/>
  <c r="OUH91" i="6"/>
  <c r="OTZ91" i="6"/>
  <c r="OTX91" i="6"/>
  <c r="OTU91" i="6"/>
  <c r="OTR91" i="6"/>
  <c r="OTJ91" i="6"/>
  <c r="OTH91" i="6"/>
  <c r="OTE91" i="6"/>
  <c r="OTB91" i="6"/>
  <c r="OST91" i="6"/>
  <c r="OSR91" i="6"/>
  <c r="OSO91" i="6"/>
  <c r="OSL91" i="6"/>
  <c r="OSD91" i="6"/>
  <c r="OSB91" i="6"/>
  <c r="ORY91" i="6"/>
  <c r="ORV91" i="6"/>
  <c r="ORN91" i="6"/>
  <c r="ORL91" i="6"/>
  <c r="ORI91" i="6"/>
  <c r="ORF91" i="6"/>
  <c r="OQX91" i="6"/>
  <c r="OQV91" i="6"/>
  <c r="OQS91" i="6"/>
  <c r="OQP91" i="6"/>
  <c r="OQH91" i="6"/>
  <c r="OQF91" i="6"/>
  <c r="OQC91" i="6"/>
  <c r="OPZ91" i="6"/>
  <c r="OPR91" i="6"/>
  <c r="OPP91" i="6"/>
  <c r="OPM91" i="6"/>
  <c r="OPJ91" i="6"/>
  <c r="OPB91" i="6"/>
  <c r="OOZ91" i="6"/>
  <c r="OOW91" i="6"/>
  <c r="OOT91" i="6"/>
  <c r="OOL91" i="6"/>
  <c r="OOJ91" i="6"/>
  <c r="OOG91" i="6"/>
  <c r="OOD91" i="6"/>
  <c r="ONV91" i="6"/>
  <c r="ONT91" i="6"/>
  <c r="ONQ91" i="6"/>
  <c r="ONN91" i="6"/>
  <c r="ONF91" i="6"/>
  <c r="OND91" i="6"/>
  <c r="ONA91" i="6"/>
  <c r="OMX91" i="6"/>
  <c r="OMP91" i="6"/>
  <c r="OMN91" i="6"/>
  <c r="OMK91" i="6"/>
  <c r="OMH91" i="6"/>
  <c r="OLZ91" i="6"/>
  <c r="OLX91" i="6"/>
  <c r="OLU91" i="6"/>
  <c r="OLR91" i="6"/>
  <c r="OLJ91" i="6"/>
  <c r="OLH91" i="6"/>
  <c r="OLE91" i="6"/>
  <c r="OLB91" i="6"/>
  <c r="OKT91" i="6"/>
  <c r="OKR91" i="6"/>
  <c r="OKO91" i="6"/>
  <c r="OKL91" i="6"/>
  <c r="OKD91" i="6"/>
  <c r="OKB91" i="6"/>
  <c r="OJY91" i="6"/>
  <c r="OJV91" i="6"/>
  <c r="OJN91" i="6"/>
  <c r="OJL91" i="6"/>
  <c r="OJI91" i="6"/>
  <c r="OJF91" i="6"/>
  <c r="OIX91" i="6"/>
  <c r="OIV91" i="6"/>
  <c r="OIS91" i="6"/>
  <c r="OIP91" i="6"/>
  <c r="OIH91" i="6"/>
  <c r="OIF91" i="6"/>
  <c r="OIC91" i="6"/>
  <c r="OHZ91" i="6"/>
  <c r="OHR91" i="6"/>
  <c r="OHP91" i="6"/>
  <c r="OHM91" i="6"/>
  <c r="OHJ91" i="6"/>
  <c r="OHB91" i="6"/>
  <c r="OGZ91" i="6"/>
  <c r="OGW91" i="6"/>
  <c r="OGT91" i="6"/>
  <c r="OGL91" i="6"/>
  <c r="OGJ91" i="6"/>
  <c r="OGG91" i="6"/>
  <c r="OGD91" i="6"/>
  <c r="OFV91" i="6"/>
  <c r="OFT91" i="6"/>
  <c r="OFQ91" i="6"/>
  <c r="OFN91" i="6"/>
  <c r="OFF91" i="6"/>
  <c r="OFD91" i="6"/>
  <c r="OFA91" i="6"/>
  <c r="OEX91" i="6"/>
  <c r="OEP91" i="6"/>
  <c r="OEN91" i="6"/>
  <c r="OEK91" i="6"/>
  <c r="OEH91" i="6"/>
  <c r="ODZ91" i="6"/>
  <c r="ODX91" i="6"/>
  <c r="ODU91" i="6"/>
  <c r="ODR91" i="6"/>
  <c r="ODJ91" i="6"/>
  <c r="ODH91" i="6"/>
  <c r="ODE91" i="6"/>
  <c r="ODB91" i="6"/>
  <c r="OCT91" i="6"/>
  <c r="OCR91" i="6"/>
  <c r="OCO91" i="6"/>
  <c r="OCL91" i="6"/>
  <c r="OCD91" i="6"/>
  <c r="OCB91" i="6"/>
  <c r="OBY91" i="6"/>
  <c r="OBV91" i="6"/>
  <c r="OBN91" i="6"/>
  <c r="OBL91" i="6"/>
  <c r="OBI91" i="6"/>
  <c r="OBF91" i="6"/>
  <c r="OAX91" i="6"/>
  <c r="OAV91" i="6"/>
  <c r="OAS91" i="6"/>
  <c r="OAP91" i="6"/>
  <c r="OAH91" i="6"/>
  <c r="OAF91" i="6"/>
  <c r="OAC91" i="6"/>
  <c r="NZZ91" i="6"/>
  <c r="NZR91" i="6"/>
  <c r="NZP91" i="6"/>
  <c r="NZM91" i="6"/>
  <c r="NZJ91" i="6"/>
  <c r="NZB91" i="6"/>
  <c r="NYZ91" i="6"/>
  <c r="NYW91" i="6"/>
  <c r="NYT91" i="6"/>
  <c r="NYL91" i="6"/>
  <c r="NYJ91" i="6"/>
  <c r="NYG91" i="6"/>
  <c r="NYD91" i="6"/>
  <c r="NXV91" i="6"/>
  <c r="NXT91" i="6"/>
  <c r="NXQ91" i="6"/>
  <c r="NXN91" i="6"/>
  <c r="NXF91" i="6"/>
  <c r="NXD91" i="6"/>
  <c r="NXA91" i="6"/>
  <c r="NWX91" i="6"/>
  <c r="NWP91" i="6"/>
  <c r="NWN91" i="6"/>
  <c r="NWK91" i="6"/>
  <c r="NWH91" i="6"/>
  <c r="NVZ91" i="6"/>
  <c r="NVX91" i="6"/>
  <c r="NVU91" i="6"/>
  <c r="NVR91" i="6"/>
  <c r="NVJ91" i="6"/>
  <c r="NVH91" i="6"/>
  <c r="NVE91" i="6"/>
  <c r="NVB91" i="6"/>
  <c r="NUT91" i="6"/>
  <c r="NUR91" i="6"/>
  <c r="NUO91" i="6"/>
  <c r="NUL91" i="6"/>
  <c r="NUD91" i="6"/>
  <c r="NUB91" i="6"/>
  <c r="NTY91" i="6"/>
  <c r="NTV91" i="6"/>
  <c r="NTN91" i="6"/>
  <c r="NTL91" i="6"/>
  <c r="NTI91" i="6"/>
  <c r="NTF91" i="6"/>
  <c r="NSX91" i="6"/>
  <c r="NSV91" i="6"/>
  <c r="NSS91" i="6"/>
  <c r="NSP91" i="6"/>
  <c r="NSH91" i="6"/>
  <c r="NSF91" i="6"/>
  <c r="NSC91" i="6"/>
  <c r="NRZ91" i="6"/>
  <c r="NRR91" i="6"/>
  <c r="NRP91" i="6"/>
  <c r="NRM91" i="6"/>
  <c r="NRJ91" i="6"/>
  <c r="NRB91" i="6"/>
  <c r="NQZ91" i="6"/>
  <c r="NQW91" i="6"/>
  <c r="NQT91" i="6"/>
  <c r="NQL91" i="6"/>
  <c r="NQJ91" i="6"/>
  <c r="NQG91" i="6"/>
  <c r="NQD91" i="6"/>
  <c r="NPV91" i="6"/>
  <c r="NPT91" i="6"/>
  <c r="NPQ91" i="6"/>
  <c r="NPN91" i="6"/>
  <c r="NPF91" i="6"/>
  <c r="NPD91" i="6"/>
  <c r="NPA91" i="6"/>
  <c r="NOX91" i="6"/>
  <c r="NOP91" i="6"/>
  <c r="NON91" i="6"/>
  <c r="NOK91" i="6"/>
  <c r="NOH91" i="6"/>
  <c r="NNZ91" i="6"/>
  <c r="NNX91" i="6"/>
  <c r="NNU91" i="6"/>
  <c r="NNR91" i="6"/>
  <c r="NNJ91" i="6"/>
  <c r="NNH91" i="6"/>
  <c r="NNE91" i="6"/>
  <c r="NNB91" i="6"/>
  <c r="NMT91" i="6"/>
  <c r="NMR91" i="6"/>
  <c r="NMO91" i="6"/>
  <c r="NML91" i="6"/>
  <c r="NMD91" i="6"/>
  <c r="NMB91" i="6"/>
  <c r="NLY91" i="6"/>
  <c r="NLV91" i="6"/>
  <c r="NLN91" i="6"/>
  <c r="NLL91" i="6"/>
  <c r="NLI91" i="6"/>
  <c r="NLF91" i="6"/>
  <c r="NKX91" i="6"/>
  <c r="NKV91" i="6"/>
  <c r="NKS91" i="6"/>
  <c r="NKP91" i="6"/>
  <c r="NKH91" i="6"/>
  <c r="NKF91" i="6"/>
  <c r="NKC91" i="6"/>
  <c r="NJZ91" i="6"/>
  <c r="NJR91" i="6"/>
  <c r="NJP91" i="6"/>
  <c r="NJM91" i="6"/>
  <c r="NJJ91" i="6"/>
  <c r="NJB91" i="6"/>
  <c r="NIZ91" i="6"/>
  <c r="NIW91" i="6"/>
  <c r="NIT91" i="6"/>
  <c r="NIL91" i="6"/>
  <c r="NIJ91" i="6"/>
  <c r="NIG91" i="6"/>
  <c r="NID91" i="6"/>
  <c r="NHV91" i="6"/>
  <c r="NHT91" i="6"/>
  <c r="NHQ91" i="6"/>
  <c r="NHN91" i="6"/>
  <c r="NHF91" i="6"/>
  <c r="NHD91" i="6"/>
  <c r="NHA91" i="6"/>
  <c r="NGX91" i="6"/>
  <c r="NGP91" i="6"/>
  <c r="NGN91" i="6"/>
  <c r="NGK91" i="6"/>
  <c r="NGH91" i="6"/>
  <c r="NFZ91" i="6"/>
  <c r="NFX91" i="6"/>
  <c r="NFU91" i="6"/>
  <c r="NFR91" i="6"/>
  <c r="NFJ91" i="6"/>
  <c r="NFH91" i="6"/>
  <c r="NFE91" i="6"/>
  <c r="NFB91" i="6"/>
  <c r="NET91" i="6"/>
  <c r="NER91" i="6"/>
  <c r="NEO91" i="6"/>
  <c r="NEL91" i="6"/>
  <c r="NED91" i="6"/>
  <c r="NEB91" i="6"/>
  <c r="NDY91" i="6"/>
  <c r="NDV91" i="6"/>
  <c r="NDN91" i="6"/>
  <c r="NDL91" i="6"/>
  <c r="NDI91" i="6"/>
  <c r="NDF91" i="6"/>
  <c r="NCX91" i="6"/>
  <c r="NCV91" i="6"/>
  <c r="NCS91" i="6"/>
  <c r="NCP91" i="6"/>
  <c r="NCH91" i="6"/>
  <c r="NCF91" i="6"/>
  <c r="NCC91" i="6"/>
  <c r="NBZ91" i="6"/>
  <c r="NBR91" i="6"/>
  <c r="NBP91" i="6"/>
  <c r="NBM91" i="6"/>
  <c r="NBJ91" i="6"/>
  <c r="NBB91" i="6"/>
  <c r="NAZ91" i="6"/>
  <c r="NAW91" i="6"/>
  <c r="NAT91" i="6"/>
  <c r="NAL91" i="6"/>
  <c r="NAJ91" i="6"/>
  <c r="NAG91" i="6"/>
  <c r="NAD91" i="6"/>
  <c r="MZV91" i="6"/>
  <c r="MZT91" i="6"/>
  <c r="MZQ91" i="6"/>
  <c r="MZN91" i="6"/>
  <c r="MZF91" i="6"/>
  <c r="MZD91" i="6"/>
  <c r="MZA91" i="6"/>
  <c r="MYX91" i="6"/>
  <c r="MYP91" i="6"/>
  <c r="MYN91" i="6"/>
  <c r="MYK91" i="6"/>
  <c r="MYH91" i="6"/>
  <c r="MXZ91" i="6"/>
  <c r="MXX91" i="6"/>
  <c r="MXU91" i="6"/>
  <c r="MXR91" i="6"/>
  <c r="MXJ91" i="6"/>
  <c r="MXH91" i="6"/>
  <c r="MXE91" i="6"/>
  <c r="MXB91" i="6"/>
  <c r="MWT91" i="6"/>
  <c r="MWR91" i="6"/>
  <c r="MWO91" i="6"/>
  <c r="MWL91" i="6"/>
  <c r="MWD91" i="6"/>
  <c r="MWB91" i="6"/>
  <c r="MVY91" i="6"/>
  <c r="MVV91" i="6"/>
  <c r="MVN91" i="6"/>
  <c r="MVL91" i="6"/>
  <c r="MVI91" i="6"/>
  <c r="MVF91" i="6"/>
  <c r="MUX91" i="6"/>
  <c r="MUV91" i="6"/>
  <c r="MUS91" i="6"/>
  <c r="MUP91" i="6"/>
  <c r="MUH91" i="6"/>
  <c r="MUF91" i="6"/>
  <c r="MUC91" i="6"/>
  <c r="MTZ91" i="6"/>
  <c r="MTR91" i="6"/>
  <c r="MTP91" i="6"/>
  <c r="MTM91" i="6"/>
  <c r="MTJ91" i="6"/>
  <c r="MTB91" i="6"/>
  <c r="MSZ91" i="6"/>
  <c r="MSW91" i="6"/>
  <c r="MST91" i="6"/>
  <c r="MSL91" i="6"/>
  <c r="MSJ91" i="6"/>
  <c r="MSG91" i="6"/>
  <c r="MSD91" i="6"/>
  <c r="MRV91" i="6"/>
  <c r="MRT91" i="6"/>
  <c r="MRQ91" i="6"/>
  <c r="MRN91" i="6"/>
  <c r="MRF91" i="6"/>
  <c r="MRD91" i="6"/>
  <c r="MRA91" i="6"/>
  <c r="MQX91" i="6"/>
  <c r="MQP91" i="6"/>
  <c r="MQN91" i="6"/>
  <c r="MQK91" i="6"/>
  <c r="MQH91" i="6"/>
  <c r="MPZ91" i="6"/>
  <c r="MPX91" i="6"/>
  <c r="MPU91" i="6"/>
  <c r="MPR91" i="6"/>
  <c r="MPJ91" i="6"/>
  <c r="MPH91" i="6"/>
  <c r="MPE91" i="6"/>
  <c r="MPB91" i="6"/>
  <c r="MOT91" i="6"/>
  <c r="MOR91" i="6"/>
  <c r="MOO91" i="6"/>
  <c r="MOL91" i="6"/>
  <c r="MOD91" i="6"/>
  <c r="MOB91" i="6"/>
  <c r="MNY91" i="6"/>
  <c r="MNV91" i="6"/>
  <c r="MNN91" i="6"/>
  <c r="MNL91" i="6"/>
  <c r="MNI91" i="6"/>
  <c r="MNF91" i="6"/>
  <c r="MMX91" i="6"/>
  <c r="MMV91" i="6"/>
  <c r="MMS91" i="6"/>
  <c r="MMP91" i="6"/>
  <c r="MMH91" i="6"/>
  <c r="MMF91" i="6"/>
  <c r="MMC91" i="6"/>
  <c r="MLZ91" i="6"/>
  <c r="MLR91" i="6"/>
  <c r="MLP91" i="6"/>
  <c r="MLM91" i="6"/>
  <c r="MLJ91" i="6"/>
  <c r="MLB91" i="6"/>
  <c r="MKZ91" i="6"/>
  <c r="MKW91" i="6"/>
  <c r="MKT91" i="6"/>
  <c r="MKL91" i="6"/>
  <c r="MKJ91" i="6"/>
  <c r="MKG91" i="6"/>
  <c r="MKD91" i="6"/>
  <c r="MJV91" i="6"/>
  <c r="MJT91" i="6"/>
  <c r="MJQ91" i="6"/>
  <c r="MJN91" i="6"/>
  <c r="MJF91" i="6"/>
  <c r="MJD91" i="6"/>
  <c r="MJA91" i="6"/>
  <c r="MIX91" i="6"/>
  <c r="MIP91" i="6"/>
  <c r="MIN91" i="6"/>
  <c r="MIK91" i="6"/>
  <c r="MIH91" i="6"/>
  <c r="MHZ91" i="6"/>
  <c r="MHX91" i="6"/>
  <c r="MHU91" i="6"/>
  <c r="MHR91" i="6"/>
  <c r="MHJ91" i="6"/>
  <c r="MHH91" i="6"/>
  <c r="MHE91" i="6"/>
  <c r="MHB91" i="6"/>
  <c r="MGT91" i="6"/>
  <c r="MGR91" i="6"/>
  <c r="MGO91" i="6"/>
  <c r="MGL91" i="6"/>
  <c r="MGD91" i="6"/>
  <c r="MGB91" i="6"/>
  <c r="MFY91" i="6"/>
  <c r="MFV91" i="6"/>
  <c r="MFN91" i="6"/>
  <c r="MFL91" i="6"/>
  <c r="MFI91" i="6"/>
  <c r="MFF91" i="6"/>
  <c r="MEX91" i="6"/>
  <c r="MEV91" i="6"/>
  <c r="MES91" i="6"/>
  <c r="MEP91" i="6"/>
  <c r="MEH91" i="6"/>
  <c r="MEF91" i="6"/>
  <c r="MEC91" i="6"/>
  <c r="MDZ91" i="6"/>
  <c r="MDR91" i="6"/>
  <c r="MDP91" i="6"/>
  <c r="MDM91" i="6"/>
  <c r="MDJ91" i="6"/>
  <c r="MDB91" i="6"/>
  <c r="MCZ91" i="6"/>
  <c r="MCW91" i="6"/>
  <c r="MCT91" i="6"/>
  <c r="MCL91" i="6"/>
  <c r="MCJ91" i="6"/>
  <c r="MCG91" i="6"/>
  <c r="MCD91" i="6"/>
  <c r="MBV91" i="6"/>
  <c r="MBT91" i="6"/>
  <c r="MBQ91" i="6"/>
  <c r="MBN91" i="6"/>
  <c r="MBF91" i="6"/>
  <c r="MBD91" i="6"/>
  <c r="MBA91" i="6"/>
  <c r="MAX91" i="6"/>
  <c r="MAP91" i="6"/>
  <c r="MAN91" i="6"/>
  <c r="MAK91" i="6"/>
  <c r="MAH91" i="6"/>
  <c r="LZZ91" i="6"/>
  <c r="LZX91" i="6"/>
  <c r="LZU91" i="6"/>
  <c r="LZR91" i="6"/>
  <c r="LZJ91" i="6"/>
  <c r="LZH91" i="6"/>
  <c r="LZE91" i="6"/>
  <c r="LZB91" i="6"/>
  <c r="LYT91" i="6"/>
  <c r="LYR91" i="6"/>
  <c r="LYO91" i="6"/>
  <c r="LYL91" i="6"/>
  <c r="LYD91" i="6"/>
  <c r="LYB91" i="6"/>
  <c r="LXY91" i="6"/>
  <c r="LXV91" i="6"/>
  <c r="LXN91" i="6"/>
  <c r="LXL91" i="6"/>
  <c r="LXI91" i="6"/>
  <c r="LXF91" i="6"/>
  <c r="LWX91" i="6"/>
  <c r="LWV91" i="6"/>
  <c r="LWS91" i="6"/>
  <c r="LWP91" i="6"/>
  <c r="LWH91" i="6"/>
  <c r="LWF91" i="6"/>
  <c r="LWC91" i="6"/>
  <c r="LVZ91" i="6"/>
  <c r="LVR91" i="6"/>
  <c r="LVP91" i="6"/>
  <c r="LVM91" i="6"/>
  <c r="LVJ91" i="6"/>
  <c r="LVB91" i="6"/>
  <c r="LUZ91" i="6"/>
  <c r="LUW91" i="6"/>
  <c r="LUT91" i="6"/>
  <c r="LUL91" i="6"/>
  <c r="LUJ91" i="6"/>
  <c r="LUG91" i="6"/>
  <c r="LUD91" i="6"/>
  <c r="LTV91" i="6"/>
  <c r="LTT91" i="6"/>
  <c r="LTQ91" i="6"/>
  <c r="LTN91" i="6"/>
  <c r="LTF91" i="6"/>
  <c r="LTD91" i="6"/>
  <c r="LTA91" i="6"/>
  <c r="LSX91" i="6"/>
  <c r="LSP91" i="6"/>
  <c r="LSN91" i="6"/>
  <c r="LSK91" i="6"/>
  <c r="LSH91" i="6"/>
  <c r="LRZ91" i="6"/>
  <c r="LRX91" i="6"/>
  <c r="LRU91" i="6"/>
  <c r="LRR91" i="6"/>
  <c r="LRJ91" i="6"/>
  <c r="LRH91" i="6"/>
  <c r="LRE91" i="6"/>
  <c r="LRB91" i="6"/>
  <c r="LQT91" i="6"/>
  <c r="LQR91" i="6"/>
  <c r="LQO91" i="6"/>
  <c r="LQL91" i="6"/>
  <c r="LQD91" i="6"/>
  <c r="LQB91" i="6"/>
  <c r="LPY91" i="6"/>
  <c r="LPV91" i="6"/>
  <c r="LPN91" i="6"/>
  <c r="LPL91" i="6"/>
  <c r="LPI91" i="6"/>
  <c r="LPF91" i="6"/>
  <c r="LOX91" i="6"/>
  <c r="LOV91" i="6"/>
  <c r="LOS91" i="6"/>
  <c r="LOP91" i="6"/>
  <c r="LOH91" i="6"/>
  <c r="LOF91" i="6"/>
  <c r="LOC91" i="6"/>
  <c r="LNZ91" i="6"/>
  <c r="LNR91" i="6"/>
  <c r="LNP91" i="6"/>
  <c r="LNM91" i="6"/>
  <c r="LNJ91" i="6"/>
  <c r="LNB91" i="6"/>
  <c r="LMZ91" i="6"/>
  <c r="LMW91" i="6"/>
  <c r="LMT91" i="6"/>
  <c r="LML91" i="6"/>
  <c r="LMJ91" i="6"/>
  <c r="LMG91" i="6"/>
  <c r="LMD91" i="6"/>
  <c r="LLV91" i="6"/>
  <c r="LLT91" i="6"/>
  <c r="LLQ91" i="6"/>
  <c r="LLN91" i="6"/>
  <c r="LLF91" i="6"/>
  <c r="LLD91" i="6"/>
  <c r="LLA91" i="6"/>
  <c r="LKX91" i="6"/>
  <c r="LKP91" i="6"/>
  <c r="LKN91" i="6"/>
  <c r="LKK91" i="6"/>
  <c r="LKH91" i="6"/>
  <c r="LJZ91" i="6"/>
  <c r="LJX91" i="6"/>
  <c r="LJU91" i="6"/>
  <c r="LJR91" i="6"/>
  <c r="LJJ91" i="6"/>
  <c r="LJH91" i="6"/>
  <c r="LJE91" i="6"/>
  <c r="LJB91" i="6"/>
  <c r="LIT91" i="6"/>
  <c r="LIR91" i="6"/>
  <c r="LIO91" i="6"/>
  <c r="LIL91" i="6"/>
  <c r="LID91" i="6"/>
  <c r="LIB91" i="6"/>
  <c r="LHY91" i="6"/>
  <c r="LHV91" i="6"/>
  <c r="LHN91" i="6"/>
  <c r="LHL91" i="6"/>
  <c r="LHI91" i="6"/>
  <c r="LHF91" i="6"/>
  <c r="LGX91" i="6"/>
  <c r="LGV91" i="6"/>
  <c r="LGS91" i="6"/>
  <c r="LGP91" i="6"/>
  <c r="LGH91" i="6"/>
  <c r="LGF91" i="6"/>
  <c r="LGC91" i="6"/>
  <c r="LFZ91" i="6"/>
  <c r="LFR91" i="6"/>
  <c r="LFP91" i="6"/>
  <c r="LFM91" i="6"/>
  <c r="LFJ91" i="6"/>
  <c r="LFB91" i="6"/>
  <c r="LEZ91" i="6"/>
  <c r="LEW91" i="6"/>
  <c r="LET91" i="6"/>
  <c r="LEL91" i="6"/>
  <c r="LEJ91" i="6"/>
  <c r="LEG91" i="6"/>
  <c r="LED91" i="6"/>
  <c r="LDV91" i="6"/>
  <c r="LDT91" i="6"/>
  <c r="LDQ91" i="6"/>
  <c r="LDN91" i="6"/>
  <c r="LDF91" i="6"/>
  <c r="LDD91" i="6"/>
  <c r="LDA91" i="6"/>
  <c r="LCX91" i="6"/>
  <c r="LCP91" i="6"/>
  <c r="LCN91" i="6"/>
  <c r="LCK91" i="6"/>
  <c r="LCH91" i="6"/>
  <c r="LBZ91" i="6"/>
  <c r="LBX91" i="6"/>
  <c r="LBU91" i="6"/>
  <c r="LBR91" i="6"/>
  <c r="LBJ91" i="6"/>
  <c r="LBH91" i="6"/>
  <c r="LBE91" i="6"/>
  <c r="LBB91" i="6"/>
  <c r="LAT91" i="6"/>
  <c r="LAR91" i="6"/>
  <c r="LAO91" i="6"/>
  <c r="LAL91" i="6"/>
  <c r="LAD91" i="6"/>
  <c r="LAB91" i="6"/>
  <c r="KZY91" i="6"/>
  <c r="KZV91" i="6"/>
  <c r="KZN91" i="6"/>
  <c r="KZL91" i="6"/>
  <c r="KZI91" i="6"/>
  <c r="KZF91" i="6"/>
  <c r="KYX91" i="6"/>
  <c r="KYV91" i="6"/>
  <c r="KYS91" i="6"/>
  <c r="KYP91" i="6"/>
  <c r="KYH91" i="6"/>
  <c r="KYF91" i="6"/>
  <c r="KYC91" i="6"/>
  <c r="KXZ91" i="6"/>
  <c r="KXR91" i="6"/>
  <c r="KXP91" i="6"/>
  <c r="KXM91" i="6"/>
  <c r="KXJ91" i="6"/>
  <c r="KXB91" i="6"/>
  <c r="KWZ91" i="6"/>
  <c r="KWW91" i="6"/>
  <c r="KWT91" i="6"/>
  <c r="KWL91" i="6"/>
  <c r="KWJ91" i="6"/>
  <c r="KWG91" i="6"/>
  <c r="KWD91" i="6"/>
  <c r="KVV91" i="6"/>
  <c r="KVT91" i="6"/>
  <c r="KVQ91" i="6"/>
  <c r="KVN91" i="6"/>
  <c r="KVF91" i="6"/>
  <c r="KVD91" i="6"/>
  <c r="KVA91" i="6"/>
  <c r="KUX91" i="6"/>
  <c r="KUP91" i="6"/>
  <c r="KUN91" i="6"/>
  <c r="KUK91" i="6"/>
  <c r="KUH91" i="6"/>
  <c r="KTZ91" i="6"/>
  <c r="KTX91" i="6"/>
  <c r="KTU91" i="6"/>
  <c r="KTR91" i="6"/>
  <c r="KTJ91" i="6"/>
  <c r="KTH91" i="6"/>
  <c r="KTE91" i="6"/>
  <c r="KTB91" i="6"/>
  <c r="KST91" i="6"/>
  <c r="KSR91" i="6"/>
  <c r="KSO91" i="6"/>
  <c r="KSL91" i="6"/>
  <c r="KSD91" i="6"/>
  <c r="KSB91" i="6"/>
  <c r="KRY91" i="6"/>
  <c r="KRV91" i="6"/>
  <c r="KRN91" i="6"/>
  <c r="KRL91" i="6"/>
  <c r="KRI91" i="6"/>
  <c r="KRF91" i="6"/>
  <c r="KQX91" i="6"/>
  <c r="KQV91" i="6"/>
  <c r="KQS91" i="6"/>
  <c r="KQP91" i="6"/>
  <c r="KQH91" i="6"/>
  <c r="KQF91" i="6"/>
  <c r="KQC91" i="6"/>
  <c r="KPZ91" i="6"/>
  <c r="KPR91" i="6"/>
  <c r="KPP91" i="6"/>
  <c r="KPM91" i="6"/>
  <c r="KPJ91" i="6"/>
  <c r="KPB91" i="6"/>
  <c r="KOZ91" i="6"/>
  <c r="KOW91" i="6"/>
  <c r="KOT91" i="6"/>
  <c r="KOL91" i="6"/>
  <c r="KOJ91" i="6"/>
  <c r="KOG91" i="6"/>
  <c r="KOD91" i="6"/>
  <c r="KNV91" i="6"/>
  <c r="KNT91" i="6"/>
  <c r="KNQ91" i="6"/>
  <c r="KNN91" i="6"/>
  <c r="KNF91" i="6"/>
  <c r="KND91" i="6"/>
  <c r="KNA91" i="6"/>
  <c r="KMX91" i="6"/>
  <c r="KMP91" i="6"/>
  <c r="KMN91" i="6"/>
  <c r="KMK91" i="6"/>
  <c r="KMH91" i="6"/>
  <c r="KLZ91" i="6"/>
  <c r="KLX91" i="6"/>
  <c r="KLU91" i="6"/>
  <c r="KLR91" i="6"/>
  <c r="KLJ91" i="6"/>
  <c r="KLH91" i="6"/>
  <c r="KLE91" i="6"/>
  <c r="KLB91" i="6"/>
  <c r="KKT91" i="6"/>
  <c r="KKR91" i="6"/>
  <c r="KKO91" i="6"/>
  <c r="KKL91" i="6"/>
  <c r="KKD91" i="6"/>
  <c r="KKB91" i="6"/>
  <c r="KJY91" i="6"/>
  <c r="KJV91" i="6"/>
  <c r="KJN91" i="6"/>
  <c r="KJL91" i="6"/>
  <c r="KJI91" i="6"/>
  <c r="KJF91" i="6"/>
  <c r="KIX91" i="6"/>
  <c r="KIV91" i="6"/>
  <c r="KIS91" i="6"/>
  <c r="KIP91" i="6"/>
  <c r="KIH91" i="6"/>
  <c r="KIF91" i="6"/>
  <c r="KIC91" i="6"/>
  <c r="KHZ91" i="6"/>
  <c r="KHR91" i="6"/>
  <c r="KHP91" i="6"/>
  <c r="KHM91" i="6"/>
  <c r="KHJ91" i="6"/>
  <c r="KHB91" i="6"/>
  <c r="KGZ91" i="6"/>
  <c r="KGW91" i="6"/>
  <c r="KGT91" i="6"/>
  <c r="KGL91" i="6"/>
  <c r="KGJ91" i="6"/>
  <c r="KGG91" i="6"/>
  <c r="KGD91" i="6"/>
  <c r="KFV91" i="6"/>
  <c r="KFT91" i="6"/>
  <c r="KFQ91" i="6"/>
  <c r="KFN91" i="6"/>
  <c r="KFF91" i="6"/>
  <c r="KFD91" i="6"/>
  <c r="KFA91" i="6"/>
  <c r="KEX91" i="6"/>
  <c r="KEP91" i="6"/>
  <c r="KEN91" i="6"/>
  <c r="KEK91" i="6"/>
  <c r="KEH91" i="6"/>
  <c r="KDZ91" i="6"/>
  <c r="KDX91" i="6"/>
  <c r="KDU91" i="6"/>
  <c r="KDR91" i="6"/>
  <c r="KDJ91" i="6"/>
  <c r="KDH91" i="6"/>
  <c r="KDE91" i="6"/>
  <c r="KDB91" i="6"/>
  <c r="KCT91" i="6"/>
  <c r="KCR91" i="6"/>
  <c r="KCO91" i="6"/>
  <c r="KCL91" i="6"/>
  <c r="KCD91" i="6"/>
  <c r="KCB91" i="6"/>
  <c r="KBY91" i="6"/>
  <c r="KBV91" i="6"/>
  <c r="KBN91" i="6"/>
  <c r="KBL91" i="6"/>
  <c r="KBI91" i="6"/>
  <c r="KBF91" i="6"/>
  <c r="KAX91" i="6"/>
  <c r="KAV91" i="6"/>
  <c r="KAS91" i="6"/>
  <c r="KAP91" i="6"/>
  <c r="KAH91" i="6"/>
  <c r="KAF91" i="6"/>
  <c r="KAC91" i="6"/>
  <c r="JZZ91" i="6"/>
  <c r="JZR91" i="6"/>
  <c r="JZP91" i="6"/>
  <c r="JZM91" i="6"/>
  <c r="JZJ91" i="6"/>
  <c r="JZB91" i="6"/>
  <c r="JYZ91" i="6"/>
  <c r="JYW91" i="6"/>
  <c r="JYT91" i="6"/>
  <c r="JYL91" i="6"/>
  <c r="JYJ91" i="6"/>
  <c r="JYG91" i="6"/>
  <c r="JYD91" i="6"/>
  <c r="JXV91" i="6"/>
  <c r="JXT91" i="6"/>
  <c r="JXQ91" i="6"/>
  <c r="JXN91" i="6"/>
  <c r="JXF91" i="6"/>
  <c r="JXD91" i="6"/>
  <c r="JXA91" i="6"/>
  <c r="JWX91" i="6"/>
  <c r="JWP91" i="6"/>
  <c r="JWN91" i="6"/>
  <c r="JWK91" i="6"/>
  <c r="JWH91" i="6"/>
  <c r="JVZ91" i="6"/>
  <c r="JVX91" i="6"/>
  <c r="JVU91" i="6"/>
  <c r="JVR91" i="6"/>
  <c r="JVJ91" i="6"/>
  <c r="JVH91" i="6"/>
  <c r="JVE91" i="6"/>
  <c r="JVB91" i="6"/>
  <c r="JUT91" i="6"/>
  <c r="JUR91" i="6"/>
  <c r="JUO91" i="6"/>
  <c r="JUL91" i="6"/>
  <c r="JUD91" i="6"/>
  <c r="JUB91" i="6"/>
  <c r="JTY91" i="6"/>
  <c r="JTV91" i="6"/>
  <c r="JTN91" i="6"/>
  <c r="JTL91" i="6"/>
  <c r="JTI91" i="6"/>
  <c r="JTF91" i="6"/>
  <c r="JSX91" i="6"/>
  <c r="JSV91" i="6"/>
  <c r="JSS91" i="6"/>
  <c r="JSP91" i="6"/>
  <c r="JSH91" i="6"/>
  <c r="JSF91" i="6"/>
  <c r="JSC91" i="6"/>
  <c r="JRZ91" i="6"/>
  <c r="JRR91" i="6"/>
  <c r="JRP91" i="6"/>
  <c r="JRM91" i="6"/>
  <c r="JRJ91" i="6"/>
  <c r="JRB91" i="6"/>
  <c r="JQZ91" i="6"/>
  <c r="JQW91" i="6"/>
  <c r="JQT91" i="6"/>
  <c r="JQL91" i="6"/>
  <c r="JQJ91" i="6"/>
  <c r="JQG91" i="6"/>
  <c r="JQD91" i="6"/>
  <c r="JPV91" i="6"/>
  <c r="JPT91" i="6"/>
  <c r="JPQ91" i="6"/>
  <c r="JPN91" i="6"/>
  <c r="JPF91" i="6"/>
  <c r="JPD91" i="6"/>
  <c r="JPA91" i="6"/>
  <c r="JOX91" i="6"/>
  <c r="JOP91" i="6"/>
  <c r="JON91" i="6"/>
  <c r="JOK91" i="6"/>
  <c r="JOH91" i="6"/>
  <c r="JNZ91" i="6"/>
  <c r="JNX91" i="6"/>
  <c r="JNU91" i="6"/>
  <c r="JNR91" i="6"/>
  <c r="JNJ91" i="6"/>
  <c r="JNH91" i="6"/>
  <c r="JNE91" i="6"/>
  <c r="JNB91" i="6"/>
  <c r="JMT91" i="6"/>
  <c r="JMR91" i="6"/>
  <c r="JMO91" i="6"/>
  <c r="JML91" i="6"/>
  <c r="JMD91" i="6"/>
  <c r="JMB91" i="6"/>
  <c r="JLY91" i="6"/>
  <c r="JLV91" i="6"/>
  <c r="JLN91" i="6"/>
  <c r="JLL91" i="6"/>
  <c r="JLI91" i="6"/>
  <c r="JLF91" i="6"/>
  <c r="JKX91" i="6"/>
  <c r="JKV91" i="6"/>
  <c r="JKS91" i="6"/>
  <c r="JKP91" i="6"/>
  <c r="JKH91" i="6"/>
  <c r="JKF91" i="6"/>
  <c r="JKC91" i="6"/>
  <c r="JJZ91" i="6"/>
  <c r="JJR91" i="6"/>
  <c r="JJP91" i="6"/>
  <c r="JJM91" i="6"/>
  <c r="JJJ91" i="6"/>
  <c r="JJB91" i="6"/>
  <c r="JIZ91" i="6"/>
  <c r="JIW91" i="6"/>
  <c r="JIT91" i="6"/>
  <c r="JIL91" i="6"/>
  <c r="JIJ91" i="6"/>
  <c r="JIG91" i="6"/>
  <c r="JID91" i="6"/>
  <c r="JHV91" i="6"/>
  <c r="JHT91" i="6"/>
  <c r="JHQ91" i="6"/>
  <c r="JHN91" i="6"/>
  <c r="JHF91" i="6"/>
  <c r="JHD91" i="6"/>
  <c r="JHA91" i="6"/>
  <c r="JGX91" i="6"/>
  <c r="JGP91" i="6"/>
  <c r="JGN91" i="6"/>
  <c r="JGK91" i="6"/>
  <c r="JGH91" i="6"/>
  <c r="JFZ91" i="6"/>
  <c r="JFX91" i="6"/>
  <c r="JFU91" i="6"/>
  <c r="JFR91" i="6"/>
  <c r="JFJ91" i="6"/>
  <c r="JFH91" i="6"/>
  <c r="JFE91" i="6"/>
  <c r="JFB91" i="6"/>
  <c r="JET91" i="6"/>
  <c r="JER91" i="6"/>
  <c r="JEO91" i="6"/>
  <c r="JEL91" i="6"/>
  <c r="JED91" i="6"/>
  <c r="JEB91" i="6"/>
  <c r="JDY91" i="6"/>
  <c r="JDV91" i="6"/>
  <c r="JDN91" i="6"/>
  <c r="JDL91" i="6"/>
  <c r="JDI91" i="6"/>
  <c r="JDF91" i="6"/>
  <c r="JCX91" i="6"/>
  <c r="JCV91" i="6"/>
  <c r="JCS91" i="6"/>
  <c r="JCP91" i="6"/>
  <c r="JCH91" i="6"/>
  <c r="JCF91" i="6"/>
  <c r="JCC91" i="6"/>
  <c r="JBZ91" i="6"/>
  <c r="JBR91" i="6"/>
  <c r="JBP91" i="6"/>
  <c r="JBM91" i="6"/>
  <c r="JBJ91" i="6"/>
  <c r="JBB91" i="6"/>
  <c r="JAZ91" i="6"/>
  <c r="JAW91" i="6"/>
  <c r="JAT91" i="6"/>
  <c r="JAL91" i="6"/>
  <c r="JAJ91" i="6"/>
  <c r="JAG91" i="6"/>
  <c r="JAD91" i="6"/>
  <c r="IZV91" i="6"/>
  <c r="IZT91" i="6"/>
  <c r="IZQ91" i="6"/>
  <c r="IZN91" i="6"/>
  <c r="IZF91" i="6"/>
  <c r="IZD91" i="6"/>
  <c r="IZA91" i="6"/>
  <c r="IYX91" i="6"/>
  <c r="IYP91" i="6"/>
  <c r="IYN91" i="6"/>
  <c r="IYK91" i="6"/>
  <c r="IYH91" i="6"/>
  <c r="IXZ91" i="6"/>
  <c r="IXX91" i="6"/>
  <c r="IXU91" i="6"/>
  <c r="IXR91" i="6"/>
  <c r="IXJ91" i="6"/>
  <c r="IXH91" i="6"/>
  <c r="IXE91" i="6"/>
  <c r="IXB91" i="6"/>
  <c r="IWT91" i="6"/>
  <c r="IWR91" i="6"/>
  <c r="IWO91" i="6"/>
  <c r="IWL91" i="6"/>
  <c r="IWD91" i="6"/>
  <c r="IWB91" i="6"/>
  <c r="IVY91" i="6"/>
  <c r="IVV91" i="6"/>
  <c r="IVN91" i="6"/>
  <c r="IVL91" i="6"/>
  <c r="IVI91" i="6"/>
  <c r="IVF91" i="6"/>
  <c r="IUX91" i="6"/>
  <c r="IUV91" i="6"/>
  <c r="IUS91" i="6"/>
  <c r="IUP91" i="6"/>
  <c r="IUH91" i="6"/>
  <c r="IUF91" i="6"/>
  <c r="IUC91" i="6"/>
  <c r="ITZ91" i="6"/>
  <c r="ITR91" i="6"/>
  <c r="ITP91" i="6"/>
  <c r="ITM91" i="6"/>
  <c r="ITJ91" i="6"/>
  <c r="ITB91" i="6"/>
  <c r="ISZ91" i="6"/>
  <c r="ISW91" i="6"/>
  <c r="IST91" i="6"/>
  <c r="ISL91" i="6"/>
  <c r="ISJ91" i="6"/>
  <c r="ISG91" i="6"/>
  <c r="ISD91" i="6"/>
  <c r="IRV91" i="6"/>
  <c r="IRT91" i="6"/>
  <c r="IRQ91" i="6"/>
  <c r="IRN91" i="6"/>
  <c r="IRF91" i="6"/>
  <c r="IRD91" i="6"/>
  <c r="IRA91" i="6"/>
  <c r="IQX91" i="6"/>
  <c r="IQP91" i="6"/>
  <c r="IQN91" i="6"/>
  <c r="IQK91" i="6"/>
  <c r="IQH91" i="6"/>
  <c r="IPZ91" i="6"/>
  <c r="IPX91" i="6"/>
  <c r="IPU91" i="6"/>
  <c r="IPR91" i="6"/>
  <c r="IPJ91" i="6"/>
  <c r="IPH91" i="6"/>
  <c r="IPE91" i="6"/>
  <c r="IPB91" i="6"/>
  <c r="IOT91" i="6"/>
  <c r="IOR91" i="6"/>
  <c r="IOO91" i="6"/>
  <c r="IOL91" i="6"/>
  <c r="IOD91" i="6"/>
  <c r="IOB91" i="6"/>
  <c r="INY91" i="6"/>
  <c r="INV91" i="6"/>
  <c r="INN91" i="6"/>
  <c r="INL91" i="6"/>
  <c r="INI91" i="6"/>
  <c r="INF91" i="6"/>
  <c r="IMX91" i="6"/>
  <c r="IMV91" i="6"/>
  <c r="IMS91" i="6"/>
  <c r="IMP91" i="6"/>
  <c r="IMH91" i="6"/>
  <c r="IMF91" i="6"/>
  <c r="IMC91" i="6"/>
  <c r="ILZ91" i="6"/>
  <c r="ILR91" i="6"/>
  <c r="ILP91" i="6"/>
  <c r="ILM91" i="6"/>
  <c r="ILJ91" i="6"/>
  <c r="ILB91" i="6"/>
  <c r="IKZ91" i="6"/>
  <c r="IKW91" i="6"/>
  <c r="IKT91" i="6"/>
  <c r="IKL91" i="6"/>
  <c r="IKJ91" i="6"/>
  <c r="IKG91" i="6"/>
  <c r="IKD91" i="6"/>
  <c r="IJV91" i="6"/>
  <c r="IJT91" i="6"/>
  <c r="IJQ91" i="6"/>
  <c r="IJN91" i="6"/>
  <c r="IJF91" i="6"/>
  <c r="IJD91" i="6"/>
  <c r="IJA91" i="6"/>
  <c r="IIX91" i="6"/>
  <c r="IIP91" i="6"/>
  <c r="IIN91" i="6"/>
  <c r="IIK91" i="6"/>
  <c r="IIH91" i="6"/>
  <c r="IHZ91" i="6"/>
  <c r="IHX91" i="6"/>
  <c r="IHU91" i="6"/>
  <c r="IHR91" i="6"/>
  <c r="IHJ91" i="6"/>
  <c r="IHH91" i="6"/>
  <c r="IHE91" i="6"/>
  <c r="IHB91" i="6"/>
  <c r="IGT91" i="6"/>
  <c r="IGR91" i="6"/>
  <c r="IGO91" i="6"/>
  <c r="IGL91" i="6"/>
  <c r="IGD91" i="6"/>
  <c r="IGB91" i="6"/>
  <c r="IFY91" i="6"/>
  <c r="IFV91" i="6"/>
  <c r="IFN91" i="6"/>
  <c r="IFL91" i="6"/>
  <c r="IFI91" i="6"/>
  <c r="IFF91" i="6"/>
  <c r="IEX91" i="6"/>
  <c r="IEV91" i="6"/>
  <c r="IES91" i="6"/>
  <c r="IEP91" i="6"/>
  <c r="IEH91" i="6"/>
  <c r="IEF91" i="6"/>
  <c r="IEC91" i="6"/>
  <c r="IDZ91" i="6"/>
  <c r="IDR91" i="6"/>
  <c r="IDP91" i="6"/>
  <c r="IDM91" i="6"/>
  <c r="IDJ91" i="6"/>
  <c r="IDB91" i="6"/>
  <c r="ICZ91" i="6"/>
  <c r="ICW91" i="6"/>
  <c r="ICT91" i="6"/>
  <c r="ICL91" i="6"/>
  <c r="ICJ91" i="6"/>
  <c r="ICG91" i="6"/>
  <c r="ICD91" i="6"/>
  <c r="IBV91" i="6"/>
  <c r="IBT91" i="6"/>
  <c r="IBQ91" i="6"/>
  <c r="IBN91" i="6"/>
  <c r="IBF91" i="6"/>
  <c r="IBD91" i="6"/>
  <c r="IBA91" i="6"/>
  <c r="IAX91" i="6"/>
  <c r="IAP91" i="6"/>
  <c r="IAN91" i="6"/>
  <c r="IAK91" i="6"/>
  <c r="IAH91" i="6"/>
  <c r="HZZ91" i="6"/>
  <c r="HZX91" i="6"/>
  <c r="HZU91" i="6"/>
  <c r="HZR91" i="6"/>
  <c r="HZJ91" i="6"/>
  <c r="HZH91" i="6"/>
  <c r="HZE91" i="6"/>
  <c r="HZB91" i="6"/>
  <c r="HYT91" i="6"/>
  <c r="HYR91" i="6"/>
  <c r="HYO91" i="6"/>
  <c r="HYL91" i="6"/>
  <c r="HYD91" i="6"/>
  <c r="HYB91" i="6"/>
  <c r="HXY91" i="6"/>
  <c r="HXV91" i="6"/>
  <c r="HXN91" i="6"/>
  <c r="HXL91" i="6"/>
  <c r="HXI91" i="6"/>
  <c r="HXF91" i="6"/>
  <c r="HWX91" i="6"/>
  <c r="HWV91" i="6"/>
  <c r="HWS91" i="6"/>
  <c r="HWP91" i="6"/>
  <c r="HWH91" i="6"/>
  <c r="HWF91" i="6"/>
  <c r="HWC91" i="6"/>
  <c r="HVZ91" i="6"/>
  <c r="HVR91" i="6"/>
  <c r="HVP91" i="6"/>
  <c r="HVM91" i="6"/>
  <c r="HVJ91" i="6"/>
  <c r="HVB91" i="6"/>
  <c r="HUZ91" i="6"/>
  <c r="HUW91" i="6"/>
  <c r="HUT91" i="6"/>
  <c r="HUL91" i="6"/>
  <c r="HUJ91" i="6"/>
  <c r="HUG91" i="6"/>
  <c r="HUD91" i="6"/>
  <c r="HTV91" i="6"/>
  <c r="HTT91" i="6"/>
  <c r="HTQ91" i="6"/>
  <c r="HTN91" i="6"/>
  <c r="HTF91" i="6"/>
  <c r="HTD91" i="6"/>
  <c r="HTA91" i="6"/>
  <c r="HSX91" i="6"/>
  <c r="HSP91" i="6"/>
  <c r="HSN91" i="6"/>
  <c r="HSK91" i="6"/>
  <c r="HSH91" i="6"/>
  <c r="HRZ91" i="6"/>
  <c r="HRX91" i="6"/>
  <c r="HRU91" i="6"/>
  <c r="HRR91" i="6"/>
  <c r="HRJ91" i="6"/>
  <c r="HRH91" i="6"/>
  <c r="HRE91" i="6"/>
  <c r="HRB91" i="6"/>
  <c r="HQT91" i="6"/>
  <c r="HQR91" i="6"/>
  <c r="HQO91" i="6"/>
  <c r="HQL91" i="6"/>
  <c r="HQD91" i="6"/>
  <c r="HQB91" i="6"/>
  <c r="HPY91" i="6"/>
  <c r="HPV91" i="6"/>
  <c r="HPN91" i="6"/>
  <c r="HPL91" i="6"/>
  <c r="HPI91" i="6"/>
  <c r="HPF91" i="6"/>
  <c r="HOX91" i="6"/>
  <c r="HOV91" i="6"/>
  <c r="HOS91" i="6"/>
  <c r="HOP91" i="6"/>
  <c r="HOH91" i="6"/>
  <c r="HOF91" i="6"/>
  <c r="HOC91" i="6"/>
  <c r="HNZ91" i="6"/>
  <c r="HNR91" i="6"/>
  <c r="HNP91" i="6"/>
  <c r="HNM91" i="6"/>
  <c r="HNJ91" i="6"/>
  <c r="HNB91" i="6"/>
  <c r="HMZ91" i="6"/>
  <c r="HMW91" i="6"/>
  <c r="HMT91" i="6"/>
  <c r="HML91" i="6"/>
  <c r="HMJ91" i="6"/>
  <c r="HMG91" i="6"/>
  <c r="HMD91" i="6"/>
  <c r="HLV91" i="6"/>
  <c r="HLT91" i="6"/>
  <c r="HLQ91" i="6"/>
  <c r="HLN91" i="6"/>
  <c r="HLF91" i="6"/>
  <c r="HLD91" i="6"/>
  <c r="HLA91" i="6"/>
  <c r="HKX91" i="6"/>
  <c r="HKP91" i="6"/>
  <c r="HKN91" i="6"/>
  <c r="HKK91" i="6"/>
  <c r="HKH91" i="6"/>
  <c r="HJZ91" i="6"/>
  <c r="HJX91" i="6"/>
  <c r="HJU91" i="6"/>
  <c r="HJR91" i="6"/>
  <c r="HJJ91" i="6"/>
  <c r="HJH91" i="6"/>
  <c r="HJE91" i="6"/>
  <c r="HJB91" i="6"/>
  <c r="HIT91" i="6"/>
  <c r="HIR91" i="6"/>
  <c r="HIO91" i="6"/>
  <c r="HIL91" i="6"/>
  <c r="HID91" i="6"/>
  <c r="HIB91" i="6"/>
  <c r="HHY91" i="6"/>
  <c r="HHV91" i="6"/>
  <c r="HHN91" i="6"/>
  <c r="HHL91" i="6"/>
  <c r="HHI91" i="6"/>
  <c r="HHF91" i="6"/>
  <c r="HGX91" i="6"/>
  <c r="HGV91" i="6"/>
  <c r="HGS91" i="6"/>
  <c r="HGP91" i="6"/>
  <c r="HGH91" i="6"/>
  <c r="HGF91" i="6"/>
  <c r="HGC91" i="6"/>
  <c r="HFZ91" i="6"/>
  <c r="HFR91" i="6"/>
  <c r="HFP91" i="6"/>
  <c r="HFM91" i="6"/>
  <c r="HFJ91" i="6"/>
  <c r="HFB91" i="6"/>
  <c r="HEZ91" i="6"/>
  <c r="HEW91" i="6"/>
  <c r="HET91" i="6"/>
  <c r="HEL91" i="6"/>
  <c r="HEJ91" i="6"/>
  <c r="HEG91" i="6"/>
  <c r="HED91" i="6"/>
  <c r="HDV91" i="6"/>
  <c r="HDT91" i="6"/>
  <c r="HDQ91" i="6"/>
  <c r="HDN91" i="6"/>
  <c r="HDF91" i="6"/>
  <c r="HDD91" i="6"/>
  <c r="HDA91" i="6"/>
  <c r="HCX91" i="6"/>
  <c r="HCP91" i="6"/>
  <c r="HCN91" i="6"/>
  <c r="HCK91" i="6"/>
  <c r="HCH91" i="6"/>
  <c r="HBZ91" i="6"/>
  <c r="HBX91" i="6"/>
  <c r="HBU91" i="6"/>
  <c r="HBR91" i="6"/>
  <c r="HBJ91" i="6"/>
  <c r="HBH91" i="6"/>
  <c r="HBE91" i="6"/>
  <c r="HBB91" i="6"/>
  <c r="HAT91" i="6"/>
  <c r="HAR91" i="6"/>
  <c r="HAO91" i="6"/>
  <c r="HAL91" i="6"/>
  <c r="HAD91" i="6"/>
  <c r="HAB91" i="6"/>
  <c r="GZY91" i="6"/>
  <c r="GZV91" i="6"/>
  <c r="GZN91" i="6"/>
  <c r="GZL91" i="6"/>
  <c r="GZI91" i="6"/>
  <c r="GZF91" i="6"/>
  <c r="GYX91" i="6"/>
  <c r="GYV91" i="6"/>
  <c r="GYS91" i="6"/>
  <c r="GYP91" i="6"/>
  <c r="GYH91" i="6"/>
  <c r="GYF91" i="6"/>
  <c r="GYC91" i="6"/>
  <c r="GXZ91" i="6"/>
  <c r="GXR91" i="6"/>
  <c r="GXP91" i="6"/>
  <c r="GXM91" i="6"/>
  <c r="GXJ91" i="6"/>
  <c r="GXB91" i="6"/>
  <c r="GWZ91" i="6"/>
  <c r="GWW91" i="6"/>
  <c r="GWT91" i="6"/>
  <c r="GWL91" i="6"/>
  <c r="GWJ91" i="6"/>
  <c r="GWG91" i="6"/>
  <c r="GWD91" i="6"/>
  <c r="GVV91" i="6"/>
  <c r="GVT91" i="6"/>
  <c r="GVQ91" i="6"/>
  <c r="GVN91" i="6"/>
  <c r="GVF91" i="6"/>
  <c r="GVD91" i="6"/>
  <c r="GVA91" i="6"/>
  <c r="GUX91" i="6"/>
  <c r="GUP91" i="6"/>
  <c r="GUN91" i="6"/>
  <c r="GUK91" i="6"/>
  <c r="GUH91" i="6"/>
  <c r="GTZ91" i="6"/>
  <c r="GTX91" i="6"/>
  <c r="GTU91" i="6"/>
  <c r="GTR91" i="6"/>
  <c r="GTJ91" i="6"/>
  <c r="GTH91" i="6"/>
  <c r="GTE91" i="6"/>
  <c r="GTB91" i="6"/>
  <c r="GST91" i="6"/>
  <c r="GSR91" i="6"/>
  <c r="GSO91" i="6"/>
  <c r="GSL91" i="6"/>
  <c r="GSD91" i="6"/>
  <c r="GSB91" i="6"/>
  <c r="GRY91" i="6"/>
  <c r="GRV91" i="6"/>
  <c r="GRN91" i="6"/>
  <c r="GRL91" i="6"/>
  <c r="GRI91" i="6"/>
  <c r="GRF91" i="6"/>
  <c r="GQX91" i="6"/>
  <c r="GQV91" i="6"/>
  <c r="GQS91" i="6"/>
  <c r="GQP91" i="6"/>
  <c r="GQH91" i="6"/>
  <c r="GQF91" i="6"/>
  <c r="GQC91" i="6"/>
  <c r="GPZ91" i="6"/>
  <c r="GPR91" i="6"/>
  <c r="GPP91" i="6"/>
  <c r="GPM91" i="6"/>
  <c r="GPJ91" i="6"/>
  <c r="GPB91" i="6"/>
  <c r="GOZ91" i="6"/>
  <c r="GOW91" i="6"/>
  <c r="GOT91" i="6"/>
  <c r="GOL91" i="6"/>
  <c r="GOJ91" i="6"/>
  <c r="GOG91" i="6"/>
  <c r="GOD91" i="6"/>
  <c r="GNV91" i="6"/>
  <c r="GNT91" i="6"/>
  <c r="GNQ91" i="6"/>
  <c r="GNN91" i="6"/>
  <c r="GNF91" i="6"/>
  <c r="GND91" i="6"/>
  <c r="GNA91" i="6"/>
  <c r="GMX91" i="6"/>
  <c r="GMP91" i="6"/>
  <c r="GMN91" i="6"/>
  <c r="GMK91" i="6"/>
  <c r="GMH91" i="6"/>
  <c r="GLZ91" i="6"/>
  <c r="GLX91" i="6"/>
  <c r="GLU91" i="6"/>
  <c r="GLR91" i="6"/>
  <c r="GLJ91" i="6"/>
  <c r="GLH91" i="6"/>
  <c r="GLE91" i="6"/>
  <c r="GLB91" i="6"/>
  <c r="GKT91" i="6"/>
  <c r="GKR91" i="6"/>
  <c r="GKO91" i="6"/>
  <c r="GKL91" i="6"/>
  <c r="GKD91" i="6"/>
  <c r="GKB91" i="6"/>
  <c r="GJY91" i="6"/>
  <c r="GJV91" i="6"/>
  <c r="GJN91" i="6"/>
  <c r="GJL91" i="6"/>
  <c r="GJI91" i="6"/>
  <c r="GJF91" i="6"/>
  <c r="GIX91" i="6"/>
  <c r="GIV91" i="6"/>
  <c r="GIS91" i="6"/>
  <c r="GIP91" i="6"/>
  <c r="GIH91" i="6"/>
  <c r="GIF91" i="6"/>
  <c r="GIC91" i="6"/>
  <c r="GHZ91" i="6"/>
  <c r="GHR91" i="6"/>
  <c r="GHP91" i="6"/>
  <c r="GHM91" i="6"/>
  <c r="GHJ91" i="6"/>
  <c r="GHB91" i="6"/>
  <c r="GGZ91" i="6"/>
  <c r="GGW91" i="6"/>
  <c r="GGT91" i="6"/>
  <c r="GGL91" i="6"/>
  <c r="GGJ91" i="6"/>
  <c r="GGG91" i="6"/>
  <c r="GGD91" i="6"/>
  <c r="GFV91" i="6"/>
  <c r="GFT91" i="6"/>
  <c r="GFQ91" i="6"/>
  <c r="GFN91" i="6"/>
  <c r="GFF91" i="6"/>
  <c r="GFD91" i="6"/>
  <c r="GFA91" i="6"/>
  <c r="GEX91" i="6"/>
  <c r="GEP91" i="6"/>
  <c r="GEN91" i="6"/>
  <c r="GEK91" i="6"/>
  <c r="GEH91" i="6"/>
  <c r="GDZ91" i="6"/>
  <c r="GDX91" i="6"/>
  <c r="GDU91" i="6"/>
  <c r="GDR91" i="6"/>
  <c r="GDJ91" i="6"/>
  <c r="GDH91" i="6"/>
  <c r="GDE91" i="6"/>
  <c r="GDB91" i="6"/>
  <c r="GCT91" i="6"/>
  <c r="GCR91" i="6"/>
  <c r="GCO91" i="6"/>
  <c r="GCL91" i="6"/>
  <c r="GCD91" i="6"/>
  <c r="GCB91" i="6"/>
  <c r="GBY91" i="6"/>
  <c r="GBV91" i="6"/>
  <c r="GBN91" i="6"/>
  <c r="GBL91" i="6"/>
  <c r="GBI91" i="6"/>
  <c r="GBF91" i="6"/>
  <c r="GAX91" i="6"/>
  <c r="GAV91" i="6"/>
  <c r="GAS91" i="6"/>
  <c r="GAP91" i="6"/>
  <c r="GAH91" i="6"/>
  <c r="GAF91" i="6"/>
  <c r="GAC91" i="6"/>
  <c r="FZZ91" i="6"/>
  <c r="FZR91" i="6"/>
  <c r="FZP91" i="6"/>
  <c r="FZM91" i="6"/>
  <c r="FZJ91" i="6"/>
  <c r="FZB91" i="6"/>
  <c r="FYZ91" i="6"/>
  <c r="FYW91" i="6"/>
  <c r="FYT91" i="6"/>
  <c r="FYL91" i="6"/>
  <c r="FYJ91" i="6"/>
  <c r="FYG91" i="6"/>
  <c r="FYD91" i="6"/>
  <c r="FXV91" i="6"/>
  <c r="FXT91" i="6"/>
  <c r="FXQ91" i="6"/>
  <c r="FXN91" i="6"/>
  <c r="FXF91" i="6"/>
  <c r="FXD91" i="6"/>
  <c r="FXA91" i="6"/>
  <c r="FWX91" i="6"/>
  <c r="FWP91" i="6"/>
  <c r="FWN91" i="6"/>
  <c r="FWK91" i="6"/>
  <c r="FWH91" i="6"/>
  <c r="FVZ91" i="6"/>
  <c r="FVX91" i="6"/>
  <c r="FVU91" i="6"/>
  <c r="FVR91" i="6"/>
  <c r="FVJ91" i="6"/>
  <c r="FVH91" i="6"/>
  <c r="FVE91" i="6"/>
  <c r="FVB91" i="6"/>
  <c r="FUT91" i="6"/>
  <c r="FUR91" i="6"/>
  <c r="FUO91" i="6"/>
  <c r="FUL91" i="6"/>
  <c r="FUD91" i="6"/>
  <c r="FUB91" i="6"/>
  <c r="FTY91" i="6"/>
  <c r="FTV91" i="6"/>
  <c r="FTN91" i="6"/>
  <c r="FTL91" i="6"/>
  <c r="FTI91" i="6"/>
  <c r="FTF91" i="6"/>
  <c r="FSX91" i="6"/>
  <c r="FSV91" i="6"/>
  <c r="FSS91" i="6"/>
  <c r="FSP91" i="6"/>
  <c r="FSH91" i="6"/>
  <c r="FSF91" i="6"/>
  <c r="FSC91" i="6"/>
  <c r="FRZ91" i="6"/>
  <c r="FRR91" i="6"/>
  <c r="FRP91" i="6"/>
  <c r="FRM91" i="6"/>
  <c r="FRJ91" i="6"/>
  <c r="FRB91" i="6"/>
  <c r="FQZ91" i="6"/>
  <c r="FQW91" i="6"/>
  <c r="FQT91" i="6"/>
  <c r="FQL91" i="6"/>
  <c r="FQJ91" i="6"/>
  <c r="FQG91" i="6"/>
  <c r="FQD91" i="6"/>
  <c r="FPV91" i="6"/>
  <c r="FPT91" i="6"/>
  <c r="FPQ91" i="6"/>
  <c r="FPN91" i="6"/>
  <c r="FPF91" i="6"/>
  <c r="FPD91" i="6"/>
  <c r="FPA91" i="6"/>
  <c r="FOX91" i="6"/>
  <c r="FOP91" i="6"/>
  <c r="FON91" i="6"/>
  <c r="FOK91" i="6"/>
  <c r="FOH91" i="6"/>
  <c r="FNZ91" i="6"/>
  <c r="FNX91" i="6"/>
  <c r="FNU91" i="6"/>
  <c r="FNR91" i="6"/>
  <c r="FNJ91" i="6"/>
  <c r="FNH91" i="6"/>
  <c r="FNE91" i="6"/>
  <c r="FNB91" i="6"/>
  <c r="FMT91" i="6"/>
  <c r="FMR91" i="6"/>
  <c r="FMO91" i="6"/>
  <c r="FML91" i="6"/>
  <c r="FMD91" i="6"/>
  <c r="FMB91" i="6"/>
  <c r="FLY91" i="6"/>
  <c r="FLV91" i="6"/>
  <c r="FLN91" i="6"/>
  <c r="FLL91" i="6"/>
  <c r="FLI91" i="6"/>
  <c r="FLF91" i="6"/>
  <c r="FKX91" i="6"/>
  <c r="FKV91" i="6"/>
  <c r="FKS91" i="6"/>
  <c r="FKP91" i="6"/>
  <c r="FKH91" i="6"/>
  <c r="FKF91" i="6"/>
  <c r="FKC91" i="6"/>
  <c r="FJZ91" i="6"/>
  <c r="FJR91" i="6"/>
  <c r="FJP91" i="6"/>
  <c r="FJM91" i="6"/>
  <c r="FJJ91" i="6"/>
  <c r="FJB91" i="6"/>
  <c r="FIZ91" i="6"/>
  <c r="FIW91" i="6"/>
  <c r="FIT91" i="6"/>
  <c r="FIL91" i="6"/>
  <c r="FIJ91" i="6"/>
  <c r="FIG91" i="6"/>
  <c r="FID91" i="6"/>
  <c r="FHV91" i="6"/>
  <c r="FHT91" i="6"/>
  <c r="FHQ91" i="6"/>
  <c r="FHN91" i="6"/>
  <c r="FHF91" i="6"/>
  <c r="FHD91" i="6"/>
  <c r="FHA91" i="6"/>
  <c r="FGX91" i="6"/>
  <c r="FGP91" i="6"/>
  <c r="FGN91" i="6"/>
  <c r="FGK91" i="6"/>
  <c r="FGH91" i="6"/>
  <c r="FFZ91" i="6"/>
  <c r="FFX91" i="6"/>
  <c r="FFU91" i="6"/>
  <c r="FFR91" i="6"/>
  <c r="FFJ91" i="6"/>
  <c r="FFH91" i="6"/>
  <c r="FFE91" i="6"/>
  <c r="FFB91" i="6"/>
  <c r="FET91" i="6"/>
  <c r="FER91" i="6"/>
  <c r="FEO91" i="6"/>
  <c r="FEL91" i="6"/>
  <c r="FED91" i="6"/>
  <c r="FEB91" i="6"/>
  <c r="FDY91" i="6"/>
  <c r="FDV91" i="6"/>
  <c r="FDN91" i="6"/>
  <c r="FDL91" i="6"/>
  <c r="FDI91" i="6"/>
  <c r="FDF91" i="6"/>
  <c r="FCX91" i="6"/>
  <c r="FCV91" i="6"/>
  <c r="FCS91" i="6"/>
  <c r="FCP91" i="6"/>
  <c r="FCH91" i="6"/>
  <c r="FCF91" i="6"/>
  <c r="FCC91" i="6"/>
  <c r="FBZ91" i="6"/>
  <c r="FBR91" i="6"/>
  <c r="FBP91" i="6"/>
  <c r="FBM91" i="6"/>
  <c r="FBJ91" i="6"/>
  <c r="FBB91" i="6"/>
  <c r="FAZ91" i="6"/>
  <c r="FAW91" i="6"/>
  <c r="FAT91" i="6"/>
  <c r="FAL91" i="6"/>
  <c r="FAJ91" i="6"/>
  <c r="FAG91" i="6"/>
  <c r="FAD91" i="6"/>
  <c r="EZV91" i="6"/>
  <c r="EZT91" i="6"/>
  <c r="EZQ91" i="6"/>
  <c r="EZN91" i="6"/>
  <c r="EZF91" i="6"/>
  <c r="EZD91" i="6"/>
  <c r="EZA91" i="6"/>
  <c r="EYX91" i="6"/>
  <c r="EYP91" i="6"/>
  <c r="EYN91" i="6"/>
  <c r="EYK91" i="6"/>
  <c r="EYH91" i="6"/>
  <c r="EXZ91" i="6"/>
  <c r="EXX91" i="6"/>
  <c r="EXU91" i="6"/>
  <c r="EXR91" i="6"/>
  <c r="EXJ91" i="6"/>
  <c r="EXH91" i="6"/>
  <c r="EXE91" i="6"/>
  <c r="EXB91" i="6"/>
  <c r="EWT91" i="6"/>
  <c r="EWR91" i="6"/>
  <c r="EWO91" i="6"/>
  <c r="EWL91" i="6"/>
  <c r="EWD91" i="6"/>
  <c r="EWB91" i="6"/>
  <c r="EVY91" i="6"/>
  <c r="EVV91" i="6"/>
  <c r="EVN91" i="6"/>
  <c r="EVL91" i="6"/>
  <c r="EVI91" i="6"/>
  <c r="EVF91" i="6"/>
  <c r="EUX91" i="6"/>
  <c r="EUV91" i="6"/>
  <c r="EUS91" i="6"/>
  <c r="EUP91" i="6"/>
  <c r="EUH91" i="6"/>
  <c r="EUF91" i="6"/>
  <c r="EUC91" i="6"/>
  <c r="ETZ91" i="6"/>
  <c r="ETR91" i="6"/>
  <c r="ETP91" i="6"/>
  <c r="ETM91" i="6"/>
  <c r="ETJ91" i="6"/>
  <c r="ETB91" i="6"/>
  <c r="ESZ91" i="6"/>
  <c r="ESW91" i="6"/>
  <c r="EST91" i="6"/>
  <c r="ESL91" i="6"/>
  <c r="ESJ91" i="6"/>
  <c r="ESG91" i="6"/>
  <c r="ESD91" i="6"/>
  <c r="ERV91" i="6"/>
  <c r="ERT91" i="6"/>
  <c r="ERQ91" i="6"/>
  <c r="ERN91" i="6"/>
  <c r="ERF91" i="6"/>
  <c r="ERD91" i="6"/>
  <c r="ERA91" i="6"/>
  <c r="EQX91" i="6"/>
  <c r="EQP91" i="6"/>
  <c r="EQN91" i="6"/>
  <c r="EQK91" i="6"/>
  <c r="EQH91" i="6"/>
  <c r="EPZ91" i="6"/>
  <c r="EPX91" i="6"/>
  <c r="EPU91" i="6"/>
  <c r="EPR91" i="6"/>
  <c r="EPJ91" i="6"/>
  <c r="EPH91" i="6"/>
  <c r="EPE91" i="6"/>
  <c r="EPB91" i="6"/>
  <c r="EOT91" i="6"/>
  <c r="EOR91" i="6"/>
  <c r="EOO91" i="6"/>
  <c r="EOL91" i="6"/>
  <c r="EOD91" i="6"/>
  <c r="EOB91" i="6"/>
  <c r="ENY91" i="6"/>
  <c r="ENV91" i="6"/>
  <c r="ENN91" i="6"/>
  <c r="ENL91" i="6"/>
  <c r="ENI91" i="6"/>
  <c r="ENF91" i="6"/>
  <c r="EMX91" i="6"/>
  <c r="EMV91" i="6"/>
  <c r="EMS91" i="6"/>
  <c r="EMP91" i="6"/>
  <c r="EMH91" i="6"/>
  <c r="EMF91" i="6"/>
  <c r="EMC91" i="6"/>
  <c r="ELZ91" i="6"/>
  <c r="ELR91" i="6"/>
  <c r="ELP91" i="6"/>
  <c r="ELM91" i="6"/>
  <c r="ELJ91" i="6"/>
  <c r="ELB91" i="6"/>
  <c r="EKZ91" i="6"/>
  <c r="EKW91" i="6"/>
  <c r="EKT91" i="6"/>
  <c r="EKL91" i="6"/>
  <c r="EKJ91" i="6"/>
  <c r="EKG91" i="6"/>
  <c r="EKD91" i="6"/>
  <c r="EJV91" i="6"/>
  <c r="EJT91" i="6"/>
  <c r="EJQ91" i="6"/>
  <c r="EJN91" i="6"/>
  <c r="EJF91" i="6"/>
  <c r="EJD91" i="6"/>
  <c r="EJA91" i="6"/>
  <c r="EIX91" i="6"/>
  <c r="EIP91" i="6"/>
  <c r="EIN91" i="6"/>
  <c r="EIK91" i="6"/>
  <c r="EIH91" i="6"/>
  <c r="EHZ91" i="6"/>
  <c r="EHX91" i="6"/>
  <c r="EHU91" i="6"/>
  <c r="EHR91" i="6"/>
  <c r="EHJ91" i="6"/>
  <c r="EHH91" i="6"/>
  <c r="EHE91" i="6"/>
  <c r="EHB91" i="6"/>
  <c r="EGT91" i="6"/>
  <c r="EGR91" i="6"/>
  <c r="EGO91" i="6"/>
  <c r="EGL91" i="6"/>
  <c r="EGD91" i="6"/>
  <c r="EGB91" i="6"/>
  <c r="EFY91" i="6"/>
  <c r="EFV91" i="6"/>
  <c r="EFN91" i="6"/>
  <c r="EFL91" i="6"/>
  <c r="EFI91" i="6"/>
  <c r="EFF91" i="6"/>
  <c r="EEX91" i="6"/>
  <c r="EEV91" i="6"/>
  <c r="EES91" i="6"/>
  <c r="EEP91" i="6"/>
  <c r="EEH91" i="6"/>
  <c r="EEF91" i="6"/>
  <c r="EEC91" i="6"/>
  <c r="EDZ91" i="6"/>
  <c r="EDR91" i="6"/>
  <c r="EDP91" i="6"/>
  <c r="EDM91" i="6"/>
  <c r="EDJ91" i="6"/>
  <c r="EDB91" i="6"/>
  <c r="ECZ91" i="6"/>
  <c r="ECW91" i="6"/>
  <c r="ECT91" i="6"/>
  <c r="ECL91" i="6"/>
  <c r="ECJ91" i="6"/>
  <c r="ECG91" i="6"/>
  <c r="ECD91" i="6"/>
  <c r="EBV91" i="6"/>
  <c r="EBT91" i="6"/>
  <c r="EBQ91" i="6"/>
  <c r="EBN91" i="6"/>
  <c r="EBF91" i="6"/>
  <c r="EBD91" i="6"/>
  <c r="EBA91" i="6"/>
  <c r="EAX91" i="6"/>
  <c r="EAP91" i="6"/>
  <c r="EAN91" i="6"/>
  <c r="EAK91" i="6"/>
  <c r="EAH91" i="6"/>
  <c r="DZZ91" i="6"/>
  <c r="DZX91" i="6"/>
  <c r="DZU91" i="6"/>
  <c r="DZR91" i="6"/>
  <c r="DZJ91" i="6"/>
  <c r="DZH91" i="6"/>
  <c r="DZE91" i="6"/>
  <c r="DZB91" i="6"/>
  <c r="DYT91" i="6"/>
  <c r="DYR91" i="6"/>
  <c r="DYO91" i="6"/>
  <c r="DYL91" i="6"/>
  <c r="DYD91" i="6"/>
  <c r="DYB91" i="6"/>
  <c r="DXY91" i="6"/>
  <c r="DXV91" i="6"/>
  <c r="DXN91" i="6"/>
  <c r="DXL91" i="6"/>
  <c r="DXI91" i="6"/>
  <c r="DXF91" i="6"/>
  <c r="DWX91" i="6"/>
  <c r="DWV91" i="6"/>
  <c r="DWS91" i="6"/>
  <c r="DWP91" i="6"/>
  <c r="DWH91" i="6"/>
  <c r="DWF91" i="6"/>
  <c r="DWC91" i="6"/>
  <c r="DVZ91" i="6"/>
  <c r="DVR91" i="6"/>
  <c r="DVP91" i="6"/>
  <c r="DVM91" i="6"/>
  <c r="DVJ91" i="6"/>
  <c r="DVB91" i="6"/>
  <c r="DUZ91" i="6"/>
  <c r="DUW91" i="6"/>
  <c r="DUT91" i="6"/>
  <c r="DUL91" i="6"/>
  <c r="DUJ91" i="6"/>
  <c r="DUG91" i="6"/>
  <c r="DUD91" i="6"/>
  <c r="DTV91" i="6"/>
  <c r="DTT91" i="6"/>
  <c r="DTQ91" i="6"/>
  <c r="DTN91" i="6"/>
  <c r="DTF91" i="6"/>
  <c r="DTD91" i="6"/>
  <c r="DTA91" i="6"/>
  <c r="DSX91" i="6"/>
  <c r="DSP91" i="6"/>
  <c r="DSN91" i="6"/>
  <c r="DSK91" i="6"/>
  <c r="DSH91" i="6"/>
  <c r="DRZ91" i="6"/>
  <c r="DRX91" i="6"/>
  <c r="DRU91" i="6"/>
  <c r="DRR91" i="6"/>
  <c r="DRJ91" i="6"/>
  <c r="DRH91" i="6"/>
  <c r="DRE91" i="6"/>
  <c r="DRB91" i="6"/>
  <c r="DQT91" i="6"/>
  <c r="DQR91" i="6"/>
  <c r="DQO91" i="6"/>
  <c r="DQL91" i="6"/>
  <c r="DQD91" i="6"/>
  <c r="DQB91" i="6"/>
  <c r="DPY91" i="6"/>
  <c r="DPV91" i="6"/>
  <c r="DPN91" i="6"/>
  <c r="DPL91" i="6"/>
  <c r="DPI91" i="6"/>
  <c r="DPF91" i="6"/>
  <c r="DOX91" i="6"/>
  <c r="DOV91" i="6"/>
  <c r="DOS91" i="6"/>
  <c r="DOP91" i="6"/>
  <c r="DOH91" i="6"/>
  <c r="DOF91" i="6"/>
  <c r="DOC91" i="6"/>
  <c r="DNZ91" i="6"/>
  <c r="DNR91" i="6"/>
  <c r="DNP91" i="6"/>
  <c r="DNM91" i="6"/>
  <c r="DNJ91" i="6"/>
  <c r="DNB91" i="6"/>
  <c r="DMZ91" i="6"/>
  <c r="DMW91" i="6"/>
  <c r="DMT91" i="6"/>
  <c r="DML91" i="6"/>
  <c r="DMJ91" i="6"/>
  <c r="DMG91" i="6"/>
  <c r="DMD91" i="6"/>
  <c r="DLV91" i="6"/>
  <c r="DLT91" i="6"/>
  <c r="DLQ91" i="6"/>
  <c r="DLN91" i="6"/>
  <c r="DLF91" i="6"/>
  <c r="DLD91" i="6"/>
  <c r="DLA91" i="6"/>
  <c r="DKX91" i="6"/>
  <c r="DKP91" i="6"/>
  <c r="DKN91" i="6"/>
  <c r="DKK91" i="6"/>
  <c r="DKH91" i="6"/>
  <c r="DJZ91" i="6"/>
  <c r="DJX91" i="6"/>
  <c r="DJU91" i="6"/>
  <c r="DJR91" i="6"/>
  <c r="DJJ91" i="6"/>
  <c r="DJH91" i="6"/>
  <c r="DJE91" i="6"/>
  <c r="DJB91" i="6"/>
  <c r="DIT91" i="6"/>
  <c r="DIR91" i="6"/>
  <c r="DIO91" i="6"/>
  <c r="DIL91" i="6"/>
  <c r="DID91" i="6"/>
  <c r="DIB91" i="6"/>
  <c r="DHY91" i="6"/>
  <c r="DHV91" i="6"/>
  <c r="DHN91" i="6"/>
  <c r="DHL91" i="6"/>
  <c r="DHI91" i="6"/>
  <c r="DHF91" i="6"/>
  <c r="DGX91" i="6"/>
  <c r="DGV91" i="6"/>
  <c r="DGS91" i="6"/>
  <c r="DGP91" i="6"/>
  <c r="DGH91" i="6"/>
  <c r="DGF91" i="6"/>
  <c r="DGC91" i="6"/>
  <c r="DFZ91" i="6"/>
  <c r="DFR91" i="6"/>
  <c r="DFP91" i="6"/>
  <c r="DFM91" i="6"/>
  <c r="DFJ91" i="6"/>
  <c r="DFB91" i="6"/>
  <c r="DEZ91" i="6"/>
  <c r="DEW91" i="6"/>
  <c r="DET91" i="6"/>
  <c r="DEL91" i="6"/>
  <c r="DEJ91" i="6"/>
  <c r="DEG91" i="6"/>
  <c r="DED91" i="6"/>
  <c r="DDV91" i="6"/>
  <c r="DDT91" i="6"/>
  <c r="DDQ91" i="6"/>
  <c r="DDN91" i="6"/>
  <c r="DDF91" i="6"/>
  <c r="DDD91" i="6"/>
  <c r="DDA91" i="6"/>
  <c r="DCX91" i="6"/>
  <c r="DCP91" i="6"/>
  <c r="DCN91" i="6"/>
  <c r="DCK91" i="6"/>
  <c r="DCH91" i="6"/>
  <c r="DBZ91" i="6"/>
  <c r="DBX91" i="6"/>
  <c r="DBU91" i="6"/>
  <c r="DBR91" i="6"/>
  <c r="DBJ91" i="6"/>
  <c r="DBH91" i="6"/>
  <c r="DBE91" i="6"/>
  <c r="DBB91" i="6"/>
  <c r="DAT91" i="6"/>
  <c r="DAR91" i="6"/>
  <c r="DAO91" i="6"/>
  <c r="DAL91" i="6"/>
  <c r="DAD91" i="6"/>
  <c r="DAB91" i="6"/>
  <c r="CZY91" i="6"/>
  <c r="CZV91" i="6"/>
  <c r="CZN91" i="6"/>
  <c r="CZL91" i="6"/>
  <c r="CZI91" i="6"/>
  <c r="CZF91" i="6"/>
  <c r="CYX91" i="6"/>
  <c r="CYV91" i="6"/>
  <c r="CYS91" i="6"/>
  <c r="CYP91" i="6"/>
  <c r="CYH91" i="6"/>
  <c r="CYF91" i="6"/>
  <c r="CYC91" i="6"/>
  <c r="CXZ91" i="6"/>
  <c r="CXR91" i="6"/>
  <c r="CXP91" i="6"/>
  <c r="CXM91" i="6"/>
  <c r="CXJ91" i="6"/>
  <c r="CXB91" i="6"/>
  <c r="CWZ91" i="6"/>
  <c r="CWW91" i="6"/>
  <c r="CWT91" i="6"/>
  <c r="CWL91" i="6"/>
  <c r="CWJ91" i="6"/>
  <c r="CWG91" i="6"/>
  <c r="CWD91" i="6"/>
  <c r="CVV91" i="6"/>
  <c r="CVT91" i="6"/>
  <c r="CVQ91" i="6"/>
  <c r="CVN91" i="6"/>
  <c r="CVF91" i="6"/>
  <c r="CVD91" i="6"/>
  <c r="CVA91" i="6"/>
  <c r="CUX91" i="6"/>
  <c r="CUP91" i="6"/>
  <c r="CUN91" i="6"/>
  <c r="CUK91" i="6"/>
  <c r="CUH91" i="6"/>
  <c r="CTZ91" i="6"/>
  <c r="CTX91" i="6"/>
  <c r="CTU91" i="6"/>
  <c r="CTR91" i="6"/>
  <c r="CTJ91" i="6"/>
  <c r="CTH91" i="6"/>
  <c r="CTE91" i="6"/>
  <c r="CTB91" i="6"/>
  <c r="CST91" i="6"/>
  <c r="CSR91" i="6"/>
  <c r="CSO91" i="6"/>
  <c r="CSL91" i="6"/>
  <c r="CSD91" i="6"/>
  <c r="CSB91" i="6"/>
  <c r="CRY91" i="6"/>
  <c r="CRV91" i="6"/>
  <c r="CRN91" i="6"/>
  <c r="CRL91" i="6"/>
  <c r="CRI91" i="6"/>
  <c r="CRF91" i="6"/>
  <c r="CQX91" i="6"/>
  <c r="CQV91" i="6"/>
  <c r="CQS91" i="6"/>
  <c r="CQP91" i="6"/>
  <c r="CQH91" i="6"/>
  <c r="CQF91" i="6"/>
  <c r="CQC91" i="6"/>
  <c r="CPZ91" i="6"/>
  <c r="CPR91" i="6"/>
  <c r="CPP91" i="6"/>
  <c r="CPM91" i="6"/>
  <c r="CPJ91" i="6"/>
  <c r="CPB91" i="6"/>
  <c r="COZ91" i="6"/>
  <c r="COW91" i="6"/>
  <c r="COT91" i="6"/>
  <c r="COL91" i="6"/>
  <c r="COJ91" i="6"/>
  <c r="COG91" i="6"/>
  <c r="COD91" i="6"/>
  <c r="CNV91" i="6"/>
  <c r="CNT91" i="6"/>
  <c r="CNQ91" i="6"/>
  <c r="CNN91" i="6"/>
  <c r="CNF91" i="6"/>
  <c r="CND91" i="6"/>
  <c r="CNA91" i="6"/>
  <c r="CMX91" i="6"/>
  <c r="CMP91" i="6"/>
  <c r="CMN91" i="6"/>
  <c r="CMK91" i="6"/>
  <c r="CMH91" i="6"/>
  <c r="CLZ91" i="6"/>
  <c r="CLX91" i="6"/>
  <c r="CLU91" i="6"/>
  <c r="CLR91" i="6"/>
  <c r="CLJ91" i="6"/>
  <c r="CLH91" i="6"/>
  <c r="CLE91" i="6"/>
  <c r="CLB91" i="6"/>
  <c r="CKT91" i="6"/>
  <c r="CKR91" i="6"/>
  <c r="CKO91" i="6"/>
  <c r="CKL91" i="6"/>
  <c r="CKD91" i="6"/>
  <c r="CKB91" i="6"/>
  <c r="CJY91" i="6"/>
  <c r="CJV91" i="6"/>
  <c r="CJN91" i="6"/>
  <c r="CJL91" i="6"/>
  <c r="CJI91" i="6"/>
  <c r="CJF91" i="6"/>
  <c r="CIX91" i="6"/>
  <c r="CIV91" i="6"/>
  <c r="CIS91" i="6"/>
  <c r="CIP91" i="6"/>
  <c r="CIH91" i="6"/>
  <c r="CIF91" i="6"/>
  <c r="CIC91" i="6"/>
  <c r="CHZ91" i="6"/>
  <c r="CHR91" i="6"/>
  <c r="CHP91" i="6"/>
  <c r="CHM91" i="6"/>
  <c r="CHJ91" i="6"/>
  <c r="CHB91" i="6"/>
  <c r="CGZ91" i="6"/>
  <c r="CGW91" i="6"/>
  <c r="CGT91" i="6"/>
  <c r="CGL91" i="6"/>
  <c r="CGJ91" i="6"/>
  <c r="CGG91" i="6"/>
  <c r="CGD91" i="6"/>
  <c r="CFV91" i="6"/>
  <c r="CFT91" i="6"/>
  <c r="CFQ91" i="6"/>
  <c r="CFN91" i="6"/>
  <c r="CFF91" i="6"/>
  <c r="CFD91" i="6"/>
  <c r="CFA91" i="6"/>
  <c r="CEX91" i="6"/>
  <c r="CEP91" i="6"/>
  <c r="CEN91" i="6"/>
  <c r="CEK91" i="6"/>
  <c r="CEH91" i="6"/>
  <c r="CDZ91" i="6"/>
  <c r="CDX91" i="6"/>
  <c r="CDU91" i="6"/>
  <c r="CDR91" i="6"/>
  <c r="CDJ91" i="6"/>
  <c r="CDH91" i="6"/>
  <c r="CDE91" i="6"/>
  <c r="CDB91" i="6"/>
  <c r="CCT91" i="6"/>
  <c r="CCR91" i="6"/>
  <c r="CCO91" i="6"/>
  <c r="CCL91" i="6"/>
  <c r="CCD91" i="6"/>
  <c r="CCB91" i="6"/>
  <c r="CBY91" i="6"/>
  <c r="CBV91" i="6"/>
  <c r="CBN91" i="6"/>
  <c r="CBL91" i="6"/>
  <c r="CBI91" i="6"/>
  <c r="CBF91" i="6"/>
  <c r="CAX91" i="6"/>
  <c r="CAV91" i="6"/>
  <c r="CAS91" i="6"/>
  <c r="CAP91" i="6"/>
  <c r="CAH91" i="6"/>
  <c r="CAF91" i="6"/>
  <c r="CAC91" i="6"/>
  <c r="BZZ91" i="6"/>
  <c r="BZR91" i="6"/>
  <c r="BZP91" i="6"/>
  <c r="BZM91" i="6"/>
  <c r="BZJ91" i="6"/>
  <c r="BZB91" i="6"/>
  <c r="BYZ91" i="6"/>
  <c r="BYW91" i="6"/>
  <c r="BYT91" i="6"/>
  <c r="BYL91" i="6"/>
  <c r="BYJ91" i="6"/>
  <c r="BYG91" i="6"/>
  <c r="BYD91" i="6"/>
  <c r="BXV91" i="6"/>
  <c r="BXT91" i="6"/>
  <c r="BXQ91" i="6"/>
  <c r="BXN91" i="6"/>
  <c r="BXF91" i="6"/>
  <c r="BXD91" i="6"/>
  <c r="BXA91" i="6"/>
  <c r="BWX91" i="6"/>
  <c r="BWP91" i="6"/>
  <c r="BWN91" i="6"/>
  <c r="BWK91" i="6"/>
  <c r="BWH91" i="6"/>
  <c r="BVZ91" i="6"/>
  <c r="BVX91" i="6"/>
  <c r="BVU91" i="6"/>
  <c r="BVR91" i="6"/>
  <c r="BVJ91" i="6"/>
  <c r="BVH91" i="6"/>
  <c r="BVE91" i="6"/>
  <c r="BVB91" i="6"/>
  <c r="BUT91" i="6"/>
  <c r="BUR91" i="6"/>
  <c r="BUO91" i="6"/>
  <c r="BUL91" i="6"/>
  <c r="BUD91" i="6"/>
  <c r="BUB91" i="6"/>
  <c r="BTY91" i="6"/>
  <c r="BTV91" i="6"/>
  <c r="BTN91" i="6"/>
  <c r="BTL91" i="6"/>
  <c r="BTI91" i="6"/>
  <c r="BTF91" i="6"/>
  <c r="BSX91" i="6"/>
  <c r="BSV91" i="6"/>
  <c r="BSS91" i="6"/>
  <c r="BSP91" i="6"/>
  <c r="BSH91" i="6"/>
  <c r="BSF91" i="6"/>
  <c r="BSC91" i="6"/>
  <c r="BRZ91" i="6"/>
  <c r="BRR91" i="6"/>
  <c r="BRP91" i="6"/>
  <c r="BRM91" i="6"/>
  <c r="BRJ91" i="6"/>
  <c r="BRB91" i="6"/>
  <c r="BQZ91" i="6"/>
  <c r="BQW91" i="6"/>
  <c r="BQT91" i="6"/>
  <c r="BQL91" i="6"/>
  <c r="BQJ91" i="6"/>
  <c r="BQG91" i="6"/>
  <c r="BQD91" i="6"/>
  <c r="BPV91" i="6"/>
  <c r="BPT91" i="6"/>
  <c r="BPQ91" i="6"/>
  <c r="BPN91" i="6"/>
  <c r="BPF91" i="6"/>
  <c r="BPD91" i="6"/>
  <c r="BPA91" i="6"/>
  <c r="BOX91" i="6"/>
  <c r="BOP91" i="6"/>
  <c r="BON91" i="6"/>
  <c r="BOK91" i="6"/>
  <c r="BOH91" i="6"/>
  <c r="BNZ91" i="6"/>
  <c r="BNX91" i="6"/>
  <c r="BNU91" i="6"/>
  <c r="BNR91" i="6"/>
  <c r="BNJ91" i="6"/>
  <c r="BNH91" i="6"/>
  <c r="BNE91" i="6"/>
  <c r="BNB91" i="6"/>
  <c r="BMT91" i="6"/>
  <c r="BMR91" i="6"/>
  <c r="BMO91" i="6"/>
  <c r="BML91" i="6"/>
  <c r="BMD91" i="6"/>
  <c r="BMB91" i="6"/>
  <c r="BLY91" i="6"/>
  <c r="BLV91" i="6"/>
  <c r="BLN91" i="6"/>
  <c r="BLL91" i="6"/>
  <c r="BLI91" i="6"/>
  <c r="BLF91" i="6"/>
  <c r="BKX91" i="6"/>
  <c r="BKV91" i="6"/>
  <c r="BKS91" i="6"/>
  <c r="BKP91" i="6"/>
  <c r="BKH91" i="6"/>
  <c r="BKF91" i="6"/>
  <c r="BKC91" i="6"/>
  <c r="BJZ91" i="6"/>
  <c r="BJR91" i="6"/>
  <c r="BJP91" i="6"/>
  <c r="BJM91" i="6"/>
  <c r="BJJ91" i="6"/>
  <c r="BJB91" i="6"/>
  <c r="BIZ91" i="6"/>
  <c r="BIW91" i="6"/>
  <c r="BIT91" i="6"/>
  <c r="BIL91" i="6"/>
  <c r="BIJ91" i="6"/>
  <c r="BIG91" i="6"/>
  <c r="BID91" i="6"/>
  <c r="BHV91" i="6"/>
  <c r="BHT91" i="6"/>
  <c r="BHQ91" i="6"/>
  <c r="BHN91" i="6"/>
  <c r="BHF91" i="6"/>
  <c r="BHD91" i="6"/>
  <c r="BHA91" i="6"/>
  <c r="BGX91" i="6"/>
  <c r="BGP91" i="6"/>
  <c r="BGN91" i="6"/>
  <c r="BGK91" i="6"/>
  <c r="BGH91" i="6"/>
  <c r="BFZ91" i="6"/>
  <c r="BFX91" i="6"/>
  <c r="BFU91" i="6"/>
  <c r="BFR91" i="6"/>
  <c r="BFJ91" i="6"/>
  <c r="BFH91" i="6"/>
  <c r="BFE91" i="6"/>
  <c r="BFB91" i="6"/>
  <c r="BET91" i="6"/>
  <c r="BER91" i="6"/>
  <c r="BEO91" i="6"/>
  <c r="BEL91" i="6"/>
  <c r="BED91" i="6"/>
  <c r="BEB91" i="6"/>
  <c r="BDY91" i="6"/>
  <c r="BDV91" i="6"/>
  <c r="BDN91" i="6"/>
  <c r="BDL91" i="6"/>
  <c r="BDI91" i="6"/>
  <c r="BDF91" i="6"/>
  <c r="BCX91" i="6"/>
  <c r="BCV91" i="6"/>
  <c r="BCS91" i="6"/>
  <c r="BCP91" i="6"/>
  <c r="BCH91" i="6"/>
  <c r="BCF91" i="6"/>
  <c r="BCC91" i="6"/>
  <c r="BBZ91" i="6"/>
  <c r="BBR91" i="6"/>
  <c r="BBP91" i="6"/>
  <c r="BBM91" i="6"/>
  <c r="BBJ91" i="6"/>
  <c r="BBB91" i="6"/>
  <c r="BAZ91" i="6"/>
  <c r="BAW91" i="6"/>
  <c r="BAT91" i="6"/>
  <c r="BAL91" i="6"/>
  <c r="BAJ91" i="6"/>
  <c r="BAG91" i="6"/>
  <c r="BAD91" i="6"/>
  <c r="AZV91" i="6"/>
  <c r="AZT91" i="6"/>
  <c r="AZQ91" i="6"/>
  <c r="AZN91" i="6"/>
  <c r="AZF91" i="6"/>
  <c r="AZD91" i="6"/>
  <c r="AZA91" i="6"/>
  <c r="AYX91" i="6"/>
  <c r="AYP91" i="6"/>
  <c r="AYN91" i="6"/>
  <c r="AYK91" i="6"/>
  <c r="AYH91" i="6"/>
  <c r="AXZ91" i="6"/>
  <c r="AXX91" i="6"/>
  <c r="AXU91" i="6"/>
  <c r="AXR91" i="6"/>
  <c r="AXJ91" i="6"/>
  <c r="AXH91" i="6"/>
  <c r="AXE91" i="6"/>
  <c r="AXB91" i="6"/>
  <c r="AWT91" i="6"/>
  <c r="AWR91" i="6"/>
  <c r="AWO91" i="6"/>
  <c r="AWL91" i="6"/>
  <c r="AWD91" i="6"/>
  <c r="AWB91" i="6"/>
  <c r="AVY91" i="6"/>
  <c r="AVV91" i="6"/>
  <c r="AVN91" i="6"/>
  <c r="AVL91" i="6"/>
  <c r="AVI91" i="6"/>
  <c r="AVF91" i="6"/>
  <c r="AUX91" i="6"/>
  <c r="AUV91" i="6"/>
  <c r="AUS91" i="6"/>
  <c r="AUP91" i="6"/>
  <c r="AUH91" i="6"/>
  <c r="AUF91" i="6"/>
  <c r="AUC91" i="6"/>
  <c r="ATZ91" i="6"/>
  <c r="ATR91" i="6"/>
  <c r="ATP91" i="6"/>
  <c r="ATM91" i="6"/>
  <c r="ATJ91" i="6"/>
  <c r="ATB91" i="6"/>
  <c r="ASZ91" i="6"/>
  <c r="ASW91" i="6"/>
  <c r="AST91" i="6"/>
  <c r="ASL91" i="6"/>
  <c r="ASJ91" i="6"/>
  <c r="ASG91" i="6"/>
  <c r="ASD91" i="6"/>
  <c r="ARV91" i="6"/>
  <c r="ART91" i="6"/>
  <c r="ARQ91" i="6"/>
  <c r="ARN91" i="6"/>
  <c r="ARF91" i="6"/>
  <c r="ARD91" i="6"/>
  <c r="ARA91" i="6"/>
  <c r="AQX91" i="6"/>
  <c r="AQP91" i="6"/>
  <c r="AQN91" i="6"/>
  <c r="AQK91" i="6"/>
  <c r="AQH91" i="6"/>
  <c r="APZ91" i="6"/>
  <c r="APX91" i="6"/>
  <c r="APU91" i="6"/>
  <c r="APR91" i="6"/>
  <c r="APJ91" i="6"/>
  <c r="APH91" i="6"/>
  <c r="APE91" i="6"/>
  <c r="APB91" i="6"/>
  <c r="AOT91" i="6"/>
  <c r="AOR91" i="6"/>
  <c r="AOO91" i="6"/>
  <c r="AOL91" i="6"/>
  <c r="AOD91" i="6"/>
  <c r="AOB91" i="6"/>
  <c r="ANY91" i="6"/>
  <c r="ANV91" i="6"/>
  <c r="ANN91" i="6"/>
  <c r="ANL91" i="6"/>
  <c r="ANI91" i="6"/>
  <c r="ANF91" i="6"/>
  <c r="AMX91" i="6"/>
  <c r="AMV91" i="6"/>
  <c r="AMS91" i="6"/>
  <c r="AMP91" i="6"/>
  <c r="AMH91" i="6"/>
  <c r="AMF91" i="6"/>
  <c r="AMC91" i="6"/>
  <c r="ALZ91" i="6"/>
  <c r="ALR91" i="6"/>
  <c r="ALP91" i="6"/>
  <c r="ALM91" i="6"/>
  <c r="ALJ91" i="6"/>
  <c r="ALB91" i="6"/>
  <c r="AKZ91" i="6"/>
  <c r="AKW91" i="6"/>
  <c r="AKT91" i="6"/>
  <c r="AKL91" i="6"/>
  <c r="AKJ91" i="6"/>
  <c r="AKG91" i="6"/>
  <c r="AKD91" i="6"/>
  <c r="AJV91" i="6"/>
  <c r="AJT91" i="6"/>
  <c r="AJQ91" i="6"/>
  <c r="AJN91" i="6"/>
  <c r="AJF91" i="6"/>
  <c r="AJD91" i="6"/>
  <c r="AJA91" i="6"/>
  <c r="AIX91" i="6"/>
  <c r="AIP91" i="6"/>
  <c r="AIN91" i="6"/>
  <c r="AIK91" i="6"/>
  <c r="AIH91" i="6"/>
  <c r="AHZ91" i="6"/>
  <c r="AHX91" i="6"/>
  <c r="AHU91" i="6"/>
  <c r="AHR91" i="6"/>
  <c r="AHJ91" i="6"/>
  <c r="AHH91" i="6"/>
  <c r="AHE91" i="6"/>
  <c r="AHB91" i="6"/>
  <c r="AGT91" i="6"/>
  <c r="AGR91" i="6"/>
  <c r="AGO91" i="6"/>
  <c r="AGL91" i="6"/>
  <c r="AGD91" i="6"/>
  <c r="AGB91" i="6"/>
  <c r="AFY91" i="6"/>
  <c r="AFV91" i="6"/>
  <c r="AFN91" i="6"/>
  <c r="AFL91" i="6"/>
  <c r="AFI91" i="6"/>
  <c r="AFF91" i="6"/>
  <c r="AEX91" i="6"/>
  <c r="AEV91" i="6"/>
  <c r="AES91" i="6"/>
  <c r="AEP91" i="6"/>
  <c r="AEH91" i="6"/>
  <c r="AEF91" i="6"/>
  <c r="AEC91" i="6"/>
  <c r="ADZ91" i="6"/>
  <c r="ADR91" i="6"/>
  <c r="ADP91" i="6"/>
  <c r="ADM91" i="6"/>
  <c r="ADJ91" i="6"/>
  <c r="ADB91" i="6"/>
  <c r="ACZ91" i="6"/>
  <c r="ACW91" i="6"/>
  <c r="ACT91" i="6"/>
  <c r="ACL91" i="6"/>
  <c r="ACJ91" i="6"/>
  <c r="ACG91" i="6"/>
  <c r="ACD91" i="6"/>
  <c r="ABV91" i="6"/>
  <c r="ABT91" i="6"/>
  <c r="ABQ91" i="6"/>
  <c r="ABN91" i="6"/>
  <c r="ABF91" i="6"/>
  <c r="ABD91" i="6"/>
  <c r="ABA91" i="6"/>
  <c r="AAX91" i="6"/>
  <c r="AAP91" i="6"/>
  <c r="AAN91" i="6"/>
  <c r="AAK91" i="6"/>
  <c r="AAH91" i="6"/>
  <c r="ZZ91" i="6"/>
  <c r="ZX91" i="6"/>
  <c r="ZU91" i="6"/>
  <c r="ZR91" i="6"/>
  <c r="ZJ91" i="6"/>
  <c r="ZH91" i="6"/>
  <c r="ZE91" i="6"/>
  <c r="ZB91" i="6"/>
  <c r="YT91" i="6"/>
  <c r="YR91" i="6"/>
  <c r="YO91" i="6"/>
  <c r="YL91" i="6"/>
  <c r="YD91" i="6"/>
  <c r="YB91" i="6"/>
  <c r="XY91" i="6"/>
  <c r="XV91" i="6"/>
  <c r="XN91" i="6"/>
  <c r="XL91" i="6"/>
  <c r="XI91" i="6"/>
  <c r="XF91" i="6"/>
  <c r="WX91" i="6"/>
  <c r="WV91" i="6"/>
  <c r="WS91" i="6"/>
  <c r="WP91" i="6"/>
  <c r="WH91" i="6"/>
  <c r="WF91" i="6"/>
  <c r="WC91" i="6"/>
  <c r="VZ91" i="6"/>
  <c r="VR91" i="6"/>
  <c r="VP91" i="6"/>
  <c r="VM91" i="6"/>
  <c r="VJ91" i="6"/>
  <c r="VB91" i="6"/>
  <c r="UZ91" i="6"/>
  <c r="UW91" i="6"/>
  <c r="UT91" i="6"/>
  <c r="UL91" i="6"/>
  <c r="UJ91" i="6"/>
  <c r="UG91" i="6"/>
  <c r="UD91" i="6"/>
  <c r="TV91" i="6"/>
  <c r="TT91" i="6"/>
  <c r="TQ91" i="6"/>
  <c r="TN91" i="6"/>
  <c r="TF91" i="6"/>
  <c r="TD91" i="6"/>
  <c r="TA91" i="6"/>
  <c r="SX91" i="6"/>
  <c r="SP91" i="6"/>
  <c r="SN91" i="6"/>
  <c r="SK91" i="6"/>
  <c r="SH91" i="6"/>
  <c r="RZ91" i="6"/>
  <c r="RX91" i="6"/>
  <c r="RU91" i="6"/>
  <c r="RR91" i="6"/>
  <c r="RJ91" i="6"/>
  <c r="RH91" i="6"/>
  <c r="RE91" i="6"/>
  <c r="RB91" i="6"/>
  <c r="QT91" i="6"/>
  <c r="QR91" i="6"/>
  <c r="QO91" i="6"/>
  <c r="QL91" i="6"/>
  <c r="QD91" i="6"/>
  <c r="QB91" i="6"/>
  <c r="PY91" i="6"/>
  <c r="PV91" i="6"/>
  <c r="PN91" i="6"/>
  <c r="PL91" i="6"/>
  <c r="PI91" i="6"/>
  <c r="PF91" i="6"/>
  <c r="OX91" i="6"/>
  <c r="OV91" i="6"/>
  <c r="OS91" i="6"/>
  <c r="OP91" i="6"/>
  <c r="OH91" i="6"/>
  <c r="OF91" i="6"/>
  <c r="OC91" i="6"/>
  <c r="NZ91" i="6"/>
  <c r="NR91" i="6"/>
  <c r="NP91" i="6"/>
  <c r="NM91" i="6"/>
  <c r="NJ91" i="6"/>
  <c r="NB91" i="6"/>
  <c r="MZ91" i="6"/>
  <c r="MW91" i="6"/>
  <c r="MT91" i="6"/>
  <c r="ML91" i="6"/>
  <c r="MJ91" i="6"/>
  <c r="MG91" i="6"/>
  <c r="MD91" i="6"/>
  <c r="LV91" i="6"/>
  <c r="LT91" i="6"/>
  <c r="LQ91" i="6"/>
  <c r="LN91" i="6"/>
  <c r="LF91" i="6"/>
  <c r="LD91" i="6"/>
  <c r="X107" i="5" l="1"/>
  <c r="X106" i="5"/>
  <c r="X105" i="5"/>
  <c r="X104" i="5"/>
  <c r="X103" i="5"/>
  <c r="X102" i="5"/>
  <c r="X152" i="6" l="1"/>
  <c r="X151" i="6"/>
  <c r="X150" i="6"/>
  <c r="X149" i="6"/>
  <c r="X148" i="6"/>
  <c r="X14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Worachai K.</author>
  </authors>
  <commentList>
    <comment ref="G2" authorId="0" shapeId="0" xr:uid="{88721175-A4C3-4AB9-AC7E-E5EA383D629D}">
      <text>
        <r>
          <rPr>
            <b/>
            <sz val="12"/>
            <color indexed="81"/>
            <rFont val="TH SarabunPSK"/>
            <family val="2"/>
          </rPr>
          <t>Worachai K.:</t>
        </r>
        <r>
          <rPr>
            <sz val="12"/>
            <color indexed="81"/>
            <rFont val="TH SarabunPSK"/>
            <family val="2"/>
          </rPr>
          <t xml:space="preserve">
เลือกตามรายการ
พิมพ์ไม่ได้</t>
        </r>
      </text>
    </comment>
    <comment ref="H2" authorId="0" shapeId="0" xr:uid="{50E4BB05-3329-42BD-A34F-7CED691F9490}">
      <text>
        <r>
          <rPr>
            <b/>
            <sz val="12"/>
            <color indexed="81"/>
            <rFont val="TH SarabunPSK"/>
            <family val="2"/>
          </rPr>
          <t>Worachai K.:</t>
        </r>
        <r>
          <rPr>
            <sz val="12"/>
            <color indexed="81"/>
            <rFont val="TH SarabunPSK"/>
            <family val="2"/>
          </rPr>
          <t xml:space="preserve">
ข้อมูลแสดงเอง
เขียนสูตรไว้</t>
        </r>
      </text>
    </comment>
    <comment ref="K2" authorId="0" shapeId="0" xr:uid="{AF98E589-B328-4A7B-B1FE-12C7B2EA8231}">
      <text>
        <r>
          <rPr>
            <b/>
            <sz val="12"/>
            <color indexed="81"/>
            <rFont val="TH SarabunPSK"/>
            <family val="2"/>
          </rPr>
          <t>Worachai K.:</t>
        </r>
        <r>
          <rPr>
            <sz val="12"/>
            <color indexed="81"/>
            <rFont val="TH SarabunPSK"/>
            <family val="2"/>
          </rPr>
          <t xml:space="preserve">
ข้อมูลแสดงเอง
เขียนสูตรไว้</t>
        </r>
      </text>
    </comment>
    <comment ref="M2" authorId="0" shapeId="0" xr:uid="{DB3CC8B0-9E35-480B-942C-5FCA394EED43}">
      <text>
        <r>
          <rPr>
            <b/>
            <sz val="12"/>
            <color indexed="81"/>
            <rFont val="TH SarabunPSK"/>
            <family val="2"/>
          </rPr>
          <t>Worachai K.:</t>
        </r>
        <r>
          <rPr>
            <sz val="12"/>
            <color indexed="81"/>
            <rFont val="TH SarabunPSK"/>
            <family val="2"/>
          </rPr>
          <t xml:space="preserve">
เลือกตามรายการ
พิมพ์ไม่ได้</t>
        </r>
      </text>
    </comment>
    <comment ref="N2" authorId="0" shapeId="0" xr:uid="{90453DA2-0FD4-4927-AE53-BFF5F278C836}">
      <text>
        <r>
          <rPr>
            <b/>
            <sz val="12"/>
            <color indexed="81"/>
            <rFont val="TH SarabunPSK"/>
            <family val="2"/>
          </rPr>
          <t>Worachai K.:</t>
        </r>
        <r>
          <rPr>
            <sz val="12"/>
            <color indexed="81"/>
            <rFont val="TH SarabunPSK"/>
            <family val="2"/>
          </rPr>
          <t xml:space="preserve">
ข้อมูลแสดงเอง
เขียนสูตรไว้</t>
        </r>
      </text>
    </comment>
    <comment ref="P2" authorId="0" shapeId="0" xr:uid="{9F22EAE5-8CC0-4DF4-8CBC-9BFA9CE2BEB5}">
      <text>
        <r>
          <rPr>
            <b/>
            <sz val="12"/>
            <color indexed="81"/>
            <rFont val="TH SarabunPSK"/>
            <family val="2"/>
          </rPr>
          <t>Worachai K.:</t>
        </r>
        <r>
          <rPr>
            <sz val="12"/>
            <color indexed="81"/>
            <rFont val="TH SarabunPSK"/>
            <family val="2"/>
          </rPr>
          <t xml:space="preserve">
ข้อมูลแสดงเอง
เขียนสูตรไว้</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Worachai K.</author>
  </authors>
  <commentList>
    <comment ref="G2" authorId="0" shapeId="0" xr:uid="{8CF7178D-E098-47E6-A2D0-CAB35894F3A3}">
      <text>
        <r>
          <rPr>
            <b/>
            <sz val="12"/>
            <color indexed="81"/>
            <rFont val="TH SarabunPSK"/>
            <family val="2"/>
          </rPr>
          <t>Worachai K.:</t>
        </r>
        <r>
          <rPr>
            <sz val="12"/>
            <color indexed="81"/>
            <rFont val="TH SarabunPSK"/>
            <family val="2"/>
          </rPr>
          <t xml:space="preserve">
เลือกตามรายการ
พิมพ์ไม่ได้</t>
        </r>
      </text>
    </comment>
    <comment ref="H2" authorId="0" shapeId="0" xr:uid="{14A490EA-0D88-4C29-A303-101F6EEB2273}">
      <text>
        <r>
          <rPr>
            <b/>
            <sz val="12"/>
            <color indexed="81"/>
            <rFont val="TH SarabunPSK"/>
            <family val="2"/>
          </rPr>
          <t>Worachai K.:</t>
        </r>
        <r>
          <rPr>
            <sz val="12"/>
            <color indexed="81"/>
            <rFont val="TH SarabunPSK"/>
            <family val="2"/>
          </rPr>
          <t xml:space="preserve">
ข้อมูลแสดงเอง
เขียนสูตรไว้</t>
        </r>
      </text>
    </comment>
    <comment ref="K2" authorId="0" shapeId="0" xr:uid="{6DC6FDA4-8845-4CBF-86A0-85A5AF7D4FF1}">
      <text>
        <r>
          <rPr>
            <b/>
            <sz val="12"/>
            <color indexed="81"/>
            <rFont val="TH SarabunPSK"/>
            <family val="2"/>
          </rPr>
          <t>Worachai K.:</t>
        </r>
        <r>
          <rPr>
            <sz val="12"/>
            <color indexed="81"/>
            <rFont val="TH SarabunPSK"/>
            <family val="2"/>
          </rPr>
          <t xml:space="preserve">
ข้อมูลแสดงเอง
เขียนสูตรไว้</t>
        </r>
      </text>
    </comment>
    <comment ref="M2" authorId="0" shapeId="0" xr:uid="{410976AC-E35D-4CAE-BB9F-30618669759F}">
      <text>
        <r>
          <rPr>
            <b/>
            <sz val="12"/>
            <color indexed="81"/>
            <rFont val="TH SarabunPSK"/>
            <family val="2"/>
          </rPr>
          <t>Worachai K.:</t>
        </r>
        <r>
          <rPr>
            <sz val="12"/>
            <color indexed="81"/>
            <rFont val="TH SarabunPSK"/>
            <family val="2"/>
          </rPr>
          <t xml:space="preserve">
เลือกตามรายการ
พิมพ์ไม่ได้</t>
        </r>
      </text>
    </comment>
    <comment ref="N2" authorId="0" shapeId="0" xr:uid="{142E9DCD-F08B-49BE-9A5A-442397519218}">
      <text>
        <r>
          <rPr>
            <b/>
            <sz val="12"/>
            <color indexed="81"/>
            <rFont val="TH SarabunPSK"/>
            <family val="2"/>
          </rPr>
          <t>Worachai K.:</t>
        </r>
        <r>
          <rPr>
            <sz val="12"/>
            <color indexed="81"/>
            <rFont val="TH SarabunPSK"/>
            <family val="2"/>
          </rPr>
          <t xml:space="preserve">
ข้อมูลแสดงเอง
เขียนสูตรไว้</t>
        </r>
      </text>
    </comment>
    <comment ref="P2" authorId="0" shapeId="0" xr:uid="{799EC07B-DB6E-4731-B5C5-CE291B1CA63A}">
      <text>
        <r>
          <rPr>
            <b/>
            <sz val="12"/>
            <color indexed="81"/>
            <rFont val="TH SarabunPSK"/>
            <family val="2"/>
          </rPr>
          <t>Worachai K.:</t>
        </r>
        <r>
          <rPr>
            <sz val="12"/>
            <color indexed="81"/>
            <rFont val="TH SarabunPSK"/>
            <family val="2"/>
          </rPr>
          <t xml:space="preserve">
ข้อมูลแสดงเอง
เขียนสูตรไว้</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Worachai K.</author>
  </authors>
  <commentList>
    <comment ref="G2" authorId="0" shapeId="0" xr:uid="{C17497E2-DB2C-431D-BBC7-C3D6E3C55CAB}">
      <text>
        <r>
          <rPr>
            <b/>
            <sz val="12"/>
            <color indexed="81"/>
            <rFont val="TH SarabunPSK"/>
            <family val="2"/>
          </rPr>
          <t>Worachai K.:</t>
        </r>
        <r>
          <rPr>
            <sz val="12"/>
            <color indexed="81"/>
            <rFont val="TH SarabunPSK"/>
            <family val="2"/>
          </rPr>
          <t xml:space="preserve">
เลือกตามรายการ
พิมพ์ไม่ได้</t>
        </r>
      </text>
    </comment>
    <comment ref="H2" authorId="0" shapeId="0" xr:uid="{E5AED79A-CA4D-4CA1-BED1-13FB8254DE03}">
      <text>
        <r>
          <rPr>
            <b/>
            <sz val="12"/>
            <color indexed="81"/>
            <rFont val="TH SarabunPSK"/>
            <family val="2"/>
          </rPr>
          <t>Worachai K.:</t>
        </r>
        <r>
          <rPr>
            <sz val="12"/>
            <color indexed="81"/>
            <rFont val="TH SarabunPSK"/>
            <family val="2"/>
          </rPr>
          <t xml:space="preserve">
ข้อมูลแสดงเอง
เขียนสูตรไว้</t>
        </r>
      </text>
    </comment>
    <comment ref="K2" authorId="0" shapeId="0" xr:uid="{6EAAADCF-8194-4500-AA34-909DA38B75C8}">
      <text>
        <r>
          <rPr>
            <b/>
            <sz val="12"/>
            <color indexed="81"/>
            <rFont val="TH SarabunPSK"/>
            <family val="2"/>
          </rPr>
          <t>Worachai K.:</t>
        </r>
        <r>
          <rPr>
            <sz val="12"/>
            <color indexed="81"/>
            <rFont val="TH SarabunPSK"/>
            <family val="2"/>
          </rPr>
          <t xml:space="preserve">
ข้อมูลแสดงเอง
เขียนสูตรไว้</t>
        </r>
      </text>
    </comment>
    <comment ref="M2" authorId="0" shapeId="0" xr:uid="{AD9E6ABC-B0C7-41E5-B3BF-F6102B2A41C6}">
      <text>
        <r>
          <rPr>
            <b/>
            <sz val="12"/>
            <color indexed="81"/>
            <rFont val="TH SarabunPSK"/>
            <family val="2"/>
          </rPr>
          <t>Worachai K.:</t>
        </r>
        <r>
          <rPr>
            <sz val="12"/>
            <color indexed="81"/>
            <rFont val="TH SarabunPSK"/>
            <family val="2"/>
          </rPr>
          <t xml:space="preserve">
เลือกตามรายการ
พิมพ์ไม่ได้</t>
        </r>
      </text>
    </comment>
    <comment ref="N2" authorId="0" shapeId="0" xr:uid="{16DF5665-3034-4999-9AD2-368790CE9552}">
      <text>
        <r>
          <rPr>
            <b/>
            <sz val="12"/>
            <color indexed="81"/>
            <rFont val="TH SarabunPSK"/>
            <family val="2"/>
          </rPr>
          <t>Worachai K.:</t>
        </r>
        <r>
          <rPr>
            <sz val="12"/>
            <color indexed="81"/>
            <rFont val="TH SarabunPSK"/>
            <family val="2"/>
          </rPr>
          <t xml:space="preserve">
ข้อมูลแสดงเอง
เขียนสูตรไว้</t>
        </r>
      </text>
    </comment>
    <comment ref="P2" authorId="0" shapeId="0" xr:uid="{F3BC40FA-849F-440C-9797-CBD515AD35BF}">
      <text>
        <r>
          <rPr>
            <b/>
            <sz val="12"/>
            <color indexed="81"/>
            <rFont val="TH SarabunPSK"/>
            <family val="2"/>
          </rPr>
          <t>Worachai K.:</t>
        </r>
        <r>
          <rPr>
            <sz val="12"/>
            <color indexed="81"/>
            <rFont val="TH SarabunPSK"/>
            <family val="2"/>
          </rPr>
          <t xml:space="preserve">
ข้อมูลแสดงเอง
เขียนสูตรไว้</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Worachai K.</author>
  </authors>
  <commentList>
    <comment ref="G2" authorId="0" shapeId="0" xr:uid="{274578E1-E669-40F0-B49B-5E67F1984293}">
      <text>
        <r>
          <rPr>
            <b/>
            <sz val="12"/>
            <color indexed="81"/>
            <rFont val="TH SarabunPSK"/>
            <family val="2"/>
          </rPr>
          <t>Worachai K.:</t>
        </r>
        <r>
          <rPr>
            <sz val="12"/>
            <color indexed="81"/>
            <rFont val="TH SarabunPSK"/>
            <family val="2"/>
          </rPr>
          <t xml:space="preserve">
เลือกตามรายการ
พิมพ์ไม่ได้</t>
        </r>
      </text>
    </comment>
    <comment ref="H2" authorId="0" shapeId="0" xr:uid="{4629894F-5565-415B-946F-D7A4FB2FC38C}">
      <text>
        <r>
          <rPr>
            <b/>
            <sz val="12"/>
            <color indexed="81"/>
            <rFont val="TH SarabunPSK"/>
            <family val="2"/>
          </rPr>
          <t>Worachai K.:</t>
        </r>
        <r>
          <rPr>
            <sz val="12"/>
            <color indexed="81"/>
            <rFont val="TH SarabunPSK"/>
            <family val="2"/>
          </rPr>
          <t xml:space="preserve">
ข้อมูลแสดงเอง
เขียนสูตรไว้</t>
        </r>
      </text>
    </comment>
    <comment ref="K2" authorId="0" shapeId="0" xr:uid="{840D9810-A157-4F50-9906-D0AB1C643DED}">
      <text>
        <r>
          <rPr>
            <b/>
            <sz val="12"/>
            <color indexed="81"/>
            <rFont val="TH SarabunPSK"/>
            <family val="2"/>
          </rPr>
          <t>Worachai K.:</t>
        </r>
        <r>
          <rPr>
            <sz val="12"/>
            <color indexed="81"/>
            <rFont val="TH SarabunPSK"/>
            <family val="2"/>
          </rPr>
          <t xml:space="preserve">
ข้อมูลแสดงเอง
เขียนสูตรไว้</t>
        </r>
      </text>
    </comment>
    <comment ref="M2" authorId="0" shapeId="0" xr:uid="{987F2501-1DDD-4410-8B7E-D3C592F03D7A}">
      <text>
        <r>
          <rPr>
            <b/>
            <sz val="12"/>
            <color indexed="81"/>
            <rFont val="TH SarabunPSK"/>
            <family val="2"/>
          </rPr>
          <t>Worachai K.:</t>
        </r>
        <r>
          <rPr>
            <sz val="12"/>
            <color indexed="81"/>
            <rFont val="TH SarabunPSK"/>
            <family val="2"/>
          </rPr>
          <t xml:space="preserve">
เลือกตามรายการ
พิมพ์ไม่ได้</t>
        </r>
      </text>
    </comment>
    <comment ref="N2" authorId="0" shapeId="0" xr:uid="{490B8111-D681-4E9E-9BBB-5C4CC32BEACA}">
      <text>
        <r>
          <rPr>
            <b/>
            <sz val="12"/>
            <color indexed="81"/>
            <rFont val="TH SarabunPSK"/>
            <family val="2"/>
          </rPr>
          <t>Worachai K.:</t>
        </r>
        <r>
          <rPr>
            <sz val="12"/>
            <color indexed="81"/>
            <rFont val="TH SarabunPSK"/>
            <family val="2"/>
          </rPr>
          <t xml:space="preserve">
ข้อมูลแสดงเอง
เขียนสูตรไว้</t>
        </r>
      </text>
    </comment>
    <comment ref="P2" authorId="0" shapeId="0" xr:uid="{FE95C8B2-1330-4433-AB6E-10C8A4879294}">
      <text>
        <r>
          <rPr>
            <b/>
            <sz val="12"/>
            <color indexed="81"/>
            <rFont val="TH SarabunPSK"/>
            <family val="2"/>
          </rPr>
          <t>Worachai K.:</t>
        </r>
        <r>
          <rPr>
            <sz val="12"/>
            <color indexed="81"/>
            <rFont val="TH SarabunPSK"/>
            <family val="2"/>
          </rPr>
          <t xml:space="preserve">
ข้อมูลแสดงเอง
เขียนสูตรไว้</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Worachai K.</author>
  </authors>
  <commentList>
    <comment ref="G2" authorId="0" shapeId="0" xr:uid="{DD7429BE-DB83-45A0-868B-208B60357E3F}">
      <text>
        <r>
          <rPr>
            <b/>
            <sz val="12"/>
            <color indexed="81"/>
            <rFont val="TH SarabunPSK"/>
            <family val="2"/>
          </rPr>
          <t>Worachai K.:</t>
        </r>
        <r>
          <rPr>
            <sz val="12"/>
            <color indexed="81"/>
            <rFont val="TH SarabunPSK"/>
            <family val="2"/>
          </rPr>
          <t xml:space="preserve">
เลือกตามรายการ
พิมพ์ไม่ได้</t>
        </r>
      </text>
    </comment>
    <comment ref="H2" authorId="0" shapeId="0" xr:uid="{67EC5716-ACA0-4F3A-B140-F0A286263F3A}">
      <text>
        <r>
          <rPr>
            <b/>
            <sz val="12"/>
            <color indexed="81"/>
            <rFont val="TH SarabunPSK"/>
            <family val="2"/>
          </rPr>
          <t>Worachai K.:</t>
        </r>
        <r>
          <rPr>
            <sz val="12"/>
            <color indexed="81"/>
            <rFont val="TH SarabunPSK"/>
            <family val="2"/>
          </rPr>
          <t xml:space="preserve">
ข้อมูลแสดงเอง
เขียนสูตรไว้</t>
        </r>
      </text>
    </comment>
    <comment ref="K2" authorId="0" shapeId="0" xr:uid="{5606CDB2-CCE2-4900-96C5-16E48F48209C}">
      <text>
        <r>
          <rPr>
            <b/>
            <sz val="12"/>
            <color indexed="81"/>
            <rFont val="TH SarabunPSK"/>
            <family val="2"/>
          </rPr>
          <t>Worachai K.:</t>
        </r>
        <r>
          <rPr>
            <sz val="12"/>
            <color indexed="81"/>
            <rFont val="TH SarabunPSK"/>
            <family val="2"/>
          </rPr>
          <t xml:space="preserve">
ข้อมูลแสดงเอง
เขียนสูตรไว้</t>
        </r>
      </text>
    </comment>
    <comment ref="M2" authorId="0" shapeId="0" xr:uid="{B7FF7331-06EC-413B-97D3-A081CB7E8D7E}">
      <text>
        <r>
          <rPr>
            <b/>
            <sz val="12"/>
            <color indexed="81"/>
            <rFont val="TH SarabunPSK"/>
            <family val="2"/>
          </rPr>
          <t>Worachai K.:</t>
        </r>
        <r>
          <rPr>
            <sz val="12"/>
            <color indexed="81"/>
            <rFont val="TH SarabunPSK"/>
            <family val="2"/>
          </rPr>
          <t xml:space="preserve">
เลือกตามรายการ
พิมพ์ไม่ได้</t>
        </r>
      </text>
    </comment>
    <comment ref="N2" authorId="0" shapeId="0" xr:uid="{A0EDD243-A2EB-4964-A86D-BB7DF3DC74C6}">
      <text>
        <r>
          <rPr>
            <b/>
            <sz val="12"/>
            <color indexed="81"/>
            <rFont val="TH SarabunPSK"/>
            <family val="2"/>
          </rPr>
          <t>Worachai K.:</t>
        </r>
        <r>
          <rPr>
            <sz val="12"/>
            <color indexed="81"/>
            <rFont val="TH SarabunPSK"/>
            <family val="2"/>
          </rPr>
          <t xml:space="preserve">
ข้อมูลแสดงเอง
เขียนสูตรไว้</t>
        </r>
      </text>
    </comment>
    <comment ref="P2" authorId="0" shapeId="0" xr:uid="{C25A2650-FF9B-469B-9222-FB5B0D3BD6DF}">
      <text>
        <r>
          <rPr>
            <b/>
            <sz val="12"/>
            <color indexed="81"/>
            <rFont val="TH SarabunPSK"/>
            <family val="2"/>
          </rPr>
          <t>Worachai K.:</t>
        </r>
        <r>
          <rPr>
            <sz val="12"/>
            <color indexed="81"/>
            <rFont val="TH SarabunPSK"/>
            <family val="2"/>
          </rPr>
          <t xml:space="preserve">
ข้อมูลแสดงเอง
เขียนสูตรไว้</t>
        </r>
      </text>
    </comment>
  </commentList>
</comments>
</file>

<file path=xl/sharedStrings.xml><?xml version="1.0" encoding="utf-8"?>
<sst xmlns="http://schemas.openxmlformats.org/spreadsheetml/2006/main" count="5248" uniqueCount="64">
  <si>
    <t>No.</t>
  </si>
  <si>
    <t>Job No.</t>
  </si>
  <si>
    <t>SAP No.</t>
  </si>
  <si>
    <t>เวลาที่
รับแจ้ง</t>
  </si>
  <si>
    <t>ตำแหน่ง / สถานที่</t>
  </si>
  <si>
    <t>รายละเอียดงานแจ้ง</t>
  </si>
  <si>
    <t>ระยะเวลาในการ ตอบรับการบริการ</t>
  </si>
  <si>
    <t>รายละเอียดการดำเนินงาน</t>
  </si>
  <si>
    <t>ระยะเวลาในการ ดำเนินการแก้ไข</t>
  </si>
  <si>
    <t>หมายเหตุ</t>
  </si>
  <si>
    <t>KPI No.</t>
  </si>
  <si>
    <t>เวลามาตรฐาน</t>
  </si>
  <si>
    <t>เวลาอนุมัติการซ่อม</t>
  </si>
  <si>
    <t>เวลาถึงหน้างาน</t>
  </si>
  <si>
    <t>ผล KPI 1</t>
  </si>
  <si>
    <t>เสร็จงาน/หยุดงาน</t>
  </si>
  <si>
    <t>ผล KPI2</t>
  </si>
  <si>
    <t>ผล KPI3</t>
  </si>
  <si>
    <t>P</t>
  </si>
  <si>
    <t>O</t>
  </si>
  <si>
    <t>KPI1</t>
  </si>
  <si>
    <t>KPI2</t>
  </si>
  <si>
    <t>KPI3</t>
  </si>
  <si>
    <t>A</t>
  </si>
  <si>
    <t>เปิดไฟส่องสว่าง</t>
  </si>
  <si>
    <t>4.2</t>
  </si>
  <si>
    <t>-</t>
  </si>
  <si>
    <t>Sat-1 ชั้น2 / Gate S109</t>
  </si>
  <si>
    <t>ทำการเปิดไฟผ่านระบบ LCS ไฟติดปกติคับ</t>
  </si>
  <si>
    <t>มีเอกสาร</t>
  </si>
  <si>
    <t>การจัดทำรายงานและส่งเอกสารประจำวันตามกำหนด</t>
  </si>
  <si>
    <t>การจัดทำรายงานและส่งเอกสารประจำเดือนตามกำหนด</t>
  </si>
  <si>
    <t>การจัดทำรายงายและส่งรายงานตามผู้ว่าจ้างสั่งการ</t>
  </si>
  <si>
    <t>ระบบการจ่ายไฟฟ้าแรงดันต่ำ (Low Voltage System : LV.)</t>
  </si>
  <si>
    <t>งานไฟฟ้าอาคารผู้โดยสาร อาคารเทียบเครื่องบิน และกลุ่มอาคารทั่วไป ท่าอากาศยานสุวรรณภูมิ</t>
  </si>
  <si>
    <t>รายงานประจำวัน การปฏิบัติงานซ่อมแซมแก้ไข (Corrective Maintenance)</t>
  </si>
  <si>
    <t>ประจำเดือน</t>
  </si>
  <si>
    <t>ตั้งแต่เวลา 07:00 - 24:00 น. ถึง 00:00 - 07:00 น.</t>
  </si>
  <si>
    <t>รายละเอียดสรุปข้อมูล
การปฏิบัติงานซ่อมแซมแก้ไข (Corrective Maintenance : CM)</t>
  </si>
  <si>
    <t>ปริมาณของงาน การปฏิบัติงานซ่อมแซมแก้ไข (Corrective Maintenance : CM) ประจำวันที่ผ่านมา</t>
  </si>
  <si>
    <t>ปริมาณงานทั้งหมด</t>
  </si>
  <si>
    <t>งาน</t>
  </si>
  <si>
    <t>ดำเนินการแก้ไขเสร็จแล้ว</t>
  </si>
  <si>
    <t>ดำเนินการแก้ไขยังไม่แล้วเสร็จ</t>
  </si>
  <si>
    <t>พื้นที่ งานระบบไฟฟ้าสำหรับอาคารผู้โดยสาร และอาคารเทียบเครื่องบิน</t>
  </si>
  <si>
    <t>พื้นที่ งานระบบไฟฟ้าสำหรับอาคารทั่วไป</t>
  </si>
  <si>
    <t>พื้นที่ งานระบบไฟฟ้าสำหรับเขตปลอดอากร และคลังสินค้า  (Free Zone)</t>
  </si>
  <si>
    <t>พื้นที่ งานระบบไฟฟ้าสำหรับอาคารเทียบเครื่องบินรองหลังที่ 1 (SAT-1)</t>
  </si>
  <si>
    <t xml:space="preserve"> </t>
  </si>
  <si>
    <t>การจัดทำรายงงานและส่งรายงานการประชุมตามกำหนด</t>
  </si>
  <si>
    <t>รายงานวิเคราะห์หาสาเหตุปัญหา</t>
  </si>
  <si>
    <t>สรุปผลการปฏิบัติงานซ่อมแซมแก้ไข (Corrective Maintenance : CM) ตามค่าดัชนีชี้วัดในการบำรุงรักษา (KPI)</t>
  </si>
  <si>
    <t>สรุปส่วนที่ 1 ระยะเวลาในตอบรับบริการ</t>
  </si>
  <si>
    <t>สรุปส่วนที่ 2 ระยะเวลาในการดำเนินการ</t>
  </si>
  <si>
    <t>สรุป SLA</t>
  </si>
  <si>
    <t>อยู่ในมาตรฐานกำหนด</t>
  </si>
  <si>
    <t>%</t>
  </si>
  <si>
    <t>เกินมาตรฐานกำหนด</t>
  </si>
  <si>
    <t>วิศวกร / ผู้ควบคุมโครงการ</t>
  </si>
  <si>
    <t>เจ้าหน้าที่ควบคุมงาน</t>
  </si>
  <si>
    <t>ลงชื่อ</t>
  </si>
  <si>
    <t>(</t>
  </si>
  <si>
    <t>)</t>
  </si>
  <si>
    <r>
      <rPr>
        <u/>
        <sz val="14"/>
        <color theme="1"/>
        <rFont val="TH Sarabun New"/>
        <family val="2"/>
      </rPr>
      <t>หมายเหตุ</t>
    </r>
    <r>
      <rPr>
        <sz val="14"/>
        <color theme="1"/>
        <rFont val="TH Sarabun New"/>
        <family val="2"/>
      </rPr>
      <t xml:space="preserve"> งานที่ดำเนินการแก้ไขยังไม่แล้วเสร็จ มีการดำเนินการติดตาม และกำลังดำเนินการแก้ไขต่อให้แล้วเสร็จ</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</si>
</sst>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107041E]d\ mmmm\ yyyy;@"/>
    <numFmt numFmtId="165" formatCode="[h]:mm"/>
    <numFmt numFmtId="166" formatCode="0.0%"/>
    <numFmt numFmtId="167" formatCode="[$-107041E]mmmm\ yyyy;@"/>
  </numFmts>
  <fonts count="18" x14ac:knownFonts="1">
    <font>
      <sz val="11"/>
      <color theme="1"/>
      <name val="Calibri"/>
      <family val="2"/>
      <scheme val="minor"/>
    </font>
    <font>
      <b/>
      <sz val="12"/>
      <color indexed="81"/>
      <name val="TH SarabunPSK"/>
      <family val="2"/>
    </font>
    <font>
      <sz val="12"/>
      <color indexed="81"/>
      <name val="TH SarabunPSK"/>
      <family val="2"/>
    </font>
    <font>
      <sz val="11"/>
      <color theme="1"/>
      <name val="Calibri"/>
      <family val="2"/>
      <scheme val="minor"/>
    </font>
    <font>
      <sz val="8"/>
      <name val="Calibri"/>
      <family val="2"/>
      <scheme val="minor"/>
    </font>
    <font>
      <sz val="14"/>
      <color theme="1"/>
      <name val="TH SarabunPSK"/>
      <family val="2"/>
      <charset val="222"/>
    </font>
    <font>
      <b/>
      <sz val="22"/>
      <color theme="1"/>
      <name val="TH Sarabun New"/>
      <family val="2"/>
    </font>
    <font>
      <b/>
      <sz val="18"/>
      <color theme="1"/>
      <name val="TH Sarabun New"/>
      <family val="2"/>
    </font>
    <font>
      <b/>
      <sz val="20"/>
      <color theme="1"/>
      <name val="TH Sarabun New"/>
      <family val="2"/>
    </font>
    <font>
      <sz val="11"/>
      <color theme="1"/>
      <name val="TH Sarabun New"/>
      <family val="2"/>
    </font>
    <font>
      <sz val="22"/>
      <color theme="1"/>
      <name val="TH Sarabun New"/>
      <family val="2"/>
    </font>
    <font>
      <sz val="20"/>
      <color theme="1"/>
      <name val="TH Sarabun New"/>
      <family val="2"/>
    </font>
    <font>
      <sz val="18"/>
      <color theme="1"/>
      <name val="TH Sarabun New"/>
      <family val="2"/>
    </font>
    <font>
      <sz val="14"/>
      <color theme="1"/>
      <name val="TH Sarabun New"/>
      <family val="2"/>
    </font>
    <font>
      <b/>
      <sz val="11"/>
      <color theme="1"/>
      <name val="TH Sarabun New"/>
      <family val="2"/>
    </font>
    <font>
      <sz val="16"/>
      <color theme="1"/>
      <name val="TH Sarabun New"/>
      <family val="2"/>
    </font>
    <font>
      <b/>
      <sz val="16"/>
      <color theme="1"/>
      <name val="TH Sarabun New"/>
      <family val="2"/>
    </font>
    <font>
      <u/>
      <sz val="14"/>
      <color theme="1"/>
      <name val="TH Sarabun New"/>
      <family val="2"/>
    </font>
  </fonts>
  <fills count="11">
    <fill>
      <patternFill patternType="none"/>
    </fill>
    <fill>
      <patternFill patternType="gray125"/>
    </fill>
    <fill>
      <patternFill patternType="solid">
        <fgColor theme="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rgb="FFCCFFFF"/>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top/>
      <bottom style="hair">
        <color indexed="64"/>
      </bottom>
      <diagonal/>
    </border>
    <border>
      <left style="thin">
        <color indexed="64"/>
      </left>
      <right/>
      <top/>
      <bottom style="thin">
        <color indexed="64"/>
      </bottom>
      <diagonal/>
    </border>
    <border>
      <left/>
      <right/>
      <top/>
      <bottom style="thin">
        <color auto="1"/>
      </bottom>
      <diagonal/>
    </border>
    <border>
      <left/>
      <right style="thin">
        <color indexed="64"/>
      </right>
      <top/>
      <bottom style="thin">
        <color indexed="64"/>
      </bottom>
      <diagonal/>
    </border>
    <border>
      <left/>
      <right/>
      <top style="hair">
        <color theme="0"/>
      </top>
      <bottom/>
      <diagonal/>
    </border>
  </borders>
  <cellStyleXfs count="3">
    <xf numFmtId="0" fontId="0" fillId="0" borderId="0"/>
    <xf numFmtId="9" fontId="3" fillId="0" borderId="0" applyFont="0" applyFill="0" applyBorder="0" applyAlignment="0" applyProtection="0"/>
    <xf numFmtId="0" fontId="5" fillId="0" borderId="0"/>
  </cellStyleXfs>
  <cellXfs count="178">
    <xf numFmtId="0" fontId="0" fillId="0" borderId="0" xfId="0"/>
    <xf numFmtId="0" fontId="9" fillId="0" borderId="0" xfId="0" applyFont="1"/>
    <xf numFmtId="0" fontId="6" fillId="6"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10" fillId="0" borderId="1" xfId="0" applyFont="1" applyBorder="1" applyAlignment="1">
      <alignment horizontal="center" vertical="top"/>
    </xf>
    <xf numFmtId="20" fontId="10" fillId="0" borderId="1" xfId="0" applyNumberFormat="1" applyFont="1" applyBorder="1" applyAlignment="1">
      <alignment horizontal="center" vertical="top"/>
    </xf>
    <xf numFmtId="164" fontId="10" fillId="0" borderId="1" xfId="0" applyNumberFormat="1" applyFont="1" applyBorder="1" applyAlignment="1">
      <alignment horizontal="center" vertical="top" wrapText="1"/>
    </xf>
    <xf numFmtId="0" fontId="11" fillId="0" borderId="1" xfId="0" applyFont="1" applyBorder="1" applyAlignment="1">
      <alignment horizontal="center" vertical="top"/>
    </xf>
    <xf numFmtId="164" fontId="11" fillId="0" borderId="1" xfId="0" applyNumberFormat="1" applyFont="1" applyBorder="1" applyAlignment="1">
      <alignment horizontal="center" vertical="top" wrapText="1"/>
    </xf>
    <xf numFmtId="165" fontId="11" fillId="0" borderId="1" xfId="0" applyNumberFormat="1" applyFont="1" applyBorder="1" applyAlignment="1">
      <alignment horizontal="center" vertical="top"/>
    </xf>
    <xf numFmtId="20" fontId="11" fillId="0" borderId="1" xfId="0" applyNumberFormat="1" applyFont="1" applyBorder="1" applyAlignment="1">
      <alignment horizontal="center" vertical="top"/>
    </xf>
    <xf numFmtId="0" fontId="11" fillId="0" borderId="1" xfId="0" applyFont="1" applyBorder="1" applyAlignment="1">
      <alignment horizontal="center" vertical="top" wrapText="1"/>
    </xf>
    <xf numFmtId="164" fontId="11" fillId="0" borderId="2" xfId="0" applyNumberFormat="1" applyFont="1" applyBorder="1" applyAlignment="1">
      <alignment horizontal="center" vertical="top" wrapText="1"/>
    </xf>
    <xf numFmtId="164" fontId="11" fillId="0" borderId="3" xfId="0" applyNumberFormat="1" applyFont="1" applyBorder="1" applyAlignment="1">
      <alignment horizontal="center" vertical="top" wrapText="1"/>
    </xf>
    <xf numFmtId="0" fontId="12" fillId="0" borderId="0" xfId="0" applyFont="1" applyAlignment="1">
      <alignment horizontal="center" vertical="center"/>
    </xf>
    <xf numFmtId="0" fontId="13" fillId="0" borderId="0" xfId="0" applyFont="1" applyAlignment="1">
      <alignment horizontal="center" vertical="center"/>
    </xf>
    <xf numFmtId="0" fontId="9" fillId="0" borderId="0" xfId="0" applyFont="1" applyAlignment="1">
      <alignment horizontal="center" vertical="center"/>
    </xf>
    <xf numFmtId="164" fontId="11" fillId="0" borderId="2" xfId="0" applyNumberFormat="1" applyFont="1" applyBorder="1" applyAlignment="1">
      <alignment horizontal="center" vertical="center" wrapText="1"/>
    </xf>
    <xf numFmtId="0" fontId="10" fillId="0" borderId="1" xfId="0" quotePrefix="1" applyFont="1" applyBorder="1" applyAlignment="1">
      <alignment horizontal="center" vertical="top"/>
    </xf>
    <xf numFmtId="0" fontId="10" fillId="0" borderId="12" xfId="0" applyFont="1" applyBorder="1" applyAlignment="1">
      <alignment horizontal="center" vertical="top"/>
    </xf>
    <xf numFmtId="0" fontId="10" fillId="0" borderId="13" xfId="0" applyFont="1" applyBorder="1" applyAlignment="1">
      <alignment horizontal="center" vertical="top"/>
    </xf>
    <xf numFmtId="20" fontId="10" fillId="0" borderId="14" xfId="0" applyNumberFormat="1" applyFont="1" applyBorder="1" applyAlignment="1">
      <alignment horizontal="center" vertical="top"/>
    </xf>
    <xf numFmtId="164" fontId="10" fillId="0" borderId="11" xfId="0" applyNumberFormat="1" applyFont="1" applyBorder="1" applyAlignment="1">
      <alignment horizontal="center" vertical="top" wrapText="1"/>
    </xf>
    <xf numFmtId="20" fontId="10" fillId="0" borderId="13" xfId="0" applyNumberFormat="1" applyFont="1" applyBorder="1" applyAlignment="1">
      <alignment horizontal="center" vertical="top"/>
    </xf>
    <xf numFmtId="0" fontId="11" fillId="0" borderId="14" xfId="0" applyFont="1" applyBorder="1" applyAlignment="1">
      <alignment horizontal="center" vertical="top"/>
    </xf>
    <xf numFmtId="164" fontId="11" fillId="0" borderId="11" xfId="0" applyNumberFormat="1" applyFont="1" applyBorder="1" applyAlignment="1">
      <alignment horizontal="center" vertical="top" wrapText="1"/>
    </xf>
    <xf numFmtId="0" fontId="11" fillId="0" borderId="15" xfId="0" applyFont="1" applyBorder="1" applyAlignment="1">
      <alignment horizontal="center" vertical="top"/>
    </xf>
    <xf numFmtId="165" fontId="11" fillId="0" borderId="13" xfId="0" applyNumberFormat="1" applyFont="1" applyBorder="1" applyAlignment="1">
      <alignment horizontal="center" vertical="top"/>
    </xf>
    <xf numFmtId="20" fontId="11" fillId="0" borderId="13" xfId="0" applyNumberFormat="1" applyFont="1" applyBorder="1" applyAlignment="1">
      <alignment horizontal="center" vertical="top"/>
    </xf>
    <xf numFmtId="0" fontId="10" fillId="0" borderId="4" xfId="2" applyFont="1" applyBorder="1" applyAlignment="1">
      <alignment horizontal="center" vertical="top"/>
    </xf>
    <xf numFmtId="0" fontId="10" fillId="0" borderId="5" xfId="2" applyFont="1" applyBorder="1" applyAlignment="1">
      <alignment horizontal="center" vertical="top"/>
    </xf>
    <xf numFmtId="20" fontId="10" fillId="0" borderId="6" xfId="2" applyNumberFormat="1" applyFont="1" applyBorder="1" applyAlignment="1">
      <alignment horizontal="center" vertical="top"/>
    </xf>
    <xf numFmtId="164" fontId="10" fillId="0" borderId="3" xfId="2" applyNumberFormat="1" applyFont="1" applyBorder="1" applyAlignment="1">
      <alignment horizontal="center" vertical="top" wrapText="1"/>
    </xf>
    <xf numFmtId="0" fontId="10" fillId="0" borderId="10" xfId="2" applyFont="1" applyBorder="1" applyAlignment="1">
      <alignment horizontal="center" vertical="top"/>
    </xf>
    <xf numFmtId="20" fontId="10" fillId="0" borderId="5" xfId="2" applyNumberFormat="1" applyFont="1" applyBorder="1" applyAlignment="1">
      <alignment horizontal="center" vertical="top"/>
    </xf>
    <xf numFmtId="0" fontId="11" fillId="0" borderId="6" xfId="2" applyFont="1" applyBorder="1" applyAlignment="1">
      <alignment horizontal="center" vertical="top"/>
    </xf>
    <xf numFmtId="164" fontId="11" fillId="0" borderId="3" xfId="2" applyNumberFormat="1" applyFont="1" applyBorder="1" applyAlignment="1">
      <alignment horizontal="center" vertical="top" wrapText="1"/>
    </xf>
    <xf numFmtId="0" fontId="11" fillId="0" borderId="7" xfId="2" applyFont="1" applyBorder="1" applyAlignment="1">
      <alignment horizontal="center" vertical="top"/>
    </xf>
    <xf numFmtId="165" fontId="11" fillId="0" borderId="5" xfId="2" applyNumberFormat="1" applyFont="1" applyBorder="1" applyAlignment="1">
      <alignment horizontal="center" vertical="top"/>
    </xf>
    <xf numFmtId="20" fontId="11" fillId="0" borderId="5" xfId="2" applyNumberFormat="1" applyFont="1" applyBorder="1" applyAlignment="1">
      <alignment horizontal="center" vertical="top"/>
    </xf>
    <xf numFmtId="0" fontId="10" fillId="0" borderId="7" xfId="2" applyFont="1" applyBorder="1" applyAlignment="1">
      <alignment horizontal="center" vertical="top"/>
    </xf>
    <xf numFmtId="0" fontId="10" fillId="0" borderId="8" xfId="2" applyFont="1" applyBorder="1" applyAlignment="1">
      <alignment horizontal="center" vertical="top"/>
    </xf>
    <xf numFmtId="20" fontId="10" fillId="0" borderId="9" xfId="2" applyNumberFormat="1" applyFont="1" applyBorder="1" applyAlignment="1">
      <alignment horizontal="center" vertical="top"/>
    </xf>
    <xf numFmtId="164" fontId="10" fillId="0" borderId="2" xfId="2" applyNumberFormat="1" applyFont="1" applyBorder="1" applyAlignment="1">
      <alignment horizontal="center" vertical="top" wrapText="1"/>
    </xf>
    <xf numFmtId="20" fontId="10" fillId="0" borderId="8" xfId="2" applyNumberFormat="1" applyFont="1" applyBorder="1" applyAlignment="1">
      <alignment horizontal="center" vertical="top"/>
    </xf>
    <xf numFmtId="0" fontId="11" fillId="0" borderId="9" xfId="2" applyFont="1" applyBorder="1" applyAlignment="1">
      <alignment horizontal="center" vertical="top"/>
    </xf>
    <xf numFmtId="164" fontId="11" fillId="0" borderId="2" xfId="2" applyNumberFormat="1" applyFont="1" applyBorder="1" applyAlignment="1">
      <alignment horizontal="center" vertical="top" wrapText="1"/>
    </xf>
    <xf numFmtId="165" fontId="11" fillId="0" borderId="8" xfId="2" applyNumberFormat="1" applyFont="1" applyBorder="1" applyAlignment="1">
      <alignment horizontal="center" vertical="top"/>
    </xf>
    <xf numFmtId="20" fontId="11" fillId="0" borderId="8" xfId="2" applyNumberFormat="1" applyFont="1" applyBorder="1" applyAlignment="1">
      <alignment horizontal="center" vertical="top"/>
    </xf>
    <xf numFmtId="0" fontId="11" fillId="0" borderId="4" xfId="2" applyFont="1" applyBorder="1" applyAlignment="1">
      <alignment horizontal="center" vertical="top"/>
    </xf>
    <xf numFmtId="49" fontId="10" fillId="0" borderId="1" xfId="0" applyNumberFormat="1" applyFont="1" applyBorder="1" applyAlignment="1">
      <alignment horizontal="center" vertical="top" wrapText="1"/>
    </xf>
    <xf numFmtId="0" fontId="11" fillId="0" borderId="1" xfId="0" applyFont="1" applyBorder="1" applyAlignment="1">
      <alignment vertical="top"/>
    </xf>
    <xf numFmtId="0" fontId="6" fillId="0" borderId="0" xfId="0" applyFont="1" applyAlignment="1">
      <alignment horizontal="center" vertical="center"/>
    </xf>
    <xf numFmtId="0" fontId="8" fillId="0" borderId="0" xfId="0" applyFont="1" applyAlignment="1">
      <alignment horizontal="center" vertical="center"/>
    </xf>
    <xf numFmtId="166" fontId="8" fillId="0" borderId="0" xfId="1" applyNumberFormat="1" applyFont="1" applyFill="1" applyBorder="1" applyAlignment="1">
      <alignment horizontal="center" vertical="center"/>
    </xf>
    <xf numFmtId="0" fontId="14" fillId="0" borderId="0" xfId="0" applyFont="1" applyAlignment="1">
      <alignment horizontal="center" vertical="center"/>
    </xf>
    <xf numFmtId="0" fontId="10" fillId="0" borderId="0" xfId="0" applyFont="1"/>
    <xf numFmtId="0" fontId="11" fillId="0" borderId="0" xfId="0" applyFont="1"/>
    <xf numFmtId="0" fontId="6" fillId="5" borderId="1" xfId="0" applyFont="1" applyFill="1" applyBorder="1" applyAlignment="1">
      <alignment horizontal="center" vertical="center"/>
    </xf>
    <xf numFmtId="0" fontId="6" fillId="4" borderId="1" xfId="0" applyFont="1" applyFill="1" applyBorder="1" applyAlignment="1">
      <alignment horizontal="center" vertical="center"/>
    </xf>
    <xf numFmtId="0" fontId="8" fillId="0" borderId="1" xfId="0" applyFont="1" applyBorder="1" applyAlignment="1">
      <alignment horizontal="center" vertical="center"/>
    </xf>
    <xf numFmtId="166" fontId="8" fillId="0" borderId="1" xfId="1" applyNumberFormat="1" applyFont="1" applyBorder="1" applyAlignment="1">
      <alignment horizontal="center" vertical="center"/>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12" fillId="0" borderId="1" xfId="0" applyFont="1" applyBorder="1" applyAlignment="1">
      <alignment horizontal="center" vertical="top"/>
    </xf>
    <xf numFmtId="0" fontId="13" fillId="0" borderId="1" xfId="0" applyFont="1" applyBorder="1" applyAlignment="1">
      <alignment horizontal="center" vertical="top"/>
    </xf>
    <xf numFmtId="20" fontId="13" fillId="0" borderId="1" xfId="0" applyNumberFormat="1" applyFont="1" applyBorder="1" applyAlignment="1">
      <alignment horizontal="center" vertical="top"/>
    </xf>
    <xf numFmtId="164" fontId="13" fillId="0" borderId="1" xfId="0" applyNumberFormat="1" applyFont="1" applyBorder="1" applyAlignment="1">
      <alignment horizontal="center" vertical="top" wrapText="1"/>
    </xf>
    <xf numFmtId="165" fontId="13" fillId="0" borderId="1" xfId="0" applyNumberFormat="1" applyFont="1" applyBorder="1" applyAlignment="1">
      <alignment horizontal="center" vertical="top"/>
    </xf>
    <xf numFmtId="164" fontId="12" fillId="0" borderId="1" xfId="0" applyNumberFormat="1" applyFont="1" applyBorder="1" applyAlignment="1">
      <alignment horizontal="center" vertical="top" wrapText="1"/>
    </xf>
    <xf numFmtId="0" fontId="15" fillId="0" borderId="1" xfId="0" applyFont="1" applyBorder="1" applyAlignment="1">
      <alignment horizontal="center" vertical="top"/>
    </xf>
    <xf numFmtId="0" fontId="9" fillId="0" borderId="1" xfId="0" applyFont="1" applyBorder="1" applyAlignment="1">
      <alignment horizontal="center" vertical="top" wrapText="1"/>
    </xf>
    <xf numFmtId="0" fontId="9" fillId="0" borderId="1" xfId="0" applyFont="1" applyBorder="1" applyAlignment="1">
      <alignment horizontal="center" vertical="top"/>
    </xf>
    <xf numFmtId="164" fontId="13" fillId="2" borderId="2" xfId="0" applyNumberFormat="1" applyFont="1" applyFill="1" applyBorder="1" applyAlignment="1">
      <alignment horizontal="center" vertical="center" wrapText="1"/>
    </xf>
    <xf numFmtId="0" fontId="13" fillId="2" borderId="7" xfId="0" applyFont="1" applyFill="1" applyBorder="1" applyAlignment="1">
      <alignment horizontal="center" vertical="center"/>
    </xf>
    <xf numFmtId="20" fontId="13" fillId="2" borderId="8" xfId="0" applyNumberFormat="1" applyFont="1" applyFill="1" applyBorder="1" applyAlignment="1">
      <alignment horizontal="center" vertical="center"/>
    </xf>
    <xf numFmtId="0" fontId="13" fillId="2" borderId="9" xfId="0" applyFont="1" applyFill="1" applyBorder="1" applyAlignment="1">
      <alignment horizontal="center" vertical="center"/>
    </xf>
    <xf numFmtId="165" fontId="13" fillId="2" borderId="8" xfId="0" applyNumberFormat="1" applyFont="1" applyFill="1" applyBorder="1" applyAlignment="1">
      <alignment horizontal="center" vertical="center"/>
    </xf>
    <xf numFmtId="0" fontId="9" fillId="2" borderId="3" xfId="0" applyFont="1" applyFill="1" applyBorder="1" applyAlignment="1">
      <alignment horizontal="center" vertical="center"/>
    </xf>
    <xf numFmtId="0" fontId="13" fillId="2" borderId="8" xfId="0" applyFont="1" applyFill="1" applyBorder="1" applyAlignment="1">
      <alignment horizontal="center" vertical="center"/>
    </xf>
    <xf numFmtId="20" fontId="13" fillId="2" borderId="9" xfId="0" applyNumberFormat="1" applyFont="1" applyFill="1" applyBorder="1" applyAlignment="1">
      <alignment horizontal="center" vertical="center"/>
    </xf>
    <xf numFmtId="0" fontId="16" fillId="2" borderId="12" xfId="2" applyFont="1" applyFill="1" applyBorder="1" applyAlignment="1">
      <alignment vertical="center"/>
    </xf>
    <xf numFmtId="0" fontId="16" fillId="2" borderId="13" xfId="2" applyFont="1" applyFill="1" applyBorder="1" applyAlignment="1">
      <alignment vertical="center"/>
    </xf>
    <xf numFmtId="0" fontId="16" fillId="2" borderId="14" xfId="2" applyFont="1" applyFill="1" applyBorder="1" applyAlignment="1">
      <alignment vertical="center"/>
    </xf>
    <xf numFmtId="0" fontId="16" fillId="2" borderId="0" xfId="2" applyFont="1" applyFill="1" applyAlignment="1">
      <alignment vertical="center"/>
    </xf>
    <xf numFmtId="0" fontId="15" fillId="2" borderId="0" xfId="2" applyFont="1" applyFill="1" applyAlignment="1">
      <alignment vertical="center"/>
    </xf>
    <xf numFmtId="0" fontId="15" fillId="2" borderId="15" xfId="2" applyFont="1" applyFill="1" applyBorder="1" applyAlignment="1">
      <alignment vertical="center"/>
    </xf>
    <xf numFmtId="0" fontId="16" fillId="2" borderId="16" xfId="2" applyFont="1" applyFill="1" applyBorder="1" applyAlignment="1">
      <alignment vertical="center"/>
    </xf>
    <xf numFmtId="0" fontId="16" fillId="2" borderId="0" xfId="2" applyFont="1" applyFill="1" applyAlignment="1">
      <alignment horizontal="center" vertical="center"/>
    </xf>
    <xf numFmtId="0" fontId="15" fillId="2" borderId="16" xfId="2" applyFont="1" applyFill="1" applyBorder="1" applyAlignment="1">
      <alignment vertical="center"/>
    </xf>
    <xf numFmtId="0" fontId="13" fillId="2" borderId="12" xfId="2" applyFont="1" applyFill="1" applyBorder="1" applyAlignment="1">
      <alignment vertical="center"/>
    </xf>
    <xf numFmtId="0" fontId="13" fillId="2" borderId="13" xfId="2" applyFont="1" applyFill="1" applyBorder="1" applyAlignment="1">
      <alignment vertical="center"/>
    </xf>
    <xf numFmtId="0" fontId="13" fillId="2" borderId="13" xfId="2" applyFont="1" applyFill="1" applyBorder="1" applyAlignment="1">
      <alignment horizontal="left" vertical="center"/>
    </xf>
    <xf numFmtId="0" fontId="13" fillId="2" borderId="14" xfId="2" applyFont="1" applyFill="1" applyBorder="1" applyAlignment="1">
      <alignment horizontal="left" vertical="center"/>
    </xf>
    <xf numFmtId="0" fontId="13" fillId="2" borderId="0" xfId="2" applyFont="1" applyFill="1" applyAlignment="1">
      <alignment horizontal="left" vertical="center"/>
    </xf>
    <xf numFmtId="0" fontId="13" fillId="2" borderId="15" xfId="2" applyFont="1" applyFill="1" applyBorder="1" applyAlignment="1">
      <alignment vertical="center"/>
    </xf>
    <xf numFmtId="0" fontId="13" fillId="2" borderId="0" xfId="2" applyFont="1" applyFill="1" applyAlignment="1">
      <alignment vertical="center"/>
    </xf>
    <xf numFmtId="0" fontId="13" fillId="2" borderId="16" xfId="2" applyFont="1" applyFill="1" applyBorder="1" applyAlignment="1">
      <alignment vertical="center"/>
    </xf>
    <xf numFmtId="0" fontId="13" fillId="2" borderId="15" xfId="2" applyFont="1" applyFill="1" applyBorder="1" applyAlignment="1">
      <alignment horizontal="center" vertical="center"/>
    </xf>
    <xf numFmtId="0" fontId="13" fillId="2" borderId="0" xfId="2" applyFont="1" applyFill="1" applyAlignment="1">
      <alignment horizontal="center" vertical="center"/>
    </xf>
    <xf numFmtId="0" fontId="13" fillId="0" borderId="15" xfId="2" applyFont="1" applyBorder="1" applyAlignment="1">
      <alignment vertical="center" wrapText="1"/>
    </xf>
    <xf numFmtId="0" fontId="13" fillId="0" borderId="0" xfId="2" applyFont="1" applyAlignment="1">
      <alignment vertical="center" wrapText="1"/>
    </xf>
    <xf numFmtId="0" fontId="13" fillId="0" borderId="15" xfId="2" applyFont="1" applyBorder="1" applyAlignment="1">
      <alignment vertical="center"/>
    </xf>
    <xf numFmtId="0" fontId="13" fillId="0" borderId="0" xfId="2" applyFont="1" applyAlignment="1">
      <alignment vertical="center"/>
    </xf>
    <xf numFmtId="0" fontId="13" fillId="2" borderId="16" xfId="2" applyFont="1" applyFill="1" applyBorder="1" applyAlignment="1">
      <alignment horizontal="left" vertical="center"/>
    </xf>
    <xf numFmtId="0" fontId="13" fillId="0" borderId="0" xfId="2" applyFont="1" applyAlignment="1">
      <alignment horizontal="center" vertical="center"/>
    </xf>
    <xf numFmtId="0" fontId="13" fillId="0" borderId="0" xfId="2" applyFont="1" applyAlignment="1">
      <alignment horizontal="left" vertical="center"/>
    </xf>
    <xf numFmtId="0" fontId="13" fillId="4" borderId="0" xfId="2" applyFont="1" applyFill="1" applyAlignment="1">
      <alignment vertical="center"/>
    </xf>
    <xf numFmtId="0" fontId="13" fillId="4" borderId="0" xfId="2" applyFont="1" applyFill="1" applyAlignment="1">
      <alignment horizontal="left" vertical="center"/>
    </xf>
    <xf numFmtId="0" fontId="13" fillId="2" borderId="21" xfId="2" applyFont="1" applyFill="1" applyBorder="1" applyAlignment="1">
      <alignment vertical="center"/>
    </xf>
    <xf numFmtId="0" fontId="13" fillId="2" borderId="15" xfId="2" applyFont="1" applyFill="1" applyBorder="1" applyAlignment="1">
      <alignment horizontal="left" vertical="center"/>
    </xf>
    <xf numFmtId="0" fontId="13" fillId="2" borderId="15" xfId="2" applyFont="1" applyFill="1" applyBorder="1" applyAlignment="1">
      <alignment horizontal="right" vertical="center"/>
    </xf>
    <xf numFmtId="0" fontId="13" fillId="2" borderId="0" xfId="2" applyFont="1" applyFill="1" applyAlignment="1">
      <alignment horizontal="right" vertical="center"/>
    </xf>
    <xf numFmtId="0" fontId="13" fillId="2" borderId="0" xfId="2" applyFont="1" applyFill="1"/>
    <xf numFmtId="0" fontId="13" fillId="2" borderId="0" xfId="2" applyFont="1" applyFill="1" applyAlignment="1">
      <alignment horizontal="center"/>
    </xf>
    <xf numFmtId="0" fontId="13" fillId="2" borderId="18" xfId="2" applyFont="1" applyFill="1" applyBorder="1" applyAlignment="1">
      <alignment vertical="center"/>
    </xf>
    <xf numFmtId="0" fontId="13" fillId="2" borderId="19" xfId="2" applyFont="1" applyFill="1" applyBorder="1" applyAlignment="1">
      <alignment vertical="center"/>
    </xf>
    <xf numFmtId="0" fontId="13" fillId="2" borderId="20" xfId="2" applyFont="1" applyFill="1" applyBorder="1" applyAlignment="1">
      <alignment vertical="center"/>
    </xf>
    <xf numFmtId="164" fontId="11" fillId="0" borderId="1" xfId="0" applyNumberFormat="1" applyFont="1" applyBorder="1" applyAlignment="1">
      <alignment horizontal="center" vertical="center" wrapText="1"/>
    </xf>
    <xf numFmtId="0" fontId="12" fillId="0" borderId="1" xfId="0" applyFont="1" applyBorder="1" applyAlignment="1">
      <alignment horizontal="center" vertical="top" wrapText="1"/>
    </xf>
    <xf numFmtId="49" fontId="13" fillId="0" borderId="1" xfId="0" applyNumberFormat="1" applyFont="1" applyBorder="1" applyAlignment="1">
      <alignment horizontal="center" vertical="top" wrapText="1"/>
    </xf>
    <xf numFmtId="0" fontId="9" fillId="0" borderId="0" xfId="0" applyFont="1" applyBorder="1"/>
    <xf numFmtId="0" fontId="6" fillId="5" borderId="0" xfId="0" applyFont="1" applyFill="1" applyBorder="1" applyAlignment="1">
      <alignment horizontal="center" vertical="center"/>
    </xf>
    <xf numFmtId="0" fontId="6" fillId="4" borderId="0" xfId="0" applyFont="1" applyFill="1" applyBorder="1" applyAlignment="1">
      <alignment horizontal="center" vertical="center"/>
    </xf>
    <xf numFmtId="0" fontId="8" fillId="0" borderId="0" xfId="0" applyFont="1" applyBorder="1" applyAlignment="1">
      <alignment horizontal="center" vertical="center"/>
    </xf>
    <xf numFmtId="166" fontId="8" fillId="0" borderId="0" xfId="1" applyNumberFormat="1" applyFont="1" applyBorder="1" applyAlignment="1">
      <alignment horizontal="center" vertical="center"/>
    </xf>
    <xf numFmtId="0" fontId="6" fillId="0" borderId="0" xfId="0" applyFont="1" applyBorder="1" applyAlignment="1">
      <alignment horizontal="center" vertical="center"/>
    </xf>
    <xf numFmtId="0" fontId="14" fillId="0" borderId="0" xfId="0" applyFont="1" applyBorder="1" applyAlignment="1">
      <alignment horizontal="center" vertical="center"/>
    </xf>
    <xf numFmtId="0" fontId="9" fillId="0" borderId="0" xfId="0" applyFont="1" applyFill="1" applyBorder="1"/>
    <xf numFmtId="0" fontId="6" fillId="0" borderId="0" xfId="0" applyFont="1" applyFill="1" applyBorder="1" applyAlignment="1">
      <alignment horizontal="center" vertical="center"/>
    </xf>
    <xf numFmtId="0" fontId="8" fillId="0" borderId="0" xfId="0" applyFont="1" applyFill="1" applyBorder="1" applyAlignment="1">
      <alignment horizontal="center" vertical="center"/>
    </xf>
    <xf numFmtId="0" fontId="14" fillId="0" borderId="0" xfId="0" applyFont="1" applyFill="1" applyBorder="1" applyAlignment="1">
      <alignment horizontal="center" vertical="center"/>
    </xf>
    <xf numFmtId="0" fontId="13" fillId="0" borderId="1" xfId="2" applyFont="1" applyBorder="1" applyAlignment="1">
      <alignment horizontal="center" vertical="top"/>
    </xf>
    <xf numFmtId="20" fontId="13" fillId="0" borderId="1" xfId="2" applyNumberFormat="1" applyFont="1" applyBorder="1" applyAlignment="1">
      <alignment horizontal="center" vertical="top"/>
    </xf>
    <xf numFmtId="164" fontId="13" fillId="0" borderId="1" xfId="2" applyNumberFormat="1" applyFont="1" applyBorder="1" applyAlignment="1">
      <alignment horizontal="center" vertical="top" wrapText="1"/>
    </xf>
    <xf numFmtId="165" fontId="13" fillId="0" borderId="1" xfId="2" applyNumberFormat="1" applyFont="1" applyBorder="1" applyAlignment="1">
      <alignment horizontal="center" vertical="top"/>
    </xf>
    <xf numFmtId="0" fontId="13" fillId="2" borderId="0" xfId="2" applyFont="1" applyFill="1" applyBorder="1" applyAlignment="1">
      <alignment horizontal="center" vertical="center"/>
    </xf>
    <xf numFmtId="0" fontId="16" fillId="2" borderId="15" xfId="2" applyFont="1" applyFill="1" applyBorder="1" applyAlignment="1">
      <alignment horizontal="center"/>
    </xf>
    <xf numFmtId="0" fontId="16" fillId="2" borderId="0" xfId="2" applyFont="1" applyFill="1" applyAlignment="1">
      <alignment horizontal="center"/>
    </xf>
    <xf numFmtId="0" fontId="16" fillId="2" borderId="16" xfId="2" applyFont="1" applyFill="1" applyBorder="1" applyAlignment="1">
      <alignment horizontal="center"/>
    </xf>
    <xf numFmtId="0" fontId="16" fillId="2" borderId="15" xfId="2" applyFont="1" applyFill="1" applyBorder="1" applyAlignment="1">
      <alignment horizontal="center" vertical="center"/>
    </xf>
    <xf numFmtId="0" fontId="16" fillId="2" borderId="0" xfId="2" applyFont="1" applyFill="1" applyAlignment="1">
      <alignment horizontal="center" vertical="center"/>
    </xf>
    <xf numFmtId="0" fontId="16" fillId="2" borderId="16" xfId="2" applyFont="1" applyFill="1" applyBorder="1" applyAlignment="1">
      <alignment horizontal="center" vertical="center"/>
    </xf>
    <xf numFmtId="0" fontId="16" fillId="2" borderId="0" xfId="2" applyFont="1" applyFill="1" applyAlignment="1">
      <alignment horizontal="right" vertical="center"/>
    </xf>
    <xf numFmtId="0" fontId="16" fillId="3" borderId="12" xfId="2" applyFont="1" applyFill="1" applyBorder="1" applyAlignment="1">
      <alignment horizontal="center" vertical="center" wrapText="1"/>
    </xf>
    <xf numFmtId="0" fontId="16" fillId="3" borderId="13" xfId="2" applyFont="1" applyFill="1" applyBorder="1" applyAlignment="1">
      <alignment horizontal="center" vertical="center"/>
    </xf>
    <xf numFmtId="0" fontId="16" fillId="3" borderId="14" xfId="2" applyFont="1" applyFill="1" applyBorder="1" applyAlignment="1">
      <alignment horizontal="center" vertical="center"/>
    </xf>
    <xf numFmtId="0" fontId="16" fillId="3" borderId="18" xfId="2" applyFont="1" applyFill="1" applyBorder="1" applyAlignment="1">
      <alignment horizontal="center" vertical="center"/>
    </xf>
    <xf numFmtId="0" fontId="16" fillId="3" borderId="19" xfId="2" applyFont="1" applyFill="1" applyBorder="1" applyAlignment="1">
      <alignment horizontal="center" vertical="center"/>
    </xf>
    <xf numFmtId="0" fontId="16" fillId="3" borderId="20" xfId="2" applyFont="1" applyFill="1" applyBorder="1" applyAlignment="1">
      <alignment horizontal="center" vertical="center"/>
    </xf>
    <xf numFmtId="0" fontId="13" fillId="2" borderId="0" xfId="2" applyFont="1" applyFill="1" applyBorder="1" applyAlignment="1">
      <alignment horizontal="center" vertical="center"/>
    </xf>
    <xf numFmtId="0" fontId="13" fillId="6" borderId="0" xfId="2" applyFont="1" applyFill="1" applyAlignment="1">
      <alignment horizontal="left" vertical="center" wrapText="1"/>
    </xf>
    <xf numFmtId="0" fontId="13" fillId="7" borderId="0" xfId="2" applyFont="1" applyFill="1" applyAlignment="1">
      <alignment horizontal="left" vertical="center" wrapText="1"/>
    </xf>
    <xf numFmtId="0" fontId="13" fillId="8" borderId="0" xfId="2" applyFont="1" applyFill="1" applyAlignment="1">
      <alignment horizontal="left" vertical="center" wrapText="1"/>
    </xf>
    <xf numFmtId="0" fontId="13" fillId="9" borderId="0" xfId="2" applyFont="1" applyFill="1" applyAlignment="1">
      <alignment horizontal="left" vertical="center" wrapText="1"/>
    </xf>
    <xf numFmtId="0" fontId="13" fillId="2" borderId="0" xfId="2" applyFont="1" applyFill="1" applyAlignment="1">
      <alignment horizontal="center" vertical="center"/>
    </xf>
    <xf numFmtId="0" fontId="13" fillId="10" borderId="0" xfId="2" applyFont="1" applyFill="1" applyAlignment="1">
      <alignment horizontal="center" vertical="center"/>
    </xf>
    <xf numFmtId="0" fontId="13" fillId="2" borderId="0" xfId="2" applyFont="1" applyFill="1" applyAlignment="1">
      <alignment horizontal="left" vertical="center"/>
    </xf>
    <xf numFmtId="0" fontId="13" fillId="2" borderId="17" xfId="2" applyFont="1" applyFill="1" applyBorder="1" applyAlignment="1">
      <alignment horizontal="center"/>
    </xf>
    <xf numFmtId="0" fontId="13" fillId="2" borderId="0" xfId="2" applyFont="1" applyFill="1" applyAlignment="1">
      <alignment horizontal="center"/>
    </xf>
    <xf numFmtId="0" fontId="13" fillId="2" borderId="16" xfId="2" applyFont="1" applyFill="1" applyBorder="1" applyAlignment="1">
      <alignment horizontal="left" vertical="center"/>
    </xf>
    <xf numFmtId="0" fontId="6" fillId="6" borderId="1" xfId="0" applyFont="1" applyFill="1" applyBorder="1" applyAlignment="1">
      <alignment horizontal="center" vertical="center"/>
    </xf>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6" fillId="4" borderId="1" xfId="0" applyFont="1" applyFill="1" applyBorder="1" applyAlignment="1">
      <alignment horizontal="center"/>
    </xf>
    <xf numFmtId="0" fontId="6" fillId="4"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7" fillId="7" borderId="1" xfId="0" applyFont="1" applyFill="1" applyBorder="1" applyAlignment="1">
      <alignment horizontal="center" vertical="center"/>
    </xf>
    <xf numFmtId="0" fontId="7" fillId="8" borderId="1" xfId="0" applyFont="1" applyFill="1" applyBorder="1" applyAlignment="1">
      <alignment horizontal="center" vertical="center"/>
    </xf>
    <xf numFmtId="0" fontId="7"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1" xfId="0" applyFont="1" applyFill="1" applyBorder="1" applyAlignment="1">
      <alignment horizontal="center"/>
    </xf>
    <xf numFmtId="0" fontId="13" fillId="2" borderId="0" xfId="2" applyFont="1" applyFill="1" applyBorder="1" applyAlignment="1">
      <alignment vertical="center"/>
    </xf>
    <xf numFmtId="167" fontId="16" fillId="2" borderId="0" xfId="2" applyNumberFormat="1" applyFont="1" applyFill="1" applyBorder="1" applyAlignment="1">
      <alignment vertical="center"/>
    </xf>
    <xf numFmtId="1" fontId="13" fillId="2" borderId="0" xfId="2" applyNumberFormat="1" applyFont="1" applyFill="1" applyBorder="1" applyAlignment="1">
      <alignment horizontal="right" vertical="center"/>
    </xf>
    <xf numFmtId="0" fontId="13" fillId="2" borderId="0" xfId="2" applyFont="1" applyFill="1" applyBorder="1" applyAlignment="1">
      <alignment horizontal="left" vertical="center" indent="2"/>
    </xf>
  </cellXfs>
  <cellStyles count="3">
    <cellStyle name="Normal" xfId="0" builtinId="0"/>
    <cellStyle name="Normal 2" xfId="2" xr:uid="{13582D5B-A4A6-447C-94B5-03BD71988C62}"/>
    <cellStyle name="Percent" xfId="1" builtinId="5"/>
  </cellStyles>
  <dxfs count="18">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
      <numFmt numFmtId="168" formatCode="&quot;&quo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33498</xdr:colOff>
      <xdr:row>0</xdr:row>
      <xdr:rowOff>28575</xdr:rowOff>
    </xdr:from>
    <xdr:ext cx="2160000" cy="665175"/>
    <xdr:pic>
      <xdr:nvPicPr>
        <xdr:cNvPr id="2" name="Picture 4">
          <a:extLst>
            <a:ext uri="{FF2B5EF4-FFF2-40B4-BE49-F238E27FC236}">
              <a16:creationId xmlns:a16="http://schemas.microsoft.com/office/drawing/2014/main" id="{431528EA-EBE5-4C06-BA85-4B6D4239BB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3498" y="28575"/>
          <a:ext cx="2160000" cy="665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TAOTAO/Downloads/25670801%20Daily%20CM%20Repo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 KPI"/>
      <sheetName val="Daily CM"/>
      <sheetName val="1"/>
      <sheetName val="2"/>
      <sheetName val="3"/>
      <sheetName val="4"/>
    </sheetNames>
    <sheetDataSet>
      <sheetData sheetId="0">
        <row r="3">
          <cell r="A3" t="str">
            <v>1.1</v>
          </cell>
          <cell r="M3" t="str">
            <v>A</v>
          </cell>
          <cell r="N3">
            <v>2.0833333333333332E-2</v>
          </cell>
        </row>
        <row r="4">
          <cell r="M4" t="str">
            <v>B</v>
          </cell>
          <cell r="N4">
            <v>0.125</v>
          </cell>
        </row>
        <row r="5">
          <cell r="M5" t="str">
            <v>C</v>
          </cell>
          <cell r="N5">
            <v>1</v>
          </cell>
        </row>
        <row r="6">
          <cell r="M6" t="str">
            <v>D</v>
          </cell>
          <cell r="N6">
            <v>7</v>
          </cell>
        </row>
        <row r="7">
          <cell r="M7" t="str">
            <v>E</v>
          </cell>
          <cell r="N7">
            <v>14</v>
          </cell>
        </row>
        <row r="8">
          <cell r="M8" t="str">
            <v>F</v>
          </cell>
          <cell r="N8">
            <v>30</v>
          </cell>
        </row>
        <row r="103">
          <cell r="A103" t="str">
            <v>4.1</v>
          </cell>
          <cell r="B103" t="str">
            <v>การแจ้งเหตุต่อผู้ว่าจ้างกรณีฉุกเฉิน</v>
          </cell>
          <cell r="C103" t="str">
            <v>ทันที</v>
          </cell>
          <cell r="D103" t="str">
            <v>A</v>
          </cell>
          <cell r="E103" t="str">
            <v>สี่จุดหนึ่ง</v>
          </cell>
          <cell r="F103">
            <v>6.9444444444444447E-4</v>
          </cell>
        </row>
        <row r="104">
          <cell r="A104" t="str">
            <v>4.2</v>
          </cell>
          <cell r="B104" t="str">
            <v>การควบคุมการปิด-เปิดไฟแสงสว่างขัดข้อง</v>
          </cell>
          <cell r="C104">
            <v>15</v>
          </cell>
          <cell r="D104" t="str">
            <v>A</v>
          </cell>
          <cell r="E104" t="str">
            <v>สี่จุดสอง</v>
          </cell>
          <cell r="F104">
            <v>1.0416666666666666E-2</v>
          </cell>
        </row>
        <row r="105">
          <cell r="A105" t="str">
            <v>4.3</v>
          </cell>
          <cell r="B105" t="str">
            <v>เซอร์กิตเบรกเกอร์ "ทริป" (การตัดวงจรของเซอร์กิตเบรคเกอร์)</v>
          </cell>
          <cell r="C105">
            <v>20</v>
          </cell>
          <cell r="D105" t="str">
            <v>A</v>
          </cell>
          <cell r="E105" t="str">
            <v>สี่จุดสาม</v>
          </cell>
          <cell r="F105">
            <v>1.3888888888888888E-2</v>
          </cell>
        </row>
        <row r="106">
          <cell r="A106" t="str">
            <v>4.4</v>
          </cell>
          <cell r="B106" t="str">
            <v>ระบบไฟฟ้าแรงสูงขัดข้อง/กระพริบ</v>
          </cell>
          <cell r="C106">
            <v>20</v>
          </cell>
          <cell r="D106" t="str">
            <v>B</v>
          </cell>
          <cell r="E106" t="str">
            <v>สี่จุดสี่</v>
          </cell>
          <cell r="F106">
            <v>1.3888888888888888E-2</v>
          </cell>
        </row>
        <row r="107">
          <cell r="A107" t="str">
            <v>4.5</v>
          </cell>
          <cell r="B107" t="str">
            <v>สำรวจตรวจสอบโคมไฟ หรือซ่อมแซมหรือทำความสะอาด/โคม (อ้างอิงตาม ภาคผนวก ฌ.)</v>
          </cell>
          <cell r="C107">
            <v>20</v>
          </cell>
          <cell r="D107" t="str">
            <v>A, B, C, D</v>
          </cell>
          <cell r="E107" t="str">
            <v>สี่จุดห้า</v>
          </cell>
          <cell r="F107">
            <v>1.3888888888888888E-2</v>
          </cell>
        </row>
        <row r="108">
          <cell r="A108" t="str">
            <v>4.6</v>
          </cell>
          <cell r="B108" t="str">
            <v>ซ่อมเต้ารับไฟฟ้า / ชุด</v>
          </cell>
          <cell r="C108">
            <v>15</v>
          </cell>
          <cell r="D108" t="str">
            <v>A</v>
          </cell>
          <cell r="E108" t="str">
            <v>สี่จุดหก</v>
          </cell>
          <cell r="F108">
            <v>1.0416666666666666E-2</v>
          </cell>
        </row>
        <row r="109">
          <cell r="A109" t="str">
            <v>4.7</v>
          </cell>
          <cell r="B109" t="str">
            <v>ย้ายหรือติดตั้งโคมไฟฟ้า / ชุด</v>
          </cell>
          <cell r="C109">
            <v>15</v>
          </cell>
          <cell r="D109" t="str">
            <v>A</v>
          </cell>
          <cell r="E109" t="str">
            <v>สี่จุดเจ็ด</v>
          </cell>
          <cell r="F109">
            <v>1.0416666666666666E-2</v>
          </cell>
        </row>
        <row r="110">
          <cell r="A110" t="str">
            <v>4.8</v>
          </cell>
          <cell r="B110" t="str">
            <v>ย้ายหรือติดตั้งเต้ารับไฟฟ้า / ชุด</v>
          </cell>
          <cell r="C110">
            <v>15</v>
          </cell>
          <cell r="D110" t="str">
            <v>C</v>
          </cell>
          <cell r="E110" t="str">
            <v>สี่จุดแปด</v>
          </cell>
          <cell r="F110">
            <v>1.0416666666666666E-2</v>
          </cell>
        </row>
        <row r="111">
          <cell r="A111" t="str">
            <v>4.9</v>
          </cell>
          <cell r="B111" t="str">
            <v>เปลี่ยน หางปลา สายไฟฟ้า แม็กเนติก สำหรับชุดคอนโทรล เป็นต้น</v>
          </cell>
          <cell r="C111">
            <v>15</v>
          </cell>
          <cell r="D111" t="str">
            <v>D</v>
          </cell>
          <cell r="E111" t="str">
            <v>สี่จุดเก้า</v>
          </cell>
          <cell r="F111">
            <v>1.0416666666666666E-2</v>
          </cell>
        </row>
        <row r="112">
          <cell r="A112" t="str">
            <v>4.10</v>
          </cell>
          <cell r="B112" t="str">
            <v>เปลี่ยนสายไฟฟ้าในรางเดินสายกรณีสายไฟฟ้าลัดวงจร</v>
          </cell>
          <cell r="C112">
            <v>15</v>
          </cell>
          <cell r="D112" t="str">
            <v>D</v>
          </cell>
          <cell r="E112" t="str">
            <v>สี่จุดหนึ่งศูนย์</v>
          </cell>
          <cell r="F112">
            <v>1.0416666666666666E-2</v>
          </cell>
        </row>
        <row r="113">
          <cell r="A113" t="str">
            <v>4.11</v>
          </cell>
          <cell r="B113" t="str">
            <v>ซ่อมตู้เมนไฟฟ้า, แผงจ่ายไฟฟ้า</v>
          </cell>
          <cell r="C113">
            <v>15</v>
          </cell>
          <cell r="D113" t="str">
            <v>D</v>
          </cell>
          <cell r="E113" t="str">
            <v>สี่จุดหนึ่งหนึ่ง</v>
          </cell>
          <cell r="F113">
            <v>1.0416666666666666E-2</v>
          </cell>
        </row>
        <row r="114">
          <cell r="A114" t="str">
            <v>4.12</v>
          </cell>
          <cell r="B114" t="str">
            <v xml:space="preserve">เครื่องเป่าลมมือ </v>
          </cell>
          <cell r="C114">
            <v>15</v>
          </cell>
          <cell r="D114" t="str">
            <v>D</v>
          </cell>
          <cell r="E114" t="str">
            <v>สี่จุดหนึ่งสอง</v>
          </cell>
          <cell r="F114">
            <v>1.0416666666666666E-2</v>
          </cell>
        </row>
        <row r="115">
          <cell r="A115" t="str">
            <v>4.13</v>
          </cell>
          <cell r="B115" t="str">
            <v>เครื่องทำน้ำอุ่น</v>
          </cell>
          <cell r="C115">
            <v>15</v>
          </cell>
          <cell r="D115" t="str">
            <v>D</v>
          </cell>
          <cell r="E115" t="str">
            <v>สี่จุดหนึ่งสาม</v>
          </cell>
          <cell r="F115">
            <v>1.0416666666666666E-2</v>
          </cell>
        </row>
        <row r="116">
          <cell r="A116" t="str">
            <v>4.14</v>
          </cell>
          <cell r="B116" t="str">
            <v>ระบบขอความช่วยเหลือห้องน้ำคนพิการ</v>
          </cell>
          <cell r="C116">
            <v>15</v>
          </cell>
          <cell r="D116" t="str">
            <v>D</v>
          </cell>
          <cell r="E116" t="str">
            <v>สี่จุดหนึ่งสี่</v>
          </cell>
          <cell r="F116">
            <v>1.0416666666666666E-2</v>
          </cell>
        </row>
        <row r="117">
          <cell r="A117" t="str">
            <v>4.15</v>
          </cell>
          <cell r="B117" t="str">
            <v>ซ่อมอุปกรณ์ไฟอื่นๆ</v>
          </cell>
          <cell r="C117">
            <v>15</v>
          </cell>
          <cell r="D117" t="str">
            <v>E</v>
          </cell>
          <cell r="E117" t="str">
            <v>สี่จุดหนึ่งห้า</v>
          </cell>
          <cell r="F117">
            <v>1.0416666666666666E-2</v>
          </cell>
        </row>
        <row r="118">
          <cell r="A118" t="str">
            <v>4.16</v>
          </cell>
          <cell r="B118" t="str">
            <v>อะไหล่ผู้ว่าจ้างจัดหา</v>
          </cell>
          <cell r="C118" t="str">
            <v>-</v>
          </cell>
          <cell r="D118" t="str">
            <v>F</v>
          </cell>
          <cell r="E118" t="str">
            <v>สี่จุดหนึ่งหก</v>
          </cell>
          <cell r="F118" t="str">
            <v>-</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61EE6-0527-4B09-A6D9-A152D160319A}">
  <sheetPr>
    <pageSetUpPr fitToPage="1"/>
  </sheetPr>
  <dimension ref="A1:W49"/>
  <sheetViews>
    <sheetView tabSelected="1" topLeftCell="A22" zoomScaleNormal="100" workbookViewId="0">
      <selection activeCell="N39" sqref="N39"/>
    </sheetView>
  </sheetViews>
  <sheetFormatPr defaultColWidth="10.42578125" defaultRowHeight="21.75" customHeight="1" x14ac:dyDescent="0.25"/>
  <cols>
    <col min="1" max="6" width="6.42578125" style="97" customWidth="1"/>
    <col min="7" max="7" width="12.85546875" style="97" customWidth="1"/>
    <col min="8" max="8" width="3.85546875" style="97" bestFit="1" customWidth="1"/>
    <col min="9" max="15" width="6.42578125" style="97" customWidth="1"/>
    <col min="16" max="16" width="4.42578125" style="97" customWidth="1"/>
    <col min="17" max="18" width="6.28515625" style="97" customWidth="1"/>
    <col min="19" max="19" width="8" style="97" bestFit="1" customWidth="1"/>
    <col min="20" max="25" width="6.28515625" style="97" customWidth="1"/>
    <col min="26" max="27" width="5.28515625" style="97" customWidth="1"/>
    <col min="28" max="16384" width="10.42578125" style="97"/>
  </cols>
  <sheetData>
    <row r="1" spans="1:18" s="86" customFormat="1" ht="24" x14ac:dyDescent="0.25">
      <c r="A1" s="82"/>
      <c r="B1" s="83"/>
      <c r="C1" s="83"/>
      <c r="D1" s="83"/>
      <c r="E1" s="83"/>
      <c r="F1" s="83"/>
      <c r="G1" s="83"/>
      <c r="H1" s="83"/>
      <c r="I1" s="83"/>
      <c r="J1" s="83"/>
      <c r="K1" s="83"/>
      <c r="L1" s="83"/>
      <c r="M1" s="83"/>
      <c r="N1" s="83"/>
      <c r="O1" s="83"/>
      <c r="P1" s="84"/>
      <c r="Q1" s="85"/>
      <c r="R1" s="85"/>
    </row>
    <row r="2" spans="1:18" s="86" customFormat="1" ht="24" x14ac:dyDescent="0.25">
      <c r="A2" s="87"/>
      <c r="B2" s="85"/>
      <c r="C2" s="85"/>
      <c r="D2" s="85"/>
      <c r="E2" s="85"/>
      <c r="F2" s="85"/>
      <c r="G2" s="85"/>
      <c r="H2" s="85"/>
      <c r="I2" s="85"/>
      <c r="J2" s="85"/>
      <c r="K2" s="85"/>
      <c r="L2" s="85"/>
      <c r="M2" s="85"/>
      <c r="N2" s="85"/>
      <c r="O2" s="85"/>
      <c r="P2" s="88"/>
      <c r="Q2" s="89"/>
      <c r="R2" s="89"/>
    </row>
    <row r="3" spans="1:18" s="86" customFormat="1" ht="24" x14ac:dyDescent="0.55000000000000004">
      <c r="A3" s="138"/>
      <c r="B3" s="139"/>
      <c r="C3" s="139"/>
      <c r="D3" s="139"/>
      <c r="E3" s="139"/>
      <c r="F3" s="139"/>
      <c r="G3" s="139"/>
      <c r="H3" s="139"/>
      <c r="I3" s="139"/>
      <c r="J3" s="139"/>
      <c r="K3" s="139"/>
      <c r="L3" s="139"/>
      <c r="M3" s="139"/>
      <c r="N3" s="139"/>
      <c r="O3" s="139"/>
      <c r="P3" s="140"/>
      <c r="Q3" s="89"/>
      <c r="R3" s="89"/>
    </row>
    <row r="4" spans="1:18" s="86" customFormat="1" ht="24" x14ac:dyDescent="0.55000000000000004">
      <c r="A4" s="138" t="s">
        <v>33</v>
      </c>
      <c r="B4" s="139"/>
      <c r="C4" s="139"/>
      <c r="D4" s="139"/>
      <c r="E4" s="139"/>
      <c r="F4" s="139"/>
      <c r="G4" s="139"/>
      <c r="H4" s="139"/>
      <c r="I4" s="139"/>
      <c r="J4" s="139"/>
      <c r="K4" s="139"/>
      <c r="L4" s="139"/>
      <c r="M4" s="139"/>
      <c r="N4" s="139"/>
      <c r="O4" s="139"/>
      <c r="P4" s="140"/>
      <c r="Q4" s="89"/>
      <c r="R4" s="89"/>
    </row>
    <row r="5" spans="1:18" s="86" customFormat="1" ht="24" x14ac:dyDescent="0.55000000000000004">
      <c r="A5" s="138" t="s">
        <v>34</v>
      </c>
      <c r="B5" s="139"/>
      <c r="C5" s="139"/>
      <c r="D5" s="139"/>
      <c r="E5" s="139"/>
      <c r="F5" s="139"/>
      <c r="G5" s="139"/>
      <c r="H5" s="139"/>
      <c r="I5" s="139"/>
      <c r="J5" s="139"/>
      <c r="K5" s="139"/>
      <c r="L5" s="139"/>
      <c r="M5" s="139"/>
      <c r="N5" s="139"/>
      <c r="O5" s="139"/>
      <c r="P5" s="140"/>
      <c r="Q5" s="89"/>
      <c r="R5" s="89"/>
    </row>
    <row r="6" spans="1:18" s="86" customFormat="1" ht="24" x14ac:dyDescent="0.25">
      <c r="A6" s="141" t="s">
        <v>35</v>
      </c>
      <c r="B6" s="142"/>
      <c r="C6" s="142"/>
      <c r="D6" s="142"/>
      <c r="E6" s="142"/>
      <c r="F6" s="142"/>
      <c r="G6" s="142"/>
      <c r="H6" s="142"/>
      <c r="I6" s="142"/>
      <c r="J6" s="142"/>
      <c r="K6" s="142"/>
      <c r="L6" s="142"/>
      <c r="M6" s="142"/>
      <c r="N6" s="142"/>
      <c r="O6" s="142"/>
      <c r="P6" s="143"/>
      <c r="Q6" s="89"/>
      <c r="R6" s="89"/>
    </row>
    <row r="7" spans="1:18" s="86" customFormat="1" ht="24" x14ac:dyDescent="0.25">
      <c r="A7" s="87"/>
      <c r="C7" s="144" t="s">
        <v>36</v>
      </c>
      <c r="D7" s="144"/>
      <c r="E7" s="175"/>
      <c r="F7" s="175"/>
      <c r="G7" s="175"/>
      <c r="H7" s="175"/>
      <c r="I7" s="85" t="s">
        <v>37</v>
      </c>
      <c r="J7" s="85"/>
      <c r="K7" s="85"/>
      <c r="L7" s="85"/>
      <c r="M7" s="85"/>
      <c r="N7" s="85"/>
      <c r="O7" s="85"/>
      <c r="P7" s="88"/>
      <c r="Q7" s="89"/>
    </row>
    <row r="8" spans="1:18" s="86" customFormat="1" ht="9.9499999999999993" customHeight="1" x14ac:dyDescent="0.25">
      <c r="A8" s="87"/>
      <c r="P8" s="90"/>
      <c r="Q8" s="89"/>
      <c r="R8" s="89"/>
    </row>
    <row r="9" spans="1:18" s="86" customFormat="1" ht="24" x14ac:dyDescent="0.25">
      <c r="A9" s="145" t="s">
        <v>38</v>
      </c>
      <c r="B9" s="146"/>
      <c r="C9" s="146"/>
      <c r="D9" s="146"/>
      <c r="E9" s="146"/>
      <c r="F9" s="146"/>
      <c r="G9" s="146"/>
      <c r="H9" s="146"/>
      <c r="I9" s="146"/>
      <c r="J9" s="146"/>
      <c r="K9" s="146"/>
      <c r="L9" s="146"/>
      <c r="M9" s="146"/>
      <c r="N9" s="146"/>
      <c r="O9" s="146"/>
      <c r="P9" s="147"/>
      <c r="Q9" s="89"/>
      <c r="R9" s="89"/>
    </row>
    <row r="10" spans="1:18" s="86" customFormat="1" ht="24" x14ac:dyDescent="0.25">
      <c r="A10" s="148"/>
      <c r="B10" s="149"/>
      <c r="C10" s="149"/>
      <c r="D10" s="149"/>
      <c r="E10" s="149"/>
      <c r="F10" s="149"/>
      <c r="G10" s="149"/>
      <c r="H10" s="149"/>
      <c r="I10" s="149"/>
      <c r="J10" s="149"/>
      <c r="K10" s="149"/>
      <c r="L10" s="149"/>
      <c r="M10" s="149"/>
      <c r="N10" s="149"/>
      <c r="O10" s="149"/>
      <c r="P10" s="150"/>
      <c r="Q10" s="85"/>
      <c r="R10" s="85"/>
    </row>
    <row r="11" spans="1:18" s="95" customFormat="1" ht="10.15" customHeight="1" x14ac:dyDescent="0.25">
      <c r="A11" s="91"/>
      <c r="B11" s="92"/>
      <c r="C11" s="92"/>
      <c r="D11" s="92"/>
      <c r="E11" s="92"/>
      <c r="F11" s="92"/>
      <c r="G11" s="92"/>
      <c r="H11" s="93"/>
      <c r="I11" s="93"/>
      <c r="J11" s="93"/>
      <c r="K11" s="93"/>
      <c r="L11" s="93"/>
      <c r="M11" s="92"/>
      <c r="N11" s="92"/>
      <c r="O11" s="93"/>
      <c r="P11" s="94"/>
    </row>
    <row r="12" spans="1:18" s="95" customFormat="1" x14ac:dyDescent="0.25">
      <c r="A12" s="96"/>
      <c r="B12" s="97" t="s">
        <v>39</v>
      </c>
      <c r="C12" s="97"/>
      <c r="D12" s="97"/>
      <c r="E12" s="97"/>
      <c r="F12" s="97"/>
      <c r="G12" s="97"/>
      <c r="H12" s="97"/>
      <c r="I12" s="97"/>
      <c r="J12" s="97"/>
      <c r="K12" s="97"/>
      <c r="L12" s="97"/>
      <c r="M12" s="97"/>
      <c r="N12" s="97"/>
      <c r="O12" s="97"/>
      <c r="P12" s="98"/>
    </row>
    <row r="13" spans="1:18" s="95" customFormat="1" x14ac:dyDescent="0.25">
      <c r="A13" s="99"/>
      <c r="B13" s="97"/>
      <c r="C13" s="100" t="s">
        <v>26</v>
      </c>
      <c r="D13" s="97" t="s">
        <v>40</v>
      </c>
      <c r="E13" s="97"/>
      <c r="F13" s="97"/>
      <c r="G13" s="97"/>
      <c r="H13" s="174"/>
      <c r="I13" s="174"/>
      <c r="J13" s="97" t="s">
        <v>41</v>
      </c>
      <c r="K13" s="97"/>
      <c r="L13" s="97"/>
      <c r="M13" s="97"/>
      <c r="N13" s="97"/>
      <c r="O13" s="97"/>
      <c r="P13" s="98"/>
    </row>
    <row r="14" spans="1:18" s="95" customFormat="1" x14ac:dyDescent="0.25">
      <c r="A14" s="99"/>
      <c r="B14" s="97"/>
      <c r="C14" s="100" t="s">
        <v>26</v>
      </c>
      <c r="D14" s="97" t="s">
        <v>42</v>
      </c>
      <c r="E14" s="97"/>
      <c r="F14" s="97"/>
      <c r="G14" s="97"/>
      <c r="H14" s="174"/>
      <c r="I14" s="174"/>
      <c r="J14" s="97" t="s">
        <v>41</v>
      </c>
      <c r="K14" s="97"/>
      <c r="L14" s="97"/>
      <c r="M14" s="97"/>
      <c r="N14" s="97"/>
      <c r="O14" s="97"/>
      <c r="P14" s="98"/>
    </row>
    <row r="15" spans="1:18" s="95" customFormat="1" x14ac:dyDescent="0.25">
      <c r="A15" s="99"/>
      <c r="B15" s="97"/>
      <c r="C15" s="100" t="s">
        <v>26</v>
      </c>
      <c r="D15" s="97" t="s">
        <v>43</v>
      </c>
      <c r="E15" s="97"/>
      <c r="F15" s="97"/>
      <c r="G15" s="97"/>
      <c r="H15" s="174"/>
      <c r="I15" s="174"/>
      <c r="J15" s="97" t="s">
        <v>41</v>
      </c>
      <c r="K15" s="97"/>
      <c r="L15" s="97"/>
      <c r="M15" s="97"/>
      <c r="N15" s="97"/>
      <c r="O15" s="97"/>
      <c r="P15" s="98"/>
    </row>
    <row r="16" spans="1:18" s="95" customFormat="1" x14ac:dyDescent="0.25">
      <c r="A16" s="99"/>
      <c r="B16" s="97" t="s">
        <v>63</v>
      </c>
      <c r="C16" s="97"/>
      <c r="D16" s="97"/>
      <c r="E16" s="97"/>
      <c r="F16" s="97"/>
      <c r="G16" s="97"/>
      <c r="H16" s="97"/>
      <c r="I16" s="97"/>
      <c r="J16" s="97"/>
      <c r="K16" s="97"/>
      <c r="L16" s="97"/>
      <c r="M16" s="97"/>
      <c r="N16" s="97"/>
      <c r="O16" s="97"/>
      <c r="P16" s="98"/>
    </row>
    <row r="17" spans="1:17" s="95" customFormat="1" ht="10.15" customHeight="1" x14ac:dyDescent="0.25">
      <c r="A17" s="99"/>
      <c r="B17" s="97"/>
      <c r="C17" s="97"/>
      <c r="D17" s="97"/>
      <c r="E17" s="97"/>
      <c r="F17" s="97"/>
      <c r="G17" s="97"/>
      <c r="H17" s="97"/>
      <c r="I17" s="97"/>
      <c r="J17" s="97"/>
      <c r="K17" s="97"/>
      <c r="L17" s="97"/>
      <c r="M17" s="97"/>
      <c r="N17" s="97"/>
      <c r="O17" s="97"/>
      <c r="P17" s="98"/>
    </row>
    <row r="18" spans="1:17" s="95" customFormat="1" ht="18.75" customHeight="1" x14ac:dyDescent="0.25">
      <c r="A18" s="101"/>
      <c r="B18" s="152" t="s">
        <v>44</v>
      </c>
      <c r="C18" s="152"/>
      <c r="D18" s="152"/>
      <c r="E18" s="152"/>
      <c r="F18" s="152"/>
      <c r="G18" s="152"/>
      <c r="H18" s="100" t="s">
        <v>26</v>
      </c>
      <c r="I18" s="97" t="s">
        <v>40</v>
      </c>
      <c r="J18" s="97"/>
      <c r="K18" s="97"/>
      <c r="L18" s="97"/>
      <c r="M18" s="174"/>
      <c r="N18" s="174"/>
      <c r="O18" s="97" t="s">
        <v>41</v>
      </c>
      <c r="P18" s="98"/>
    </row>
    <row r="19" spans="1:17" s="95" customFormat="1" x14ac:dyDescent="0.25">
      <c r="A19" s="101"/>
      <c r="B19" s="152"/>
      <c r="C19" s="152"/>
      <c r="D19" s="152"/>
      <c r="E19" s="152"/>
      <c r="F19" s="152"/>
      <c r="G19" s="152"/>
      <c r="H19" s="100" t="s">
        <v>26</v>
      </c>
      <c r="I19" s="97" t="s">
        <v>42</v>
      </c>
      <c r="J19" s="97"/>
      <c r="K19" s="97"/>
      <c r="L19" s="97"/>
      <c r="M19" s="174"/>
      <c r="N19" s="174"/>
      <c r="O19" s="97" t="s">
        <v>41</v>
      </c>
      <c r="P19" s="98"/>
    </row>
    <row r="20" spans="1:17" s="95" customFormat="1" x14ac:dyDescent="0.25">
      <c r="A20" s="101"/>
      <c r="B20" s="102"/>
      <c r="C20" s="102"/>
      <c r="D20" s="102"/>
      <c r="E20" s="102"/>
      <c r="F20" s="102"/>
      <c r="G20" s="102"/>
      <c r="H20" s="100" t="s">
        <v>26</v>
      </c>
      <c r="I20" s="97" t="s">
        <v>43</v>
      </c>
      <c r="J20" s="97"/>
      <c r="K20" s="97"/>
      <c r="L20" s="97"/>
      <c r="M20" s="174"/>
      <c r="N20" s="174"/>
      <c r="O20" s="97" t="s">
        <v>41</v>
      </c>
      <c r="P20" s="98"/>
    </row>
    <row r="21" spans="1:17" s="95" customFormat="1" x14ac:dyDescent="0.25">
      <c r="A21" s="103"/>
      <c r="B21" s="153" t="s">
        <v>45</v>
      </c>
      <c r="C21" s="153"/>
      <c r="D21" s="153"/>
      <c r="E21" s="153"/>
      <c r="F21" s="153"/>
      <c r="G21" s="153"/>
      <c r="H21" s="100" t="s">
        <v>26</v>
      </c>
      <c r="I21" s="97" t="s">
        <v>40</v>
      </c>
      <c r="J21" s="97"/>
      <c r="K21" s="97"/>
      <c r="L21" s="97"/>
      <c r="M21" s="174"/>
      <c r="N21" s="174"/>
      <c r="O21" s="97" t="s">
        <v>41</v>
      </c>
      <c r="P21" s="98"/>
    </row>
    <row r="22" spans="1:17" s="95" customFormat="1" x14ac:dyDescent="0.25">
      <c r="A22" s="103"/>
      <c r="B22" s="153"/>
      <c r="C22" s="153"/>
      <c r="D22" s="153"/>
      <c r="E22" s="153"/>
      <c r="F22" s="153"/>
      <c r="G22" s="153"/>
      <c r="H22" s="100" t="s">
        <v>26</v>
      </c>
      <c r="I22" s="97" t="s">
        <v>42</v>
      </c>
      <c r="J22" s="97"/>
      <c r="K22" s="97"/>
      <c r="L22" s="97"/>
      <c r="M22" s="174"/>
      <c r="N22" s="174"/>
      <c r="O22" s="97" t="s">
        <v>41</v>
      </c>
      <c r="P22" s="98"/>
    </row>
    <row r="23" spans="1:17" s="95" customFormat="1" x14ac:dyDescent="0.25">
      <c r="A23" s="103"/>
      <c r="B23" s="104"/>
      <c r="C23" s="104"/>
      <c r="D23" s="104"/>
      <c r="E23" s="104"/>
      <c r="F23" s="104"/>
      <c r="G23" s="104"/>
      <c r="H23" s="100" t="s">
        <v>26</v>
      </c>
      <c r="I23" s="97" t="s">
        <v>43</v>
      </c>
      <c r="J23" s="97"/>
      <c r="K23" s="97"/>
      <c r="L23" s="97"/>
      <c r="M23" s="174"/>
      <c r="N23" s="174"/>
      <c r="O23" s="97" t="s">
        <v>41</v>
      </c>
      <c r="P23" s="98"/>
    </row>
    <row r="24" spans="1:17" s="95" customFormat="1" x14ac:dyDescent="0.25">
      <c r="A24" s="103"/>
      <c r="B24" s="154" t="s">
        <v>46</v>
      </c>
      <c r="C24" s="154"/>
      <c r="D24" s="154"/>
      <c r="E24" s="154"/>
      <c r="F24" s="154"/>
      <c r="G24" s="154"/>
      <c r="H24" s="100" t="s">
        <v>26</v>
      </c>
      <c r="I24" s="97" t="s">
        <v>40</v>
      </c>
      <c r="J24" s="97"/>
      <c r="K24" s="97"/>
      <c r="L24" s="97"/>
      <c r="M24" s="174"/>
      <c r="N24" s="174"/>
      <c r="O24" s="97" t="s">
        <v>41</v>
      </c>
      <c r="P24" s="98"/>
    </row>
    <row r="25" spans="1:17" s="95" customFormat="1" x14ac:dyDescent="0.25">
      <c r="A25" s="103"/>
      <c r="B25" s="154"/>
      <c r="C25" s="154"/>
      <c r="D25" s="154"/>
      <c r="E25" s="154"/>
      <c r="F25" s="154"/>
      <c r="G25" s="154"/>
      <c r="H25" s="100" t="s">
        <v>26</v>
      </c>
      <c r="I25" s="97" t="s">
        <v>42</v>
      </c>
      <c r="J25" s="97"/>
      <c r="K25" s="97"/>
      <c r="L25" s="97"/>
      <c r="M25" s="174"/>
      <c r="N25" s="174"/>
      <c r="O25" s="97" t="s">
        <v>41</v>
      </c>
      <c r="P25" s="98"/>
    </row>
    <row r="26" spans="1:17" s="95" customFormat="1" x14ac:dyDescent="0.25">
      <c r="A26" s="103"/>
      <c r="B26" s="97"/>
      <c r="C26" s="97"/>
      <c r="D26" s="97"/>
      <c r="E26" s="100"/>
      <c r="F26" s="97"/>
      <c r="G26" s="97"/>
      <c r="H26" s="100" t="s">
        <v>26</v>
      </c>
      <c r="I26" s="97" t="s">
        <v>43</v>
      </c>
      <c r="J26" s="97"/>
      <c r="K26" s="97"/>
      <c r="L26" s="97"/>
      <c r="M26" s="174"/>
      <c r="N26" s="174"/>
      <c r="O26" s="97" t="s">
        <v>41</v>
      </c>
      <c r="P26" s="98"/>
    </row>
    <row r="27" spans="1:17" x14ac:dyDescent="0.25">
      <c r="A27" s="103"/>
      <c r="B27" s="155" t="s">
        <v>47</v>
      </c>
      <c r="C27" s="155"/>
      <c r="D27" s="155"/>
      <c r="E27" s="155"/>
      <c r="F27" s="155"/>
      <c r="G27" s="155"/>
      <c r="H27" s="100" t="s">
        <v>26</v>
      </c>
      <c r="I27" s="97" t="s">
        <v>40</v>
      </c>
      <c r="M27" s="174"/>
      <c r="N27" s="174"/>
      <c r="O27" s="97" t="s">
        <v>41</v>
      </c>
      <c r="P27" s="98"/>
    </row>
    <row r="28" spans="1:17" s="95" customFormat="1" x14ac:dyDescent="0.25">
      <c r="A28" s="96"/>
      <c r="B28" s="155"/>
      <c r="C28" s="155"/>
      <c r="D28" s="155"/>
      <c r="E28" s="155"/>
      <c r="F28" s="155"/>
      <c r="G28" s="155"/>
      <c r="H28" s="100" t="s">
        <v>26</v>
      </c>
      <c r="I28" s="97" t="s">
        <v>42</v>
      </c>
      <c r="J28" s="97"/>
      <c r="K28" s="97"/>
      <c r="L28" s="97"/>
      <c r="M28" s="174"/>
      <c r="N28" s="174"/>
      <c r="O28" s="97" t="s">
        <v>41</v>
      </c>
      <c r="P28" s="105"/>
    </row>
    <row r="29" spans="1:17" s="95" customFormat="1" x14ac:dyDescent="0.25">
      <c r="A29" s="99"/>
      <c r="B29" s="97"/>
      <c r="D29" s="104"/>
      <c r="E29" s="104"/>
      <c r="F29" s="104"/>
      <c r="G29" s="104"/>
      <c r="H29" s="100" t="s">
        <v>26</v>
      </c>
      <c r="I29" s="97" t="s">
        <v>43</v>
      </c>
      <c r="J29" s="97"/>
      <c r="K29" s="97"/>
      <c r="L29" s="97"/>
      <c r="M29" s="174"/>
      <c r="N29" s="174"/>
      <c r="O29" s="97" t="s">
        <v>41</v>
      </c>
      <c r="P29" s="98"/>
    </row>
    <row r="30" spans="1:17" s="95" customFormat="1" x14ac:dyDescent="0.25">
      <c r="A30" s="96"/>
      <c r="B30" s="95" t="s">
        <v>30</v>
      </c>
      <c r="H30" s="104"/>
      <c r="I30" s="104"/>
      <c r="J30" s="97"/>
      <c r="K30" s="97"/>
      <c r="L30" s="97"/>
      <c r="M30" s="151"/>
      <c r="N30" s="151"/>
      <c r="O30" s="97" t="s">
        <v>41</v>
      </c>
      <c r="P30" s="98"/>
      <c r="Q30" s="95" t="s">
        <v>48</v>
      </c>
    </row>
    <row r="31" spans="1:17" x14ac:dyDescent="0.25">
      <c r="A31" s="96"/>
      <c r="B31" s="95" t="s">
        <v>31</v>
      </c>
      <c r="C31" s="95"/>
      <c r="D31" s="95"/>
      <c r="E31" s="95"/>
      <c r="F31" s="95"/>
      <c r="G31" s="95"/>
      <c r="H31" s="104"/>
      <c r="I31" s="104"/>
      <c r="J31" s="156"/>
      <c r="K31" s="156"/>
      <c r="M31" s="151"/>
      <c r="N31" s="151"/>
      <c r="O31" s="97" t="s">
        <v>41</v>
      </c>
      <c r="P31" s="98"/>
    </row>
    <row r="32" spans="1:17" s="95" customFormat="1" x14ac:dyDescent="0.25">
      <c r="A32" s="96"/>
      <c r="B32" s="97" t="s">
        <v>49</v>
      </c>
      <c r="C32" s="97"/>
      <c r="D32" s="97"/>
      <c r="E32" s="97"/>
      <c r="F32" s="97"/>
      <c r="G32" s="97"/>
      <c r="H32" s="104"/>
      <c r="I32" s="104"/>
      <c r="J32" s="156"/>
      <c r="K32" s="156"/>
      <c r="L32" s="97"/>
      <c r="M32" s="151"/>
      <c r="N32" s="151"/>
      <c r="O32" s="97" t="s">
        <v>41</v>
      </c>
      <c r="P32" s="98"/>
    </row>
    <row r="33" spans="1:23" s="95" customFormat="1" x14ac:dyDescent="0.25">
      <c r="A33" s="96"/>
      <c r="B33" s="95" t="s">
        <v>32</v>
      </c>
      <c r="H33" s="104"/>
      <c r="I33" s="104"/>
      <c r="J33" s="156"/>
      <c r="K33" s="156"/>
      <c r="L33" s="97"/>
      <c r="M33" s="151"/>
      <c r="N33" s="151"/>
      <c r="O33" s="97" t="s">
        <v>41</v>
      </c>
      <c r="P33" s="98"/>
    </row>
    <row r="34" spans="1:23" s="95" customFormat="1" ht="18.75" customHeight="1" x14ac:dyDescent="0.25">
      <c r="A34" s="96"/>
      <c r="B34" s="97" t="s">
        <v>50</v>
      </c>
      <c r="C34" s="97"/>
      <c r="D34" s="97"/>
      <c r="E34" s="97"/>
      <c r="H34" s="97"/>
      <c r="I34" s="97"/>
      <c r="J34" s="97"/>
      <c r="K34" s="97"/>
      <c r="L34" s="97"/>
      <c r="M34" s="151"/>
      <c r="N34" s="151"/>
      <c r="O34" s="97" t="s">
        <v>41</v>
      </c>
      <c r="P34" s="98"/>
    </row>
    <row r="35" spans="1:23" s="107" customFormat="1" ht="10.5" customHeight="1" x14ac:dyDescent="0.25">
      <c r="A35" s="99"/>
      <c r="B35" s="104"/>
      <c r="C35" s="106"/>
      <c r="D35" s="104"/>
      <c r="E35" s="104"/>
      <c r="F35" s="104"/>
      <c r="G35" s="104"/>
      <c r="H35" s="104"/>
      <c r="I35" s="104"/>
      <c r="J35" s="104"/>
      <c r="K35" s="104"/>
      <c r="L35" s="104"/>
      <c r="M35" s="104"/>
      <c r="N35" s="104"/>
      <c r="O35" s="104"/>
      <c r="P35" s="98"/>
    </row>
    <row r="36" spans="1:23" s="95" customFormat="1" x14ac:dyDescent="0.25">
      <c r="A36" s="99"/>
      <c r="B36" s="97" t="s">
        <v>51</v>
      </c>
      <c r="C36" s="97"/>
      <c r="D36" s="97"/>
      <c r="E36" s="97"/>
      <c r="F36" s="97"/>
      <c r="G36" s="97"/>
      <c r="H36" s="97"/>
      <c r="I36" s="97"/>
      <c r="J36" s="97"/>
      <c r="K36" s="97"/>
      <c r="L36" s="97"/>
      <c r="M36" s="97"/>
      <c r="N36" s="97"/>
      <c r="O36" s="97"/>
      <c r="P36" s="98"/>
    </row>
    <row r="37" spans="1:23" s="95" customFormat="1" x14ac:dyDescent="0.25">
      <c r="A37" s="99"/>
      <c r="B37" s="108" t="s">
        <v>52</v>
      </c>
      <c r="C37" s="108"/>
      <c r="D37" s="108"/>
      <c r="E37" s="108"/>
      <c r="F37" s="108"/>
      <c r="G37" s="109" t="s">
        <v>53</v>
      </c>
      <c r="H37" s="108"/>
      <c r="I37" s="108"/>
      <c r="J37" s="108"/>
      <c r="K37" s="108"/>
      <c r="L37" s="157" t="s">
        <v>54</v>
      </c>
      <c r="M37" s="157"/>
      <c r="N37" s="157"/>
      <c r="O37" s="157"/>
      <c r="P37" s="105"/>
      <c r="W37" s="97"/>
    </row>
    <row r="38" spans="1:23" s="95" customFormat="1" x14ac:dyDescent="0.25">
      <c r="A38" s="99"/>
      <c r="B38" s="97" t="s">
        <v>55</v>
      </c>
      <c r="C38" s="97"/>
      <c r="D38" s="97"/>
      <c r="E38" s="97"/>
      <c r="G38" s="158" t="s">
        <v>55</v>
      </c>
      <c r="H38" s="158"/>
      <c r="I38" s="158"/>
      <c r="J38" s="158"/>
      <c r="K38" s="158"/>
      <c r="L38" s="158" t="s">
        <v>55</v>
      </c>
      <c r="M38" s="158"/>
      <c r="N38" s="158"/>
      <c r="O38" s="158"/>
      <c r="P38" s="105"/>
      <c r="W38" s="97"/>
    </row>
    <row r="39" spans="1:23" s="95" customFormat="1" x14ac:dyDescent="0.25">
      <c r="A39" s="99"/>
      <c r="B39" s="174"/>
      <c r="C39" s="174"/>
      <c r="D39" s="97" t="s">
        <v>41</v>
      </c>
      <c r="E39" s="176"/>
      <c r="F39" s="97" t="s">
        <v>56</v>
      </c>
      <c r="G39" s="177"/>
      <c r="H39" s="97" t="s">
        <v>41</v>
      </c>
      <c r="I39" s="176"/>
      <c r="J39" s="97" t="s">
        <v>56</v>
      </c>
      <c r="L39" s="137"/>
      <c r="M39" s="97" t="s">
        <v>41</v>
      </c>
      <c r="N39" s="176"/>
      <c r="O39" s="97" t="s">
        <v>56</v>
      </c>
      <c r="P39" s="105"/>
      <c r="W39" s="97"/>
    </row>
    <row r="40" spans="1:23" s="95" customFormat="1" x14ac:dyDescent="0.25">
      <c r="A40" s="99"/>
      <c r="B40" s="97" t="s">
        <v>57</v>
      </c>
      <c r="C40" s="97"/>
      <c r="D40" s="110"/>
      <c r="E40" s="97"/>
      <c r="G40" s="97" t="s">
        <v>57</v>
      </c>
      <c r="H40" s="97"/>
      <c r="I40" s="97"/>
      <c r="J40" s="97"/>
      <c r="L40" s="97" t="s">
        <v>57</v>
      </c>
      <c r="M40" s="97"/>
      <c r="N40" s="97"/>
      <c r="O40" s="97"/>
      <c r="P40" s="105"/>
      <c r="W40" s="97"/>
    </row>
    <row r="41" spans="1:23" s="95" customFormat="1" x14ac:dyDescent="0.25">
      <c r="A41" s="99"/>
      <c r="B41" s="174"/>
      <c r="C41" s="174"/>
      <c r="D41" s="97" t="s">
        <v>41</v>
      </c>
      <c r="E41" s="176"/>
      <c r="F41" s="97" t="s">
        <v>56</v>
      </c>
      <c r="G41" s="177"/>
      <c r="H41" s="97" t="s">
        <v>41</v>
      </c>
      <c r="I41" s="176"/>
      <c r="J41" s="97" t="s">
        <v>56</v>
      </c>
      <c r="L41" s="137"/>
      <c r="M41" s="97" t="s">
        <v>41</v>
      </c>
      <c r="N41" s="176"/>
      <c r="O41" s="97" t="s">
        <v>56</v>
      </c>
      <c r="P41" s="105"/>
      <c r="Q41" s="111"/>
      <c r="W41" s="97"/>
    </row>
    <row r="42" spans="1:23" s="95" customFormat="1" x14ac:dyDescent="0.25">
      <c r="A42" s="99"/>
      <c r="B42" s="97"/>
      <c r="C42" s="97"/>
      <c r="D42" s="97"/>
      <c r="E42" s="97"/>
      <c r="F42" s="97"/>
      <c r="G42" s="97"/>
      <c r="H42" s="97"/>
      <c r="I42" s="97"/>
      <c r="J42" s="97"/>
      <c r="K42" s="97"/>
      <c r="L42" s="97"/>
      <c r="M42" s="97"/>
      <c r="N42" s="97"/>
      <c r="O42" s="97"/>
      <c r="P42" s="98"/>
      <c r="Q42" s="111"/>
    </row>
    <row r="43" spans="1:23" ht="10.15" customHeight="1" x14ac:dyDescent="0.25">
      <c r="A43" s="99"/>
      <c r="B43" s="156"/>
      <c r="C43" s="156"/>
      <c r="D43" s="156"/>
      <c r="E43" s="156"/>
      <c r="F43" s="156"/>
      <c r="G43" s="158"/>
      <c r="H43" s="158"/>
      <c r="I43" s="158"/>
      <c r="J43" s="158"/>
      <c r="K43" s="158"/>
      <c r="L43" s="158"/>
      <c r="M43" s="158"/>
      <c r="N43" s="158"/>
      <c r="O43" s="158"/>
      <c r="P43" s="161"/>
      <c r="Q43" s="96"/>
    </row>
    <row r="44" spans="1:23" x14ac:dyDescent="0.5">
      <c r="A44" s="96"/>
      <c r="B44" s="160" t="s">
        <v>58</v>
      </c>
      <c r="C44" s="160"/>
      <c r="D44" s="160"/>
      <c r="E44" s="160"/>
      <c r="G44" s="160"/>
      <c r="H44" s="160"/>
      <c r="I44" s="160"/>
      <c r="J44" s="160"/>
      <c r="L44" s="160" t="s">
        <v>59</v>
      </c>
      <c r="M44" s="160"/>
      <c r="N44" s="160"/>
      <c r="O44" s="160"/>
      <c r="P44" s="105"/>
      <c r="Q44" s="96"/>
    </row>
    <row r="45" spans="1:23" ht="10.15" customHeight="1" x14ac:dyDescent="0.5">
      <c r="A45" s="112"/>
      <c r="B45" s="113"/>
      <c r="C45" s="114"/>
      <c r="D45" s="114"/>
      <c r="E45" s="114"/>
      <c r="F45" s="114"/>
      <c r="G45" s="114"/>
      <c r="H45" s="114"/>
      <c r="I45" s="113"/>
      <c r="J45" s="114"/>
      <c r="K45" s="114"/>
      <c r="L45" s="114"/>
      <c r="M45" s="114"/>
      <c r="N45" s="114"/>
      <c r="O45" s="114"/>
      <c r="P45" s="105"/>
    </row>
    <row r="46" spans="1:23" x14ac:dyDescent="0.5">
      <c r="A46" s="112" t="s">
        <v>60</v>
      </c>
      <c r="B46" s="159"/>
      <c r="C46" s="159"/>
      <c r="D46" s="159"/>
      <c r="E46" s="159"/>
      <c r="F46" s="113"/>
      <c r="G46" s="160"/>
      <c r="H46" s="160"/>
      <c r="I46" s="160"/>
      <c r="J46" s="160"/>
      <c r="K46" s="113" t="s">
        <v>60</v>
      </c>
      <c r="L46" s="159"/>
      <c r="M46" s="159"/>
      <c r="N46" s="159"/>
      <c r="O46" s="159"/>
      <c r="P46" s="105"/>
    </row>
    <row r="47" spans="1:23" ht="10.15" customHeight="1" x14ac:dyDescent="0.5">
      <c r="A47" s="112"/>
      <c r="B47" s="115"/>
      <c r="C47" s="115"/>
      <c r="D47" s="115"/>
      <c r="E47" s="115"/>
      <c r="F47" s="113"/>
      <c r="G47" s="115"/>
      <c r="H47" s="115"/>
      <c r="I47" s="115"/>
      <c r="J47" s="115"/>
      <c r="K47" s="113"/>
      <c r="L47" s="115"/>
      <c r="M47" s="115"/>
      <c r="N47" s="115"/>
      <c r="O47" s="115"/>
      <c r="P47" s="105"/>
    </row>
    <row r="48" spans="1:23" x14ac:dyDescent="0.25">
      <c r="A48" s="96"/>
      <c r="B48" s="97" t="s">
        <v>61</v>
      </c>
      <c r="E48" s="113" t="s">
        <v>62</v>
      </c>
      <c r="J48" s="113"/>
      <c r="L48" s="97" t="s">
        <v>61</v>
      </c>
      <c r="O48" s="113" t="s">
        <v>62</v>
      </c>
      <c r="P48" s="105"/>
    </row>
    <row r="49" spans="1:22" ht="9.9499999999999993" customHeight="1" x14ac:dyDescent="0.25">
      <c r="A49" s="116"/>
      <c r="B49" s="117"/>
      <c r="C49" s="117"/>
      <c r="D49" s="117"/>
      <c r="E49" s="117"/>
      <c r="F49" s="117"/>
      <c r="G49" s="117"/>
      <c r="H49" s="117"/>
      <c r="I49" s="117"/>
      <c r="J49" s="117"/>
      <c r="K49" s="117"/>
      <c r="L49" s="117"/>
      <c r="M49" s="117"/>
      <c r="N49" s="117"/>
      <c r="O49" s="117"/>
      <c r="P49" s="118"/>
      <c r="S49" s="100"/>
      <c r="T49" s="100"/>
      <c r="U49" s="100"/>
      <c r="V49" s="113"/>
    </row>
  </sheetData>
  <mergeCells count="30">
    <mergeCell ref="B46:E46"/>
    <mergeCell ref="G46:J46"/>
    <mergeCell ref="L46:O46"/>
    <mergeCell ref="B43:F43"/>
    <mergeCell ref="G43:K43"/>
    <mergeCell ref="L43:P43"/>
    <mergeCell ref="B44:E44"/>
    <mergeCell ref="G44:J44"/>
    <mergeCell ref="L44:O44"/>
    <mergeCell ref="J31:K31"/>
    <mergeCell ref="M31:N31"/>
    <mergeCell ref="J32:K32"/>
    <mergeCell ref="M32:N32"/>
    <mergeCell ref="J33:K33"/>
    <mergeCell ref="M33:N33"/>
    <mergeCell ref="M34:N34"/>
    <mergeCell ref="L37:O37"/>
    <mergeCell ref="G38:K38"/>
    <mergeCell ref="L38:O38"/>
    <mergeCell ref="M30:N30"/>
    <mergeCell ref="B21:G22"/>
    <mergeCell ref="B24:G25"/>
    <mergeCell ref="B27:G28"/>
    <mergeCell ref="A9:P10"/>
    <mergeCell ref="B18:G19"/>
    <mergeCell ref="A3:P3"/>
    <mergeCell ref="A4:P4"/>
    <mergeCell ref="A5:P5"/>
    <mergeCell ref="A6:P6"/>
    <mergeCell ref="C7:D7"/>
  </mergeCells>
  <conditionalFormatting sqref="F35">
    <cfRule type="expression" dxfId="17" priority="2">
      <formula>#N/A</formula>
    </cfRule>
  </conditionalFormatting>
  <conditionalFormatting sqref="F41">
    <cfRule type="expression" dxfId="16" priority="1">
      <formula>#N/A</formula>
    </cfRule>
  </conditionalFormatting>
  <conditionalFormatting sqref="G14:G15 J14:K15 G16:K17 H18:L18 H20 K20 I20:I21 H34:K35 G36:K36 F37:I37 W37:W41 F39 E40:E41 G42:K42">
    <cfRule type="expression" dxfId="15" priority="18">
      <formula>#N/A</formula>
    </cfRule>
  </conditionalFormatting>
  <conditionalFormatting sqref="H32">
    <cfRule type="expression" dxfId="14" priority="6">
      <formula>#N/A</formula>
    </cfRule>
  </conditionalFormatting>
  <conditionalFormatting sqref="H30:I31">
    <cfRule type="expression" dxfId="13" priority="7">
      <formula>#N/A</formula>
    </cfRule>
  </conditionalFormatting>
  <conditionalFormatting sqref="H21:L22">
    <cfRule type="expression" dxfId="12" priority="17">
      <formula>#N/A</formula>
    </cfRule>
  </conditionalFormatting>
  <conditionalFormatting sqref="I23:I27 H24:H26 J24:L26">
    <cfRule type="expression" dxfId="11" priority="16">
      <formula>#N/A</formula>
    </cfRule>
  </conditionalFormatting>
  <conditionalFormatting sqref="I32:I33 L32:L33">
    <cfRule type="expression" dxfId="10" priority="15">
      <formula>#N/A</formula>
    </cfRule>
  </conditionalFormatting>
  <conditionalFormatting sqref="J39:J41">
    <cfRule type="expression" dxfId="9" priority="14">
      <formula>#N/A</formula>
    </cfRule>
  </conditionalFormatting>
  <conditionalFormatting sqref="M19:M20">
    <cfRule type="expression" dxfId="8" priority="12">
      <formula>#N/A</formula>
    </cfRule>
  </conditionalFormatting>
  <conditionalFormatting sqref="M23">
    <cfRule type="expression" dxfId="7" priority="10">
      <formula>#N/A</formula>
    </cfRule>
  </conditionalFormatting>
  <conditionalFormatting sqref="M26">
    <cfRule type="expression" dxfId="6" priority="9">
      <formula>#N/A</formula>
    </cfRule>
  </conditionalFormatting>
  <conditionalFormatting sqref="M29">
    <cfRule type="expression" dxfId="5" priority="8">
      <formula>#N/A</formula>
    </cfRule>
  </conditionalFormatting>
  <conditionalFormatting sqref="M31">
    <cfRule type="expression" dxfId="4" priority="5">
      <formula>#N/A</formula>
    </cfRule>
  </conditionalFormatting>
  <conditionalFormatting sqref="M35">
    <cfRule type="expression" dxfId="3" priority="4">
      <formula>#N/A</formula>
    </cfRule>
  </conditionalFormatting>
  <conditionalFormatting sqref="O19:O20 L19:L30">
    <cfRule type="expression" dxfId="2" priority="11">
      <formula>#N/A</formula>
    </cfRule>
  </conditionalFormatting>
  <conditionalFormatting sqref="O22:O35">
    <cfRule type="expression" dxfId="1" priority="3">
      <formula>#N/A</formula>
    </cfRule>
  </conditionalFormatting>
  <conditionalFormatting sqref="O39:O41">
    <cfRule type="expression" dxfId="0" priority="13">
      <formula>#N/A</formula>
    </cfRule>
  </conditionalFormatting>
  <printOptions horizontalCentered="1"/>
  <pageMargins left="0.39370078740157483" right="0.23622047244094491" top="0.23622047244094491" bottom="0.23622047244094491" header="0.23622047244094491" footer="0.23622047244094491"/>
  <pageSetup paperSize="9" fitToHeight="5"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8A96F-F02D-4A9A-B153-C2A2EA434689}">
  <dimension ref="A1:X786"/>
  <sheetViews>
    <sheetView view="pageBreakPreview" zoomScale="55" zoomScaleNormal="55" zoomScaleSheetLayoutView="55" workbookViewId="0">
      <selection activeCell="I21" sqref="I21"/>
    </sheetView>
  </sheetViews>
  <sheetFormatPr defaultRowHeight="33" x14ac:dyDescent="0.75"/>
  <cols>
    <col min="1" max="1" width="7.140625" style="57" customWidth="1"/>
    <col min="2" max="2" width="14.7109375" style="57" customWidth="1"/>
    <col min="3" max="3" width="14.85546875" style="57" customWidth="1"/>
    <col min="4" max="4" width="9.140625" style="57"/>
    <col min="5" max="5" width="27.28515625" style="57" customWidth="1"/>
    <col min="6" max="6" width="38.42578125" style="57" customWidth="1"/>
    <col min="7" max="7" width="9.140625" style="57"/>
    <col min="8" max="8" width="10.42578125" style="57" customWidth="1"/>
    <col min="9" max="10" width="9.140625" style="57"/>
    <col min="11" max="11" width="9.140625" style="58"/>
    <col min="12" max="12" width="46.85546875" style="58" customWidth="1"/>
    <col min="13" max="16" width="9.140625" style="58"/>
    <col min="17" max="17" width="8.85546875" style="58" customWidth="1"/>
    <col min="18" max="18" width="36.85546875" style="58" customWidth="1"/>
    <col min="19" max="19" width="29.28515625" style="1" customWidth="1"/>
    <col min="20" max="20" width="16.140625" style="1" customWidth="1"/>
    <col min="21" max="21" width="9.140625" style="1"/>
    <col min="22" max="22" width="14.140625" style="1" customWidth="1"/>
    <col min="23" max="23" width="15.85546875" style="1" customWidth="1"/>
    <col min="24" max="24" width="15.42578125" style="1" customWidth="1"/>
    <col min="25" max="16384" width="9.140625" style="1"/>
  </cols>
  <sheetData>
    <row r="1" spans="1:18" ht="30.75" x14ac:dyDescent="0.4">
      <c r="A1" s="166" t="s">
        <v>0</v>
      </c>
      <c r="B1" s="167" t="s">
        <v>1</v>
      </c>
      <c r="C1" s="167" t="s">
        <v>2</v>
      </c>
      <c r="D1" s="168" t="s">
        <v>3</v>
      </c>
      <c r="E1" s="168" t="s">
        <v>4</v>
      </c>
      <c r="F1" s="162" t="s">
        <v>5</v>
      </c>
      <c r="G1" s="163" t="s">
        <v>6</v>
      </c>
      <c r="H1" s="163"/>
      <c r="I1" s="163"/>
      <c r="J1" s="163"/>
      <c r="K1" s="163"/>
      <c r="L1" s="164" t="s">
        <v>7</v>
      </c>
      <c r="M1" s="164" t="s">
        <v>8</v>
      </c>
      <c r="N1" s="164"/>
      <c r="O1" s="164"/>
      <c r="P1" s="164"/>
      <c r="Q1" s="164"/>
      <c r="R1" s="165" t="s">
        <v>9</v>
      </c>
    </row>
    <row r="2" spans="1:18" ht="132" x14ac:dyDescent="0.4">
      <c r="A2" s="166"/>
      <c r="B2" s="167"/>
      <c r="C2" s="167"/>
      <c r="D2" s="168"/>
      <c r="E2" s="168"/>
      <c r="F2" s="162"/>
      <c r="G2" s="2" t="s">
        <v>10</v>
      </c>
      <c r="H2" s="2" t="s">
        <v>11</v>
      </c>
      <c r="I2" s="2" t="s">
        <v>12</v>
      </c>
      <c r="J2" s="2" t="s">
        <v>13</v>
      </c>
      <c r="K2" s="3" t="s">
        <v>14</v>
      </c>
      <c r="L2" s="164"/>
      <c r="M2" s="4" t="s">
        <v>10</v>
      </c>
      <c r="N2" s="4" t="s">
        <v>11</v>
      </c>
      <c r="O2" s="4" t="s">
        <v>15</v>
      </c>
      <c r="P2" s="4" t="s">
        <v>16</v>
      </c>
      <c r="Q2" s="4" t="s">
        <v>17</v>
      </c>
      <c r="R2" s="165"/>
    </row>
    <row r="3" spans="1:18" x14ac:dyDescent="0.4">
      <c r="A3" s="5"/>
      <c r="B3" s="5"/>
      <c r="C3" s="5"/>
      <c r="D3" s="6"/>
      <c r="E3" s="7"/>
      <c r="F3" s="7"/>
      <c r="G3" s="5"/>
      <c r="H3" s="6"/>
      <c r="I3" s="6"/>
      <c r="J3" s="6"/>
      <c r="K3" s="8"/>
      <c r="L3" s="9"/>
      <c r="M3" s="8"/>
      <c r="N3" s="10"/>
      <c r="O3" s="11"/>
      <c r="P3" s="8"/>
      <c r="Q3" s="8"/>
      <c r="R3" s="9"/>
    </row>
    <row r="4" spans="1:18" x14ac:dyDescent="0.4">
      <c r="A4" s="5"/>
      <c r="B4" s="5"/>
      <c r="C4" s="5"/>
      <c r="D4" s="6"/>
      <c r="E4" s="7"/>
      <c r="F4" s="7"/>
      <c r="G4" s="5"/>
      <c r="H4" s="6"/>
      <c r="I4" s="6"/>
      <c r="J4" s="6"/>
      <c r="K4" s="8"/>
      <c r="L4" s="9"/>
      <c r="M4" s="8"/>
      <c r="N4" s="10"/>
      <c r="O4" s="11"/>
      <c r="P4" s="8"/>
      <c r="Q4" s="8"/>
      <c r="R4" s="9"/>
    </row>
    <row r="5" spans="1:18" x14ac:dyDescent="0.4">
      <c r="A5" s="5"/>
      <c r="B5" s="5"/>
      <c r="C5" s="5"/>
      <c r="D5" s="6"/>
      <c r="E5" s="7"/>
      <c r="F5" s="7"/>
      <c r="G5" s="5"/>
      <c r="H5" s="6"/>
      <c r="I5" s="6"/>
      <c r="J5" s="6"/>
      <c r="K5" s="8"/>
      <c r="L5" s="9"/>
      <c r="M5" s="8"/>
      <c r="N5" s="10"/>
      <c r="O5" s="11"/>
      <c r="P5" s="8"/>
      <c r="Q5" s="8"/>
      <c r="R5" s="9"/>
    </row>
    <row r="6" spans="1:18" x14ac:dyDescent="0.4">
      <c r="A6" s="5"/>
      <c r="B6" s="5"/>
      <c r="C6" s="5"/>
      <c r="D6" s="6"/>
      <c r="E6" s="7"/>
      <c r="F6" s="7"/>
      <c r="G6" s="5"/>
      <c r="H6" s="6"/>
      <c r="I6" s="6"/>
      <c r="J6" s="6"/>
      <c r="K6" s="8"/>
      <c r="L6" s="9"/>
      <c r="M6" s="8"/>
      <c r="N6" s="10"/>
      <c r="O6" s="11"/>
      <c r="P6" s="8"/>
      <c r="Q6" s="8"/>
      <c r="R6" s="9"/>
    </row>
    <row r="7" spans="1:18" x14ac:dyDescent="0.4">
      <c r="A7" s="5"/>
      <c r="B7" s="5"/>
      <c r="C7" s="5"/>
      <c r="D7" s="6"/>
      <c r="E7" s="7"/>
      <c r="F7" s="7"/>
      <c r="G7" s="5"/>
      <c r="H7" s="6"/>
      <c r="I7" s="6"/>
      <c r="J7" s="6"/>
      <c r="K7" s="8"/>
      <c r="L7" s="9"/>
      <c r="M7" s="8"/>
      <c r="N7" s="10"/>
      <c r="O7" s="11"/>
      <c r="P7" s="8"/>
      <c r="Q7" s="8"/>
      <c r="R7" s="9"/>
    </row>
    <row r="8" spans="1:18" x14ac:dyDescent="0.4">
      <c r="A8" s="5"/>
      <c r="B8" s="5"/>
      <c r="C8" s="5"/>
      <c r="D8" s="6"/>
      <c r="E8" s="7"/>
      <c r="F8" s="7"/>
      <c r="G8" s="5"/>
      <c r="H8" s="6"/>
      <c r="I8" s="6"/>
      <c r="J8" s="6"/>
      <c r="K8" s="8"/>
      <c r="L8" s="9"/>
      <c r="M8" s="8"/>
      <c r="N8" s="10"/>
      <c r="O8" s="11"/>
      <c r="P8" s="8"/>
      <c r="Q8" s="8"/>
      <c r="R8" s="9"/>
    </row>
    <row r="9" spans="1:18" x14ac:dyDescent="0.4">
      <c r="A9" s="5"/>
      <c r="B9" s="5"/>
      <c r="C9" s="5"/>
      <c r="D9" s="6"/>
      <c r="E9" s="7"/>
      <c r="F9" s="7"/>
      <c r="G9" s="5"/>
      <c r="H9" s="6"/>
      <c r="I9" s="6"/>
      <c r="J9" s="6"/>
      <c r="K9" s="8"/>
      <c r="L9" s="9"/>
      <c r="M9" s="8"/>
      <c r="N9" s="10"/>
      <c r="O9" s="11"/>
      <c r="P9" s="8"/>
      <c r="Q9" s="8"/>
      <c r="R9" s="119"/>
    </row>
    <row r="10" spans="1:18" x14ac:dyDescent="0.4">
      <c r="A10" s="5"/>
      <c r="B10" s="5"/>
      <c r="C10" s="5"/>
      <c r="D10" s="6"/>
      <c r="E10" s="7"/>
      <c r="F10" s="7"/>
      <c r="G10" s="5"/>
      <c r="H10" s="6"/>
      <c r="I10" s="6"/>
      <c r="J10" s="6"/>
      <c r="K10" s="8"/>
      <c r="L10" s="9"/>
      <c r="M10" s="8"/>
      <c r="N10" s="10"/>
      <c r="O10" s="11"/>
      <c r="P10" s="8"/>
      <c r="Q10" s="8"/>
      <c r="R10" s="9"/>
    </row>
    <row r="11" spans="1:18" x14ac:dyDescent="0.4">
      <c r="A11" s="5"/>
      <c r="B11" s="5"/>
      <c r="C11" s="5"/>
      <c r="D11" s="6"/>
      <c r="E11" s="7"/>
      <c r="F11" s="7"/>
      <c r="G11" s="5"/>
      <c r="H11" s="6"/>
      <c r="I11" s="6"/>
      <c r="J11" s="6"/>
      <c r="K11" s="8"/>
      <c r="L11" s="9"/>
      <c r="M11" s="8"/>
      <c r="N11" s="10"/>
      <c r="O11" s="11"/>
      <c r="P11" s="8"/>
      <c r="Q11" s="8"/>
      <c r="R11" s="9"/>
    </row>
    <row r="12" spans="1:18" x14ac:dyDescent="0.4">
      <c r="A12" s="5"/>
      <c r="B12" s="5"/>
      <c r="C12" s="5"/>
      <c r="D12" s="6"/>
      <c r="E12" s="7"/>
      <c r="F12" s="7"/>
      <c r="G12" s="5"/>
      <c r="H12" s="6"/>
      <c r="I12" s="6"/>
      <c r="J12" s="6"/>
      <c r="K12" s="8"/>
      <c r="L12" s="9"/>
      <c r="M12" s="8"/>
      <c r="N12" s="10"/>
      <c r="O12" s="11"/>
      <c r="P12" s="8"/>
      <c r="Q12" s="8"/>
      <c r="R12" s="9"/>
    </row>
    <row r="13" spans="1:18" x14ac:dyDescent="0.4">
      <c r="A13" s="5"/>
      <c r="B13" s="5"/>
      <c r="C13" s="5"/>
      <c r="D13" s="6"/>
      <c r="E13" s="7"/>
      <c r="F13" s="7"/>
      <c r="G13" s="5"/>
      <c r="H13" s="6"/>
      <c r="I13" s="6"/>
      <c r="J13" s="6"/>
      <c r="K13" s="8"/>
      <c r="L13" s="9"/>
      <c r="M13" s="8"/>
      <c r="N13" s="10"/>
      <c r="O13" s="11"/>
      <c r="P13" s="8"/>
      <c r="Q13" s="8"/>
      <c r="R13" s="9"/>
    </row>
    <row r="14" spans="1:18" x14ac:dyDescent="0.4">
      <c r="A14" s="5"/>
      <c r="B14" s="5"/>
      <c r="C14" s="5"/>
      <c r="D14" s="6"/>
      <c r="E14" s="7"/>
      <c r="F14" s="7"/>
      <c r="G14" s="5"/>
      <c r="H14" s="6"/>
      <c r="I14" s="6"/>
      <c r="J14" s="6"/>
      <c r="K14" s="8"/>
      <c r="L14" s="9"/>
      <c r="M14" s="8"/>
      <c r="N14" s="10"/>
      <c r="O14" s="11"/>
      <c r="P14" s="8"/>
      <c r="Q14" s="8"/>
      <c r="R14" s="9"/>
    </row>
    <row r="15" spans="1:18" x14ac:dyDescent="0.4">
      <c r="A15" s="5"/>
      <c r="B15" s="5"/>
      <c r="C15" s="5"/>
      <c r="D15" s="6"/>
      <c r="E15" s="7"/>
      <c r="F15" s="7"/>
      <c r="G15" s="5"/>
      <c r="H15" s="6"/>
      <c r="I15" s="6"/>
      <c r="J15" s="6"/>
      <c r="K15" s="8"/>
      <c r="L15" s="9"/>
      <c r="M15" s="8"/>
      <c r="N15" s="10"/>
      <c r="O15" s="11"/>
      <c r="P15" s="8"/>
      <c r="Q15" s="8"/>
      <c r="R15" s="9"/>
    </row>
    <row r="16" spans="1:18" x14ac:dyDescent="0.4">
      <c r="A16" s="5"/>
      <c r="B16" s="5"/>
      <c r="C16" s="5"/>
      <c r="D16" s="6"/>
      <c r="E16" s="7"/>
      <c r="F16" s="7"/>
      <c r="G16" s="5"/>
      <c r="H16" s="6"/>
      <c r="I16" s="6"/>
      <c r="J16" s="6"/>
      <c r="K16" s="8"/>
      <c r="L16" s="9"/>
      <c r="M16" s="8"/>
      <c r="N16" s="10"/>
      <c r="O16" s="11"/>
      <c r="P16" s="8"/>
      <c r="Q16" s="8"/>
      <c r="R16" s="9"/>
    </row>
    <row r="17" spans="1:18" x14ac:dyDescent="0.4">
      <c r="A17" s="5"/>
      <c r="B17" s="5"/>
      <c r="C17" s="5"/>
      <c r="D17" s="6"/>
      <c r="E17" s="7"/>
      <c r="F17" s="7"/>
      <c r="G17" s="5"/>
      <c r="H17" s="6"/>
      <c r="I17" s="6"/>
      <c r="J17" s="6"/>
      <c r="K17" s="8"/>
      <c r="L17" s="9"/>
      <c r="M17" s="8"/>
      <c r="N17" s="10"/>
      <c r="O17" s="11"/>
      <c r="P17" s="8"/>
      <c r="Q17" s="8"/>
      <c r="R17" s="9"/>
    </row>
    <row r="18" spans="1:18" x14ac:dyDescent="0.4">
      <c r="A18" s="5"/>
      <c r="B18" s="5"/>
      <c r="C18" s="5"/>
      <c r="D18" s="6"/>
      <c r="E18" s="7"/>
      <c r="F18" s="7"/>
      <c r="G18" s="5"/>
      <c r="H18" s="6"/>
      <c r="I18" s="6"/>
      <c r="J18" s="6"/>
      <c r="K18" s="8"/>
      <c r="L18" s="9"/>
      <c r="M18" s="8"/>
      <c r="N18" s="10"/>
      <c r="O18" s="11"/>
      <c r="P18" s="8"/>
      <c r="Q18" s="8"/>
      <c r="R18" s="9"/>
    </row>
    <row r="19" spans="1:18" x14ac:dyDescent="0.4">
      <c r="A19" s="5"/>
      <c r="B19" s="5"/>
      <c r="C19" s="5"/>
      <c r="D19" s="6"/>
      <c r="E19" s="7"/>
      <c r="F19" s="7"/>
      <c r="G19" s="5"/>
      <c r="H19" s="6"/>
      <c r="I19" s="6"/>
      <c r="J19" s="6"/>
      <c r="K19" s="8"/>
      <c r="L19" s="9"/>
      <c r="M19" s="8"/>
      <c r="N19" s="10"/>
      <c r="O19" s="11"/>
      <c r="P19" s="8"/>
      <c r="Q19" s="8"/>
      <c r="R19" s="9"/>
    </row>
    <row r="20" spans="1:18" x14ac:dyDescent="0.4">
      <c r="A20" s="5"/>
      <c r="B20" s="5"/>
      <c r="C20" s="5"/>
      <c r="D20" s="6"/>
      <c r="E20" s="7"/>
      <c r="F20" s="7"/>
      <c r="G20" s="5"/>
      <c r="H20" s="6"/>
      <c r="I20" s="6"/>
      <c r="J20" s="6"/>
      <c r="K20" s="8"/>
      <c r="L20" s="9"/>
      <c r="M20" s="8"/>
      <c r="N20" s="10"/>
      <c r="O20" s="11"/>
      <c r="P20" s="8"/>
      <c r="Q20" s="8"/>
      <c r="R20" s="9"/>
    </row>
    <row r="21" spans="1:18" x14ac:dyDescent="0.4">
      <c r="A21" s="5"/>
      <c r="B21" s="5"/>
      <c r="C21" s="5"/>
      <c r="D21" s="6"/>
      <c r="E21" s="7"/>
      <c r="F21" s="7"/>
      <c r="G21" s="5"/>
      <c r="H21" s="6"/>
      <c r="I21" s="6"/>
      <c r="J21" s="6"/>
      <c r="K21" s="8"/>
      <c r="L21" s="9"/>
      <c r="M21" s="8"/>
      <c r="N21" s="10"/>
      <c r="O21" s="11"/>
      <c r="P21" s="8"/>
      <c r="Q21" s="8"/>
      <c r="R21" s="9"/>
    </row>
    <row r="22" spans="1:18" x14ac:dyDescent="0.4">
      <c r="A22" s="5"/>
      <c r="B22" s="5"/>
      <c r="C22" s="5"/>
      <c r="D22" s="6"/>
      <c r="E22" s="7"/>
      <c r="F22" s="7"/>
      <c r="G22" s="5"/>
      <c r="H22" s="6"/>
      <c r="I22" s="6"/>
      <c r="J22" s="6"/>
      <c r="K22" s="8"/>
      <c r="L22" s="9"/>
      <c r="M22" s="8"/>
      <c r="N22" s="10"/>
      <c r="O22" s="11"/>
      <c r="P22" s="8"/>
      <c r="Q22" s="8"/>
      <c r="R22" s="9"/>
    </row>
    <row r="23" spans="1:18" x14ac:dyDescent="0.4">
      <c r="A23" s="5"/>
      <c r="B23" s="5"/>
      <c r="C23" s="5"/>
      <c r="D23" s="6"/>
      <c r="E23" s="7"/>
      <c r="F23" s="7"/>
      <c r="G23" s="5"/>
      <c r="H23" s="6"/>
      <c r="I23" s="6"/>
      <c r="J23" s="6"/>
      <c r="K23" s="8"/>
      <c r="L23" s="9"/>
      <c r="M23" s="8"/>
      <c r="N23" s="10"/>
      <c r="O23" s="11"/>
      <c r="P23" s="8"/>
      <c r="Q23" s="8"/>
      <c r="R23" s="9"/>
    </row>
    <row r="24" spans="1:18" x14ac:dyDescent="0.4">
      <c r="A24" s="5"/>
      <c r="B24" s="5"/>
      <c r="C24" s="5"/>
      <c r="D24" s="6"/>
      <c r="E24" s="7"/>
      <c r="F24" s="7"/>
      <c r="G24" s="5"/>
      <c r="H24" s="6"/>
      <c r="I24" s="6"/>
      <c r="J24" s="6"/>
      <c r="K24" s="8"/>
      <c r="L24" s="9"/>
      <c r="M24" s="8"/>
      <c r="N24" s="10"/>
      <c r="O24" s="11"/>
      <c r="P24" s="8"/>
      <c r="Q24" s="8"/>
      <c r="R24" s="8"/>
    </row>
    <row r="25" spans="1:18" x14ac:dyDescent="0.4">
      <c r="A25" s="5"/>
      <c r="B25" s="5"/>
      <c r="C25" s="5"/>
      <c r="D25" s="6"/>
      <c r="E25" s="7"/>
      <c r="F25" s="7"/>
      <c r="G25" s="5"/>
      <c r="H25" s="6"/>
      <c r="I25" s="6"/>
      <c r="J25" s="6"/>
      <c r="K25" s="8"/>
      <c r="L25" s="9"/>
      <c r="M25" s="8"/>
      <c r="N25" s="10"/>
      <c r="O25" s="11"/>
      <c r="P25" s="8"/>
      <c r="Q25" s="8"/>
      <c r="R25" s="8"/>
    </row>
    <row r="26" spans="1:18" x14ac:dyDescent="0.4">
      <c r="A26" s="5"/>
      <c r="B26" s="5"/>
      <c r="C26" s="5"/>
      <c r="D26" s="6"/>
      <c r="E26" s="7"/>
      <c r="F26" s="7"/>
      <c r="G26" s="5"/>
      <c r="H26" s="6"/>
      <c r="I26" s="6"/>
      <c r="J26" s="6"/>
      <c r="K26" s="8"/>
      <c r="L26" s="9"/>
      <c r="M26" s="8"/>
      <c r="N26" s="10"/>
      <c r="O26" s="11"/>
      <c r="P26" s="8"/>
      <c r="Q26" s="8"/>
      <c r="R26" s="8"/>
    </row>
    <row r="27" spans="1:18" x14ac:dyDescent="0.4">
      <c r="A27" s="5"/>
      <c r="B27" s="5"/>
      <c r="C27" s="5"/>
      <c r="D27" s="6"/>
      <c r="E27" s="7"/>
      <c r="F27" s="7"/>
      <c r="G27" s="5"/>
      <c r="H27" s="6"/>
      <c r="I27" s="6"/>
      <c r="J27" s="6"/>
      <c r="K27" s="8"/>
      <c r="L27" s="9"/>
      <c r="M27" s="8"/>
      <c r="N27" s="10"/>
      <c r="O27" s="11"/>
      <c r="P27" s="8"/>
      <c r="Q27" s="8"/>
      <c r="R27" s="8"/>
    </row>
    <row r="28" spans="1:18" x14ac:dyDescent="0.4">
      <c r="A28" s="5"/>
      <c r="B28" s="5"/>
      <c r="C28" s="5"/>
      <c r="D28" s="6"/>
      <c r="E28" s="7"/>
      <c r="F28" s="7"/>
      <c r="G28" s="5"/>
      <c r="H28" s="6"/>
      <c r="I28" s="6"/>
      <c r="J28" s="6"/>
      <c r="K28" s="8"/>
      <c r="L28" s="9"/>
      <c r="M28" s="8"/>
      <c r="N28" s="10"/>
      <c r="O28" s="11"/>
      <c r="P28" s="8"/>
      <c r="Q28" s="8"/>
      <c r="R28" s="8"/>
    </row>
    <row r="29" spans="1:18" x14ac:dyDescent="0.4">
      <c r="A29" s="5"/>
      <c r="B29" s="5"/>
      <c r="C29" s="5"/>
      <c r="D29" s="6"/>
      <c r="E29" s="7"/>
      <c r="F29" s="7"/>
      <c r="G29" s="5"/>
      <c r="H29" s="6"/>
      <c r="I29" s="6"/>
      <c r="J29" s="6"/>
      <c r="K29" s="8"/>
      <c r="L29" s="9"/>
      <c r="M29" s="8"/>
      <c r="N29" s="10"/>
      <c r="O29" s="11"/>
      <c r="P29" s="8"/>
      <c r="Q29" s="8"/>
      <c r="R29" s="8"/>
    </row>
    <row r="30" spans="1:18" x14ac:dyDescent="0.4">
      <c r="A30" s="5"/>
      <c r="B30" s="5"/>
      <c r="C30" s="5"/>
      <c r="D30" s="6"/>
      <c r="E30" s="7"/>
      <c r="F30" s="7"/>
      <c r="G30" s="5"/>
      <c r="H30" s="6"/>
      <c r="I30" s="6"/>
      <c r="J30" s="6"/>
      <c r="K30" s="8"/>
      <c r="L30" s="9"/>
      <c r="M30" s="8"/>
      <c r="N30" s="10"/>
      <c r="O30" s="11"/>
      <c r="P30" s="8"/>
      <c r="Q30" s="8"/>
      <c r="R30" s="8"/>
    </row>
    <row r="31" spans="1:18" x14ac:dyDescent="0.4">
      <c r="A31" s="5"/>
      <c r="B31" s="5"/>
      <c r="C31" s="5"/>
      <c r="D31" s="6"/>
      <c r="E31" s="7"/>
      <c r="F31" s="7"/>
      <c r="G31" s="5"/>
      <c r="H31" s="6"/>
      <c r="I31" s="6"/>
      <c r="J31" s="6"/>
      <c r="K31" s="8"/>
      <c r="L31" s="9"/>
      <c r="M31" s="8"/>
      <c r="N31" s="10"/>
      <c r="O31" s="11"/>
      <c r="P31" s="8"/>
      <c r="Q31" s="8"/>
      <c r="R31" s="12"/>
    </row>
    <row r="32" spans="1:18" x14ac:dyDescent="0.4">
      <c r="A32" s="5"/>
      <c r="B32" s="5"/>
      <c r="C32" s="5"/>
      <c r="D32" s="6"/>
      <c r="E32" s="7"/>
      <c r="F32" s="7"/>
      <c r="G32" s="5"/>
      <c r="H32" s="6"/>
      <c r="I32" s="6"/>
      <c r="J32" s="6"/>
      <c r="K32" s="8"/>
      <c r="L32" s="9"/>
      <c r="M32" s="8"/>
      <c r="N32" s="10"/>
      <c r="O32" s="11"/>
      <c r="P32" s="8"/>
      <c r="Q32" s="8"/>
      <c r="R32" s="8"/>
    </row>
    <row r="33" spans="1:18" x14ac:dyDescent="0.4">
      <c r="A33" s="5"/>
      <c r="B33" s="5"/>
      <c r="C33" s="5"/>
      <c r="D33" s="6"/>
      <c r="E33" s="7"/>
      <c r="F33" s="7"/>
      <c r="G33" s="5"/>
      <c r="H33" s="6"/>
      <c r="I33" s="6"/>
      <c r="J33" s="6"/>
      <c r="K33" s="8"/>
      <c r="L33" s="9"/>
      <c r="M33" s="8"/>
      <c r="N33" s="10"/>
      <c r="O33" s="11"/>
      <c r="P33" s="8"/>
      <c r="Q33" s="8"/>
      <c r="R33" s="9"/>
    </row>
    <row r="34" spans="1:18" x14ac:dyDescent="0.4">
      <c r="A34" s="5"/>
      <c r="B34" s="5"/>
      <c r="C34" s="5"/>
      <c r="D34" s="6"/>
      <c r="E34" s="7"/>
      <c r="F34" s="7"/>
      <c r="G34" s="5"/>
      <c r="H34" s="6"/>
      <c r="I34" s="6"/>
      <c r="J34" s="6"/>
      <c r="K34" s="8"/>
      <c r="L34" s="9"/>
      <c r="M34" s="8"/>
      <c r="N34" s="10"/>
      <c r="O34" s="11"/>
      <c r="P34" s="8"/>
      <c r="Q34" s="8"/>
      <c r="R34" s="9"/>
    </row>
    <row r="35" spans="1:18" x14ac:dyDescent="0.4">
      <c r="A35" s="5"/>
      <c r="B35" s="5"/>
      <c r="C35" s="5"/>
      <c r="D35" s="6"/>
      <c r="E35" s="7"/>
      <c r="F35" s="7"/>
      <c r="G35" s="5"/>
      <c r="H35" s="6"/>
      <c r="I35" s="6"/>
      <c r="J35" s="6"/>
      <c r="K35" s="8"/>
      <c r="L35" s="9"/>
      <c r="M35" s="8"/>
      <c r="N35" s="10"/>
      <c r="O35" s="11"/>
      <c r="P35" s="8"/>
      <c r="Q35" s="8"/>
      <c r="R35" s="9"/>
    </row>
    <row r="36" spans="1:18" x14ac:dyDescent="0.4">
      <c r="A36" s="5"/>
      <c r="B36" s="5"/>
      <c r="C36" s="5"/>
      <c r="D36" s="6"/>
      <c r="E36" s="7"/>
      <c r="F36" s="7"/>
      <c r="G36" s="5"/>
      <c r="H36" s="6"/>
      <c r="I36" s="6"/>
      <c r="J36" s="6"/>
      <c r="K36" s="8"/>
      <c r="L36" s="9"/>
      <c r="M36" s="8"/>
      <c r="N36" s="10"/>
      <c r="O36" s="11"/>
      <c r="P36" s="8"/>
      <c r="Q36" s="8"/>
      <c r="R36" s="9"/>
    </row>
    <row r="37" spans="1:18" x14ac:dyDescent="0.4">
      <c r="A37" s="5"/>
      <c r="B37" s="5"/>
      <c r="C37" s="5"/>
      <c r="D37" s="6"/>
      <c r="E37" s="7"/>
      <c r="F37" s="7"/>
      <c r="G37" s="5"/>
      <c r="H37" s="6"/>
      <c r="I37" s="6"/>
      <c r="J37" s="6"/>
      <c r="K37" s="8"/>
      <c r="L37" s="9"/>
      <c r="M37" s="8"/>
      <c r="N37" s="10"/>
      <c r="O37" s="11"/>
      <c r="P37" s="8"/>
      <c r="Q37" s="8"/>
      <c r="R37" s="9"/>
    </row>
    <row r="38" spans="1:18" x14ac:dyDescent="0.4">
      <c r="A38" s="5"/>
      <c r="B38" s="5"/>
      <c r="C38" s="5"/>
      <c r="D38" s="6"/>
      <c r="E38" s="7"/>
      <c r="F38" s="7"/>
      <c r="G38" s="5"/>
      <c r="H38" s="6"/>
      <c r="I38" s="6"/>
      <c r="J38" s="6"/>
      <c r="K38" s="8"/>
      <c r="L38" s="9"/>
      <c r="M38" s="8"/>
      <c r="N38" s="10"/>
      <c r="O38" s="11"/>
      <c r="P38" s="8"/>
      <c r="Q38" s="8"/>
      <c r="R38" s="9"/>
    </row>
    <row r="39" spans="1:18" x14ac:dyDescent="0.4">
      <c r="A39" s="5"/>
      <c r="B39" s="5"/>
      <c r="C39" s="5"/>
      <c r="D39" s="6"/>
      <c r="E39" s="7"/>
      <c r="F39" s="7"/>
      <c r="G39" s="5"/>
      <c r="H39" s="6"/>
      <c r="I39" s="6"/>
      <c r="J39" s="6"/>
      <c r="K39" s="8"/>
      <c r="L39" s="9"/>
      <c r="M39" s="8"/>
      <c r="N39" s="10"/>
      <c r="O39" s="11"/>
      <c r="P39" s="8"/>
      <c r="Q39" s="8"/>
      <c r="R39" s="9"/>
    </row>
    <row r="40" spans="1:18" x14ac:dyDescent="0.4">
      <c r="A40" s="5"/>
      <c r="B40" s="5"/>
      <c r="C40" s="5"/>
      <c r="D40" s="6"/>
      <c r="E40" s="7"/>
      <c r="F40" s="7"/>
      <c r="G40" s="5"/>
      <c r="H40" s="6"/>
      <c r="I40" s="6"/>
      <c r="J40" s="6"/>
      <c r="K40" s="8"/>
      <c r="L40" s="9"/>
      <c r="M40" s="8"/>
      <c r="N40" s="10"/>
      <c r="O40" s="11"/>
      <c r="P40" s="8"/>
      <c r="Q40" s="8"/>
      <c r="R40" s="9"/>
    </row>
    <row r="41" spans="1:18" x14ac:dyDescent="0.4">
      <c r="A41" s="5"/>
      <c r="B41" s="5"/>
      <c r="C41" s="5"/>
      <c r="D41" s="6"/>
      <c r="E41" s="7"/>
      <c r="F41" s="7"/>
      <c r="G41" s="5"/>
      <c r="H41" s="6"/>
      <c r="I41" s="6"/>
      <c r="J41" s="6"/>
      <c r="K41" s="8"/>
      <c r="L41" s="9"/>
      <c r="M41" s="8"/>
      <c r="N41" s="10"/>
      <c r="O41" s="11"/>
      <c r="P41" s="8"/>
      <c r="Q41" s="8"/>
      <c r="R41" s="9"/>
    </row>
    <row r="42" spans="1:18" x14ac:dyDescent="0.4">
      <c r="A42" s="5"/>
      <c r="B42" s="5"/>
      <c r="C42" s="5"/>
      <c r="D42" s="6"/>
      <c r="E42" s="7"/>
      <c r="F42" s="7"/>
      <c r="G42" s="5"/>
      <c r="H42" s="6"/>
      <c r="I42" s="6"/>
      <c r="J42" s="6"/>
      <c r="K42" s="8"/>
      <c r="L42" s="9"/>
      <c r="M42" s="8"/>
      <c r="N42" s="10"/>
      <c r="O42" s="11"/>
      <c r="P42" s="8"/>
      <c r="Q42" s="8"/>
      <c r="R42" s="9"/>
    </row>
    <row r="43" spans="1:18" x14ac:dyDescent="0.4">
      <c r="A43" s="5"/>
      <c r="B43" s="5"/>
      <c r="C43" s="5"/>
      <c r="D43" s="6"/>
      <c r="E43" s="7"/>
      <c r="F43" s="7"/>
      <c r="G43" s="5"/>
      <c r="H43" s="6"/>
      <c r="I43" s="6"/>
      <c r="J43" s="6"/>
      <c r="K43" s="8"/>
      <c r="L43" s="9"/>
      <c r="M43" s="8"/>
      <c r="N43" s="10"/>
      <c r="O43" s="11"/>
      <c r="P43" s="8"/>
      <c r="Q43" s="9"/>
      <c r="R43" s="9"/>
    </row>
    <row r="44" spans="1:18" x14ac:dyDescent="0.4">
      <c r="A44" s="5"/>
      <c r="B44" s="5"/>
      <c r="C44" s="5"/>
      <c r="D44" s="6"/>
      <c r="E44" s="7"/>
      <c r="F44" s="7"/>
      <c r="G44" s="5"/>
      <c r="H44" s="6"/>
      <c r="I44" s="6"/>
      <c r="J44" s="6"/>
      <c r="K44" s="8"/>
      <c r="L44" s="9"/>
      <c r="M44" s="8"/>
      <c r="N44" s="10"/>
      <c r="O44" s="11"/>
      <c r="P44" s="8"/>
      <c r="Q44" s="9"/>
      <c r="R44" s="9"/>
    </row>
    <row r="45" spans="1:18" x14ac:dyDescent="0.4">
      <c r="A45" s="5"/>
      <c r="B45" s="5"/>
      <c r="C45" s="5"/>
      <c r="D45" s="6"/>
      <c r="E45" s="7"/>
      <c r="F45" s="7"/>
      <c r="G45" s="5"/>
      <c r="H45" s="6"/>
      <c r="I45" s="6"/>
      <c r="J45" s="6"/>
      <c r="K45" s="8"/>
      <c r="L45" s="9"/>
      <c r="M45" s="8"/>
      <c r="N45" s="10"/>
      <c r="O45" s="11"/>
      <c r="P45" s="8"/>
      <c r="Q45" s="9"/>
      <c r="R45" s="13"/>
    </row>
    <row r="46" spans="1:18" x14ac:dyDescent="0.4">
      <c r="A46" s="5"/>
      <c r="B46" s="5"/>
      <c r="C46" s="5"/>
      <c r="D46" s="6"/>
      <c r="E46" s="7"/>
      <c r="F46" s="7"/>
      <c r="G46" s="5"/>
      <c r="H46" s="6"/>
      <c r="I46" s="6"/>
      <c r="J46" s="6"/>
      <c r="K46" s="8"/>
      <c r="L46" s="9"/>
      <c r="M46" s="8"/>
      <c r="N46" s="10"/>
      <c r="O46" s="11"/>
      <c r="P46" s="8"/>
      <c r="Q46" s="9"/>
      <c r="R46" s="9"/>
    </row>
    <row r="47" spans="1:18" x14ac:dyDescent="0.4">
      <c r="A47" s="5"/>
      <c r="B47" s="5"/>
      <c r="C47" s="5"/>
      <c r="D47" s="6"/>
      <c r="E47" s="7"/>
      <c r="F47" s="7"/>
      <c r="G47" s="5"/>
      <c r="H47" s="6"/>
      <c r="I47" s="6"/>
      <c r="J47" s="6"/>
      <c r="K47" s="8"/>
      <c r="L47" s="9"/>
      <c r="M47" s="8"/>
      <c r="N47" s="10"/>
      <c r="O47" s="11"/>
      <c r="P47" s="8"/>
      <c r="Q47" s="9"/>
      <c r="R47" s="9"/>
    </row>
    <row r="48" spans="1:18" x14ac:dyDescent="0.4">
      <c r="A48" s="5"/>
      <c r="B48" s="5"/>
      <c r="C48" s="5"/>
      <c r="D48" s="6"/>
      <c r="E48" s="7"/>
      <c r="F48" s="7"/>
      <c r="G48" s="5"/>
      <c r="H48" s="6"/>
      <c r="I48" s="6"/>
      <c r="J48" s="6"/>
      <c r="K48" s="8"/>
      <c r="L48" s="9"/>
      <c r="M48" s="8"/>
      <c r="N48" s="10"/>
      <c r="O48" s="11"/>
      <c r="P48" s="8"/>
      <c r="Q48" s="9"/>
      <c r="R48" s="9"/>
    </row>
    <row r="49" spans="1:18" x14ac:dyDescent="0.4">
      <c r="A49" s="5"/>
      <c r="B49" s="5"/>
      <c r="C49" s="5"/>
      <c r="D49" s="6"/>
      <c r="E49" s="7"/>
      <c r="F49" s="7"/>
      <c r="G49" s="5"/>
      <c r="H49" s="6"/>
      <c r="I49" s="6"/>
      <c r="J49" s="6"/>
      <c r="K49" s="8"/>
      <c r="L49" s="9"/>
      <c r="M49" s="8"/>
      <c r="N49" s="10"/>
      <c r="O49" s="11"/>
      <c r="P49" s="8"/>
      <c r="Q49" s="9"/>
      <c r="R49" s="9"/>
    </row>
    <row r="50" spans="1:18" x14ac:dyDescent="0.4">
      <c r="A50" s="5"/>
      <c r="B50" s="5"/>
      <c r="C50" s="5"/>
      <c r="D50" s="6"/>
      <c r="E50" s="7"/>
      <c r="F50" s="7"/>
      <c r="G50" s="5"/>
      <c r="H50" s="6"/>
      <c r="I50" s="6"/>
      <c r="J50" s="6"/>
      <c r="K50" s="8"/>
      <c r="L50" s="9"/>
      <c r="M50" s="8"/>
      <c r="N50" s="10"/>
      <c r="O50" s="11"/>
      <c r="P50" s="8"/>
      <c r="Q50" s="9"/>
      <c r="R50" s="9"/>
    </row>
    <row r="51" spans="1:18" x14ac:dyDescent="0.4">
      <c r="A51" s="5"/>
      <c r="B51" s="5"/>
      <c r="C51" s="5"/>
      <c r="D51" s="6"/>
      <c r="E51" s="7"/>
      <c r="F51" s="7"/>
      <c r="G51" s="5"/>
      <c r="H51" s="6"/>
      <c r="I51" s="6"/>
      <c r="J51" s="6"/>
      <c r="K51" s="8"/>
      <c r="L51" s="9"/>
      <c r="M51" s="8"/>
      <c r="N51" s="10"/>
      <c r="O51" s="11"/>
      <c r="P51" s="8"/>
      <c r="Q51" s="9"/>
      <c r="R51" s="9"/>
    </row>
    <row r="52" spans="1:18" x14ac:dyDescent="0.4">
      <c r="A52" s="5"/>
      <c r="B52" s="5"/>
      <c r="C52" s="5"/>
      <c r="D52" s="6"/>
      <c r="E52" s="7"/>
      <c r="F52" s="7"/>
      <c r="G52" s="5"/>
      <c r="H52" s="6"/>
      <c r="I52" s="6"/>
      <c r="J52" s="6"/>
      <c r="K52" s="8"/>
      <c r="L52" s="9"/>
      <c r="M52" s="8"/>
      <c r="N52" s="10"/>
      <c r="O52" s="11"/>
      <c r="P52" s="8"/>
      <c r="Q52" s="9"/>
      <c r="R52" s="9"/>
    </row>
    <row r="53" spans="1:18" x14ac:dyDescent="0.4">
      <c r="A53" s="5"/>
      <c r="B53" s="5"/>
      <c r="C53" s="5"/>
      <c r="D53" s="6"/>
      <c r="E53" s="7"/>
      <c r="F53" s="7"/>
      <c r="G53" s="5"/>
      <c r="H53" s="6"/>
      <c r="I53" s="6"/>
      <c r="J53" s="6"/>
      <c r="K53" s="8"/>
      <c r="L53" s="9"/>
      <c r="M53" s="8"/>
      <c r="N53" s="10"/>
      <c r="O53" s="11"/>
      <c r="P53" s="8"/>
      <c r="Q53" s="9"/>
      <c r="R53" s="9"/>
    </row>
    <row r="54" spans="1:18" x14ac:dyDescent="0.4">
      <c r="A54" s="5"/>
      <c r="B54" s="5"/>
      <c r="C54" s="5"/>
      <c r="D54" s="6"/>
      <c r="E54" s="7"/>
      <c r="F54" s="7"/>
      <c r="G54" s="5"/>
      <c r="H54" s="6"/>
      <c r="I54" s="6"/>
      <c r="J54" s="6"/>
      <c r="K54" s="8"/>
      <c r="L54" s="9"/>
      <c r="M54" s="8"/>
      <c r="N54" s="10"/>
      <c r="O54" s="11"/>
      <c r="P54" s="8"/>
      <c r="Q54" s="9"/>
      <c r="R54" s="9"/>
    </row>
    <row r="55" spans="1:18" x14ac:dyDescent="0.4">
      <c r="A55" s="5"/>
      <c r="B55" s="5"/>
      <c r="C55" s="5"/>
      <c r="D55" s="6"/>
      <c r="E55" s="7"/>
      <c r="F55" s="7"/>
      <c r="G55" s="5"/>
      <c r="H55" s="6"/>
      <c r="I55" s="6"/>
      <c r="J55" s="6"/>
      <c r="K55" s="8"/>
      <c r="L55" s="9"/>
      <c r="M55" s="8"/>
      <c r="N55" s="10"/>
      <c r="O55" s="11"/>
      <c r="P55" s="8"/>
      <c r="Q55" s="9"/>
      <c r="R55" s="9"/>
    </row>
    <row r="56" spans="1:18" x14ac:dyDescent="0.4">
      <c r="A56" s="5"/>
      <c r="B56" s="5"/>
      <c r="C56" s="5"/>
      <c r="D56" s="6"/>
      <c r="E56" s="7"/>
      <c r="F56" s="7"/>
      <c r="G56" s="5"/>
      <c r="H56" s="6"/>
      <c r="I56" s="6"/>
      <c r="J56" s="6"/>
      <c r="K56" s="8"/>
      <c r="L56" s="9"/>
      <c r="M56" s="8"/>
      <c r="N56" s="10"/>
      <c r="O56" s="11"/>
      <c r="P56" s="8"/>
      <c r="Q56" s="8"/>
      <c r="R56" s="9"/>
    </row>
    <row r="57" spans="1:18" x14ac:dyDescent="0.4">
      <c r="A57" s="5"/>
      <c r="B57" s="5"/>
      <c r="C57" s="5"/>
      <c r="D57" s="6"/>
      <c r="E57" s="7"/>
      <c r="F57" s="7"/>
      <c r="G57" s="5"/>
      <c r="H57" s="6"/>
      <c r="I57" s="6"/>
      <c r="J57" s="6"/>
      <c r="K57" s="8"/>
      <c r="L57" s="9"/>
      <c r="M57" s="8"/>
      <c r="N57" s="10"/>
      <c r="O57" s="11"/>
      <c r="P57" s="8"/>
      <c r="Q57" s="8"/>
      <c r="R57" s="9"/>
    </row>
    <row r="58" spans="1:18" x14ac:dyDescent="0.4">
      <c r="A58" s="5"/>
      <c r="B58" s="5"/>
      <c r="C58" s="5"/>
      <c r="D58" s="6"/>
      <c r="E58" s="7"/>
      <c r="F58" s="7"/>
      <c r="G58" s="5"/>
      <c r="H58" s="6"/>
      <c r="I58" s="6"/>
      <c r="J58" s="6"/>
      <c r="K58" s="8"/>
      <c r="L58" s="9"/>
      <c r="M58" s="8"/>
      <c r="N58" s="10"/>
      <c r="O58" s="11"/>
      <c r="P58" s="8"/>
      <c r="Q58" s="8"/>
      <c r="R58" s="9"/>
    </row>
    <row r="59" spans="1:18" x14ac:dyDescent="0.4">
      <c r="A59" s="5"/>
      <c r="B59" s="5"/>
      <c r="C59" s="5"/>
      <c r="D59" s="6"/>
      <c r="E59" s="7"/>
      <c r="F59" s="7"/>
      <c r="G59" s="5"/>
      <c r="H59" s="6"/>
      <c r="I59" s="6"/>
      <c r="J59" s="6"/>
      <c r="K59" s="8"/>
      <c r="L59" s="9"/>
      <c r="M59" s="8"/>
      <c r="N59" s="10"/>
      <c r="O59" s="11"/>
      <c r="P59" s="8"/>
      <c r="Q59" s="8"/>
      <c r="R59" s="9"/>
    </row>
    <row r="60" spans="1:18" x14ac:dyDescent="0.4">
      <c r="A60" s="5"/>
      <c r="B60" s="5"/>
      <c r="C60" s="5"/>
      <c r="D60" s="6"/>
      <c r="E60" s="7"/>
      <c r="F60" s="7"/>
      <c r="G60" s="5"/>
      <c r="H60" s="6"/>
      <c r="I60" s="6"/>
      <c r="J60" s="6"/>
      <c r="K60" s="8"/>
      <c r="L60" s="9"/>
      <c r="M60" s="8"/>
      <c r="N60" s="10"/>
      <c r="O60" s="11"/>
      <c r="P60" s="8"/>
      <c r="Q60" s="8"/>
      <c r="R60" s="9"/>
    </row>
    <row r="61" spans="1:18" x14ac:dyDescent="0.4">
      <c r="A61" s="5"/>
      <c r="B61" s="5"/>
      <c r="C61" s="5"/>
      <c r="D61" s="6"/>
      <c r="E61" s="7"/>
      <c r="F61" s="7"/>
      <c r="G61" s="5"/>
      <c r="H61" s="6"/>
      <c r="I61" s="6"/>
      <c r="J61" s="6"/>
      <c r="K61" s="8"/>
      <c r="L61" s="9"/>
      <c r="M61" s="8"/>
      <c r="N61" s="10"/>
      <c r="O61" s="11"/>
      <c r="P61" s="8"/>
      <c r="Q61" s="8"/>
      <c r="R61" s="14"/>
    </row>
    <row r="62" spans="1:18" x14ac:dyDescent="0.4">
      <c r="A62" s="5"/>
      <c r="B62" s="5"/>
      <c r="C62" s="5"/>
      <c r="D62" s="6"/>
      <c r="E62" s="7"/>
      <c r="F62" s="7"/>
      <c r="G62" s="5"/>
      <c r="H62" s="6"/>
      <c r="I62" s="6"/>
      <c r="J62" s="6"/>
      <c r="K62" s="8"/>
      <c r="L62" s="9"/>
      <c r="M62" s="8"/>
      <c r="N62" s="10"/>
      <c r="O62" s="11"/>
      <c r="P62" s="8"/>
      <c r="Q62" s="8"/>
      <c r="R62" s="9"/>
    </row>
    <row r="63" spans="1:18" x14ac:dyDescent="0.4">
      <c r="A63" s="5"/>
      <c r="B63" s="5"/>
      <c r="C63" s="5"/>
      <c r="D63" s="6"/>
      <c r="E63" s="7"/>
      <c r="F63" s="7"/>
      <c r="G63" s="5"/>
      <c r="H63" s="6"/>
      <c r="I63" s="6"/>
      <c r="J63" s="6"/>
      <c r="K63" s="8"/>
      <c r="L63" s="9"/>
      <c r="M63" s="8"/>
      <c r="N63" s="10"/>
      <c r="O63" s="11"/>
      <c r="P63" s="8"/>
      <c r="Q63" s="8"/>
      <c r="R63" s="9"/>
    </row>
    <row r="64" spans="1:18" x14ac:dyDescent="0.4">
      <c r="A64" s="5"/>
      <c r="B64" s="5"/>
      <c r="C64" s="5"/>
      <c r="D64" s="6"/>
      <c r="E64" s="7"/>
      <c r="F64" s="7"/>
      <c r="G64" s="5"/>
      <c r="H64" s="6"/>
      <c r="I64" s="6"/>
      <c r="J64" s="6"/>
      <c r="K64" s="8"/>
      <c r="L64" s="9"/>
      <c r="M64" s="8"/>
      <c r="N64" s="10"/>
      <c r="O64" s="11"/>
      <c r="P64" s="8"/>
      <c r="Q64" s="8"/>
      <c r="R64" s="9"/>
    </row>
    <row r="65" spans="1:19" x14ac:dyDescent="0.4">
      <c r="A65" s="5"/>
      <c r="B65" s="5"/>
      <c r="C65" s="5"/>
      <c r="D65" s="6"/>
      <c r="E65" s="7"/>
      <c r="F65" s="7"/>
      <c r="G65" s="5"/>
      <c r="H65" s="6"/>
      <c r="I65" s="6"/>
      <c r="J65" s="6"/>
      <c r="K65" s="8"/>
      <c r="L65" s="9"/>
      <c r="M65" s="8"/>
      <c r="N65" s="10"/>
      <c r="O65" s="11"/>
      <c r="P65" s="8"/>
      <c r="Q65" s="8"/>
      <c r="R65" s="9"/>
    </row>
    <row r="66" spans="1:19" x14ac:dyDescent="0.4">
      <c r="A66" s="5"/>
      <c r="B66" s="5"/>
      <c r="C66" s="5"/>
      <c r="D66" s="6"/>
      <c r="E66" s="7"/>
      <c r="F66" s="7"/>
      <c r="G66" s="5"/>
      <c r="H66" s="6"/>
      <c r="I66" s="6"/>
      <c r="J66" s="6"/>
      <c r="K66" s="8"/>
      <c r="L66" s="9"/>
      <c r="M66" s="8"/>
      <c r="N66" s="10"/>
      <c r="O66" s="11"/>
      <c r="P66" s="8"/>
      <c r="Q66" s="8"/>
      <c r="R66" s="9"/>
    </row>
    <row r="67" spans="1:19" x14ac:dyDescent="0.4">
      <c r="A67" s="5"/>
      <c r="B67" s="5"/>
      <c r="C67" s="5"/>
      <c r="D67" s="6"/>
      <c r="E67" s="7"/>
      <c r="F67" s="7"/>
      <c r="G67" s="5"/>
      <c r="H67" s="6"/>
      <c r="I67" s="6"/>
      <c r="J67" s="6"/>
      <c r="K67" s="8"/>
      <c r="L67" s="9"/>
      <c r="M67" s="8"/>
      <c r="N67" s="10"/>
      <c r="O67" s="11"/>
      <c r="P67" s="8"/>
      <c r="Q67" s="8"/>
      <c r="R67" s="9"/>
    </row>
    <row r="68" spans="1:19" x14ac:dyDescent="0.4">
      <c r="A68" s="5"/>
      <c r="B68" s="5"/>
      <c r="C68" s="5"/>
      <c r="D68" s="6"/>
      <c r="E68" s="7"/>
      <c r="F68" s="7"/>
      <c r="G68" s="5"/>
      <c r="H68" s="6"/>
      <c r="I68" s="6"/>
      <c r="J68" s="6"/>
      <c r="K68" s="8"/>
      <c r="L68" s="9"/>
      <c r="M68" s="8"/>
      <c r="N68" s="10"/>
      <c r="O68" s="11"/>
      <c r="P68" s="8"/>
      <c r="Q68" s="8"/>
      <c r="R68" s="9"/>
    </row>
    <row r="69" spans="1:19" x14ac:dyDescent="0.4">
      <c r="A69" s="5"/>
      <c r="B69" s="5"/>
      <c r="C69" s="5"/>
      <c r="D69" s="6"/>
      <c r="E69" s="7"/>
      <c r="F69" s="7"/>
      <c r="G69" s="5"/>
      <c r="H69" s="6"/>
      <c r="I69" s="6"/>
      <c r="J69" s="6"/>
      <c r="K69" s="8"/>
      <c r="L69" s="9"/>
      <c r="M69" s="8"/>
      <c r="N69" s="10"/>
      <c r="O69" s="11"/>
      <c r="P69" s="8"/>
      <c r="Q69" s="8"/>
      <c r="R69" s="9"/>
    </row>
    <row r="70" spans="1:19" x14ac:dyDescent="0.4">
      <c r="A70" s="5"/>
      <c r="B70" s="5"/>
      <c r="C70" s="5"/>
      <c r="D70" s="6"/>
      <c r="E70" s="7"/>
      <c r="F70" s="7"/>
      <c r="G70" s="5"/>
      <c r="H70" s="6"/>
      <c r="I70" s="6"/>
      <c r="J70" s="6"/>
      <c r="K70" s="8"/>
      <c r="L70" s="9"/>
      <c r="M70" s="8"/>
      <c r="N70" s="10"/>
      <c r="O70" s="11"/>
      <c r="P70" s="8"/>
      <c r="Q70" s="8"/>
      <c r="R70" s="9"/>
    </row>
    <row r="71" spans="1:19" x14ac:dyDescent="0.4">
      <c r="A71" s="5"/>
      <c r="B71" s="5"/>
      <c r="C71" s="5"/>
      <c r="D71" s="6"/>
      <c r="E71" s="7"/>
      <c r="F71" s="7"/>
      <c r="G71" s="5"/>
      <c r="H71" s="6"/>
      <c r="I71" s="6"/>
      <c r="J71" s="6"/>
      <c r="K71" s="8"/>
      <c r="L71" s="9"/>
      <c r="M71" s="8"/>
      <c r="N71" s="10"/>
      <c r="O71" s="11"/>
      <c r="P71" s="8"/>
      <c r="Q71" s="8"/>
      <c r="R71" s="9"/>
    </row>
    <row r="72" spans="1:19" x14ac:dyDescent="0.4">
      <c r="A72" s="5"/>
      <c r="B72" s="5"/>
      <c r="C72" s="5"/>
      <c r="D72" s="6"/>
      <c r="E72" s="7"/>
      <c r="F72" s="7"/>
      <c r="G72" s="5"/>
      <c r="H72" s="6"/>
      <c r="I72" s="6"/>
      <c r="J72" s="6"/>
      <c r="K72" s="8"/>
      <c r="L72" s="9"/>
      <c r="M72" s="8"/>
      <c r="N72" s="10"/>
      <c r="O72" s="11"/>
      <c r="P72" s="8"/>
      <c r="Q72" s="8"/>
      <c r="R72" s="9"/>
    </row>
    <row r="73" spans="1:19" x14ac:dyDescent="0.4">
      <c r="A73" s="5"/>
      <c r="B73" s="5"/>
      <c r="C73" s="5"/>
      <c r="D73" s="6"/>
      <c r="E73" s="7"/>
      <c r="F73" s="7"/>
      <c r="G73" s="5"/>
      <c r="H73" s="6"/>
      <c r="I73" s="6"/>
      <c r="J73" s="6"/>
      <c r="K73" s="8"/>
      <c r="L73" s="9"/>
      <c r="M73" s="8"/>
      <c r="N73" s="10"/>
      <c r="O73" s="11"/>
      <c r="P73" s="8"/>
      <c r="Q73" s="8"/>
      <c r="R73" s="13"/>
      <c r="S73" s="15"/>
    </row>
    <row r="74" spans="1:19" x14ac:dyDescent="0.4">
      <c r="A74" s="5"/>
      <c r="B74" s="5"/>
      <c r="C74" s="5"/>
      <c r="D74" s="6"/>
      <c r="E74" s="7"/>
      <c r="F74" s="7"/>
      <c r="G74" s="5"/>
      <c r="H74" s="6"/>
      <c r="I74" s="6"/>
      <c r="J74" s="6"/>
      <c r="K74" s="8"/>
      <c r="L74" s="9"/>
      <c r="M74" s="8"/>
      <c r="N74" s="10"/>
      <c r="O74" s="11"/>
      <c r="P74" s="8"/>
      <c r="Q74" s="8"/>
      <c r="R74" s="14"/>
    </row>
    <row r="75" spans="1:19" x14ac:dyDescent="0.4">
      <c r="A75" s="5"/>
      <c r="B75" s="5"/>
      <c r="C75" s="5"/>
      <c r="D75" s="6"/>
      <c r="E75" s="7"/>
      <c r="F75" s="7"/>
      <c r="G75" s="5"/>
      <c r="H75" s="6"/>
      <c r="I75" s="6"/>
      <c r="J75" s="6"/>
      <c r="K75" s="8"/>
      <c r="L75" s="9"/>
      <c r="M75" s="8"/>
      <c r="N75" s="10"/>
      <c r="O75" s="11"/>
      <c r="P75" s="8"/>
      <c r="Q75" s="8"/>
      <c r="R75" s="13"/>
    </row>
    <row r="76" spans="1:19" x14ac:dyDescent="0.4">
      <c r="A76" s="5"/>
      <c r="B76" s="5"/>
      <c r="C76" s="5"/>
      <c r="D76" s="6"/>
      <c r="E76" s="7"/>
      <c r="F76" s="7"/>
      <c r="G76" s="5"/>
      <c r="H76" s="6"/>
      <c r="I76" s="6"/>
      <c r="J76" s="6"/>
      <c r="K76" s="8"/>
      <c r="L76" s="9"/>
      <c r="M76" s="8"/>
      <c r="N76" s="10"/>
      <c r="O76" s="11"/>
      <c r="P76" s="8"/>
      <c r="Q76" s="8"/>
      <c r="R76" s="13"/>
    </row>
    <row r="77" spans="1:19" x14ac:dyDescent="0.4">
      <c r="A77" s="5"/>
      <c r="B77" s="5"/>
      <c r="C77" s="5"/>
      <c r="D77" s="6"/>
      <c r="E77" s="7"/>
      <c r="F77" s="7"/>
      <c r="G77" s="5"/>
      <c r="H77" s="6"/>
      <c r="I77" s="6"/>
      <c r="J77" s="6"/>
      <c r="K77" s="8"/>
      <c r="L77" s="9"/>
      <c r="M77" s="8"/>
      <c r="N77" s="10"/>
      <c r="O77" s="11"/>
      <c r="P77" s="8"/>
      <c r="Q77" s="8"/>
      <c r="R77" s="13"/>
    </row>
    <row r="78" spans="1:19" x14ac:dyDescent="0.4">
      <c r="A78" s="5"/>
      <c r="B78" s="5"/>
      <c r="C78" s="5"/>
      <c r="D78" s="6"/>
      <c r="E78" s="7"/>
      <c r="F78" s="7"/>
      <c r="G78" s="5"/>
      <c r="H78" s="6"/>
      <c r="I78" s="6"/>
      <c r="J78" s="6"/>
      <c r="K78" s="8"/>
      <c r="L78" s="9"/>
      <c r="M78" s="8"/>
      <c r="N78" s="10"/>
      <c r="O78" s="11"/>
      <c r="P78" s="8"/>
      <c r="Q78" s="8"/>
      <c r="R78" s="13"/>
    </row>
    <row r="79" spans="1:19" x14ac:dyDescent="0.4">
      <c r="A79" s="5"/>
      <c r="B79" s="5"/>
      <c r="C79" s="5"/>
      <c r="D79" s="6"/>
      <c r="E79" s="7"/>
      <c r="F79" s="7"/>
      <c r="G79" s="5"/>
      <c r="H79" s="6"/>
      <c r="I79" s="6"/>
      <c r="J79" s="6"/>
      <c r="K79" s="8"/>
      <c r="L79" s="9"/>
      <c r="M79" s="8"/>
      <c r="N79" s="10"/>
      <c r="O79" s="11"/>
      <c r="P79" s="8"/>
      <c r="Q79" s="8"/>
      <c r="R79" s="13"/>
    </row>
    <row r="80" spans="1:19" x14ac:dyDescent="0.4">
      <c r="A80" s="5"/>
      <c r="B80" s="5"/>
      <c r="C80" s="5"/>
      <c r="D80" s="6"/>
      <c r="E80" s="7"/>
      <c r="F80" s="7"/>
      <c r="G80" s="5"/>
      <c r="H80" s="6"/>
      <c r="I80" s="6"/>
      <c r="J80" s="6"/>
      <c r="K80" s="8"/>
      <c r="L80" s="9"/>
      <c r="M80" s="8"/>
      <c r="N80" s="10"/>
      <c r="O80" s="11"/>
      <c r="P80" s="8"/>
      <c r="Q80" s="8"/>
      <c r="R80" s="13"/>
    </row>
    <row r="81" spans="1:19" x14ac:dyDescent="0.4">
      <c r="A81" s="5"/>
      <c r="B81" s="5"/>
      <c r="C81" s="5"/>
      <c r="D81" s="6"/>
      <c r="E81" s="7"/>
      <c r="F81" s="7"/>
      <c r="G81" s="5"/>
      <c r="H81" s="6"/>
      <c r="I81" s="6"/>
      <c r="J81" s="6"/>
      <c r="K81" s="8"/>
      <c r="L81" s="9"/>
      <c r="M81" s="8"/>
      <c r="N81" s="10"/>
      <c r="O81" s="11"/>
      <c r="P81" s="8"/>
      <c r="Q81" s="8"/>
      <c r="R81" s="13"/>
    </row>
    <row r="82" spans="1:19" x14ac:dyDescent="0.4">
      <c r="A82" s="5"/>
      <c r="B82" s="5"/>
      <c r="C82" s="5"/>
      <c r="D82" s="6"/>
      <c r="E82" s="7"/>
      <c r="F82" s="7"/>
      <c r="G82" s="5"/>
      <c r="H82" s="6"/>
      <c r="I82" s="6"/>
      <c r="J82" s="6"/>
      <c r="K82" s="8"/>
      <c r="L82" s="9"/>
      <c r="M82" s="8"/>
      <c r="N82" s="10"/>
      <c r="O82" s="11"/>
      <c r="P82" s="8"/>
      <c r="Q82" s="8"/>
      <c r="R82" s="13"/>
    </row>
    <row r="83" spans="1:19" x14ac:dyDescent="0.4">
      <c r="A83" s="5"/>
      <c r="B83" s="5"/>
      <c r="C83" s="5"/>
      <c r="D83" s="6"/>
      <c r="E83" s="7"/>
      <c r="F83" s="7"/>
      <c r="G83" s="5"/>
      <c r="H83" s="6"/>
      <c r="I83" s="6"/>
      <c r="J83" s="6"/>
      <c r="K83" s="8"/>
      <c r="L83" s="9"/>
      <c r="M83" s="8"/>
      <c r="N83" s="10"/>
      <c r="O83" s="11"/>
      <c r="P83" s="8"/>
      <c r="Q83" s="8"/>
      <c r="R83" s="13"/>
    </row>
    <row r="84" spans="1:19" x14ac:dyDescent="0.4">
      <c r="A84" s="5"/>
      <c r="B84" s="5"/>
      <c r="C84" s="5"/>
      <c r="D84" s="6"/>
      <c r="E84" s="7"/>
      <c r="F84" s="7"/>
      <c r="G84" s="5"/>
      <c r="H84" s="6"/>
      <c r="I84" s="6"/>
      <c r="J84" s="6"/>
      <c r="K84" s="8"/>
      <c r="L84" s="9"/>
      <c r="M84" s="8"/>
      <c r="N84" s="10"/>
      <c r="O84" s="11"/>
      <c r="P84" s="8"/>
      <c r="Q84" s="8"/>
      <c r="R84" s="14"/>
    </row>
    <row r="85" spans="1:19" x14ac:dyDescent="0.4">
      <c r="A85" s="5"/>
      <c r="B85" s="5"/>
      <c r="C85" s="5"/>
      <c r="D85" s="6"/>
      <c r="E85" s="7"/>
      <c r="F85" s="7"/>
      <c r="G85" s="5"/>
      <c r="H85" s="6"/>
      <c r="I85" s="6"/>
      <c r="J85" s="6"/>
      <c r="K85" s="8"/>
      <c r="L85" s="9"/>
      <c r="M85" s="8"/>
      <c r="N85" s="10"/>
      <c r="O85" s="11"/>
      <c r="P85" s="8"/>
      <c r="Q85" s="8"/>
      <c r="R85" s="13"/>
    </row>
    <row r="86" spans="1:19" x14ac:dyDescent="0.4">
      <c r="A86" s="5"/>
      <c r="B86" s="5"/>
      <c r="C86" s="5"/>
      <c r="D86" s="6"/>
      <c r="E86" s="7"/>
      <c r="F86" s="7"/>
      <c r="G86" s="5"/>
      <c r="H86" s="6"/>
      <c r="I86" s="6"/>
      <c r="J86" s="6"/>
      <c r="K86" s="8"/>
      <c r="L86" s="9"/>
      <c r="M86" s="8"/>
      <c r="N86" s="10"/>
      <c r="O86" s="11"/>
      <c r="P86" s="8"/>
      <c r="Q86" s="8"/>
      <c r="R86" s="9"/>
    </row>
    <row r="87" spans="1:19" x14ac:dyDescent="0.4">
      <c r="A87" s="5"/>
      <c r="B87" s="5"/>
      <c r="C87" s="5"/>
      <c r="D87" s="6"/>
      <c r="E87" s="7"/>
      <c r="F87" s="7"/>
      <c r="G87" s="5"/>
      <c r="H87" s="6"/>
      <c r="I87" s="6"/>
      <c r="J87" s="6"/>
      <c r="K87" s="8"/>
      <c r="L87" s="9"/>
      <c r="M87" s="8"/>
      <c r="N87" s="10"/>
      <c r="O87" s="11"/>
      <c r="P87" s="8"/>
      <c r="Q87" s="8"/>
      <c r="R87" s="9"/>
    </row>
    <row r="88" spans="1:19" x14ac:dyDescent="0.4">
      <c r="A88" s="5"/>
      <c r="B88" s="5"/>
      <c r="C88" s="5"/>
      <c r="D88" s="6"/>
      <c r="E88" s="7"/>
      <c r="F88" s="7"/>
      <c r="G88" s="5"/>
      <c r="H88" s="6"/>
      <c r="I88" s="6"/>
      <c r="J88" s="6"/>
      <c r="K88" s="8"/>
      <c r="L88" s="9"/>
      <c r="M88" s="8"/>
      <c r="N88" s="10"/>
      <c r="O88" s="11"/>
      <c r="P88" s="8"/>
      <c r="Q88" s="8"/>
      <c r="R88" s="9"/>
    </row>
    <row r="89" spans="1:19" x14ac:dyDescent="0.4">
      <c r="A89" s="5"/>
      <c r="B89" s="5"/>
      <c r="C89" s="5"/>
      <c r="D89" s="6"/>
      <c r="E89" s="7"/>
      <c r="F89" s="7"/>
      <c r="G89" s="5"/>
      <c r="H89" s="6"/>
      <c r="I89" s="6"/>
      <c r="J89" s="6"/>
      <c r="K89" s="8"/>
      <c r="L89" s="9"/>
      <c r="M89" s="8"/>
      <c r="N89" s="10"/>
      <c r="O89" s="11"/>
      <c r="P89" s="8"/>
      <c r="Q89" s="8"/>
      <c r="R89" s="9"/>
    </row>
    <row r="90" spans="1:19" x14ac:dyDescent="0.4">
      <c r="A90" s="5"/>
      <c r="B90" s="5"/>
      <c r="C90" s="5"/>
      <c r="D90" s="6"/>
      <c r="E90" s="7"/>
      <c r="F90" s="7"/>
      <c r="G90" s="5"/>
      <c r="H90" s="6"/>
      <c r="I90" s="6"/>
      <c r="J90" s="6"/>
      <c r="K90" s="8"/>
      <c r="L90" s="9"/>
      <c r="M90" s="8"/>
      <c r="N90" s="10"/>
      <c r="O90" s="11"/>
      <c r="P90" s="8"/>
      <c r="Q90" s="8"/>
      <c r="R90" s="9"/>
      <c r="S90" s="16"/>
    </row>
    <row r="91" spans="1:19" x14ac:dyDescent="0.4">
      <c r="A91" s="5"/>
      <c r="B91" s="5"/>
      <c r="C91" s="5"/>
      <c r="D91" s="6"/>
      <c r="E91" s="7"/>
      <c r="F91" s="7"/>
      <c r="G91" s="5"/>
      <c r="H91" s="6"/>
      <c r="I91" s="6"/>
      <c r="J91" s="6"/>
      <c r="K91" s="8"/>
      <c r="L91" s="9"/>
      <c r="M91" s="8"/>
      <c r="N91" s="10"/>
      <c r="O91" s="11"/>
      <c r="P91" s="8"/>
      <c r="Q91" s="8"/>
      <c r="R91" s="9"/>
    </row>
    <row r="92" spans="1:19" x14ac:dyDescent="0.4">
      <c r="A92" s="5"/>
      <c r="B92" s="5"/>
      <c r="C92" s="5"/>
      <c r="D92" s="6"/>
      <c r="E92" s="7"/>
      <c r="F92" s="7"/>
      <c r="G92" s="5"/>
      <c r="H92" s="6"/>
      <c r="I92" s="6"/>
      <c r="J92" s="6"/>
      <c r="K92" s="8"/>
      <c r="L92" s="9"/>
      <c r="M92" s="8"/>
      <c r="N92" s="10"/>
      <c r="O92" s="11"/>
      <c r="P92" s="8"/>
      <c r="Q92" s="8"/>
      <c r="R92" s="14"/>
    </row>
    <row r="93" spans="1:19" x14ac:dyDescent="0.4">
      <c r="A93" s="5"/>
      <c r="B93" s="5"/>
      <c r="C93" s="5"/>
      <c r="D93" s="6"/>
      <c r="E93" s="7"/>
      <c r="F93" s="7"/>
      <c r="G93" s="5"/>
      <c r="H93" s="6"/>
      <c r="I93" s="6"/>
      <c r="J93" s="6"/>
      <c r="K93" s="8"/>
      <c r="L93" s="9"/>
      <c r="M93" s="8"/>
      <c r="N93" s="10"/>
      <c r="O93" s="11"/>
      <c r="P93" s="8"/>
      <c r="Q93" s="8"/>
      <c r="R93" s="13"/>
    </row>
    <row r="94" spans="1:19" x14ac:dyDescent="0.4">
      <c r="A94" s="5"/>
      <c r="B94" s="5"/>
      <c r="C94" s="5"/>
      <c r="D94" s="6"/>
      <c r="E94" s="7"/>
      <c r="F94" s="7"/>
      <c r="G94" s="5"/>
      <c r="H94" s="6"/>
      <c r="I94" s="6"/>
      <c r="J94" s="6"/>
      <c r="K94" s="8"/>
      <c r="L94" s="9"/>
      <c r="M94" s="8"/>
      <c r="N94" s="10"/>
      <c r="O94" s="11"/>
      <c r="P94" s="8"/>
      <c r="Q94" s="8"/>
      <c r="R94" s="13"/>
    </row>
    <row r="95" spans="1:19" x14ac:dyDescent="0.4">
      <c r="A95" s="5"/>
      <c r="B95" s="5"/>
      <c r="C95" s="5"/>
      <c r="D95" s="6"/>
      <c r="E95" s="7"/>
      <c r="F95" s="7"/>
      <c r="G95" s="5"/>
      <c r="H95" s="6"/>
      <c r="I95" s="6"/>
      <c r="J95" s="6"/>
      <c r="K95" s="8"/>
      <c r="L95" s="9"/>
      <c r="M95" s="8"/>
      <c r="N95" s="10"/>
      <c r="O95" s="11"/>
      <c r="P95" s="8"/>
      <c r="Q95" s="8"/>
      <c r="R95" s="13"/>
    </row>
    <row r="96" spans="1:19" x14ac:dyDescent="0.4">
      <c r="A96" s="5"/>
      <c r="B96" s="5"/>
      <c r="C96" s="5"/>
      <c r="D96" s="6"/>
      <c r="E96" s="7"/>
      <c r="F96" s="7"/>
      <c r="G96" s="5"/>
      <c r="H96" s="6"/>
      <c r="I96" s="6"/>
      <c r="J96" s="6"/>
      <c r="K96" s="8"/>
      <c r="L96" s="9"/>
      <c r="M96" s="8"/>
      <c r="N96" s="10"/>
      <c r="O96" s="11"/>
      <c r="P96" s="8"/>
      <c r="Q96" s="8"/>
      <c r="R96" s="13"/>
    </row>
    <row r="97" spans="1:18" x14ac:dyDescent="0.4">
      <c r="A97" s="5"/>
      <c r="B97" s="5"/>
      <c r="C97" s="5"/>
      <c r="D97" s="6"/>
      <c r="E97" s="7"/>
      <c r="F97" s="7"/>
      <c r="G97" s="5"/>
      <c r="H97" s="6"/>
      <c r="I97" s="6"/>
      <c r="J97" s="6"/>
      <c r="K97" s="8"/>
      <c r="L97" s="9"/>
      <c r="M97" s="8"/>
      <c r="N97" s="10"/>
      <c r="O97" s="11"/>
      <c r="P97" s="8"/>
      <c r="Q97" s="8"/>
      <c r="R97" s="13"/>
    </row>
    <row r="98" spans="1:18" x14ac:dyDescent="0.4">
      <c r="A98" s="5"/>
      <c r="B98" s="5"/>
      <c r="C98" s="5"/>
      <c r="D98" s="6"/>
      <c r="E98" s="7"/>
      <c r="F98" s="7"/>
      <c r="G98" s="5"/>
      <c r="H98" s="6"/>
      <c r="I98" s="6"/>
      <c r="J98" s="6"/>
      <c r="K98" s="8"/>
      <c r="L98" s="9"/>
      <c r="M98" s="8"/>
      <c r="N98" s="10"/>
      <c r="O98" s="11"/>
      <c r="P98" s="8"/>
      <c r="Q98" s="8"/>
      <c r="R98" s="13"/>
    </row>
    <row r="99" spans="1:18" x14ac:dyDescent="0.4">
      <c r="A99" s="5"/>
      <c r="B99" s="5"/>
      <c r="C99" s="5"/>
      <c r="D99" s="6"/>
      <c r="E99" s="7"/>
      <c r="F99" s="7"/>
      <c r="G99" s="5"/>
      <c r="H99" s="6"/>
      <c r="I99" s="6"/>
      <c r="J99" s="6"/>
      <c r="K99" s="8"/>
      <c r="L99" s="9"/>
      <c r="M99" s="8"/>
      <c r="N99" s="10"/>
      <c r="O99" s="11"/>
      <c r="P99" s="8"/>
      <c r="Q99" s="8"/>
      <c r="R99" s="13"/>
    </row>
    <row r="100" spans="1:18" x14ac:dyDescent="0.4">
      <c r="A100" s="5"/>
      <c r="B100" s="5"/>
      <c r="C100" s="5"/>
      <c r="D100" s="6"/>
      <c r="E100" s="7"/>
      <c r="F100" s="7"/>
      <c r="G100" s="5"/>
      <c r="H100" s="6"/>
      <c r="I100" s="6"/>
      <c r="J100" s="6"/>
      <c r="K100" s="8"/>
      <c r="L100" s="9"/>
      <c r="M100" s="8"/>
      <c r="N100" s="10"/>
      <c r="O100" s="11"/>
      <c r="P100" s="8"/>
      <c r="Q100" s="8"/>
      <c r="R100" s="13"/>
    </row>
    <row r="101" spans="1:18" x14ac:dyDescent="0.4">
      <c r="A101" s="5"/>
      <c r="B101" s="5"/>
      <c r="C101" s="5"/>
      <c r="D101" s="6"/>
      <c r="E101" s="5"/>
      <c r="F101" s="7"/>
      <c r="G101" s="5"/>
      <c r="H101" s="6"/>
      <c r="I101" s="6"/>
      <c r="J101" s="6"/>
      <c r="K101" s="8"/>
      <c r="L101" s="9"/>
      <c r="M101" s="8"/>
      <c r="N101" s="10"/>
      <c r="O101" s="11"/>
      <c r="P101" s="8"/>
      <c r="Q101" s="8"/>
      <c r="R101" s="14"/>
    </row>
    <row r="102" spans="1:18" x14ac:dyDescent="0.4">
      <c r="A102" s="5"/>
      <c r="B102" s="5"/>
      <c r="C102" s="5"/>
      <c r="D102" s="6"/>
      <c r="E102" s="7"/>
      <c r="F102" s="7"/>
      <c r="G102" s="5"/>
      <c r="H102" s="6"/>
      <c r="I102" s="6"/>
      <c r="J102" s="6"/>
      <c r="K102" s="8"/>
      <c r="L102" s="9"/>
      <c r="M102" s="8"/>
      <c r="N102" s="10"/>
      <c r="O102" s="11"/>
      <c r="P102" s="8"/>
      <c r="Q102" s="8"/>
      <c r="R102" s="9"/>
    </row>
    <row r="103" spans="1:18" x14ac:dyDescent="0.4">
      <c r="A103" s="5"/>
      <c r="B103" s="5"/>
      <c r="C103" s="5"/>
      <c r="D103" s="6"/>
      <c r="E103" s="7"/>
      <c r="F103" s="7"/>
      <c r="G103" s="5"/>
      <c r="H103" s="6"/>
      <c r="I103" s="6"/>
      <c r="J103" s="6"/>
      <c r="K103" s="8"/>
      <c r="L103" s="9"/>
      <c r="M103" s="8"/>
      <c r="N103" s="10"/>
      <c r="O103" s="11"/>
      <c r="P103" s="8"/>
      <c r="Q103" s="8"/>
      <c r="R103" s="9"/>
    </row>
    <row r="104" spans="1:18" x14ac:dyDescent="0.4">
      <c r="A104" s="5"/>
      <c r="B104" s="5"/>
      <c r="C104" s="5"/>
      <c r="D104" s="6"/>
      <c r="E104" s="7"/>
      <c r="F104" s="7"/>
      <c r="G104" s="5"/>
      <c r="H104" s="6"/>
      <c r="I104" s="6"/>
      <c r="J104" s="6"/>
      <c r="K104" s="8"/>
      <c r="L104" s="9"/>
      <c r="M104" s="8"/>
      <c r="N104" s="10"/>
      <c r="O104" s="11"/>
      <c r="P104" s="8"/>
      <c r="Q104" s="8"/>
      <c r="R104" s="9"/>
    </row>
    <row r="105" spans="1:18" x14ac:dyDescent="0.4">
      <c r="A105" s="5"/>
      <c r="B105" s="5"/>
      <c r="C105" s="5"/>
      <c r="D105" s="6"/>
      <c r="E105" s="7"/>
      <c r="F105" s="7"/>
      <c r="G105" s="5"/>
      <c r="H105" s="6"/>
      <c r="I105" s="6"/>
      <c r="J105" s="6"/>
      <c r="K105" s="8"/>
      <c r="L105" s="9"/>
      <c r="M105" s="8"/>
      <c r="N105" s="10"/>
      <c r="O105" s="11"/>
      <c r="P105" s="8"/>
      <c r="Q105" s="8"/>
      <c r="R105" s="9"/>
    </row>
    <row r="106" spans="1:18" x14ac:dyDescent="0.4">
      <c r="A106" s="5"/>
      <c r="B106" s="5"/>
      <c r="C106" s="5"/>
      <c r="D106" s="6"/>
      <c r="E106" s="7"/>
      <c r="F106" s="7"/>
      <c r="G106" s="5"/>
      <c r="H106" s="6"/>
      <c r="I106" s="6"/>
      <c r="J106" s="6"/>
      <c r="K106" s="8"/>
      <c r="L106" s="9"/>
      <c r="M106" s="8"/>
      <c r="N106" s="10"/>
      <c r="O106" s="11"/>
      <c r="P106" s="8"/>
      <c r="Q106" s="8"/>
      <c r="R106" s="9"/>
    </row>
    <row r="107" spans="1:18" x14ac:dyDescent="0.4">
      <c r="A107" s="5"/>
      <c r="B107" s="5"/>
      <c r="C107" s="5"/>
      <c r="D107" s="6"/>
      <c r="E107" s="7"/>
      <c r="F107" s="7"/>
      <c r="G107" s="5"/>
      <c r="H107" s="6"/>
      <c r="I107" s="6"/>
      <c r="J107" s="6"/>
      <c r="K107" s="8"/>
      <c r="L107" s="9"/>
      <c r="M107" s="8"/>
      <c r="N107" s="10"/>
      <c r="O107" s="11"/>
      <c r="P107" s="8"/>
      <c r="Q107" s="8"/>
      <c r="R107" s="9"/>
    </row>
    <row r="108" spans="1:18" x14ac:dyDescent="0.4">
      <c r="A108" s="5"/>
      <c r="B108" s="5"/>
      <c r="C108" s="5"/>
      <c r="D108" s="6"/>
      <c r="E108" s="7"/>
      <c r="F108" s="7"/>
      <c r="G108" s="5"/>
      <c r="H108" s="6"/>
      <c r="I108" s="6"/>
      <c r="J108" s="6"/>
      <c r="K108" s="8"/>
      <c r="L108" s="12"/>
      <c r="M108" s="8"/>
      <c r="N108" s="10"/>
      <c r="O108" s="11"/>
      <c r="P108" s="8"/>
      <c r="Q108" s="8"/>
      <c r="R108" s="9"/>
    </row>
    <row r="109" spans="1:18" x14ac:dyDescent="0.4">
      <c r="A109" s="5"/>
      <c r="B109" s="5"/>
      <c r="C109" s="5"/>
      <c r="D109" s="6"/>
      <c r="E109" s="7"/>
      <c r="F109" s="7"/>
      <c r="G109" s="5"/>
      <c r="H109" s="6"/>
      <c r="I109" s="6"/>
      <c r="J109" s="6"/>
      <c r="K109" s="8"/>
      <c r="L109" s="9"/>
      <c r="M109" s="8"/>
      <c r="N109" s="10"/>
      <c r="O109" s="11"/>
      <c r="P109" s="8"/>
      <c r="Q109" s="8"/>
      <c r="R109" s="9"/>
    </row>
    <row r="110" spans="1:18" x14ac:dyDescent="0.4">
      <c r="A110" s="5"/>
      <c r="B110" s="5"/>
      <c r="C110" s="5"/>
      <c r="D110" s="6"/>
      <c r="E110" s="7"/>
      <c r="F110" s="7"/>
      <c r="G110" s="5"/>
      <c r="H110" s="6"/>
      <c r="I110" s="6"/>
      <c r="J110" s="6"/>
      <c r="K110" s="8"/>
      <c r="L110" s="9"/>
      <c r="M110" s="8"/>
      <c r="N110" s="10"/>
      <c r="O110" s="11"/>
      <c r="P110" s="8"/>
      <c r="Q110" s="8"/>
      <c r="R110" s="9"/>
    </row>
    <row r="111" spans="1:18" x14ac:dyDescent="0.4">
      <c r="A111" s="5"/>
      <c r="B111" s="5"/>
      <c r="C111" s="5"/>
      <c r="D111" s="6"/>
      <c r="E111" s="7"/>
      <c r="F111" s="7"/>
      <c r="G111" s="5"/>
      <c r="H111" s="6"/>
      <c r="I111" s="6"/>
      <c r="J111" s="6"/>
      <c r="K111" s="8"/>
      <c r="L111" s="9"/>
      <c r="M111" s="8"/>
      <c r="N111" s="10"/>
      <c r="O111" s="11"/>
      <c r="P111" s="8"/>
      <c r="Q111" s="8"/>
      <c r="R111" s="9"/>
    </row>
    <row r="112" spans="1:18" x14ac:dyDescent="0.4">
      <c r="A112" s="5"/>
      <c r="B112" s="5"/>
      <c r="C112" s="5"/>
      <c r="D112" s="6"/>
      <c r="E112" s="7"/>
      <c r="F112" s="7"/>
      <c r="G112" s="5"/>
      <c r="H112" s="6"/>
      <c r="I112" s="6"/>
      <c r="J112" s="6"/>
      <c r="K112" s="8"/>
      <c r="L112" s="9"/>
      <c r="M112" s="8"/>
      <c r="N112" s="10"/>
      <c r="O112" s="11"/>
      <c r="P112" s="8"/>
      <c r="Q112" s="8"/>
      <c r="R112" s="9"/>
    </row>
    <row r="113" spans="1:18" x14ac:dyDescent="0.4">
      <c r="A113" s="5"/>
      <c r="B113" s="5"/>
      <c r="C113" s="5"/>
      <c r="D113" s="6"/>
      <c r="E113" s="7"/>
      <c r="F113" s="7"/>
      <c r="G113" s="5"/>
      <c r="H113" s="6"/>
      <c r="I113" s="6"/>
      <c r="J113" s="6"/>
      <c r="K113" s="8"/>
      <c r="L113" s="12"/>
      <c r="M113" s="8"/>
      <c r="N113" s="10"/>
      <c r="O113" s="11"/>
      <c r="P113" s="8"/>
      <c r="Q113" s="8"/>
      <c r="R113" s="9"/>
    </row>
    <row r="114" spans="1:18" x14ac:dyDescent="0.4">
      <c r="A114" s="5"/>
      <c r="B114" s="5"/>
      <c r="C114" s="5"/>
      <c r="D114" s="6"/>
      <c r="E114" s="7"/>
      <c r="F114" s="7"/>
      <c r="G114" s="5"/>
      <c r="H114" s="6"/>
      <c r="I114" s="6"/>
      <c r="J114" s="6"/>
      <c r="K114" s="8"/>
      <c r="L114" s="9"/>
      <c r="M114" s="8"/>
      <c r="N114" s="10"/>
      <c r="O114" s="11"/>
      <c r="P114" s="8"/>
      <c r="Q114" s="8"/>
      <c r="R114" s="9"/>
    </row>
    <row r="115" spans="1:18" x14ac:dyDescent="0.4">
      <c r="A115" s="5"/>
      <c r="B115" s="5"/>
      <c r="C115" s="5"/>
      <c r="D115" s="6"/>
      <c r="E115" s="7"/>
      <c r="F115" s="7"/>
      <c r="G115" s="5"/>
      <c r="H115" s="6"/>
      <c r="I115" s="6"/>
      <c r="J115" s="6"/>
      <c r="K115" s="8"/>
      <c r="L115" s="9"/>
      <c r="M115" s="8"/>
      <c r="N115" s="10"/>
      <c r="O115" s="11"/>
      <c r="P115" s="8"/>
      <c r="Q115" s="8"/>
      <c r="R115" s="9"/>
    </row>
    <row r="116" spans="1:18" x14ac:dyDescent="0.4">
      <c r="A116" s="5"/>
      <c r="B116" s="5"/>
      <c r="C116" s="5"/>
      <c r="D116" s="6"/>
      <c r="E116" s="7"/>
      <c r="F116" s="7"/>
      <c r="G116" s="5"/>
      <c r="H116" s="6"/>
      <c r="I116" s="6"/>
      <c r="J116" s="6"/>
      <c r="K116" s="8"/>
      <c r="L116" s="9"/>
      <c r="M116" s="8"/>
      <c r="N116" s="10"/>
      <c r="O116" s="11"/>
      <c r="P116" s="8"/>
      <c r="Q116" s="8"/>
      <c r="R116" s="9"/>
    </row>
    <row r="117" spans="1:18" x14ac:dyDescent="0.4">
      <c r="A117" s="5"/>
      <c r="B117" s="5"/>
      <c r="C117" s="5"/>
      <c r="D117" s="6"/>
      <c r="E117" s="7"/>
      <c r="F117" s="5"/>
      <c r="G117" s="5"/>
      <c r="H117" s="6"/>
      <c r="I117" s="6"/>
      <c r="J117" s="6"/>
      <c r="K117" s="8"/>
      <c r="L117" s="9"/>
      <c r="M117" s="8"/>
      <c r="N117" s="10"/>
      <c r="O117" s="11"/>
      <c r="P117" s="8"/>
      <c r="Q117" s="8"/>
      <c r="R117" s="9"/>
    </row>
    <row r="118" spans="1:18" x14ac:dyDescent="0.4">
      <c r="A118" s="5"/>
      <c r="B118" s="5"/>
      <c r="C118" s="5"/>
      <c r="D118" s="6"/>
      <c r="E118" s="7"/>
      <c r="F118" s="7"/>
      <c r="G118" s="5"/>
      <c r="H118" s="6"/>
      <c r="I118" s="6"/>
      <c r="J118" s="6"/>
      <c r="K118" s="8"/>
      <c r="L118" s="9"/>
      <c r="M118" s="8"/>
      <c r="N118" s="10"/>
      <c r="O118" s="11"/>
      <c r="P118" s="8"/>
      <c r="Q118" s="8"/>
      <c r="R118" s="9"/>
    </row>
    <row r="119" spans="1:18" x14ac:dyDescent="0.4">
      <c r="A119" s="5"/>
      <c r="B119" s="5"/>
      <c r="C119" s="5"/>
      <c r="D119" s="6"/>
      <c r="E119" s="7"/>
      <c r="F119" s="7"/>
      <c r="G119" s="5"/>
      <c r="H119" s="6"/>
      <c r="I119" s="6"/>
      <c r="J119" s="6"/>
      <c r="K119" s="8"/>
      <c r="L119" s="9"/>
      <c r="M119" s="8"/>
      <c r="N119" s="10"/>
      <c r="O119" s="11"/>
      <c r="P119" s="8"/>
      <c r="Q119" s="8"/>
      <c r="R119" s="14"/>
    </row>
    <row r="120" spans="1:18" x14ac:dyDescent="0.4">
      <c r="A120" s="5"/>
      <c r="B120" s="5"/>
      <c r="C120" s="5"/>
      <c r="D120" s="6"/>
      <c r="E120" s="7"/>
      <c r="F120" s="7"/>
      <c r="G120" s="5"/>
      <c r="H120" s="6"/>
      <c r="I120" s="6"/>
      <c r="J120" s="6"/>
      <c r="K120" s="8"/>
      <c r="L120" s="9"/>
      <c r="M120" s="8"/>
      <c r="N120" s="10"/>
      <c r="O120" s="11"/>
      <c r="P120" s="8"/>
      <c r="Q120" s="8"/>
      <c r="R120" s="13"/>
    </row>
    <row r="121" spans="1:18" x14ac:dyDescent="0.4">
      <c r="A121" s="5"/>
      <c r="B121" s="5"/>
      <c r="C121" s="5"/>
      <c r="D121" s="6"/>
      <c r="E121" s="7"/>
      <c r="F121" s="7"/>
      <c r="G121" s="5"/>
      <c r="H121" s="6"/>
      <c r="I121" s="6"/>
      <c r="J121" s="6"/>
      <c r="K121" s="8"/>
      <c r="L121" s="9"/>
      <c r="M121" s="8"/>
      <c r="N121" s="10"/>
      <c r="O121" s="11"/>
      <c r="P121" s="8"/>
      <c r="Q121" s="8"/>
      <c r="R121" s="13"/>
    </row>
    <row r="122" spans="1:18" x14ac:dyDescent="0.4">
      <c r="A122" s="5"/>
      <c r="B122" s="5"/>
      <c r="C122" s="5"/>
      <c r="D122" s="6"/>
      <c r="E122" s="7"/>
      <c r="F122" s="7"/>
      <c r="G122" s="5"/>
      <c r="H122" s="6"/>
      <c r="I122" s="6"/>
      <c r="J122" s="6"/>
      <c r="K122" s="8"/>
      <c r="L122" s="9"/>
      <c r="M122" s="8"/>
      <c r="N122" s="10"/>
      <c r="O122" s="11"/>
      <c r="P122" s="8"/>
      <c r="Q122" s="8"/>
      <c r="R122" s="13"/>
    </row>
    <row r="123" spans="1:18" x14ac:dyDescent="0.4">
      <c r="A123" s="5"/>
      <c r="B123" s="5"/>
      <c r="C123" s="5"/>
      <c r="D123" s="6"/>
      <c r="E123" s="7"/>
      <c r="F123" s="7"/>
      <c r="G123" s="5"/>
      <c r="H123" s="6"/>
      <c r="I123" s="6"/>
      <c r="J123" s="6"/>
      <c r="K123" s="8"/>
      <c r="L123" s="9"/>
      <c r="M123" s="8"/>
      <c r="N123" s="10"/>
      <c r="O123" s="11"/>
      <c r="P123" s="8"/>
      <c r="Q123" s="8"/>
      <c r="R123" s="13"/>
    </row>
    <row r="124" spans="1:18" x14ac:dyDescent="0.4">
      <c r="A124" s="5"/>
      <c r="B124" s="5"/>
      <c r="C124" s="5"/>
      <c r="D124" s="6"/>
      <c r="E124" s="7"/>
      <c r="F124" s="7"/>
      <c r="G124" s="5"/>
      <c r="H124" s="6"/>
      <c r="I124" s="6"/>
      <c r="J124" s="6"/>
      <c r="K124" s="8"/>
      <c r="L124" s="9"/>
      <c r="M124" s="8"/>
      <c r="N124" s="10"/>
      <c r="O124" s="11"/>
      <c r="P124" s="8"/>
      <c r="Q124" s="8"/>
      <c r="R124" s="13"/>
    </row>
    <row r="125" spans="1:18" x14ac:dyDescent="0.4">
      <c r="A125" s="5"/>
      <c r="B125" s="5"/>
      <c r="C125" s="5"/>
      <c r="D125" s="6"/>
      <c r="E125" s="7"/>
      <c r="F125" s="7"/>
      <c r="G125" s="5"/>
      <c r="H125" s="6"/>
      <c r="I125" s="6"/>
      <c r="J125" s="6"/>
      <c r="K125" s="8"/>
      <c r="L125" s="9"/>
      <c r="M125" s="8"/>
      <c r="N125" s="10"/>
      <c r="O125" s="11"/>
      <c r="P125" s="8"/>
      <c r="Q125" s="8"/>
      <c r="R125" s="13"/>
    </row>
    <row r="126" spans="1:18" x14ac:dyDescent="0.4">
      <c r="A126" s="5"/>
      <c r="B126" s="5"/>
      <c r="C126" s="5"/>
      <c r="D126" s="6"/>
      <c r="E126" s="7"/>
      <c r="F126" s="7"/>
      <c r="G126" s="5"/>
      <c r="H126" s="6"/>
      <c r="I126" s="6"/>
      <c r="J126" s="6"/>
      <c r="K126" s="8"/>
      <c r="L126" s="9"/>
      <c r="M126" s="8"/>
      <c r="N126" s="10"/>
      <c r="O126" s="11"/>
      <c r="P126" s="8"/>
      <c r="Q126" s="8"/>
      <c r="R126" s="13"/>
    </row>
    <row r="127" spans="1:18" x14ac:dyDescent="0.4">
      <c r="A127" s="5"/>
      <c r="B127" s="5"/>
      <c r="C127" s="5"/>
      <c r="D127" s="6"/>
      <c r="E127" s="7"/>
      <c r="F127" s="7"/>
      <c r="G127" s="5"/>
      <c r="H127" s="6"/>
      <c r="I127" s="6"/>
      <c r="J127" s="6"/>
      <c r="K127" s="8"/>
      <c r="L127" s="9"/>
      <c r="M127" s="8"/>
      <c r="N127" s="10"/>
      <c r="O127" s="11"/>
      <c r="P127" s="8"/>
      <c r="Q127" s="8"/>
      <c r="R127" s="13"/>
    </row>
    <row r="128" spans="1:18" x14ac:dyDescent="0.4">
      <c r="A128" s="5"/>
      <c r="B128" s="5"/>
      <c r="C128" s="5"/>
      <c r="D128" s="6"/>
      <c r="E128" s="7"/>
      <c r="F128" s="7"/>
      <c r="G128" s="5"/>
      <c r="H128" s="6"/>
      <c r="I128" s="6"/>
      <c r="J128" s="6"/>
      <c r="K128" s="8"/>
      <c r="L128" s="9"/>
      <c r="M128" s="8"/>
      <c r="N128" s="10"/>
      <c r="O128" s="11"/>
      <c r="P128" s="8"/>
      <c r="Q128" s="8"/>
      <c r="R128" s="9"/>
    </row>
    <row r="129" spans="1:18" x14ac:dyDescent="0.4">
      <c r="A129" s="5"/>
      <c r="B129" s="5"/>
      <c r="C129" s="5"/>
      <c r="D129" s="6"/>
      <c r="E129" s="7"/>
      <c r="F129" s="7"/>
      <c r="G129" s="5"/>
      <c r="H129" s="6"/>
      <c r="I129" s="6"/>
      <c r="J129" s="6"/>
      <c r="K129" s="8"/>
      <c r="L129" s="9"/>
      <c r="M129" s="8"/>
      <c r="N129" s="10"/>
      <c r="O129" s="11"/>
      <c r="P129" s="8"/>
      <c r="Q129" s="8"/>
      <c r="R129" s="9"/>
    </row>
    <row r="130" spans="1:18" x14ac:dyDescent="0.4">
      <c r="A130" s="5"/>
      <c r="B130" s="5"/>
      <c r="C130" s="5"/>
      <c r="D130" s="6"/>
      <c r="E130" s="7"/>
      <c r="F130" s="7"/>
      <c r="G130" s="5"/>
      <c r="H130" s="6"/>
      <c r="I130" s="6"/>
      <c r="J130" s="6"/>
      <c r="K130" s="8"/>
      <c r="L130" s="8"/>
      <c r="M130" s="8"/>
      <c r="N130" s="10"/>
      <c r="O130" s="11"/>
      <c r="P130" s="8"/>
      <c r="Q130" s="8"/>
      <c r="R130" s="9"/>
    </row>
    <row r="131" spans="1:18" x14ac:dyDescent="0.4">
      <c r="A131" s="5"/>
      <c r="B131" s="5"/>
      <c r="C131" s="5"/>
      <c r="D131" s="6"/>
      <c r="E131" s="7"/>
      <c r="F131" s="7"/>
      <c r="G131" s="5"/>
      <c r="H131" s="6"/>
      <c r="I131" s="6"/>
      <c r="J131" s="6"/>
      <c r="K131" s="8"/>
      <c r="L131" s="9"/>
      <c r="M131" s="8"/>
      <c r="N131" s="10"/>
      <c r="O131" s="11"/>
      <c r="P131" s="8"/>
      <c r="Q131" s="8"/>
      <c r="R131" s="9"/>
    </row>
    <row r="132" spans="1:18" x14ac:dyDescent="0.4">
      <c r="A132" s="5"/>
      <c r="B132" s="5"/>
      <c r="C132" s="5"/>
      <c r="D132" s="6"/>
      <c r="E132" s="7"/>
      <c r="F132" s="7"/>
      <c r="G132" s="5"/>
      <c r="H132" s="6"/>
      <c r="I132" s="6"/>
      <c r="J132" s="6"/>
      <c r="K132" s="8"/>
      <c r="L132" s="9"/>
      <c r="M132" s="8"/>
      <c r="N132" s="10"/>
      <c r="O132" s="11"/>
      <c r="P132" s="8"/>
      <c r="Q132" s="8"/>
      <c r="R132" s="9"/>
    </row>
    <row r="133" spans="1:18" x14ac:dyDescent="0.4">
      <c r="A133" s="5"/>
      <c r="B133" s="5"/>
      <c r="C133" s="5"/>
      <c r="D133" s="6"/>
      <c r="E133" s="7"/>
      <c r="F133" s="7"/>
      <c r="G133" s="5"/>
      <c r="H133" s="6"/>
      <c r="I133" s="6"/>
      <c r="J133" s="6"/>
      <c r="K133" s="8"/>
      <c r="L133" s="9"/>
      <c r="M133" s="8"/>
      <c r="N133" s="10"/>
      <c r="O133" s="11"/>
      <c r="P133" s="8"/>
      <c r="Q133" s="8"/>
      <c r="R133" s="9"/>
    </row>
    <row r="134" spans="1:18" x14ac:dyDescent="0.4">
      <c r="A134" s="5"/>
      <c r="B134" s="5"/>
      <c r="C134" s="5"/>
      <c r="D134" s="6"/>
      <c r="E134" s="7"/>
      <c r="F134" s="7"/>
      <c r="G134" s="5"/>
      <c r="H134" s="6"/>
      <c r="I134" s="6"/>
      <c r="J134" s="6"/>
      <c r="K134" s="8"/>
      <c r="L134" s="9"/>
      <c r="M134" s="8"/>
      <c r="N134" s="10"/>
      <c r="O134" s="11"/>
      <c r="P134" s="8"/>
      <c r="Q134" s="8"/>
      <c r="R134" s="9"/>
    </row>
    <row r="135" spans="1:18" x14ac:dyDescent="0.4">
      <c r="A135" s="5"/>
      <c r="B135" s="5"/>
      <c r="C135" s="5"/>
      <c r="D135" s="6"/>
      <c r="E135" s="7"/>
      <c r="F135" s="7"/>
      <c r="G135" s="5"/>
      <c r="H135" s="6"/>
      <c r="I135" s="6"/>
      <c r="J135" s="6"/>
      <c r="K135" s="8"/>
      <c r="L135" s="9"/>
      <c r="M135" s="8"/>
      <c r="N135" s="10"/>
      <c r="O135" s="11"/>
      <c r="P135" s="8"/>
      <c r="Q135" s="8"/>
      <c r="R135" s="14"/>
    </row>
    <row r="136" spans="1:18" x14ac:dyDescent="0.4">
      <c r="A136" s="5"/>
      <c r="B136" s="5"/>
      <c r="C136" s="5"/>
      <c r="D136" s="6"/>
      <c r="E136" s="7"/>
      <c r="F136" s="7"/>
      <c r="G136" s="5"/>
      <c r="H136" s="6"/>
      <c r="I136" s="6"/>
      <c r="J136" s="6"/>
      <c r="K136" s="8"/>
      <c r="L136" s="9"/>
      <c r="M136" s="8"/>
      <c r="N136" s="10"/>
      <c r="O136" s="11"/>
      <c r="P136" s="8"/>
      <c r="Q136" s="8"/>
      <c r="R136" s="13"/>
    </row>
    <row r="137" spans="1:18" x14ac:dyDescent="0.4">
      <c r="A137" s="5"/>
      <c r="B137" s="5"/>
      <c r="C137" s="5"/>
      <c r="D137" s="6"/>
      <c r="E137" s="7"/>
      <c r="F137" s="7"/>
      <c r="G137" s="5"/>
      <c r="H137" s="6"/>
      <c r="I137" s="6"/>
      <c r="J137" s="6"/>
      <c r="K137" s="8"/>
      <c r="L137" s="9"/>
      <c r="M137" s="8"/>
      <c r="N137" s="10"/>
      <c r="O137" s="11"/>
      <c r="P137" s="8"/>
      <c r="Q137" s="8"/>
      <c r="R137" s="13"/>
    </row>
    <row r="138" spans="1:18" x14ac:dyDescent="0.4">
      <c r="A138" s="5"/>
      <c r="B138" s="5"/>
      <c r="C138" s="5"/>
      <c r="D138" s="6"/>
      <c r="E138" s="7"/>
      <c r="F138" s="7"/>
      <c r="G138" s="5"/>
      <c r="H138" s="6"/>
      <c r="I138" s="6"/>
      <c r="J138" s="6"/>
      <c r="K138" s="8"/>
      <c r="L138" s="9"/>
      <c r="M138" s="8"/>
      <c r="N138" s="10"/>
      <c r="O138" s="11"/>
      <c r="P138" s="8"/>
      <c r="Q138" s="8"/>
      <c r="R138" s="13"/>
    </row>
    <row r="139" spans="1:18" x14ac:dyDescent="0.4">
      <c r="A139" s="5"/>
      <c r="B139" s="5"/>
      <c r="C139" s="5"/>
      <c r="D139" s="6"/>
      <c r="E139" s="7"/>
      <c r="F139" s="7"/>
      <c r="G139" s="5"/>
      <c r="H139" s="6"/>
      <c r="I139" s="6"/>
      <c r="J139" s="6"/>
      <c r="K139" s="8"/>
      <c r="L139" s="9"/>
      <c r="M139" s="8"/>
      <c r="N139" s="10"/>
      <c r="O139" s="11"/>
      <c r="P139" s="8"/>
      <c r="Q139" s="8"/>
      <c r="R139" s="13"/>
    </row>
    <row r="140" spans="1:18" x14ac:dyDescent="0.4">
      <c r="A140" s="5"/>
      <c r="B140" s="5"/>
      <c r="C140" s="5"/>
      <c r="D140" s="6"/>
      <c r="E140" s="7"/>
      <c r="F140" s="7"/>
      <c r="G140" s="5"/>
      <c r="H140" s="6"/>
      <c r="I140" s="6"/>
      <c r="J140" s="6"/>
      <c r="K140" s="8"/>
      <c r="L140" s="9"/>
      <c r="M140" s="8"/>
      <c r="N140" s="10"/>
      <c r="O140" s="11"/>
      <c r="P140" s="8"/>
      <c r="Q140" s="8"/>
      <c r="R140" s="13"/>
    </row>
    <row r="141" spans="1:18" x14ac:dyDescent="0.4">
      <c r="A141" s="5"/>
      <c r="B141" s="5"/>
      <c r="C141" s="5"/>
      <c r="D141" s="6"/>
      <c r="E141" s="7"/>
      <c r="F141" s="7"/>
      <c r="G141" s="5"/>
      <c r="H141" s="6"/>
      <c r="I141" s="6"/>
      <c r="J141" s="6"/>
      <c r="K141" s="8"/>
      <c r="L141" s="9"/>
      <c r="M141" s="8"/>
      <c r="N141" s="10"/>
      <c r="O141" s="11"/>
      <c r="P141" s="8"/>
      <c r="Q141" s="8"/>
      <c r="R141" s="13"/>
    </row>
    <row r="142" spans="1:18" x14ac:dyDescent="0.4">
      <c r="A142" s="5"/>
      <c r="B142" s="5"/>
      <c r="C142" s="5"/>
      <c r="D142" s="6"/>
      <c r="E142" s="7"/>
      <c r="F142" s="7"/>
      <c r="G142" s="5"/>
      <c r="H142" s="6"/>
      <c r="I142" s="6"/>
      <c r="J142" s="6"/>
      <c r="K142" s="8"/>
      <c r="L142" s="9"/>
      <c r="M142" s="8"/>
      <c r="N142" s="10"/>
      <c r="O142" s="11"/>
      <c r="P142" s="8"/>
      <c r="Q142" s="8"/>
      <c r="R142" s="13"/>
    </row>
    <row r="143" spans="1:18" x14ac:dyDescent="0.4">
      <c r="A143" s="5"/>
      <c r="B143" s="5"/>
      <c r="C143" s="5"/>
      <c r="D143" s="6"/>
      <c r="E143" s="7"/>
      <c r="F143" s="7"/>
      <c r="G143" s="5"/>
      <c r="H143" s="6"/>
      <c r="I143" s="6"/>
      <c r="J143" s="6"/>
      <c r="K143" s="8"/>
      <c r="L143" s="9"/>
      <c r="M143" s="8"/>
      <c r="N143" s="10"/>
      <c r="O143" s="11"/>
      <c r="P143" s="8"/>
      <c r="Q143" s="8"/>
      <c r="R143" s="13"/>
    </row>
    <row r="144" spans="1:18" x14ac:dyDescent="0.4">
      <c r="A144" s="5"/>
      <c r="B144" s="5"/>
      <c r="C144" s="5"/>
      <c r="D144" s="6"/>
      <c r="E144" s="7"/>
      <c r="F144" s="7"/>
      <c r="G144" s="5"/>
      <c r="H144" s="6"/>
      <c r="I144" s="6"/>
      <c r="J144" s="6"/>
      <c r="K144" s="8"/>
      <c r="L144" s="9"/>
      <c r="M144" s="8"/>
      <c r="N144" s="10"/>
      <c r="O144" s="11"/>
      <c r="P144" s="8"/>
      <c r="Q144" s="8"/>
      <c r="R144" s="13"/>
    </row>
    <row r="145" spans="1:18" x14ac:dyDescent="0.4">
      <c r="A145" s="5"/>
      <c r="B145" s="5"/>
      <c r="C145" s="5"/>
      <c r="D145" s="6"/>
      <c r="E145" s="7"/>
      <c r="F145" s="7"/>
      <c r="G145" s="5"/>
      <c r="H145" s="6"/>
      <c r="I145" s="6"/>
      <c r="J145" s="6"/>
      <c r="K145" s="8"/>
      <c r="L145" s="9"/>
      <c r="M145" s="8"/>
      <c r="N145" s="10"/>
      <c r="O145" s="11"/>
      <c r="P145" s="8"/>
      <c r="Q145" s="8"/>
      <c r="R145" s="13"/>
    </row>
    <row r="146" spans="1:18" x14ac:dyDescent="0.4">
      <c r="A146" s="5"/>
      <c r="B146" s="5"/>
      <c r="C146" s="5"/>
      <c r="D146" s="6"/>
      <c r="E146" s="7"/>
      <c r="F146" s="7"/>
      <c r="G146" s="5"/>
      <c r="H146" s="6"/>
      <c r="I146" s="6"/>
      <c r="J146" s="6"/>
      <c r="K146" s="8"/>
      <c r="L146" s="9"/>
      <c r="M146" s="8"/>
      <c r="N146" s="10"/>
      <c r="O146" s="11"/>
      <c r="P146" s="8"/>
      <c r="Q146" s="8"/>
      <c r="R146" s="9"/>
    </row>
    <row r="147" spans="1:18" x14ac:dyDescent="0.4">
      <c r="A147" s="5"/>
      <c r="B147" s="5"/>
      <c r="C147" s="5"/>
      <c r="D147" s="6"/>
      <c r="E147" s="7"/>
      <c r="F147" s="7"/>
      <c r="G147" s="5"/>
      <c r="H147" s="6"/>
      <c r="I147" s="6"/>
      <c r="J147" s="6"/>
      <c r="K147" s="8"/>
      <c r="L147" s="9"/>
      <c r="M147" s="8"/>
      <c r="N147" s="10"/>
      <c r="O147" s="11"/>
      <c r="P147" s="8"/>
      <c r="Q147" s="8"/>
      <c r="R147" s="9"/>
    </row>
    <row r="148" spans="1:18" x14ac:dyDescent="0.4">
      <c r="A148" s="5"/>
      <c r="B148" s="5"/>
      <c r="C148" s="5"/>
      <c r="D148" s="6"/>
      <c r="E148" s="7"/>
      <c r="F148" s="7"/>
      <c r="G148" s="5"/>
      <c r="H148" s="6"/>
      <c r="I148" s="6"/>
      <c r="J148" s="6"/>
      <c r="K148" s="8"/>
      <c r="L148" s="9"/>
      <c r="M148" s="8"/>
      <c r="N148" s="10"/>
      <c r="O148" s="11"/>
      <c r="P148" s="8"/>
      <c r="Q148" s="8"/>
      <c r="R148" s="9"/>
    </row>
    <row r="149" spans="1:18" x14ac:dyDescent="0.4">
      <c r="A149" s="5"/>
      <c r="B149" s="5"/>
      <c r="C149" s="5"/>
      <c r="D149" s="6"/>
      <c r="E149" s="7"/>
      <c r="F149" s="7"/>
      <c r="G149" s="5"/>
      <c r="H149" s="6"/>
      <c r="I149" s="6"/>
      <c r="J149" s="6"/>
      <c r="K149" s="8"/>
      <c r="L149" s="9"/>
      <c r="M149" s="8"/>
      <c r="N149" s="10"/>
      <c r="O149" s="11"/>
      <c r="P149" s="8"/>
      <c r="Q149" s="8"/>
      <c r="R149" s="9"/>
    </row>
    <row r="150" spans="1:18" x14ac:dyDescent="0.4">
      <c r="A150" s="5"/>
      <c r="B150" s="5"/>
      <c r="C150" s="5"/>
      <c r="D150" s="6"/>
      <c r="E150" s="7"/>
      <c r="F150" s="7"/>
      <c r="G150" s="5"/>
      <c r="H150" s="6"/>
      <c r="I150" s="6"/>
      <c r="J150" s="6"/>
      <c r="K150" s="8"/>
      <c r="L150" s="9"/>
      <c r="M150" s="8"/>
      <c r="N150" s="10"/>
      <c r="O150" s="11"/>
      <c r="P150" s="8"/>
      <c r="Q150" s="8"/>
      <c r="R150" s="9"/>
    </row>
    <row r="151" spans="1:18" x14ac:dyDescent="0.4">
      <c r="A151" s="5"/>
      <c r="B151" s="5"/>
      <c r="C151" s="5"/>
      <c r="D151" s="6"/>
      <c r="E151" s="7"/>
      <c r="F151" s="7"/>
      <c r="G151" s="5"/>
      <c r="H151" s="6"/>
      <c r="I151" s="6"/>
      <c r="J151" s="6"/>
      <c r="K151" s="8"/>
      <c r="L151" s="9"/>
      <c r="M151" s="8"/>
      <c r="N151" s="10"/>
      <c r="O151" s="11"/>
      <c r="P151" s="8"/>
      <c r="Q151" s="8"/>
      <c r="R151" s="9"/>
    </row>
    <row r="152" spans="1:18" x14ac:dyDescent="0.4">
      <c r="A152" s="5"/>
      <c r="B152" s="5"/>
      <c r="C152" s="5"/>
      <c r="D152" s="6"/>
      <c r="E152" s="7"/>
      <c r="F152" s="7"/>
      <c r="G152" s="5"/>
      <c r="H152" s="6"/>
      <c r="I152" s="6"/>
      <c r="J152" s="6"/>
      <c r="K152" s="8"/>
      <c r="L152" s="9"/>
      <c r="M152" s="8"/>
      <c r="N152" s="10"/>
      <c r="O152" s="11"/>
      <c r="P152" s="8"/>
      <c r="Q152" s="8"/>
      <c r="R152" s="9"/>
    </row>
    <row r="153" spans="1:18" x14ac:dyDescent="0.4">
      <c r="A153" s="5"/>
      <c r="B153" s="5"/>
      <c r="C153" s="5"/>
      <c r="D153" s="6"/>
      <c r="E153" s="7"/>
      <c r="F153" s="7"/>
      <c r="G153" s="5"/>
      <c r="H153" s="6"/>
      <c r="I153" s="6"/>
      <c r="J153" s="6"/>
      <c r="K153" s="8"/>
      <c r="L153" s="9"/>
      <c r="M153" s="8"/>
      <c r="N153" s="10"/>
      <c r="O153" s="11"/>
      <c r="P153" s="8"/>
      <c r="Q153" s="8"/>
      <c r="R153" s="9"/>
    </row>
    <row r="154" spans="1:18" x14ac:dyDescent="0.4">
      <c r="A154" s="5"/>
      <c r="B154" s="5"/>
      <c r="C154" s="5"/>
      <c r="D154" s="6"/>
      <c r="E154" s="7"/>
      <c r="F154" s="7"/>
      <c r="G154" s="5"/>
      <c r="H154" s="6"/>
      <c r="I154" s="6"/>
      <c r="J154" s="6"/>
      <c r="K154" s="8"/>
      <c r="L154" s="9"/>
      <c r="M154" s="8"/>
      <c r="N154" s="10"/>
      <c r="O154" s="11"/>
      <c r="P154" s="8"/>
      <c r="Q154" s="8"/>
      <c r="R154" s="9"/>
    </row>
    <row r="155" spans="1:18" x14ac:dyDescent="0.4">
      <c r="A155" s="5"/>
      <c r="B155" s="5"/>
      <c r="C155" s="5"/>
      <c r="D155" s="6"/>
      <c r="E155" s="7"/>
      <c r="F155" s="7"/>
      <c r="G155" s="5"/>
      <c r="H155" s="6"/>
      <c r="I155" s="6"/>
      <c r="J155" s="6"/>
      <c r="K155" s="8"/>
      <c r="L155" s="9"/>
      <c r="M155" s="8"/>
      <c r="N155" s="10"/>
      <c r="O155" s="11"/>
      <c r="P155" s="8"/>
      <c r="Q155" s="8"/>
      <c r="R155" s="9"/>
    </row>
    <row r="156" spans="1:18" x14ac:dyDescent="0.4">
      <c r="A156" s="5"/>
      <c r="B156" s="5"/>
      <c r="C156" s="5"/>
      <c r="D156" s="6"/>
      <c r="E156" s="7"/>
      <c r="F156" s="7"/>
      <c r="G156" s="5"/>
      <c r="H156" s="6"/>
      <c r="I156" s="6"/>
      <c r="J156" s="6"/>
      <c r="K156" s="8"/>
      <c r="L156" s="9"/>
      <c r="M156" s="8"/>
      <c r="N156" s="10"/>
      <c r="O156" s="11"/>
      <c r="P156" s="8"/>
      <c r="Q156" s="8"/>
      <c r="R156" s="9"/>
    </row>
    <row r="157" spans="1:18" x14ac:dyDescent="0.4">
      <c r="A157" s="5"/>
      <c r="B157" s="5"/>
      <c r="C157" s="5"/>
      <c r="D157" s="6"/>
      <c r="E157" s="7"/>
      <c r="F157" s="7"/>
      <c r="G157" s="5"/>
      <c r="H157" s="6"/>
      <c r="I157" s="6"/>
      <c r="J157" s="6"/>
      <c r="K157" s="8"/>
      <c r="L157" s="9"/>
      <c r="M157" s="8"/>
      <c r="N157" s="10"/>
      <c r="O157" s="11"/>
      <c r="P157" s="8"/>
      <c r="Q157" s="8"/>
      <c r="R157" s="14"/>
    </row>
    <row r="158" spans="1:18" x14ac:dyDescent="0.4">
      <c r="A158" s="5"/>
      <c r="B158" s="5"/>
      <c r="C158" s="5"/>
      <c r="D158" s="6"/>
      <c r="E158" s="7"/>
      <c r="F158" s="7"/>
      <c r="G158" s="5"/>
      <c r="H158" s="6"/>
      <c r="I158" s="6"/>
      <c r="J158" s="6"/>
      <c r="K158" s="8"/>
      <c r="L158" s="9"/>
      <c r="M158" s="8"/>
      <c r="N158" s="10"/>
      <c r="O158" s="11"/>
      <c r="P158" s="8"/>
      <c r="Q158" s="8"/>
      <c r="R158" s="13"/>
    </row>
    <row r="159" spans="1:18" x14ac:dyDescent="0.4">
      <c r="A159" s="5"/>
      <c r="B159" s="5"/>
      <c r="C159" s="5"/>
      <c r="D159" s="6"/>
      <c r="E159" s="7"/>
      <c r="F159" s="7"/>
      <c r="G159" s="5"/>
      <c r="H159" s="6"/>
      <c r="I159" s="6"/>
      <c r="J159" s="6"/>
      <c r="K159" s="8"/>
      <c r="L159" s="9"/>
      <c r="M159" s="8"/>
      <c r="N159" s="10"/>
      <c r="O159" s="11"/>
      <c r="P159" s="8"/>
      <c r="Q159" s="8"/>
      <c r="R159" s="13"/>
    </row>
    <row r="160" spans="1:18" x14ac:dyDescent="0.4">
      <c r="A160" s="5"/>
      <c r="B160" s="5"/>
      <c r="C160" s="5"/>
      <c r="D160" s="6"/>
      <c r="E160" s="7"/>
      <c r="F160" s="7"/>
      <c r="G160" s="5"/>
      <c r="H160" s="6"/>
      <c r="I160" s="6"/>
      <c r="J160" s="6"/>
      <c r="K160" s="8"/>
      <c r="L160" s="9"/>
      <c r="M160" s="8"/>
      <c r="N160" s="10"/>
      <c r="O160" s="11"/>
      <c r="P160" s="8"/>
      <c r="Q160" s="8"/>
      <c r="R160" s="13"/>
    </row>
    <row r="161" spans="1:19" x14ac:dyDescent="0.4">
      <c r="A161" s="5"/>
      <c r="B161" s="5"/>
      <c r="C161" s="5"/>
      <c r="D161" s="6"/>
      <c r="E161" s="7"/>
      <c r="F161" s="7"/>
      <c r="G161" s="5"/>
      <c r="H161" s="6"/>
      <c r="I161" s="6"/>
      <c r="J161" s="6"/>
      <c r="K161" s="8"/>
      <c r="L161" s="9"/>
      <c r="M161" s="8"/>
      <c r="N161" s="10"/>
      <c r="O161" s="11"/>
      <c r="P161" s="8"/>
      <c r="Q161" s="8"/>
      <c r="R161" s="13"/>
    </row>
    <row r="162" spans="1:19" x14ac:dyDescent="0.4">
      <c r="A162" s="5"/>
      <c r="B162" s="5"/>
      <c r="C162" s="5"/>
      <c r="D162" s="6"/>
      <c r="E162" s="7"/>
      <c r="F162" s="7"/>
      <c r="G162" s="5"/>
      <c r="H162" s="6"/>
      <c r="I162" s="6"/>
      <c r="J162" s="6"/>
      <c r="K162" s="8"/>
      <c r="L162" s="9"/>
      <c r="M162" s="8"/>
      <c r="N162" s="10"/>
      <c r="O162" s="11"/>
      <c r="P162" s="8"/>
      <c r="Q162" s="8"/>
      <c r="R162" s="13"/>
      <c r="S162" s="17"/>
    </row>
    <row r="163" spans="1:19" x14ac:dyDescent="0.4">
      <c r="A163" s="5"/>
      <c r="B163" s="5"/>
      <c r="C163" s="5"/>
      <c r="D163" s="6"/>
      <c r="E163" s="7"/>
      <c r="F163" s="7"/>
      <c r="G163" s="5"/>
      <c r="H163" s="6"/>
      <c r="I163" s="6"/>
      <c r="J163" s="6"/>
      <c r="K163" s="8"/>
      <c r="L163" s="9"/>
      <c r="M163" s="8"/>
      <c r="N163" s="10"/>
      <c r="O163" s="11"/>
      <c r="P163" s="8"/>
      <c r="Q163" s="8"/>
      <c r="R163" s="13"/>
    </row>
    <row r="164" spans="1:19" x14ac:dyDescent="0.4">
      <c r="A164" s="5"/>
      <c r="B164" s="5"/>
      <c r="C164" s="5"/>
      <c r="D164" s="6"/>
      <c r="E164" s="7"/>
      <c r="F164" s="7"/>
      <c r="G164" s="5"/>
      <c r="H164" s="6"/>
      <c r="I164" s="6"/>
      <c r="J164" s="6"/>
      <c r="K164" s="8"/>
      <c r="L164" s="9"/>
      <c r="M164" s="8"/>
      <c r="N164" s="10"/>
      <c r="O164" s="11"/>
      <c r="P164" s="8"/>
      <c r="Q164" s="8"/>
      <c r="R164" s="13"/>
    </row>
    <row r="165" spans="1:19" x14ac:dyDescent="0.4">
      <c r="A165" s="5"/>
      <c r="B165" s="5"/>
      <c r="C165" s="5"/>
      <c r="D165" s="6"/>
      <c r="E165" s="7"/>
      <c r="F165" s="7"/>
      <c r="G165" s="5"/>
      <c r="H165" s="6"/>
      <c r="I165" s="6"/>
      <c r="J165" s="6"/>
      <c r="K165" s="8"/>
      <c r="L165" s="9"/>
      <c r="M165" s="8"/>
      <c r="N165" s="10"/>
      <c r="O165" s="11"/>
      <c r="P165" s="8"/>
      <c r="Q165" s="8"/>
      <c r="R165" s="13"/>
    </row>
    <row r="166" spans="1:19" x14ac:dyDescent="0.4">
      <c r="A166" s="5"/>
      <c r="B166" s="5"/>
      <c r="C166" s="5"/>
      <c r="D166" s="6"/>
      <c r="E166" s="7"/>
      <c r="F166" s="7"/>
      <c r="G166" s="5"/>
      <c r="H166" s="6"/>
      <c r="I166" s="6"/>
      <c r="J166" s="6"/>
      <c r="K166" s="8"/>
      <c r="L166" s="9"/>
      <c r="M166" s="8"/>
      <c r="N166" s="10"/>
      <c r="O166" s="11"/>
      <c r="P166" s="8"/>
      <c r="Q166" s="8"/>
      <c r="R166" s="13"/>
    </row>
    <row r="167" spans="1:19" x14ac:dyDescent="0.4">
      <c r="A167" s="5"/>
      <c r="B167" s="5"/>
      <c r="C167" s="5"/>
      <c r="D167" s="6"/>
      <c r="E167" s="7"/>
      <c r="F167" s="7"/>
      <c r="G167" s="5"/>
      <c r="H167" s="6"/>
      <c r="I167" s="6"/>
      <c r="J167" s="6"/>
      <c r="K167" s="8"/>
      <c r="L167" s="9"/>
      <c r="M167" s="8"/>
      <c r="N167" s="10"/>
      <c r="O167" s="11"/>
      <c r="P167" s="8"/>
      <c r="Q167" s="8"/>
      <c r="R167" s="13"/>
    </row>
    <row r="168" spans="1:19" x14ac:dyDescent="0.4">
      <c r="A168" s="5"/>
      <c r="B168" s="5"/>
      <c r="C168" s="5"/>
      <c r="D168" s="6"/>
      <c r="E168" s="7"/>
      <c r="F168" s="7"/>
      <c r="G168" s="5"/>
      <c r="H168" s="6"/>
      <c r="I168" s="6"/>
      <c r="J168" s="6"/>
      <c r="K168" s="8"/>
      <c r="L168" s="9"/>
      <c r="M168" s="8"/>
      <c r="N168" s="10"/>
      <c r="O168" s="11"/>
      <c r="P168" s="8"/>
      <c r="Q168" s="8"/>
      <c r="R168" s="13"/>
    </row>
    <row r="169" spans="1:19" x14ac:dyDescent="0.4">
      <c r="A169" s="5"/>
      <c r="B169" s="5"/>
      <c r="C169" s="5"/>
      <c r="D169" s="6"/>
      <c r="E169" s="7"/>
      <c r="F169" s="7"/>
      <c r="G169" s="5"/>
      <c r="H169" s="6"/>
      <c r="I169" s="6"/>
      <c r="J169" s="6"/>
      <c r="K169" s="8"/>
      <c r="L169" s="9"/>
      <c r="M169" s="8"/>
      <c r="N169" s="10"/>
      <c r="O169" s="11"/>
      <c r="P169" s="8"/>
      <c r="Q169" s="8"/>
      <c r="R169" s="9"/>
    </row>
    <row r="170" spans="1:19" x14ac:dyDescent="0.4">
      <c r="A170" s="5"/>
      <c r="B170" s="5"/>
      <c r="C170" s="5"/>
      <c r="D170" s="6"/>
      <c r="E170" s="7"/>
      <c r="F170" s="7"/>
      <c r="G170" s="5"/>
      <c r="H170" s="6"/>
      <c r="I170" s="6"/>
      <c r="J170" s="6"/>
      <c r="K170" s="8"/>
      <c r="L170" s="9"/>
      <c r="M170" s="8"/>
      <c r="N170" s="10"/>
      <c r="O170" s="11"/>
      <c r="P170" s="8"/>
      <c r="Q170" s="8"/>
      <c r="R170" s="9"/>
    </row>
    <row r="171" spans="1:19" x14ac:dyDescent="0.4">
      <c r="A171" s="5"/>
      <c r="B171" s="5"/>
      <c r="C171" s="5"/>
      <c r="D171" s="6"/>
      <c r="E171" s="7"/>
      <c r="F171" s="7"/>
      <c r="G171" s="5"/>
      <c r="H171" s="6"/>
      <c r="I171" s="6"/>
      <c r="J171" s="6"/>
      <c r="K171" s="8"/>
      <c r="L171" s="9"/>
      <c r="M171" s="8"/>
      <c r="N171" s="10"/>
      <c r="O171" s="11"/>
      <c r="P171" s="8"/>
      <c r="Q171" s="8"/>
      <c r="R171" s="9"/>
    </row>
    <row r="172" spans="1:19" x14ac:dyDescent="0.4">
      <c r="A172" s="5"/>
      <c r="B172" s="5"/>
      <c r="C172" s="5"/>
      <c r="D172" s="6"/>
      <c r="E172" s="7"/>
      <c r="F172" s="7"/>
      <c r="G172" s="5"/>
      <c r="H172" s="6"/>
      <c r="I172" s="6"/>
      <c r="J172" s="6"/>
      <c r="K172" s="8"/>
      <c r="L172" s="9"/>
      <c r="M172" s="8"/>
      <c r="N172" s="10"/>
      <c r="O172" s="11"/>
      <c r="P172" s="8"/>
      <c r="Q172" s="8"/>
      <c r="R172" s="9"/>
      <c r="S172" s="17"/>
    </row>
    <row r="173" spans="1:19" x14ac:dyDescent="0.4">
      <c r="A173" s="5"/>
      <c r="B173" s="5"/>
      <c r="C173" s="5"/>
      <c r="D173" s="6"/>
      <c r="E173" s="7"/>
      <c r="F173" s="7"/>
      <c r="G173" s="5"/>
      <c r="H173" s="6"/>
      <c r="I173" s="6"/>
      <c r="J173" s="6"/>
      <c r="K173" s="8"/>
      <c r="L173" s="9"/>
      <c r="M173" s="8"/>
      <c r="N173" s="10"/>
      <c r="O173" s="11"/>
      <c r="P173" s="8"/>
      <c r="Q173" s="8"/>
      <c r="R173" s="9"/>
    </row>
    <row r="174" spans="1:19" x14ac:dyDescent="0.4">
      <c r="A174" s="5"/>
      <c r="B174" s="5"/>
      <c r="C174" s="5"/>
      <c r="D174" s="6"/>
      <c r="E174" s="7"/>
      <c r="F174" s="7"/>
      <c r="G174" s="5"/>
      <c r="H174" s="6"/>
      <c r="I174" s="6"/>
      <c r="J174" s="6"/>
      <c r="K174" s="8"/>
      <c r="L174" s="9"/>
      <c r="M174" s="8"/>
      <c r="N174" s="10"/>
      <c r="O174" s="11"/>
      <c r="P174" s="8"/>
      <c r="Q174" s="8"/>
      <c r="R174" s="9"/>
    </row>
    <row r="175" spans="1:19" x14ac:dyDescent="0.4">
      <c r="A175" s="5"/>
      <c r="B175" s="5"/>
      <c r="C175" s="5"/>
      <c r="D175" s="6"/>
      <c r="E175" s="7"/>
      <c r="F175" s="7"/>
      <c r="G175" s="5"/>
      <c r="H175" s="6"/>
      <c r="I175" s="6"/>
      <c r="J175" s="6"/>
      <c r="K175" s="8"/>
      <c r="L175" s="9"/>
      <c r="M175" s="8"/>
      <c r="N175" s="10"/>
      <c r="O175" s="11"/>
      <c r="P175" s="8"/>
      <c r="Q175" s="8"/>
      <c r="R175" s="9"/>
    </row>
    <row r="176" spans="1:19" x14ac:dyDescent="0.4">
      <c r="A176" s="5"/>
      <c r="B176" s="5"/>
      <c r="C176" s="5"/>
      <c r="D176" s="6"/>
      <c r="E176" s="7"/>
      <c r="F176" s="7"/>
      <c r="G176" s="5"/>
      <c r="H176" s="6"/>
      <c r="I176" s="6"/>
      <c r="J176" s="6"/>
      <c r="K176" s="8"/>
      <c r="L176" s="9"/>
      <c r="M176" s="8"/>
      <c r="N176" s="10"/>
      <c r="O176" s="11"/>
      <c r="P176" s="8"/>
      <c r="Q176" s="8"/>
      <c r="R176" s="9"/>
    </row>
    <row r="177" spans="1:18" x14ac:dyDescent="0.4">
      <c r="A177" s="5"/>
      <c r="B177" s="5"/>
      <c r="C177" s="5"/>
      <c r="D177" s="6"/>
      <c r="E177" s="7"/>
      <c r="F177" s="7"/>
      <c r="G177" s="5"/>
      <c r="H177" s="6"/>
      <c r="I177" s="6"/>
      <c r="J177" s="6"/>
      <c r="K177" s="8"/>
      <c r="L177" s="9"/>
      <c r="M177" s="8"/>
      <c r="N177" s="10"/>
      <c r="O177" s="11"/>
      <c r="P177" s="8"/>
      <c r="Q177" s="8"/>
      <c r="R177" s="9"/>
    </row>
    <row r="178" spans="1:18" x14ac:dyDescent="0.4">
      <c r="A178" s="5"/>
      <c r="B178" s="5"/>
      <c r="C178" s="5"/>
      <c r="D178" s="6"/>
      <c r="E178" s="7"/>
      <c r="F178" s="7"/>
      <c r="G178" s="5"/>
      <c r="H178" s="6"/>
      <c r="I178" s="6"/>
      <c r="J178" s="6"/>
      <c r="K178" s="8"/>
      <c r="L178" s="9"/>
      <c r="M178" s="8"/>
      <c r="N178" s="10"/>
      <c r="O178" s="11"/>
      <c r="P178" s="8"/>
      <c r="Q178" s="8"/>
      <c r="R178" s="9"/>
    </row>
    <row r="179" spans="1:18" x14ac:dyDescent="0.4">
      <c r="A179" s="5"/>
      <c r="B179" s="5"/>
      <c r="C179" s="5"/>
      <c r="D179" s="6"/>
      <c r="E179" s="7"/>
      <c r="F179" s="7"/>
      <c r="G179" s="5"/>
      <c r="H179" s="6"/>
      <c r="I179" s="6"/>
      <c r="J179" s="6"/>
      <c r="K179" s="8"/>
      <c r="L179" s="9"/>
      <c r="M179" s="8"/>
      <c r="N179" s="10"/>
      <c r="O179" s="11"/>
      <c r="P179" s="8"/>
      <c r="Q179" s="8"/>
      <c r="R179" s="9"/>
    </row>
    <row r="180" spans="1:18" x14ac:dyDescent="0.4">
      <c r="A180" s="5"/>
      <c r="B180" s="5"/>
      <c r="C180" s="5"/>
      <c r="D180" s="6"/>
      <c r="E180" s="7"/>
      <c r="F180" s="7"/>
      <c r="G180" s="5"/>
      <c r="H180" s="6"/>
      <c r="I180" s="6"/>
      <c r="J180" s="6"/>
      <c r="K180" s="8"/>
      <c r="L180" s="9"/>
      <c r="M180" s="8"/>
      <c r="N180" s="10"/>
      <c r="O180" s="11"/>
      <c r="P180" s="8"/>
      <c r="Q180" s="8"/>
      <c r="R180" s="9"/>
    </row>
    <row r="181" spans="1:18" x14ac:dyDescent="0.4">
      <c r="A181" s="5"/>
      <c r="B181" s="5"/>
      <c r="C181" s="5"/>
      <c r="D181" s="6"/>
      <c r="E181" s="7"/>
      <c r="F181" s="7"/>
      <c r="G181" s="5"/>
      <c r="H181" s="6"/>
      <c r="I181" s="6"/>
      <c r="J181" s="6"/>
      <c r="K181" s="8"/>
      <c r="L181" s="9"/>
      <c r="M181" s="8"/>
      <c r="N181" s="10"/>
      <c r="O181" s="11"/>
      <c r="P181" s="8"/>
      <c r="Q181" s="8"/>
      <c r="R181" s="9"/>
    </row>
    <row r="182" spans="1:18" x14ac:dyDescent="0.4">
      <c r="A182" s="5"/>
      <c r="B182" s="5"/>
      <c r="C182" s="5"/>
      <c r="D182" s="6"/>
      <c r="E182" s="7"/>
      <c r="F182" s="7"/>
      <c r="G182" s="5"/>
      <c r="H182" s="6"/>
      <c r="I182" s="6"/>
      <c r="J182" s="6"/>
      <c r="K182" s="8"/>
      <c r="L182" s="9"/>
      <c r="M182" s="8"/>
      <c r="N182" s="10"/>
      <c r="O182" s="11"/>
      <c r="P182" s="8"/>
      <c r="Q182" s="8"/>
      <c r="R182" s="9"/>
    </row>
    <row r="183" spans="1:18" x14ac:dyDescent="0.4">
      <c r="A183" s="5"/>
      <c r="B183" s="5"/>
      <c r="C183" s="5"/>
      <c r="D183" s="6"/>
      <c r="E183" s="7"/>
      <c r="F183" s="7"/>
      <c r="G183" s="5"/>
      <c r="H183" s="6"/>
      <c r="I183" s="6"/>
      <c r="J183" s="6"/>
      <c r="K183" s="8"/>
      <c r="L183" s="9"/>
      <c r="M183" s="8"/>
      <c r="N183" s="10"/>
      <c r="O183" s="11"/>
      <c r="P183" s="8"/>
      <c r="Q183" s="8"/>
      <c r="R183" s="9"/>
    </row>
    <row r="184" spans="1:18" x14ac:dyDescent="0.4">
      <c r="A184" s="5"/>
      <c r="B184" s="5"/>
      <c r="C184" s="5"/>
      <c r="D184" s="6"/>
      <c r="E184" s="7"/>
      <c r="F184" s="7"/>
      <c r="G184" s="5"/>
      <c r="H184" s="6"/>
      <c r="I184" s="6"/>
      <c r="J184" s="6"/>
      <c r="K184" s="8"/>
      <c r="L184" s="9"/>
      <c r="M184" s="8"/>
      <c r="N184" s="10"/>
      <c r="O184" s="11"/>
      <c r="P184" s="8"/>
      <c r="Q184" s="8"/>
      <c r="R184" s="9"/>
    </row>
    <row r="185" spans="1:18" x14ac:dyDescent="0.4">
      <c r="A185" s="5"/>
      <c r="B185" s="5"/>
      <c r="C185" s="5"/>
      <c r="D185" s="6"/>
      <c r="E185" s="7"/>
      <c r="F185" s="7"/>
      <c r="G185" s="5"/>
      <c r="H185" s="6"/>
      <c r="I185" s="6"/>
      <c r="J185" s="6"/>
      <c r="K185" s="8"/>
      <c r="L185" s="9"/>
      <c r="M185" s="8"/>
      <c r="N185" s="10"/>
      <c r="O185" s="11"/>
      <c r="P185" s="8"/>
      <c r="Q185" s="8"/>
      <c r="R185" s="9"/>
    </row>
    <row r="186" spans="1:18" x14ac:dyDescent="0.4">
      <c r="A186" s="5"/>
      <c r="B186" s="5"/>
      <c r="C186" s="5"/>
      <c r="D186" s="6"/>
      <c r="E186" s="7"/>
      <c r="F186" s="7"/>
      <c r="G186" s="5"/>
      <c r="H186" s="6"/>
      <c r="I186" s="6"/>
      <c r="J186" s="6"/>
      <c r="K186" s="8"/>
      <c r="L186" s="9"/>
      <c r="M186" s="8"/>
      <c r="N186" s="10"/>
      <c r="O186" s="11"/>
      <c r="P186" s="8"/>
      <c r="Q186" s="8"/>
      <c r="R186" s="9"/>
    </row>
    <row r="187" spans="1:18" x14ac:dyDescent="0.4">
      <c r="A187" s="5"/>
      <c r="B187" s="5"/>
      <c r="C187" s="5"/>
      <c r="D187" s="6"/>
      <c r="E187" s="7"/>
      <c r="F187" s="7"/>
      <c r="G187" s="5"/>
      <c r="H187" s="6"/>
      <c r="I187" s="6"/>
      <c r="J187" s="6"/>
      <c r="K187" s="8"/>
      <c r="L187" s="9"/>
      <c r="M187" s="8"/>
      <c r="N187" s="10"/>
      <c r="O187" s="11"/>
      <c r="P187" s="8"/>
      <c r="Q187" s="8"/>
      <c r="R187" s="9"/>
    </row>
    <row r="188" spans="1:18" x14ac:dyDescent="0.4">
      <c r="A188" s="5"/>
      <c r="B188" s="5"/>
      <c r="C188" s="5"/>
      <c r="D188" s="6"/>
      <c r="E188" s="7"/>
      <c r="F188" s="7"/>
      <c r="G188" s="5"/>
      <c r="H188" s="6"/>
      <c r="I188" s="6"/>
      <c r="J188" s="6"/>
      <c r="K188" s="8"/>
      <c r="L188" s="9"/>
      <c r="M188" s="8"/>
      <c r="N188" s="10"/>
      <c r="O188" s="11"/>
      <c r="P188" s="8"/>
      <c r="Q188" s="8"/>
      <c r="R188" s="9"/>
    </row>
    <row r="189" spans="1:18" x14ac:dyDescent="0.4">
      <c r="A189" s="5"/>
      <c r="B189" s="5"/>
      <c r="C189" s="5"/>
      <c r="D189" s="6"/>
      <c r="E189" s="7"/>
      <c r="F189" s="7"/>
      <c r="G189" s="5"/>
      <c r="H189" s="6"/>
      <c r="I189" s="6"/>
      <c r="J189" s="6"/>
      <c r="K189" s="8"/>
      <c r="L189" s="9"/>
      <c r="M189" s="8"/>
      <c r="N189" s="10"/>
      <c r="O189" s="11"/>
      <c r="P189" s="8"/>
      <c r="Q189" s="8"/>
      <c r="R189" s="9"/>
    </row>
    <row r="190" spans="1:18" x14ac:dyDescent="0.4">
      <c r="A190" s="5"/>
      <c r="B190" s="5"/>
      <c r="C190" s="5"/>
      <c r="D190" s="6"/>
      <c r="E190" s="7"/>
      <c r="F190" s="7"/>
      <c r="G190" s="5"/>
      <c r="H190" s="6"/>
      <c r="I190" s="6"/>
      <c r="J190" s="6"/>
      <c r="K190" s="8"/>
      <c r="L190" s="9"/>
      <c r="M190" s="8"/>
      <c r="N190" s="10"/>
      <c r="O190" s="11"/>
      <c r="P190" s="8"/>
      <c r="Q190" s="8"/>
      <c r="R190" s="9"/>
    </row>
    <row r="191" spans="1:18" x14ac:dyDescent="0.4">
      <c r="A191" s="5"/>
      <c r="B191" s="5"/>
      <c r="C191" s="5"/>
      <c r="D191" s="6"/>
      <c r="E191" s="7"/>
      <c r="F191" s="7"/>
      <c r="G191" s="5"/>
      <c r="H191" s="6"/>
      <c r="I191" s="6"/>
      <c r="J191" s="6"/>
      <c r="K191" s="8"/>
      <c r="L191" s="9"/>
      <c r="M191" s="8"/>
      <c r="N191" s="10"/>
      <c r="O191" s="11"/>
      <c r="P191" s="8"/>
      <c r="Q191" s="8"/>
      <c r="R191" s="9"/>
    </row>
    <row r="192" spans="1:18" x14ac:dyDescent="0.4">
      <c r="A192" s="5"/>
      <c r="B192" s="5"/>
      <c r="C192" s="5"/>
      <c r="D192" s="6"/>
      <c r="E192" s="7"/>
      <c r="F192" s="7"/>
      <c r="G192" s="5"/>
      <c r="H192" s="6"/>
      <c r="I192" s="6"/>
      <c r="J192" s="6"/>
      <c r="K192" s="8"/>
      <c r="L192" s="9"/>
      <c r="M192" s="8"/>
      <c r="N192" s="10"/>
      <c r="O192" s="11"/>
      <c r="P192" s="8"/>
      <c r="Q192" s="8"/>
      <c r="R192" s="9"/>
    </row>
    <row r="193" spans="1:19" x14ac:dyDescent="0.4">
      <c r="A193" s="5"/>
      <c r="B193" s="5"/>
      <c r="C193" s="5"/>
      <c r="D193" s="6"/>
      <c r="E193" s="7"/>
      <c r="F193" s="7"/>
      <c r="G193" s="5"/>
      <c r="H193" s="6"/>
      <c r="I193" s="6"/>
      <c r="J193" s="6"/>
      <c r="K193" s="8"/>
      <c r="L193" s="9"/>
      <c r="M193" s="8"/>
      <c r="N193" s="10"/>
      <c r="O193" s="11"/>
      <c r="P193" s="8"/>
      <c r="Q193" s="8"/>
      <c r="R193" s="9"/>
    </row>
    <row r="194" spans="1:19" x14ac:dyDescent="0.4">
      <c r="A194" s="5"/>
      <c r="B194" s="5"/>
      <c r="C194" s="5"/>
      <c r="D194" s="6"/>
      <c r="E194" s="7"/>
      <c r="F194" s="7"/>
      <c r="G194" s="5"/>
      <c r="H194" s="6"/>
      <c r="I194" s="6"/>
      <c r="J194" s="6"/>
      <c r="K194" s="8"/>
      <c r="L194" s="9"/>
      <c r="M194" s="8"/>
      <c r="N194" s="10"/>
      <c r="O194" s="11"/>
      <c r="P194" s="8"/>
      <c r="Q194" s="8"/>
      <c r="R194" s="9"/>
    </row>
    <row r="195" spans="1:19" x14ac:dyDescent="0.4">
      <c r="A195" s="5"/>
      <c r="B195" s="5"/>
      <c r="C195" s="5"/>
      <c r="D195" s="6"/>
      <c r="E195" s="7"/>
      <c r="F195" s="7"/>
      <c r="G195" s="5"/>
      <c r="H195" s="6"/>
      <c r="I195" s="6"/>
      <c r="J195" s="6"/>
      <c r="K195" s="8"/>
      <c r="L195" s="9"/>
      <c r="M195" s="8"/>
      <c r="N195" s="10"/>
      <c r="O195" s="11"/>
      <c r="P195" s="8"/>
      <c r="Q195" s="8"/>
      <c r="R195" s="9"/>
      <c r="S195" s="16"/>
    </row>
    <row r="196" spans="1:19" x14ac:dyDescent="0.4">
      <c r="A196" s="5"/>
      <c r="B196" s="5"/>
      <c r="C196" s="5"/>
      <c r="D196" s="6"/>
      <c r="E196" s="7"/>
      <c r="F196" s="7"/>
      <c r="G196" s="5"/>
      <c r="H196" s="6"/>
      <c r="I196" s="6"/>
      <c r="J196" s="6"/>
      <c r="K196" s="8"/>
      <c r="L196" s="9"/>
      <c r="M196" s="8"/>
      <c r="N196" s="10"/>
      <c r="O196" s="11"/>
      <c r="P196" s="8"/>
      <c r="Q196" s="8"/>
      <c r="R196" s="14"/>
    </row>
    <row r="197" spans="1:19" x14ac:dyDescent="0.4">
      <c r="A197" s="5"/>
      <c r="B197" s="5"/>
      <c r="C197" s="5"/>
      <c r="D197" s="6"/>
      <c r="E197" s="7"/>
      <c r="F197" s="7"/>
      <c r="G197" s="5"/>
      <c r="H197" s="6"/>
      <c r="I197" s="6"/>
      <c r="J197" s="6"/>
      <c r="K197" s="8"/>
      <c r="L197" s="9"/>
      <c r="M197" s="8"/>
      <c r="N197" s="10"/>
      <c r="O197" s="11"/>
      <c r="P197" s="8"/>
      <c r="Q197" s="8"/>
      <c r="R197" s="13"/>
    </row>
    <row r="198" spans="1:19" x14ac:dyDescent="0.4">
      <c r="A198" s="5"/>
      <c r="B198" s="5"/>
      <c r="C198" s="5"/>
      <c r="D198" s="6"/>
      <c r="E198" s="7"/>
      <c r="F198" s="7"/>
      <c r="G198" s="5"/>
      <c r="H198" s="6"/>
      <c r="I198" s="6"/>
      <c r="J198" s="6"/>
      <c r="K198" s="8"/>
      <c r="L198" s="9"/>
      <c r="M198" s="8"/>
      <c r="N198" s="10"/>
      <c r="O198" s="11"/>
      <c r="P198" s="8"/>
      <c r="Q198" s="8"/>
      <c r="R198" s="13"/>
    </row>
    <row r="199" spans="1:19" x14ac:dyDescent="0.4">
      <c r="A199" s="5"/>
      <c r="B199" s="5"/>
      <c r="C199" s="5"/>
      <c r="D199" s="6"/>
      <c r="E199" s="7"/>
      <c r="F199" s="7"/>
      <c r="G199" s="5"/>
      <c r="H199" s="6"/>
      <c r="I199" s="6"/>
      <c r="J199" s="6"/>
      <c r="K199" s="8"/>
      <c r="L199" s="9"/>
      <c r="M199" s="8"/>
      <c r="N199" s="10"/>
      <c r="O199" s="11"/>
      <c r="P199" s="8"/>
      <c r="Q199" s="8"/>
      <c r="R199" s="13"/>
    </row>
    <row r="200" spans="1:19" x14ac:dyDescent="0.4">
      <c r="A200" s="5"/>
      <c r="B200" s="5"/>
      <c r="C200" s="5"/>
      <c r="D200" s="6"/>
      <c r="E200" s="7"/>
      <c r="F200" s="7"/>
      <c r="G200" s="5"/>
      <c r="H200" s="6"/>
      <c r="I200" s="6"/>
      <c r="J200" s="6"/>
      <c r="K200" s="8"/>
      <c r="L200" s="9"/>
      <c r="M200" s="8"/>
      <c r="N200" s="10"/>
      <c r="O200" s="11"/>
      <c r="P200" s="8"/>
      <c r="Q200" s="8"/>
      <c r="R200" s="13"/>
    </row>
    <row r="201" spans="1:19" x14ac:dyDescent="0.4">
      <c r="A201" s="5"/>
      <c r="B201" s="5"/>
      <c r="C201" s="5"/>
      <c r="D201" s="6"/>
      <c r="E201" s="7"/>
      <c r="F201" s="7"/>
      <c r="G201" s="5"/>
      <c r="H201" s="6"/>
      <c r="I201" s="6"/>
      <c r="J201" s="6"/>
      <c r="K201" s="8"/>
      <c r="L201" s="9"/>
      <c r="M201" s="8"/>
      <c r="N201" s="10"/>
      <c r="O201" s="11"/>
      <c r="P201" s="8"/>
      <c r="Q201" s="8"/>
      <c r="R201" s="13"/>
    </row>
    <row r="202" spans="1:19" x14ac:dyDescent="0.4">
      <c r="A202" s="5"/>
      <c r="B202" s="5"/>
      <c r="C202" s="5"/>
      <c r="D202" s="6"/>
      <c r="E202" s="7"/>
      <c r="F202" s="7"/>
      <c r="G202" s="5"/>
      <c r="H202" s="6"/>
      <c r="I202" s="6"/>
      <c r="J202" s="6"/>
      <c r="K202" s="8"/>
      <c r="L202" s="9"/>
      <c r="M202" s="8"/>
      <c r="N202" s="10"/>
      <c r="O202" s="11"/>
      <c r="P202" s="8"/>
      <c r="Q202" s="8"/>
      <c r="R202" s="13"/>
    </row>
    <row r="203" spans="1:19" x14ac:dyDescent="0.4">
      <c r="A203" s="5"/>
      <c r="B203" s="5"/>
      <c r="C203" s="5"/>
      <c r="D203" s="6"/>
      <c r="E203" s="7"/>
      <c r="F203" s="7"/>
      <c r="G203" s="5"/>
      <c r="H203" s="6"/>
      <c r="I203" s="6"/>
      <c r="J203" s="6"/>
      <c r="K203" s="8"/>
      <c r="L203" s="9"/>
      <c r="M203" s="8"/>
      <c r="N203" s="10"/>
      <c r="O203" s="11"/>
      <c r="P203" s="8"/>
      <c r="Q203" s="8"/>
      <c r="R203" s="13"/>
    </row>
    <row r="204" spans="1:19" x14ac:dyDescent="0.4">
      <c r="A204" s="5"/>
      <c r="B204" s="5"/>
      <c r="C204" s="5"/>
      <c r="D204" s="6"/>
      <c r="E204" s="7"/>
      <c r="F204" s="7"/>
      <c r="G204" s="5"/>
      <c r="H204" s="6"/>
      <c r="I204" s="6"/>
      <c r="J204" s="6"/>
      <c r="K204" s="8"/>
      <c r="L204" s="9"/>
      <c r="M204" s="8"/>
      <c r="N204" s="10"/>
      <c r="O204" s="11"/>
      <c r="P204" s="8"/>
      <c r="Q204" s="8"/>
      <c r="R204" s="13"/>
    </row>
    <row r="205" spans="1:19" x14ac:dyDescent="0.4">
      <c r="A205" s="5"/>
      <c r="B205" s="5"/>
      <c r="C205" s="5"/>
      <c r="D205" s="6"/>
      <c r="E205" s="7"/>
      <c r="F205" s="7"/>
      <c r="G205" s="5"/>
      <c r="H205" s="6"/>
      <c r="I205" s="6"/>
      <c r="J205" s="6"/>
      <c r="K205" s="8"/>
      <c r="L205" s="9"/>
      <c r="M205" s="8"/>
      <c r="N205" s="10"/>
      <c r="O205" s="11"/>
      <c r="P205" s="8"/>
      <c r="Q205" s="8"/>
      <c r="R205" s="13"/>
    </row>
    <row r="206" spans="1:19" x14ac:dyDescent="0.4">
      <c r="A206" s="5"/>
      <c r="B206" s="5"/>
      <c r="C206" s="5"/>
      <c r="D206" s="6"/>
      <c r="E206" s="7"/>
      <c r="F206" s="7"/>
      <c r="G206" s="5"/>
      <c r="H206" s="6"/>
      <c r="I206" s="6"/>
      <c r="J206" s="6"/>
      <c r="K206" s="8"/>
      <c r="L206" s="9"/>
      <c r="M206" s="8"/>
      <c r="N206" s="10"/>
      <c r="O206" s="11"/>
      <c r="P206" s="8"/>
      <c r="Q206" s="8"/>
      <c r="R206" s="14"/>
    </row>
    <row r="207" spans="1:19" x14ac:dyDescent="0.4">
      <c r="A207" s="5"/>
      <c r="B207" s="5"/>
      <c r="C207" s="5"/>
      <c r="D207" s="6"/>
      <c r="E207" s="7"/>
      <c r="F207" s="7"/>
      <c r="G207" s="5"/>
      <c r="H207" s="6"/>
      <c r="I207" s="6"/>
      <c r="J207" s="6"/>
      <c r="K207" s="8"/>
      <c r="L207" s="9"/>
      <c r="M207" s="8"/>
      <c r="N207" s="10"/>
      <c r="O207" s="11"/>
      <c r="P207" s="8"/>
      <c r="Q207" s="8"/>
      <c r="R207" s="13"/>
    </row>
    <row r="208" spans="1:19" x14ac:dyDescent="0.4">
      <c r="A208" s="5"/>
      <c r="B208" s="5"/>
      <c r="C208" s="5"/>
      <c r="D208" s="6"/>
      <c r="E208" s="7"/>
      <c r="F208" s="7"/>
      <c r="G208" s="5"/>
      <c r="H208" s="6"/>
      <c r="I208" s="6"/>
      <c r="J208" s="6"/>
      <c r="K208" s="8"/>
      <c r="L208" s="9"/>
      <c r="M208" s="8"/>
      <c r="N208" s="10"/>
      <c r="O208" s="11"/>
      <c r="P208" s="8"/>
      <c r="Q208" s="8"/>
      <c r="R208" s="14"/>
    </row>
    <row r="209" spans="1:18" x14ac:dyDescent="0.4">
      <c r="A209" s="5"/>
      <c r="B209" s="5"/>
      <c r="C209" s="5"/>
      <c r="D209" s="6"/>
      <c r="E209" s="7"/>
      <c r="F209" s="7"/>
      <c r="G209" s="5"/>
      <c r="H209" s="6"/>
      <c r="I209" s="6"/>
      <c r="J209" s="6"/>
      <c r="K209" s="8"/>
      <c r="L209" s="9"/>
      <c r="M209" s="8"/>
      <c r="N209" s="10"/>
      <c r="O209" s="11"/>
      <c r="P209" s="8"/>
      <c r="Q209" s="8"/>
      <c r="R209" s="13"/>
    </row>
    <row r="210" spans="1:18" x14ac:dyDescent="0.4">
      <c r="A210" s="5"/>
      <c r="B210" s="5"/>
      <c r="C210" s="5"/>
      <c r="D210" s="6"/>
      <c r="E210" s="7"/>
      <c r="F210" s="7"/>
      <c r="G210" s="5"/>
      <c r="H210" s="6"/>
      <c r="I210" s="6"/>
      <c r="J210" s="6"/>
      <c r="K210" s="8"/>
      <c r="L210" s="9"/>
      <c r="M210" s="8"/>
      <c r="N210" s="10"/>
      <c r="O210" s="11"/>
      <c r="P210" s="8"/>
      <c r="Q210" s="8"/>
      <c r="R210" s="13"/>
    </row>
    <row r="211" spans="1:18" x14ac:dyDescent="0.4">
      <c r="A211" s="5"/>
      <c r="B211" s="5"/>
      <c r="C211" s="5"/>
      <c r="D211" s="6"/>
      <c r="E211" s="7"/>
      <c r="F211" s="7"/>
      <c r="G211" s="5"/>
      <c r="H211" s="6"/>
      <c r="I211" s="6"/>
      <c r="J211" s="6"/>
      <c r="K211" s="8"/>
      <c r="L211" s="9"/>
      <c r="M211" s="8"/>
      <c r="N211" s="10"/>
      <c r="O211" s="11"/>
      <c r="P211" s="8"/>
      <c r="Q211" s="8"/>
      <c r="R211" s="13"/>
    </row>
    <row r="212" spans="1:18" x14ac:dyDescent="0.4">
      <c r="A212" s="5"/>
      <c r="B212" s="5"/>
      <c r="C212" s="5"/>
      <c r="D212" s="6"/>
      <c r="E212" s="7"/>
      <c r="F212" s="7"/>
      <c r="G212" s="5"/>
      <c r="H212" s="6"/>
      <c r="I212" s="6"/>
      <c r="J212" s="6"/>
      <c r="K212" s="8"/>
      <c r="L212" s="9"/>
      <c r="M212" s="8"/>
      <c r="N212" s="10"/>
      <c r="O212" s="11"/>
      <c r="P212" s="8"/>
      <c r="Q212" s="8"/>
      <c r="R212" s="13"/>
    </row>
    <row r="213" spans="1:18" x14ac:dyDescent="0.4">
      <c r="A213" s="5"/>
      <c r="B213" s="5"/>
      <c r="C213" s="5"/>
      <c r="D213" s="6"/>
      <c r="E213" s="7"/>
      <c r="F213" s="7"/>
      <c r="G213" s="5"/>
      <c r="H213" s="6"/>
      <c r="I213" s="6"/>
      <c r="J213" s="6"/>
      <c r="K213" s="8"/>
      <c r="L213" s="9"/>
      <c r="M213" s="8"/>
      <c r="N213" s="10"/>
      <c r="O213" s="11"/>
      <c r="P213" s="8"/>
      <c r="Q213" s="8"/>
      <c r="R213" s="13"/>
    </row>
    <row r="214" spans="1:18" x14ac:dyDescent="0.4">
      <c r="A214" s="5"/>
      <c r="B214" s="5"/>
      <c r="C214" s="5"/>
      <c r="D214" s="6"/>
      <c r="E214" s="7"/>
      <c r="F214" s="7"/>
      <c r="G214" s="5"/>
      <c r="H214" s="6"/>
      <c r="I214" s="6"/>
      <c r="J214" s="6"/>
      <c r="K214" s="8"/>
      <c r="L214" s="9"/>
      <c r="M214" s="8"/>
      <c r="N214" s="10"/>
      <c r="O214" s="11"/>
      <c r="P214" s="8"/>
      <c r="Q214" s="8"/>
      <c r="R214" s="9"/>
    </row>
    <row r="215" spans="1:18" x14ac:dyDescent="0.4">
      <c r="A215" s="5"/>
      <c r="B215" s="5"/>
      <c r="C215" s="5"/>
      <c r="D215" s="6"/>
      <c r="E215" s="7"/>
      <c r="F215" s="7"/>
      <c r="G215" s="5"/>
      <c r="H215" s="6"/>
      <c r="I215" s="6"/>
      <c r="J215" s="6"/>
      <c r="K215" s="8"/>
      <c r="L215" s="9"/>
      <c r="M215" s="8"/>
      <c r="N215" s="10"/>
      <c r="O215" s="11"/>
      <c r="P215" s="8"/>
      <c r="Q215" s="8"/>
      <c r="R215" s="9"/>
    </row>
    <row r="216" spans="1:18" x14ac:dyDescent="0.4">
      <c r="A216" s="5"/>
      <c r="B216" s="5"/>
      <c r="C216" s="5"/>
      <c r="D216" s="6"/>
      <c r="E216" s="7"/>
      <c r="F216" s="7"/>
      <c r="G216" s="5"/>
      <c r="H216" s="6"/>
      <c r="I216" s="6"/>
      <c r="J216" s="6"/>
      <c r="K216" s="8"/>
      <c r="L216" s="9"/>
      <c r="M216" s="8"/>
      <c r="N216" s="10"/>
      <c r="O216" s="11"/>
      <c r="P216" s="8"/>
      <c r="Q216" s="8"/>
      <c r="R216" s="9"/>
    </row>
    <row r="217" spans="1:18" x14ac:dyDescent="0.4">
      <c r="A217" s="5"/>
      <c r="B217" s="5"/>
      <c r="C217" s="5"/>
      <c r="D217" s="6"/>
      <c r="E217" s="7"/>
      <c r="F217" s="7"/>
      <c r="G217" s="5"/>
      <c r="H217" s="6"/>
      <c r="I217" s="6"/>
      <c r="J217" s="6"/>
      <c r="K217" s="8"/>
      <c r="L217" s="9"/>
      <c r="M217" s="8"/>
      <c r="N217" s="10"/>
      <c r="O217" s="11"/>
      <c r="P217" s="8"/>
      <c r="Q217" s="8"/>
      <c r="R217" s="9"/>
    </row>
    <row r="218" spans="1:18" x14ac:dyDescent="0.4">
      <c r="A218" s="5"/>
      <c r="B218" s="5"/>
      <c r="C218" s="5"/>
      <c r="D218" s="6"/>
      <c r="E218" s="7"/>
      <c r="F218" s="7"/>
      <c r="G218" s="5"/>
      <c r="H218" s="6"/>
      <c r="I218" s="6"/>
      <c r="J218" s="6"/>
      <c r="K218" s="8"/>
      <c r="L218" s="12"/>
      <c r="M218" s="8"/>
      <c r="N218" s="10"/>
      <c r="O218" s="11"/>
      <c r="P218" s="8"/>
      <c r="Q218" s="8"/>
      <c r="R218" s="9"/>
    </row>
    <row r="219" spans="1:18" x14ac:dyDescent="0.4">
      <c r="A219" s="5"/>
      <c r="B219" s="5"/>
      <c r="C219" s="5"/>
      <c r="D219" s="6"/>
      <c r="E219" s="7"/>
      <c r="F219" s="7"/>
      <c r="G219" s="5"/>
      <c r="H219" s="6"/>
      <c r="I219" s="6"/>
      <c r="J219" s="6"/>
      <c r="K219" s="8"/>
      <c r="L219" s="9"/>
      <c r="M219" s="8"/>
      <c r="N219" s="10"/>
      <c r="O219" s="11"/>
      <c r="P219" s="8"/>
      <c r="Q219" s="8"/>
      <c r="R219" s="9"/>
    </row>
    <row r="220" spans="1:18" x14ac:dyDescent="0.4">
      <c r="A220" s="5"/>
      <c r="B220" s="5"/>
      <c r="C220" s="5"/>
      <c r="D220" s="6"/>
      <c r="E220" s="7"/>
      <c r="F220" s="7"/>
      <c r="G220" s="5"/>
      <c r="H220" s="6"/>
      <c r="I220" s="6"/>
      <c r="J220" s="6"/>
      <c r="K220" s="8"/>
      <c r="L220" s="9"/>
      <c r="M220" s="8"/>
      <c r="N220" s="10"/>
      <c r="O220" s="11"/>
      <c r="P220" s="8"/>
      <c r="Q220" s="8"/>
      <c r="R220" s="9"/>
    </row>
    <row r="221" spans="1:18" x14ac:dyDescent="0.4">
      <c r="A221" s="5"/>
      <c r="B221" s="5"/>
      <c r="C221" s="5"/>
      <c r="D221" s="6"/>
      <c r="E221" s="7"/>
      <c r="F221" s="7"/>
      <c r="G221" s="5"/>
      <c r="H221" s="6"/>
      <c r="I221" s="6"/>
      <c r="J221" s="6"/>
      <c r="K221" s="8"/>
      <c r="L221" s="9"/>
      <c r="M221" s="8"/>
      <c r="N221" s="10"/>
      <c r="O221" s="11"/>
      <c r="P221" s="8"/>
      <c r="Q221" s="8"/>
      <c r="R221" s="8"/>
    </row>
    <row r="222" spans="1:18" x14ac:dyDescent="0.4">
      <c r="A222" s="5"/>
      <c r="B222" s="5"/>
      <c r="C222" s="5"/>
      <c r="D222" s="6"/>
      <c r="E222" s="7"/>
      <c r="F222" s="7"/>
      <c r="G222" s="5"/>
      <c r="H222" s="6"/>
      <c r="I222" s="6"/>
      <c r="J222" s="6"/>
      <c r="K222" s="8"/>
      <c r="L222" s="9"/>
      <c r="M222" s="8"/>
      <c r="N222" s="10"/>
      <c r="O222" s="11"/>
      <c r="P222" s="8"/>
      <c r="Q222" s="8"/>
      <c r="R222" s="8"/>
    </row>
    <row r="223" spans="1:18" x14ac:dyDescent="0.4">
      <c r="A223" s="5"/>
      <c r="B223" s="5"/>
      <c r="C223" s="5"/>
      <c r="D223" s="6"/>
      <c r="E223" s="7"/>
      <c r="F223" s="7"/>
      <c r="G223" s="5"/>
      <c r="H223" s="6"/>
      <c r="I223" s="6"/>
      <c r="J223" s="6"/>
      <c r="K223" s="8"/>
      <c r="L223" s="9"/>
      <c r="M223" s="8"/>
      <c r="N223" s="10"/>
      <c r="O223" s="11"/>
      <c r="P223" s="8"/>
      <c r="Q223" s="8"/>
      <c r="R223" s="8"/>
    </row>
    <row r="224" spans="1:18" x14ac:dyDescent="0.4">
      <c r="A224" s="5"/>
      <c r="B224" s="5"/>
      <c r="C224" s="5"/>
      <c r="D224" s="6"/>
      <c r="E224" s="7"/>
      <c r="F224" s="7"/>
      <c r="G224" s="5"/>
      <c r="H224" s="6"/>
      <c r="I224" s="6"/>
      <c r="J224" s="6"/>
      <c r="K224" s="8"/>
      <c r="L224" s="9"/>
      <c r="M224" s="8"/>
      <c r="N224" s="10"/>
      <c r="O224" s="11"/>
      <c r="P224" s="8"/>
      <c r="Q224" s="8"/>
      <c r="R224" s="8"/>
    </row>
    <row r="225" spans="1:18" x14ac:dyDescent="0.4">
      <c r="A225" s="5"/>
      <c r="B225" s="5"/>
      <c r="C225" s="5"/>
      <c r="D225" s="6"/>
      <c r="E225" s="7"/>
      <c r="F225" s="7"/>
      <c r="G225" s="5"/>
      <c r="H225" s="6"/>
      <c r="I225" s="6"/>
      <c r="J225" s="6"/>
      <c r="K225" s="8"/>
      <c r="L225" s="9"/>
      <c r="M225" s="8"/>
      <c r="N225" s="10"/>
      <c r="O225" s="11"/>
      <c r="P225" s="8"/>
      <c r="Q225" s="8"/>
      <c r="R225" s="8"/>
    </row>
    <row r="226" spans="1:18" x14ac:dyDescent="0.4">
      <c r="A226" s="5"/>
      <c r="B226" s="5"/>
      <c r="C226" s="5"/>
      <c r="D226" s="6"/>
      <c r="E226" s="7"/>
      <c r="F226" s="7"/>
      <c r="G226" s="5"/>
      <c r="H226" s="6"/>
      <c r="I226" s="6"/>
      <c r="J226" s="6"/>
      <c r="K226" s="8"/>
      <c r="L226" s="9"/>
      <c r="M226" s="8"/>
      <c r="N226" s="10"/>
      <c r="O226" s="11"/>
      <c r="P226" s="8"/>
      <c r="Q226" s="8"/>
      <c r="R226" s="9"/>
    </row>
    <row r="227" spans="1:18" x14ac:dyDescent="0.4">
      <c r="A227" s="5"/>
      <c r="B227" s="5"/>
      <c r="C227" s="5"/>
      <c r="D227" s="6"/>
      <c r="E227" s="7"/>
      <c r="F227" s="7"/>
      <c r="G227" s="5"/>
      <c r="H227" s="6"/>
      <c r="I227" s="6"/>
      <c r="J227" s="6"/>
      <c r="K227" s="8"/>
      <c r="L227" s="9"/>
      <c r="M227" s="8"/>
      <c r="N227" s="10"/>
      <c r="O227" s="11"/>
      <c r="P227" s="8"/>
      <c r="Q227" s="8"/>
      <c r="R227" s="8"/>
    </row>
    <row r="228" spans="1:18" x14ac:dyDescent="0.4">
      <c r="A228" s="5"/>
      <c r="B228" s="5"/>
      <c r="C228" s="5"/>
      <c r="D228" s="6"/>
      <c r="E228" s="7"/>
      <c r="F228" s="7"/>
      <c r="G228" s="5"/>
      <c r="H228" s="6"/>
      <c r="I228" s="6"/>
      <c r="J228" s="6"/>
      <c r="K228" s="8"/>
      <c r="L228" s="9"/>
      <c r="M228" s="8"/>
      <c r="N228" s="10"/>
      <c r="O228" s="11"/>
      <c r="P228" s="8"/>
      <c r="Q228" s="8"/>
      <c r="R228" s="9"/>
    </row>
    <row r="229" spans="1:18" x14ac:dyDescent="0.4">
      <c r="A229" s="5"/>
      <c r="B229" s="5"/>
      <c r="C229" s="5"/>
      <c r="D229" s="6"/>
      <c r="E229" s="7"/>
      <c r="F229" s="7"/>
      <c r="G229" s="5"/>
      <c r="H229" s="6"/>
      <c r="I229" s="6"/>
      <c r="J229" s="6"/>
      <c r="K229" s="8"/>
      <c r="L229" s="9"/>
      <c r="M229" s="8"/>
      <c r="N229" s="10"/>
      <c r="O229" s="11"/>
      <c r="P229" s="8"/>
      <c r="Q229" s="8"/>
      <c r="R229" s="9"/>
    </row>
    <row r="230" spans="1:18" x14ac:dyDescent="0.4">
      <c r="A230" s="5"/>
      <c r="B230" s="5"/>
      <c r="C230" s="5"/>
      <c r="D230" s="6"/>
      <c r="E230" s="7"/>
      <c r="F230" s="7"/>
      <c r="G230" s="5"/>
      <c r="H230" s="6"/>
      <c r="I230" s="6"/>
      <c r="J230" s="6"/>
      <c r="K230" s="8"/>
      <c r="L230" s="9"/>
      <c r="M230" s="8"/>
      <c r="N230" s="10"/>
      <c r="O230" s="11"/>
      <c r="P230" s="8"/>
      <c r="Q230" s="8"/>
      <c r="R230" s="9"/>
    </row>
    <row r="231" spans="1:18" x14ac:dyDescent="0.4">
      <c r="A231" s="5"/>
      <c r="B231" s="5"/>
      <c r="C231" s="5"/>
      <c r="D231" s="6"/>
      <c r="E231" s="7"/>
      <c r="F231" s="7"/>
      <c r="G231" s="5"/>
      <c r="H231" s="6"/>
      <c r="I231" s="6"/>
      <c r="J231" s="6"/>
      <c r="K231" s="8"/>
      <c r="L231" s="9"/>
      <c r="M231" s="8"/>
      <c r="N231" s="10"/>
      <c r="O231" s="11"/>
      <c r="P231" s="8"/>
      <c r="Q231" s="8"/>
      <c r="R231" s="9"/>
    </row>
    <row r="232" spans="1:18" x14ac:dyDescent="0.4">
      <c r="A232" s="5"/>
      <c r="B232" s="5"/>
      <c r="C232" s="5"/>
      <c r="D232" s="6"/>
      <c r="E232" s="7"/>
      <c r="F232" s="7"/>
      <c r="G232" s="5"/>
      <c r="H232" s="6"/>
      <c r="I232" s="6"/>
      <c r="J232" s="6"/>
      <c r="K232" s="8"/>
      <c r="L232" s="9"/>
      <c r="M232" s="8"/>
      <c r="N232" s="10"/>
      <c r="O232" s="11"/>
      <c r="P232" s="8"/>
      <c r="Q232" s="8"/>
      <c r="R232" s="9"/>
    </row>
    <row r="233" spans="1:18" x14ac:dyDescent="0.4">
      <c r="A233" s="5"/>
      <c r="B233" s="5"/>
      <c r="C233" s="5"/>
      <c r="D233" s="6"/>
      <c r="E233" s="7"/>
      <c r="F233" s="7"/>
      <c r="G233" s="5"/>
      <c r="H233" s="6"/>
      <c r="I233" s="6"/>
      <c r="J233" s="6"/>
      <c r="K233" s="8"/>
      <c r="L233" s="9"/>
      <c r="M233" s="8"/>
      <c r="N233" s="10"/>
      <c r="O233" s="11"/>
      <c r="P233" s="8"/>
      <c r="Q233" s="8"/>
      <c r="R233" s="9"/>
    </row>
    <row r="234" spans="1:18" x14ac:dyDescent="0.4">
      <c r="A234" s="5"/>
      <c r="B234" s="5"/>
      <c r="C234" s="5"/>
      <c r="D234" s="6"/>
      <c r="E234" s="7"/>
      <c r="F234" s="7"/>
      <c r="G234" s="5"/>
      <c r="H234" s="6"/>
      <c r="I234" s="6"/>
      <c r="J234" s="6"/>
      <c r="K234" s="8"/>
      <c r="L234" s="9"/>
      <c r="M234" s="8"/>
      <c r="N234" s="10"/>
      <c r="O234" s="11"/>
      <c r="P234" s="8"/>
      <c r="Q234" s="8"/>
      <c r="R234" s="9"/>
    </row>
    <row r="235" spans="1:18" x14ac:dyDescent="0.4">
      <c r="A235" s="5"/>
      <c r="B235" s="5"/>
      <c r="C235" s="5"/>
      <c r="D235" s="6"/>
      <c r="E235" s="7"/>
      <c r="F235" s="7"/>
      <c r="G235" s="5"/>
      <c r="H235" s="6"/>
      <c r="I235" s="6"/>
      <c r="J235" s="6"/>
      <c r="K235" s="8"/>
      <c r="L235" s="9"/>
      <c r="M235" s="8"/>
      <c r="N235" s="10"/>
      <c r="O235" s="11"/>
      <c r="P235" s="8"/>
      <c r="Q235" s="8"/>
      <c r="R235" s="9"/>
    </row>
    <row r="236" spans="1:18" x14ac:dyDescent="0.4">
      <c r="A236" s="5"/>
      <c r="B236" s="5"/>
      <c r="C236" s="5"/>
      <c r="D236" s="6"/>
      <c r="E236" s="7"/>
      <c r="F236" s="7"/>
      <c r="G236" s="5"/>
      <c r="H236" s="6"/>
      <c r="I236" s="6"/>
      <c r="J236" s="6"/>
      <c r="K236" s="8"/>
      <c r="L236" s="9"/>
      <c r="M236" s="8"/>
      <c r="N236" s="10"/>
      <c r="O236" s="11"/>
      <c r="P236" s="8"/>
      <c r="Q236" s="8"/>
      <c r="R236" s="9"/>
    </row>
    <row r="237" spans="1:18" x14ac:dyDescent="0.4">
      <c r="A237" s="5"/>
      <c r="B237" s="5"/>
      <c r="C237" s="5"/>
      <c r="D237" s="6"/>
      <c r="E237" s="7"/>
      <c r="F237" s="7"/>
      <c r="G237" s="5"/>
      <c r="H237" s="6"/>
      <c r="I237" s="6"/>
      <c r="J237" s="6"/>
      <c r="K237" s="8"/>
      <c r="L237" s="9"/>
      <c r="M237" s="8"/>
      <c r="N237" s="10"/>
      <c r="O237" s="11"/>
      <c r="P237" s="8"/>
      <c r="Q237" s="8"/>
      <c r="R237" s="9"/>
    </row>
    <row r="238" spans="1:18" x14ac:dyDescent="0.4">
      <c r="A238" s="5"/>
      <c r="B238" s="5"/>
      <c r="C238" s="5"/>
      <c r="D238" s="6"/>
      <c r="E238" s="7"/>
      <c r="F238" s="7"/>
      <c r="G238" s="5"/>
      <c r="H238" s="6"/>
      <c r="I238" s="6"/>
      <c r="J238" s="6"/>
      <c r="K238" s="8"/>
      <c r="L238" s="9"/>
      <c r="M238" s="8"/>
      <c r="N238" s="10"/>
      <c r="O238" s="11"/>
      <c r="P238" s="8"/>
      <c r="Q238" s="8"/>
      <c r="R238" s="9"/>
    </row>
    <row r="239" spans="1:18" x14ac:dyDescent="0.4">
      <c r="A239" s="5"/>
      <c r="B239" s="5"/>
      <c r="C239" s="5"/>
      <c r="D239" s="6"/>
      <c r="E239" s="7"/>
      <c r="F239" s="7"/>
      <c r="G239" s="5"/>
      <c r="H239" s="6"/>
      <c r="I239" s="6"/>
      <c r="J239" s="6"/>
      <c r="K239" s="8"/>
      <c r="L239" s="9"/>
      <c r="M239" s="8"/>
      <c r="N239" s="10"/>
      <c r="O239" s="11"/>
      <c r="P239" s="8"/>
      <c r="Q239" s="8"/>
      <c r="R239" s="9"/>
    </row>
    <row r="240" spans="1:18" x14ac:dyDescent="0.4">
      <c r="A240" s="5"/>
      <c r="B240" s="5"/>
      <c r="C240" s="5"/>
      <c r="D240" s="6"/>
      <c r="E240" s="7"/>
      <c r="F240" s="7"/>
      <c r="G240" s="5"/>
      <c r="H240" s="6"/>
      <c r="I240" s="6"/>
      <c r="J240" s="6"/>
      <c r="K240" s="8"/>
      <c r="L240" s="9"/>
      <c r="M240" s="8"/>
      <c r="N240" s="10"/>
      <c r="O240" s="11"/>
      <c r="P240" s="8"/>
      <c r="Q240" s="8"/>
      <c r="R240" s="9"/>
    </row>
    <row r="241" spans="1:19" x14ac:dyDescent="0.4">
      <c r="A241" s="5"/>
      <c r="B241" s="5"/>
      <c r="C241" s="5"/>
      <c r="D241" s="6"/>
      <c r="E241" s="7"/>
      <c r="F241" s="7"/>
      <c r="G241" s="5"/>
      <c r="H241" s="6"/>
      <c r="I241" s="6"/>
      <c r="J241" s="6"/>
      <c r="K241" s="8"/>
      <c r="L241" s="9"/>
      <c r="M241" s="8"/>
      <c r="N241" s="10"/>
      <c r="O241" s="11"/>
      <c r="P241" s="8"/>
      <c r="Q241" s="8"/>
      <c r="R241" s="9"/>
    </row>
    <row r="242" spans="1:19" x14ac:dyDescent="0.4">
      <c r="A242" s="5"/>
      <c r="B242" s="5"/>
      <c r="C242" s="5"/>
      <c r="D242" s="6"/>
      <c r="E242" s="7"/>
      <c r="F242" s="7"/>
      <c r="G242" s="5"/>
      <c r="H242" s="6"/>
      <c r="I242" s="6"/>
      <c r="J242" s="6"/>
      <c r="K242" s="8"/>
      <c r="L242" s="9"/>
      <c r="M242" s="8"/>
      <c r="N242" s="10"/>
      <c r="O242" s="11"/>
      <c r="P242" s="8"/>
      <c r="Q242" s="8"/>
      <c r="R242" s="9"/>
    </row>
    <row r="243" spans="1:19" x14ac:dyDescent="0.4">
      <c r="A243" s="5"/>
      <c r="B243" s="5"/>
      <c r="C243" s="5"/>
      <c r="D243" s="6"/>
      <c r="E243" s="7"/>
      <c r="F243" s="7"/>
      <c r="G243" s="5"/>
      <c r="H243" s="6"/>
      <c r="I243" s="6"/>
      <c r="J243" s="6"/>
      <c r="K243" s="8"/>
      <c r="L243" s="9"/>
      <c r="M243" s="8"/>
      <c r="N243" s="10"/>
      <c r="O243" s="11"/>
      <c r="P243" s="8"/>
      <c r="Q243" s="8"/>
      <c r="R243" s="9"/>
    </row>
    <row r="244" spans="1:19" x14ac:dyDescent="0.4">
      <c r="A244" s="5"/>
      <c r="B244" s="5"/>
      <c r="C244" s="5"/>
      <c r="D244" s="6"/>
      <c r="E244" s="7"/>
      <c r="F244" s="7"/>
      <c r="G244" s="5"/>
      <c r="H244" s="6"/>
      <c r="I244" s="6"/>
      <c r="J244" s="6"/>
      <c r="K244" s="8"/>
      <c r="L244" s="9"/>
      <c r="M244" s="8"/>
      <c r="N244" s="10"/>
      <c r="O244" s="11"/>
      <c r="P244" s="8"/>
      <c r="Q244" s="8"/>
      <c r="R244" s="9"/>
    </row>
    <row r="245" spans="1:19" x14ac:dyDescent="0.4">
      <c r="A245" s="5"/>
      <c r="B245" s="5"/>
      <c r="C245" s="5"/>
      <c r="D245" s="6"/>
      <c r="E245" s="7"/>
      <c r="F245" s="7"/>
      <c r="G245" s="5"/>
      <c r="H245" s="6"/>
      <c r="I245" s="6"/>
      <c r="J245" s="6"/>
      <c r="K245" s="8"/>
      <c r="L245" s="9"/>
      <c r="M245" s="8"/>
      <c r="N245" s="10"/>
      <c r="O245" s="11"/>
      <c r="P245" s="8"/>
      <c r="Q245" s="8"/>
      <c r="R245" s="9"/>
    </row>
    <row r="246" spans="1:19" x14ac:dyDescent="0.4">
      <c r="A246" s="5"/>
      <c r="B246" s="5"/>
      <c r="C246" s="5"/>
      <c r="D246" s="6"/>
      <c r="E246" s="7"/>
      <c r="F246" s="7"/>
      <c r="G246" s="5"/>
      <c r="H246" s="6"/>
      <c r="I246" s="6"/>
      <c r="J246" s="6"/>
      <c r="K246" s="8"/>
      <c r="L246" s="9"/>
      <c r="M246" s="8"/>
      <c r="N246" s="10"/>
      <c r="O246" s="11"/>
      <c r="P246" s="8"/>
      <c r="Q246" s="8"/>
      <c r="R246" s="9"/>
    </row>
    <row r="247" spans="1:19" x14ac:dyDescent="0.4">
      <c r="A247" s="5"/>
      <c r="B247" s="5"/>
      <c r="C247" s="5"/>
      <c r="D247" s="6"/>
      <c r="E247" s="7"/>
      <c r="F247" s="7"/>
      <c r="G247" s="5"/>
      <c r="H247" s="6"/>
      <c r="I247" s="6"/>
      <c r="J247" s="6"/>
      <c r="K247" s="8"/>
      <c r="L247" s="9"/>
      <c r="M247" s="8"/>
      <c r="N247" s="10"/>
      <c r="O247" s="11"/>
      <c r="P247" s="8"/>
      <c r="Q247" s="8"/>
      <c r="R247" s="9"/>
    </row>
    <row r="248" spans="1:19" x14ac:dyDescent="0.4">
      <c r="A248" s="5"/>
      <c r="B248" s="5"/>
      <c r="C248" s="5"/>
      <c r="D248" s="6"/>
      <c r="E248" s="7"/>
      <c r="F248" s="7"/>
      <c r="G248" s="5"/>
      <c r="H248" s="6"/>
      <c r="I248" s="6"/>
      <c r="J248" s="6"/>
      <c r="K248" s="8"/>
      <c r="L248" s="9"/>
      <c r="M248" s="8"/>
      <c r="N248" s="10"/>
      <c r="O248" s="11"/>
      <c r="P248" s="8"/>
      <c r="Q248" s="8"/>
      <c r="R248" s="9"/>
    </row>
    <row r="249" spans="1:19" x14ac:dyDescent="0.4">
      <c r="A249" s="5"/>
      <c r="B249" s="5"/>
      <c r="C249" s="5"/>
      <c r="D249" s="6"/>
      <c r="E249" s="7"/>
      <c r="F249" s="7"/>
      <c r="G249" s="5"/>
      <c r="H249" s="6"/>
      <c r="I249" s="6"/>
      <c r="J249" s="6"/>
      <c r="K249" s="8"/>
      <c r="L249" s="9"/>
      <c r="M249" s="8"/>
      <c r="N249" s="10"/>
      <c r="O249" s="11"/>
      <c r="P249" s="8"/>
      <c r="Q249" s="8"/>
      <c r="R249" s="9"/>
    </row>
    <row r="250" spans="1:19" x14ac:dyDescent="0.4">
      <c r="A250" s="5"/>
      <c r="B250" s="5"/>
      <c r="C250" s="5"/>
      <c r="D250" s="6"/>
      <c r="E250" s="7"/>
      <c r="F250" s="7"/>
      <c r="G250" s="5"/>
      <c r="H250" s="6"/>
      <c r="I250" s="6"/>
      <c r="J250" s="6"/>
      <c r="K250" s="8"/>
      <c r="L250" s="9"/>
      <c r="M250" s="8"/>
      <c r="N250" s="10"/>
      <c r="O250" s="11"/>
      <c r="P250" s="8"/>
      <c r="Q250" s="8"/>
      <c r="R250" s="9"/>
    </row>
    <row r="251" spans="1:19" x14ac:dyDescent="0.4">
      <c r="A251" s="5"/>
      <c r="B251" s="5"/>
      <c r="C251" s="5"/>
      <c r="D251" s="6"/>
      <c r="E251" s="7"/>
      <c r="F251" s="7"/>
      <c r="G251" s="5"/>
      <c r="H251" s="6"/>
      <c r="I251" s="6"/>
      <c r="J251" s="6"/>
      <c r="K251" s="8"/>
      <c r="L251" s="9"/>
      <c r="M251" s="8"/>
      <c r="N251" s="10"/>
      <c r="O251" s="11"/>
      <c r="P251" s="8"/>
      <c r="Q251" s="8"/>
      <c r="R251" s="9"/>
    </row>
    <row r="252" spans="1:19" x14ac:dyDescent="0.4">
      <c r="A252" s="5"/>
      <c r="B252" s="5"/>
      <c r="C252" s="5"/>
      <c r="D252" s="6"/>
      <c r="E252" s="7"/>
      <c r="F252" s="7"/>
      <c r="G252" s="5"/>
      <c r="H252" s="6"/>
      <c r="I252" s="6"/>
      <c r="J252" s="6"/>
      <c r="K252" s="8"/>
      <c r="L252" s="9"/>
      <c r="M252" s="8"/>
      <c r="N252" s="10"/>
      <c r="O252" s="11"/>
      <c r="P252" s="8"/>
      <c r="Q252" s="8"/>
      <c r="R252" s="9"/>
    </row>
    <row r="253" spans="1:19" x14ac:dyDescent="0.4">
      <c r="A253" s="5"/>
      <c r="B253" s="5"/>
      <c r="C253" s="5"/>
      <c r="D253" s="6"/>
      <c r="E253" s="7"/>
      <c r="F253" s="7"/>
      <c r="G253" s="5"/>
      <c r="H253" s="6"/>
      <c r="I253" s="6"/>
      <c r="J253" s="6"/>
      <c r="K253" s="8"/>
      <c r="L253" s="9"/>
      <c r="M253" s="8"/>
      <c r="N253" s="10"/>
      <c r="O253" s="11"/>
      <c r="P253" s="8"/>
      <c r="Q253" s="8"/>
      <c r="R253" s="9"/>
    </row>
    <row r="254" spans="1:19" x14ac:dyDescent="0.4">
      <c r="A254" s="5"/>
      <c r="B254" s="5"/>
      <c r="C254" s="5"/>
      <c r="D254" s="6"/>
      <c r="E254" s="7"/>
      <c r="F254" s="7"/>
      <c r="G254" s="5"/>
      <c r="H254" s="6"/>
      <c r="I254" s="6"/>
      <c r="J254" s="6"/>
      <c r="K254" s="8"/>
      <c r="L254" s="9"/>
      <c r="M254" s="8"/>
      <c r="N254" s="10"/>
      <c r="O254" s="11"/>
      <c r="P254" s="8"/>
      <c r="Q254" s="8"/>
      <c r="R254" s="9"/>
    </row>
    <row r="255" spans="1:19" x14ac:dyDescent="0.4">
      <c r="A255" s="5"/>
      <c r="B255" s="5"/>
      <c r="C255" s="5"/>
      <c r="D255" s="6"/>
      <c r="E255" s="7"/>
      <c r="F255" s="7"/>
      <c r="G255" s="5"/>
      <c r="H255" s="6"/>
      <c r="I255" s="6"/>
      <c r="J255" s="6"/>
      <c r="K255" s="8"/>
      <c r="L255" s="9"/>
      <c r="M255" s="8"/>
      <c r="N255" s="10"/>
      <c r="O255" s="11"/>
      <c r="P255" s="8"/>
      <c r="Q255" s="8"/>
      <c r="R255" s="9"/>
      <c r="S255" s="16" t="s">
        <v>29</v>
      </c>
    </row>
    <row r="256" spans="1:19" x14ac:dyDescent="0.4">
      <c r="A256" s="5"/>
      <c r="B256" s="5"/>
      <c r="C256" s="5"/>
      <c r="D256" s="6"/>
      <c r="E256" s="7"/>
      <c r="F256" s="7"/>
      <c r="G256" s="5"/>
      <c r="H256" s="6"/>
      <c r="I256" s="6"/>
      <c r="J256" s="6"/>
      <c r="K256" s="8"/>
      <c r="L256" s="9"/>
      <c r="M256" s="8"/>
      <c r="N256" s="10"/>
      <c r="O256" s="11"/>
      <c r="P256" s="8"/>
      <c r="Q256" s="8"/>
      <c r="R256" s="9"/>
    </row>
    <row r="257" spans="1:18" x14ac:dyDescent="0.4">
      <c r="A257" s="5"/>
      <c r="B257" s="5"/>
      <c r="C257" s="5"/>
      <c r="D257" s="6"/>
      <c r="E257" s="7"/>
      <c r="F257" s="7"/>
      <c r="G257" s="5"/>
      <c r="H257" s="6"/>
      <c r="I257" s="6"/>
      <c r="J257" s="6"/>
      <c r="K257" s="8"/>
      <c r="L257" s="9"/>
      <c r="M257" s="8"/>
      <c r="N257" s="10"/>
      <c r="O257" s="11"/>
      <c r="P257" s="8"/>
      <c r="Q257" s="8"/>
      <c r="R257" s="9"/>
    </row>
    <row r="258" spans="1:18" x14ac:dyDescent="0.4">
      <c r="A258" s="5"/>
      <c r="B258" s="5"/>
      <c r="C258" s="5"/>
      <c r="D258" s="6"/>
      <c r="E258" s="7"/>
      <c r="F258" s="7"/>
      <c r="G258" s="5"/>
      <c r="H258" s="6"/>
      <c r="I258" s="6"/>
      <c r="J258" s="6"/>
      <c r="K258" s="8"/>
      <c r="L258" s="9"/>
      <c r="M258" s="8"/>
      <c r="N258" s="10"/>
      <c r="O258" s="11"/>
      <c r="P258" s="8"/>
      <c r="Q258" s="8"/>
      <c r="R258" s="9"/>
    </row>
    <row r="259" spans="1:18" x14ac:dyDescent="0.4">
      <c r="A259" s="5"/>
      <c r="B259" s="5"/>
      <c r="C259" s="5"/>
      <c r="D259" s="6"/>
      <c r="E259" s="7"/>
      <c r="F259" s="7"/>
      <c r="G259" s="5"/>
      <c r="H259" s="6"/>
      <c r="I259" s="6"/>
      <c r="J259" s="6"/>
      <c r="K259" s="8"/>
      <c r="L259" s="9"/>
      <c r="M259" s="8"/>
      <c r="N259" s="10"/>
      <c r="O259" s="11"/>
      <c r="P259" s="8"/>
      <c r="Q259" s="8"/>
      <c r="R259" s="9"/>
    </row>
    <row r="260" spans="1:18" x14ac:dyDescent="0.4">
      <c r="A260" s="5"/>
      <c r="B260" s="5"/>
      <c r="C260" s="5"/>
      <c r="D260" s="6"/>
      <c r="E260" s="7"/>
      <c r="F260" s="7"/>
      <c r="G260" s="5"/>
      <c r="H260" s="6"/>
      <c r="I260" s="6"/>
      <c r="J260" s="6"/>
      <c r="K260" s="8"/>
      <c r="L260" s="9"/>
      <c r="M260" s="8"/>
      <c r="N260" s="10"/>
      <c r="O260" s="11"/>
      <c r="P260" s="8"/>
      <c r="Q260" s="8"/>
      <c r="R260" s="9"/>
    </row>
    <row r="261" spans="1:18" x14ac:dyDescent="0.4">
      <c r="A261" s="5"/>
      <c r="B261" s="5"/>
      <c r="C261" s="5"/>
      <c r="D261" s="6"/>
      <c r="E261" s="5"/>
      <c r="F261" s="7"/>
      <c r="G261" s="5"/>
      <c r="H261" s="6"/>
      <c r="I261" s="6"/>
      <c r="J261" s="6"/>
      <c r="K261" s="8"/>
      <c r="L261" s="9"/>
      <c r="M261" s="8"/>
      <c r="N261" s="10"/>
      <c r="O261" s="11"/>
      <c r="P261" s="8"/>
      <c r="Q261" s="8"/>
      <c r="R261" s="9"/>
    </row>
    <row r="262" spans="1:18" x14ac:dyDescent="0.4">
      <c r="A262" s="5"/>
      <c r="B262" s="5"/>
      <c r="C262" s="5"/>
      <c r="D262" s="6"/>
      <c r="E262" s="7"/>
      <c r="F262" s="7"/>
      <c r="G262" s="5"/>
      <c r="H262" s="6"/>
      <c r="I262" s="6"/>
      <c r="J262" s="6"/>
      <c r="K262" s="8"/>
      <c r="L262" s="9"/>
      <c r="M262" s="8"/>
      <c r="N262" s="10"/>
      <c r="O262" s="11"/>
      <c r="P262" s="8"/>
      <c r="Q262" s="8"/>
      <c r="R262" s="9"/>
    </row>
    <row r="263" spans="1:18" x14ac:dyDescent="0.4">
      <c r="A263" s="5"/>
      <c r="B263" s="5"/>
      <c r="C263" s="5"/>
      <c r="D263" s="6"/>
      <c r="E263" s="7"/>
      <c r="F263" s="7"/>
      <c r="G263" s="5"/>
      <c r="H263" s="6"/>
      <c r="I263" s="6"/>
      <c r="J263" s="6"/>
      <c r="K263" s="8"/>
      <c r="L263" s="9"/>
      <c r="M263" s="8"/>
      <c r="N263" s="10"/>
      <c r="O263" s="11"/>
      <c r="P263" s="8"/>
      <c r="Q263" s="8"/>
      <c r="R263" s="9"/>
    </row>
    <row r="264" spans="1:18" x14ac:dyDescent="0.4">
      <c r="A264" s="5"/>
      <c r="B264" s="5"/>
      <c r="C264" s="5"/>
      <c r="D264" s="6"/>
      <c r="E264" s="7"/>
      <c r="F264" s="7"/>
      <c r="G264" s="5"/>
      <c r="H264" s="6"/>
      <c r="I264" s="6"/>
      <c r="J264" s="6"/>
      <c r="K264" s="8"/>
      <c r="L264" s="9"/>
      <c r="M264" s="8"/>
      <c r="N264" s="10"/>
      <c r="O264" s="11"/>
      <c r="P264" s="8"/>
      <c r="Q264" s="8"/>
      <c r="R264" s="9"/>
    </row>
    <row r="265" spans="1:18" x14ac:dyDescent="0.4">
      <c r="A265" s="5"/>
      <c r="B265" s="5"/>
      <c r="C265" s="5"/>
      <c r="D265" s="6"/>
      <c r="E265" s="7"/>
      <c r="F265" s="7"/>
      <c r="G265" s="5"/>
      <c r="H265" s="6"/>
      <c r="I265" s="6"/>
      <c r="J265" s="6"/>
      <c r="K265" s="8"/>
      <c r="L265" s="9"/>
      <c r="M265" s="8"/>
      <c r="N265" s="10"/>
      <c r="O265" s="11"/>
      <c r="P265" s="8"/>
      <c r="Q265" s="8"/>
      <c r="R265" s="9"/>
    </row>
    <row r="266" spans="1:18" x14ac:dyDescent="0.4">
      <c r="A266" s="5"/>
      <c r="B266" s="5"/>
      <c r="C266" s="5"/>
      <c r="D266" s="6"/>
      <c r="E266" s="7"/>
      <c r="F266" s="7"/>
      <c r="G266" s="5"/>
      <c r="H266" s="6"/>
      <c r="I266" s="6"/>
      <c r="J266" s="6"/>
      <c r="K266" s="8"/>
      <c r="L266" s="9"/>
      <c r="M266" s="8"/>
      <c r="N266" s="10"/>
      <c r="O266" s="11"/>
      <c r="P266" s="8"/>
      <c r="Q266" s="8"/>
      <c r="R266" s="9"/>
    </row>
    <row r="267" spans="1:18" x14ac:dyDescent="0.4">
      <c r="A267" s="5"/>
      <c r="B267" s="5"/>
      <c r="C267" s="5"/>
      <c r="D267" s="6"/>
      <c r="E267" s="7"/>
      <c r="F267" s="7"/>
      <c r="G267" s="5"/>
      <c r="H267" s="6"/>
      <c r="I267" s="6"/>
      <c r="J267" s="6"/>
      <c r="K267" s="8"/>
      <c r="L267" s="9"/>
      <c r="M267" s="8"/>
      <c r="N267" s="10"/>
      <c r="O267" s="11"/>
      <c r="P267" s="8"/>
      <c r="Q267" s="8"/>
      <c r="R267" s="9"/>
    </row>
    <row r="268" spans="1:18" x14ac:dyDescent="0.4">
      <c r="A268" s="5"/>
      <c r="B268" s="5"/>
      <c r="C268" s="5"/>
      <c r="D268" s="6"/>
      <c r="E268" s="7"/>
      <c r="F268" s="7"/>
      <c r="G268" s="5"/>
      <c r="H268" s="6"/>
      <c r="I268" s="6"/>
      <c r="J268" s="6"/>
      <c r="K268" s="8"/>
      <c r="L268" s="9"/>
      <c r="M268" s="8"/>
      <c r="N268" s="10"/>
      <c r="O268" s="11"/>
      <c r="P268" s="8"/>
      <c r="Q268" s="8"/>
      <c r="R268" s="9"/>
    </row>
    <row r="269" spans="1:18" x14ac:dyDescent="0.4">
      <c r="A269" s="5"/>
      <c r="B269" s="5"/>
      <c r="C269" s="5"/>
      <c r="D269" s="6"/>
      <c r="E269" s="7"/>
      <c r="F269" s="7"/>
      <c r="G269" s="5"/>
      <c r="H269" s="6"/>
      <c r="I269" s="6"/>
      <c r="J269" s="6"/>
      <c r="K269" s="8"/>
      <c r="L269" s="9"/>
      <c r="M269" s="8"/>
      <c r="N269" s="10"/>
      <c r="O269" s="11"/>
      <c r="P269" s="8"/>
      <c r="Q269" s="8"/>
      <c r="R269" s="9"/>
    </row>
    <row r="270" spans="1:18" x14ac:dyDescent="0.4">
      <c r="A270" s="5"/>
      <c r="B270" s="5"/>
      <c r="C270" s="5"/>
      <c r="D270" s="6"/>
      <c r="E270" s="7"/>
      <c r="F270" s="7"/>
      <c r="G270" s="5"/>
      <c r="H270" s="6"/>
      <c r="I270" s="6"/>
      <c r="J270" s="6"/>
      <c r="K270" s="8"/>
      <c r="L270" s="9"/>
      <c r="M270" s="8"/>
      <c r="N270" s="10"/>
      <c r="O270" s="11"/>
      <c r="P270" s="8"/>
      <c r="Q270" s="8"/>
      <c r="R270" s="9"/>
    </row>
    <row r="271" spans="1:18" x14ac:dyDescent="0.4">
      <c r="A271" s="5"/>
      <c r="B271" s="5"/>
      <c r="C271" s="5"/>
      <c r="D271" s="6"/>
      <c r="E271" s="7"/>
      <c r="F271" s="7"/>
      <c r="G271" s="5"/>
      <c r="H271" s="6"/>
      <c r="I271" s="6"/>
      <c r="J271" s="6"/>
      <c r="K271" s="8"/>
      <c r="L271" s="9"/>
      <c r="M271" s="8"/>
      <c r="N271" s="10"/>
      <c r="O271" s="11"/>
      <c r="P271" s="8"/>
      <c r="Q271" s="8"/>
      <c r="R271" s="9"/>
    </row>
    <row r="272" spans="1:18" x14ac:dyDescent="0.4">
      <c r="A272" s="5"/>
      <c r="B272" s="5"/>
      <c r="C272" s="5"/>
      <c r="D272" s="6"/>
      <c r="E272" s="7"/>
      <c r="F272" s="7"/>
      <c r="G272" s="5"/>
      <c r="H272" s="6"/>
      <c r="I272" s="6"/>
      <c r="J272" s="6"/>
      <c r="K272" s="8"/>
      <c r="L272" s="9"/>
      <c r="M272" s="8"/>
      <c r="N272" s="10"/>
      <c r="O272" s="11"/>
      <c r="P272" s="8"/>
      <c r="Q272" s="8"/>
      <c r="R272" s="9"/>
    </row>
    <row r="273" spans="1:18" x14ac:dyDescent="0.4">
      <c r="A273" s="5"/>
      <c r="B273" s="5"/>
      <c r="C273" s="5"/>
      <c r="D273" s="6"/>
      <c r="E273" s="7"/>
      <c r="F273" s="7"/>
      <c r="G273" s="5"/>
      <c r="H273" s="6"/>
      <c r="I273" s="6"/>
      <c r="J273" s="6"/>
      <c r="K273" s="8"/>
      <c r="L273" s="9"/>
      <c r="M273" s="8"/>
      <c r="N273" s="10"/>
      <c r="O273" s="11"/>
      <c r="P273" s="8"/>
      <c r="Q273" s="8"/>
      <c r="R273" s="9"/>
    </row>
    <row r="274" spans="1:18" x14ac:dyDescent="0.4">
      <c r="A274" s="5"/>
      <c r="B274" s="5"/>
      <c r="C274" s="5"/>
      <c r="D274" s="6"/>
      <c r="E274" s="7"/>
      <c r="F274" s="7"/>
      <c r="G274" s="5"/>
      <c r="H274" s="6"/>
      <c r="I274" s="6"/>
      <c r="J274" s="6"/>
      <c r="K274" s="8"/>
      <c r="L274" s="9"/>
      <c r="M274" s="8"/>
      <c r="N274" s="10"/>
      <c r="O274" s="11"/>
      <c r="P274" s="8"/>
      <c r="Q274" s="8"/>
      <c r="R274" s="9"/>
    </row>
    <row r="275" spans="1:18" x14ac:dyDescent="0.4">
      <c r="A275" s="5"/>
      <c r="B275" s="5"/>
      <c r="C275" s="5"/>
      <c r="D275" s="6"/>
      <c r="E275" s="7"/>
      <c r="F275" s="7"/>
      <c r="G275" s="5"/>
      <c r="H275" s="6"/>
      <c r="I275" s="6"/>
      <c r="J275" s="6"/>
      <c r="K275" s="8"/>
      <c r="L275" s="9"/>
      <c r="M275" s="8"/>
      <c r="N275" s="10"/>
      <c r="O275" s="11"/>
      <c r="P275" s="8"/>
      <c r="Q275" s="8"/>
      <c r="R275" s="9"/>
    </row>
    <row r="276" spans="1:18" x14ac:dyDescent="0.4">
      <c r="A276" s="5"/>
      <c r="B276" s="5"/>
      <c r="C276" s="5"/>
      <c r="D276" s="6"/>
      <c r="E276" s="7"/>
      <c r="F276" s="7"/>
      <c r="G276" s="5"/>
      <c r="H276" s="6"/>
      <c r="I276" s="6"/>
      <c r="J276" s="6"/>
      <c r="K276" s="8"/>
      <c r="L276" s="9"/>
      <c r="M276" s="8"/>
      <c r="N276" s="10"/>
      <c r="O276" s="11"/>
      <c r="P276" s="8"/>
      <c r="Q276" s="8"/>
      <c r="R276" s="18"/>
    </row>
    <row r="277" spans="1:18" x14ac:dyDescent="0.4">
      <c r="A277" s="5"/>
      <c r="B277" s="5"/>
      <c r="C277" s="5"/>
      <c r="D277" s="6"/>
      <c r="E277" s="7"/>
      <c r="F277" s="7"/>
      <c r="G277" s="5"/>
      <c r="H277" s="6"/>
      <c r="I277" s="6"/>
      <c r="J277" s="6"/>
      <c r="K277" s="8"/>
      <c r="L277" s="9"/>
      <c r="M277" s="8"/>
      <c r="N277" s="10"/>
      <c r="O277" s="11"/>
      <c r="P277" s="8"/>
      <c r="Q277" s="8"/>
      <c r="R277" s="9"/>
    </row>
    <row r="278" spans="1:18" x14ac:dyDescent="0.4">
      <c r="A278" s="5"/>
      <c r="B278" s="5"/>
      <c r="C278" s="5"/>
      <c r="D278" s="6"/>
      <c r="E278" s="7"/>
      <c r="F278" s="7"/>
      <c r="G278" s="5"/>
      <c r="H278" s="6"/>
      <c r="I278" s="6"/>
      <c r="J278" s="6"/>
      <c r="K278" s="8"/>
      <c r="L278" s="9"/>
      <c r="M278" s="8"/>
      <c r="N278" s="10"/>
      <c r="O278" s="11"/>
      <c r="P278" s="8"/>
      <c r="Q278" s="8"/>
      <c r="R278" s="9"/>
    </row>
    <row r="279" spans="1:18" x14ac:dyDescent="0.4">
      <c r="A279" s="5"/>
      <c r="B279" s="5"/>
      <c r="C279" s="5"/>
      <c r="D279" s="6"/>
      <c r="E279" s="7"/>
      <c r="F279" s="7"/>
      <c r="G279" s="5"/>
      <c r="H279" s="6"/>
      <c r="I279" s="6"/>
      <c r="J279" s="6"/>
      <c r="K279" s="8"/>
      <c r="L279" s="9"/>
      <c r="M279" s="8"/>
      <c r="N279" s="10"/>
      <c r="O279" s="11"/>
      <c r="P279" s="8"/>
      <c r="Q279" s="8"/>
      <c r="R279" s="9"/>
    </row>
    <row r="280" spans="1:18" x14ac:dyDescent="0.4">
      <c r="A280" s="5"/>
      <c r="B280" s="5"/>
      <c r="C280" s="5"/>
      <c r="D280" s="6"/>
      <c r="E280" s="7"/>
      <c r="F280" s="7"/>
      <c r="G280" s="5"/>
      <c r="H280" s="6"/>
      <c r="I280" s="6"/>
      <c r="J280" s="6"/>
      <c r="K280" s="8"/>
      <c r="L280" s="9"/>
      <c r="M280" s="8"/>
      <c r="N280" s="10"/>
      <c r="O280" s="11"/>
      <c r="P280" s="8"/>
      <c r="Q280" s="8"/>
      <c r="R280" s="9"/>
    </row>
    <row r="281" spans="1:18" x14ac:dyDescent="0.4">
      <c r="A281" s="5"/>
      <c r="B281" s="5"/>
      <c r="C281" s="5"/>
      <c r="D281" s="6"/>
      <c r="E281" s="7"/>
      <c r="F281" s="7"/>
      <c r="G281" s="5"/>
      <c r="H281" s="6"/>
      <c r="I281" s="6"/>
      <c r="J281" s="6"/>
      <c r="K281" s="8"/>
      <c r="L281" s="9"/>
      <c r="M281" s="8"/>
      <c r="N281" s="10"/>
      <c r="O281" s="11"/>
      <c r="P281" s="8"/>
      <c r="Q281" s="8"/>
      <c r="R281" s="9"/>
    </row>
    <row r="282" spans="1:18" x14ac:dyDescent="0.4">
      <c r="A282" s="5"/>
      <c r="B282" s="5"/>
      <c r="C282" s="5"/>
      <c r="D282" s="6"/>
      <c r="E282" s="7"/>
      <c r="F282" s="7"/>
      <c r="G282" s="5"/>
      <c r="H282" s="6"/>
      <c r="I282" s="6"/>
      <c r="J282" s="6"/>
      <c r="K282" s="8"/>
      <c r="L282" s="9"/>
      <c r="M282" s="8"/>
      <c r="N282" s="10"/>
      <c r="O282" s="11"/>
      <c r="P282" s="8"/>
      <c r="Q282" s="8"/>
      <c r="R282" s="9"/>
    </row>
    <row r="283" spans="1:18" x14ac:dyDescent="0.4">
      <c r="A283" s="5"/>
      <c r="B283" s="5"/>
      <c r="C283" s="5"/>
      <c r="D283" s="6"/>
      <c r="E283" s="7"/>
      <c r="F283" s="7"/>
      <c r="G283" s="5"/>
      <c r="H283" s="6"/>
      <c r="I283" s="6"/>
      <c r="J283" s="6"/>
      <c r="K283" s="8"/>
      <c r="L283" s="9"/>
      <c r="M283" s="8"/>
      <c r="N283" s="10"/>
      <c r="O283" s="11"/>
      <c r="P283" s="8"/>
      <c r="Q283" s="8"/>
      <c r="R283" s="9"/>
    </row>
    <row r="284" spans="1:18" x14ac:dyDescent="0.4">
      <c r="A284" s="5"/>
      <c r="B284" s="5"/>
      <c r="C284" s="5"/>
      <c r="D284" s="6"/>
      <c r="E284" s="7"/>
      <c r="F284" s="7"/>
      <c r="G284" s="5"/>
      <c r="H284" s="6"/>
      <c r="I284" s="6"/>
      <c r="J284" s="6"/>
      <c r="K284" s="8"/>
      <c r="L284" s="9"/>
      <c r="M284" s="8"/>
      <c r="N284" s="10"/>
      <c r="O284" s="11"/>
      <c r="P284" s="8"/>
      <c r="Q284" s="8"/>
      <c r="R284" s="9"/>
    </row>
    <row r="285" spans="1:18" x14ac:dyDescent="0.4">
      <c r="A285" s="5"/>
      <c r="B285" s="5"/>
      <c r="C285" s="5"/>
      <c r="D285" s="6"/>
      <c r="E285" s="7"/>
      <c r="F285" s="7"/>
      <c r="G285" s="5"/>
      <c r="H285" s="6"/>
      <c r="I285" s="6"/>
      <c r="J285" s="6"/>
      <c r="K285" s="8"/>
      <c r="L285" s="9"/>
      <c r="M285" s="8"/>
      <c r="N285" s="10"/>
      <c r="O285" s="11"/>
      <c r="P285" s="8"/>
      <c r="Q285" s="8"/>
      <c r="R285" s="9"/>
    </row>
    <row r="286" spans="1:18" x14ac:dyDescent="0.4">
      <c r="A286" s="5"/>
      <c r="B286" s="5"/>
      <c r="C286" s="5"/>
      <c r="D286" s="6"/>
      <c r="E286" s="7"/>
      <c r="F286" s="7"/>
      <c r="G286" s="5"/>
      <c r="H286" s="6"/>
      <c r="I286" s="6"/>
      <c r="J286" s="6"/>
      <c r="K286" s="8"/>
      <c r="L286" s="9"/>
      <c r="M286" s="8"/>
      <c r="N286" s="10"/>
      <c r="O286" s="11"/>
      <c r="P286" s="8"/>
      <c r="Q286" s="8"/>
      <c r="R286" s="9"/>
    </row>
    <row r="287" spans="1:18" x14ac:dyDescent="0.4">
      <c r="A287" s="5"/>
      <c r="B287" s="5"/>
      <c r="C287" s="5"/>
      <c r="D287" s="6"/>
      <c r="E287" s="7"/>
      <c r="F287" s="7"/>
      <c r="G287" s="5"/>
      <c r="H287" s="6"/>
      <c r="I287" s="6"/>
      <c r="J287" s="6"/>
      <c r="K287" s="8"/>
      <c r="L287" s="9"/>
      <c r="M287" s="8"/>
      <c r="N287" s="10"/>
      <c r="O287" s="11"/>
      <c r="P287" s="8"/>
      <c r="Q287" s="8"/>
      <c r="R287" s="9"/>
    </row>
    <row r="288" spans="1:18" x14ac:dyDescent="0.4">
      <c r="A288" s="5"/>
      <c r="B288" s="5"/>
      <c r="C288" s="5"/>
      <c r="D288" s="6"/>
      <c r="E288" s="7"/>
      <c r="F288" s="7"/>
      <c r="G288" s="5"/>
      <c r="H288" s="6"/>
      <c r="I288" s="6"/>
      <c r="J288" s="6"/>
      <c r="K288" s="8"/>
      <c r="L288" s="9"/>
      <c r="M288" s="8"/>
      <c r="N288" s="10"/>
      <c r="O288" s="11"/>
      <c r="P288" s="8"/>
      <c r="Q288" s="8"/>
      <c r="R288" s="9"/>
    </row>
    <row r="289" spans="1:19" x14ac:dyDescent="0.4">
      <c r="A289" s="5"/>
      <c r="B289" s="5"/>
      <c r="C289" s="5"/>
      <c r="D289" s="6"/>
      <c r="E289" s="7"/>
      <c r="F289" s="7"/>
      <c r="G289" s="5"/>
      <c r="H289" s="6"/>
      <c r="I289" s="6"/>
      <c r="J289" s="6"/>
      <c r="K289" s="8"/>
      <c r="L289" s="9"/>
      <c r="M289" s="8"/>
      <c r="N289" s="10"/>
      <c r="O289" s="11"/>
      <c r="P289" s="8"/>
      <c r="Q289" s="8"/>
      <c r="R289" s="9"/>
    </row>
    <row r="290" spans="1:19" x14ac:dyDescent="0.4">
      <c r="A290" s="5"/>
      <c r="B290" s="5"/>
      <c r="C290" s="5"/>
      <c r="D290" s="6"/>
      <c r="E290" s="7"/>
      <c r="F290" s="7"/>
      <c r="G290" s="5"/>
      <c r="H290" s="6"/>
      <c r="I290" s="6"/>
      <c r="J290" s="6"/>
      <c r="K290" s="8"/>
      <c r="L290" s="9"/>
      <c r="M290" s="8"/>
      <c r="N290" s="10"/>
      <c r="O290" s="11"/>
      <c r="P290" s="8"/>
      <c r="Q290" s="8"/>
      <c r="R290" s="9"/>
    </row>
    <row r="291" spans="1:19" x14ac:dyDescent="0.4">
      <c r="A291" s="5"/>
      <c r="B291" s="5"/>
      <c r="C291" s="5"/>
      <c r="D291" s="6"/>
      <c r="E291" s="7"/>
      <c r="F291" s="7"/>
      <c r="G291" s="5"/>
      <c r="H291" s="6"/>
      <c r="I291" s="6"/>
      <c r="J291" s="6"/>
      <c r="K291" s="8"/>
      <c r="L291" s="9"/>
      <c r="M291" s="8"/>
      <c r="N291" s="10"/>
      <c r="O291" s="11"/>
      <c r="P291" s="8"/>
      <c r="Q291" s="8"/>
      <c r="R291" s="9"/>
    </row>
    <row r="292" spans="1:19" x14ac:dyDescent="0.4">
      <c r="A292" s="5"/>
      <c r="B292" s="5"/>
      <c r="C292" s="5"/>
      <c r="D292" s="6"/>
      <c r="E292" s="7"/>
      <c r="F292" s="7"/>
      <c r="G292" s="5"/>
      <c r="H292" s="6"/>
      <c r="I292" s="6"/>
      <c r="J292" s="6"/>
      <c r="K292" s="8"/>
      <c r="L292" s="9"/>
      <c r="M292" s="8"/>
      <c r="N292" s="10"/>
      <c r="O292" s="11"/>
      <c r="P292" s="8"/>
      <c r="Q292" s="8"/>
      <c r="R292" s="8"/>
    </row>
    <row r="293" spans="1:19" x14ac:dyDescent="0.4">
      <c r="A293" s="5"/>
      <c r="B293" s="5"/>
      <c r="C293" s="5"/>
      <c r="D293" s="6"/>
      <c r="E293" s="7"/>
      <c r="F293" s="7"/>
      <c r="G293" s="5"/>
      <c r="H293" s="6"/>
      <c r="I293" s="6"/>
      <c r="J293" s="6"/>
      <c r="K293" s="8"/>
      <c r="L293" s="9"/>
      <c r="M293" s="8"/>
      <c r="N293" s="10"/>
      <c r="O293" s="11"/>
      <c r="P293" s="8"/>
      <c r="Q293" s="8"/>
      <c r="R293" s="8"/>
    </row>
    <row r="294" spans="1:19" x14ac:dyDescent="0.4">
      <c r="A294" s="5"/>
      <c r="B294" s="5"/>
      <c r="C294" s="5"/>
      <c r="D294" s="6"/>
      <c r="E294" s="7"/>
      <c r="F294" s="7"/>
      <c r="G294" s="5"/>
      <c r="H294" s="6"/>
      <c r="I294" s="6"/>
      <c r="J294" s="6"/>
      <c r="K294" s="8"/>
      <c r="L294" s="9"/>
      <c r="M294" s="8"/>
      <c r="N294" s="10"/>
      <c r="O294" s="11"/>
      <c r="P294" s="8"/>
      <c r="Q294" s="8"/>
      <c r="R294" s="9"/>
    </row>
    <row r="295" spans="1:19" x14ac:dyDescent="0.4">
      <c r="A295" s="5"/>
      <c r="B295" s="5"/>
      <c r="C295" s="5"/>
      <c r="D295" s="6"/>
      <c r="E295" s="7"/>
      <c r="F295" s="7"/>
      <c r="G295" s="5"/>
      <c r="H295" s="6"/>
      <c r="I295" s="6"/>
      <c r="J295" s="6"/>
      <c r="K295" s="8"/>
      <c r="L295" s="9"/>
      <c r="M295" s="8"/>
      <c r="N295" s="10"/>
      <c r="O295" s="11"/>
      <c r="P295" s="8"/>
      <c r="Q295" s="8"/>
      <c r="R295" s="9"/>
    </row>
    <row r="296" spans="1:19" x14ac:dyDescent="0.4">
      <c r="A296" s="5"/>
      <c r="B296" s="5"/>
      <c r="C296" s="5"/>
      <c r="D296" s="6"/>
      <c r="E296" s="7"/>
      <c r="F296" s="7"/>
      <c r="G296" s="5"/>
      <c r="H296" s="6"/>
      <c r="I296" s="6"/>
      <c r="J296" s="6"/>
      <c r="K296" s="8"/>
      <c r="L296" s="9"/>
      <c r="M296" s="8"/>
      <c r="N296" s="10"/>
      <c r="O296" s="11"/>
      <c r="P296" s="8"/>
      <c r="Q296" s="8"/>
      <c r="R296" s="9"/>
    </row>
    <row r="297" spans="1:19" x14ac:dyDescent="0.4">
      <c r="A297" s="5"/>
      <c r="B297" s="5"/>
      <c r="C297" s="5"/>
      <c r="D297" s="6"/>
      <c r="E297" s="7"/>
      <c r="F297" s="7"/>
      <c r="G297" s="5"/>
      <c r="H297" s="6"/>
      <c r="I297" s="6"/>
      <c r="J297" s="6"/>
      <c r="K297" s="8"/>
      <c r="L297" s="9"/>
      <c r="M297" s="8"/>
      <c r="N297" s="10"/>
      <c r="O297" s="11"/>
      <c r="P297" s="8"/>
      <c r="Q297" s="8"/>
      <c r="R297" s="9"/>
    </row>
    <row r="298" spans="1:19" x14ac:dyDescent="0.4">
      <c r="A298" s="5"/>
      <c r="B298" s="5"/>
      <c r="C298" s="5"/>
      <c r="D298" s="6"/>
      <c r="E298" s="7"/>
      <c r="F298" s="7"/>
      <c r="G298" s="5"/>
      <c r="H298" s="6"/>
      <c r="I298" s="6"/>
      <c r="J298" s="6"/>
      <c r="K298" s="8"/>
      <c r="L298" s="9"/>
      <c r="M298" s="8"/>
      <c r="N298" s="10"/>
      <c r="O298" s="11"/>
      <c r="P298" s="8"/>
      <c r="Q298" s="8"/>
      <c r="R298" s="9"/>
    </row>
    <row r="299" spans="1:19" x14ac:dyDescent="0.4">
      <c r="A299" s="5"/>
      <c r="B299" s="5"/>
      <c r="C299" s="5"/>
      <c r="D299" s="6"/>
      <c r="E299" s="7"/>
      <c r="F299" s="7"/>
      <c r="G299" s="5"/>
      <c r="H299" s="6"/>
      <c r="I299" s="6"/>
      <c r="J299" s="6"/>
      <c r="K299" s="8"/>
      <c r="L299" s="9"/>
      <c r="M299" s="8"/>
      <c r="N299" s="10"/>
      <c r="O299" s="11"/>
      <c r="P299" s="8"/>
      <c r="Q299" s="8"/>
      <c r="R299" s="9"/>
    </row>
    <row r="300" spans="1:19" x14ac:dyDescent="0.4">
      <c r="A300" s="5"/>
      <c r="B300" s="5"/>
      <c r="C300" s="5"/>
      <c r="D300" s="6"/>
      <c r="E300" s="7"/>
      <c r="F300" s="7"/>
      <c r="G300" s="5"/>
      <c r="H300" s="6"/>
      <c r="I300" s="6"/>
      <c r="J300" s="6"/>
      <c r="K300" s="8"/>
      <c r="L300" s="9"/>
      <c r="M300" s="8"/>
      <c r="N300" s="10"/>
      <c r="O300" s="11"/>
      <c r="P300" s="8"/>
      <c r="Q300" s="8"/>
      <c r="R300" s="9"/>
    </row>
    <row r="301" spans="1:19" x14ac:dyDescent="0.4">
      <c r="A301" s="5"/>
      <c r="B301" s="5"/>
      <c r="C301" s="5"/>
      <c r="D301" s="6"/>
      <c r="E301" s="7"/>
      <c r="F301" s="7"/>
      <c r="G301" s="5"/>
      <c r="H301" s="6"/>
      <c r="I301" s="6"/>
      <c r="J301" s="6"/>
      <c r="K301" s="8"/>
      <c r="L301" s="9"/>
      <c r="M301" s="8"/>
      <c r="N301" s="10"/>
      <c r="O301" s="11"/>
      <c r="P301" s="8"/>
      <c r="Q301" s="8"/>
      <c r="R301" s="9"/>
    </row>
    <row r="302" spans="1:19" x14ac:dyDescent="0.4">
      <c r="A302" s="5"/>
      <c r="B302" s="5"/>
      <c r="C302" s="5"/>
      <c r="D302" s="6"/>
      <c r="E302" s="7"/>
      <c r="F302" s="7"/>
      <c r="G302" s="5"/>
      <c r="H302" s="6"/>
      <c r="I302" s="6"/>
      <c r="J302" s="6"/>
      <c r="K302" s="8"/>
      <c r="L302" s="9"/>
      <c r="M302" s="8"/>
      <c r="N302" s="10"/>
      <c r="O302" s="11"/>
      <c r="P302" s="8"/>
      <c r="Q302" s="8"/>
      <c r="R302" s="9"/>
    </row>
    <row r="303" spans="1:19" x14ac:dyDescent="0.4">
      <c r="A303" s="5"/>
      <c r="B303" s="5"/>
      <c r="C303" s="5"/>
      <c r="D303" s="6"/>
      <c r="E303" s="7"/>
      <c r="F303" s="7"/>
      <c r="G303" s="5"/>
      <c r="H303" s="6"/>
      <c r="I303" s="6"/>
      <c r="J303" s="6"/>
      <c r="K303" s="8"/>
      <c r="L303" s="9"/>
      <c r="M303" s="8"/>
      <c r="N303" s="10"/>
      <c r="O303" s="11"/>
      <c r="P303" s="8"/>
      <c r="Q303" s="8"/>
      <c r="R303" s="9"/>
    </row>
    <row r="304" spans="1:19" x14ac:dyDescent="0.4">
      <c r="A304" s="5"/>
      <c r="B304" s="5"/>
      <c r="C304" s="5"/>
      <c r="D304" s="6"/>
      <c r="E304" s="7"/>
      <c r="F304" s="7"/>
      <c r="G304" s="5"/>
      <c r="H304" s="6"/>
      <c r="I304" s="6"/>
      <c r="J304" s="6"/>
      <c r="K304" s="8"/>
      <c r="L304" s="9"/>
      <c r="M304" s="8"/>
      <c r="N304" s="10"/>
      <c r="O304" s="11"/>
      <c r="P304" s="8"/>
      <c r="Q304" s="8"/>
      <c r="R304" s="14"/>
      <c r="S304" s="16"/>
    </row>
    <row r="305" spans="1:19" x14ac:dyDescent="0.4">
      <c r="A305" s="5"/>
      <c r="B305" s="5"/>
      <c r="C305" s="5"/>
      <c r="D305" s="6"/>
      <c r="E305" s="7"/>
      <c r="F305" s="7"/>
      <c r="G305" s="5"/>
      <c r="H305" s="6"/>
      <c r="I305" s="6"/>
      <c r="J305" s="6"/>
      <c r="K305" s="8"/>
      <c r="L305" s="9"/>
      <c r="M305" s="8"/>
      <c r="N305" s="10"/>
      <c r="O305" s="11"/>
      <c r="P305" s="8"/>
      <c r="Q305" s="8"/>
      <c r="R305" s="13"/>
      <c r="S305" s="16"/>
    </row>
    <row r="306" spans="1:19" x14ac:dyDescent="0.4">
      <c r="A306" s="5"/>
      <c r="B306" s="5"/>
      <c r="C306" s="5"/>
      <c r="D306" s="6"/>
      <c r="E306" s="7"/>
      <c r="F306" s="7"/>
      <c r="G306" s="5"/>
      <c r="H306" s="6"/>
      <c r="I306" s="6"/>
      <c r="J306" s="6"/>
      <c r="K306" s="8"/>
      <c r="L306" s="9"/>
      <c r="M306" s="8"/>
      <c r="N306" s="10"/>
      <c r="O306" s="11"/>
      <c r="P306" s="8"/>
      <c r="Q306" s="8"/>
      <c r="R306" s="13"/>
    </row>
    <row r="307" spans="1:19" x14ac:dyDescent="0.4">
      <c r="A307" s="5"/>
      <c r="B307" s="5"/>
      <c r="C307" s="5"/>
      <c r="D307" s="6"/>
      <c r="E307" s="7"/>
      <c r="F307" s="7"/>
      <c r="G307" s="5"/>
      <c r="H307" s="6"/>
      <c r="I307" s="6"/>
      <c r="J307" s="6"/>
      <c r="K307" s="8"/>
      <c r="L307" s="9"/>
      <c r="M307" s="8"/>
      <c r="N307" s="10"/>
      <c r="O307" s="11"/>
      <c r="P307" s="8"/>
      <c r="Q307" s="8"/>
      <c r="R307" s="13"/>
    </row>
    <row r="308" spans="1:19" x14ac:dyDescent="0.4">
      <c r="A308" s="5"/>
      <c r="B308" s="5"/>
      <c r="C308" s="5"/>
      <c r="D308" s="6"/>
      <c r="E308" s="7"/>
      <c r="F308" s="7"/>
      <c r="G308" s="5"/>
      <c r="H308" s="6"/>
      <c r="I308" s="6"/>
      <c r="J308" s="6"/>
      <c r="K308" s="8"/>
      <c r="L308" s="9"/>
      <c r="M308" s="8"/>
      <c r="N308" s="10"/>
      <c r="O308" s="11"/>
      <c r="P308" s="8"/>
      <c r="Q308" s="8"/>
      <c r="R308" s="13"/>
      <c r="S308" s="16"/>
    </row>
    <row r="309" spans="1:19" x14ac:dyDescent="0.4">
      <c r="A309" s="5"/>
      <c r="B309" s="5"/>
      <c r="C309" s="5"/>
      <c r="D309" s="6"/>
      <c r="E309" s="7"/>
      <c r="F309" s="7"/>
      <c r="G309" s="5"/>
      <c r="H309" s="6"/>
      <c r="I309" s="6"/>
      <c r="J309" s="6"/>
      <c r="K309" s="8"/>
      <c r="L309" s="9"/>
      <c r="M309" s="8"/>
      <c r="N309" s="10"/>
      <c r="O309" s="11"/>
      <c r="P309" s="8"/>
      <c r="Q309" s="8"/>
      <c r="R309" s="13"/>
    </row>
    <row r="310" spans="1:19" x14ac:dyDescent="0.4">
      <c r="A310" s="5"/>
      <c r="B310" s="5"/>
      <c r="C310" s="5"/>
      <c r="D310" s="6"/>
      <c r="E310" s="7"/>
      <c r="F310" s="7"/>
      <c r="G310" s="5"/>
      <c r="H310" s="6"/>
      <c r="I310" s="6"/>
      <c r="J310" s="6"/>
      <c r="K310" s="8"/>
      <c r="L310" s="9"/>
      <c r="M310" s="8"/>
      <c r="N310" s="10"/>
      <c r="O310" s="11"/>
      <c r="P310" s="8"/>
      <c r="Q310" s="8"/>
      <c r="R310" s="13"/>
    </row>
    <row r="311" spans="1:19" x14ac:dyDescent="0.4">
      <c r="A311" s="5"/>
      <c r="B311" s="5"/>
      <c r="C311" s="5"/>
      <c r="D311" s="6"/>
      <c r="E311" s="7"/>
      <c r="F311" s="7"/>
      <c r="G311" s="5"/>
      <c r="H311" s="6"/>
      <c r="I311" s="6"/>
      <c r="J311" s="6"/>
      <c r="K311" s="8"/>
      <c r="L311" s="9"/>
      <c r="M311" s="8"/>
      <c r="N311" s="10"/>
      <c r="O311" s="11"/>
      <c r="P311" s="8"/>
      <c r="Q311" s="8"/>
      <c r="R311" s="13"/>
    </row>
    <row r="312" spans="1:19" x14ac:dyDescent="0.4">
      <c r="A312" s="5"/>
      <c r="B312" s="5"/>
      <c r="C312" s="5"/>
      <c r="D312" s="6"/>
      <c r="E312" s="7"/>
      <c r="F312" s="7"/>
      <c r="G312" s="5"/>
      <c r="H312" s="6"/>
      <c r="I312" s="6"/>
      <c r="J312" s="6"/>
      <c r="K312" s="8"/>
      <c r="L312" s="9"/>
      <c r="M312" s="8"/>
      <c r="N312" s="10"/>
      <c r="O312" s="11"/>
      <c r="P312" s="8"/>
      <c r="Q312" s="8"/>
      <c r="R312" s="13"/>
    </row>
    <row r="313" spans="1:19" x14ac:dyDescent="0.4">
      <c r="A313" s="5"/>
      <c r="B313" s="5"/>
      <c r="C313" s="5"/>
      <c r="D313" s="6"/>
      <c r="E313" s="7"/>
      <c r="F313" s="7"/>
      <c r="G313" s="5"/>
      <c r="H313" s="6"/>
      <c r="I313" s="6"/>
      <c r="J313" s="6"/>
      <c r="K313" s="8"/>
      <c r="L313" s="9"/>
      <c r="M313" s="8"/>
      <c r="N313" s="10"/>
      <c r="O313" s="11"/>
      <c r="P313" s="8"/>
      <c r="Q313" s="8"/>
      <c r="R313" s="13"/>
    </row>
    <row r="314" spans="1:19" x14ac:dyDescent="0.4">
      <c r="A314" s="5"/>
      <c r="B314" s="5"/>
      <c r="C314" s="5"/>
      <c r="D314" s="6"/>
      <c r="E314" s="7"/>
      <c r="F314" s="7"/>
      <c r="G314" s="5"/>
      <c r="H314" s="6"/>
      <c r="I314" s="6"/>
      <c r="J314" s="6"/>
      <c r="K314" s="8"/>
      <c r="L314" s="9"/>
      <c r="M314" s="8"/>
      <c r="N314" s="10"/>
      <c r="O314" s="11"/>
      <c r="P314" s="8"/>
      <c r="Q314" s="8"/>
      <c r="R314" s="13"/>
    </row>
    <row r="315" spans="1:19" x14ac:dyDescent="0.4">
      <c r="A315" s="5"/>
      <c r="B315" s="5"/>
      <c r="C315" s="5"/>
      <c r="D315" s="6"/>
      <c r="E315" s="7"/>
      <c r="F315" s="7"/>
      <c r="G315" s="5"/>
      <c r="H315" s="6"/>
      <c r="I315" s="6"/>
      <c r="J315" s="6"/>
      <c r="K315" s="8"/>
      <c r="L315" s="9"/>
      <c r="M315" s="8"/>
      <c r="N315" s="10"/>
      <c r="O315" s="11"/>
      <c r="P315" s="8"/>
      <c r="Q315" s="8"/>
      <c r="R315" s="13"/>
    </row>
    <row r="316" spans="1:19" x14ac:dyDescent="0.4">
      <c r="A316" s="5"/>
      <c r="B316" s="5"/>
      <c r="C316" s="5"/>
      <c r="D316" s="6"/>
      <c r="E316" s="7"/>
      <c r="F316" s="7"/>
      <c r="G316" s="5"/>
      <c r="H316" s="6"/>
      <c r="I316" s="6"/>
      <c r="J316" s="6"/>
      <c r="K316" s="8"/>
      <c r="L316" s="9"/>
      <c r="M316" s="8"/>
      <c r="N316" s="10"/>
      <c r="O316" s="11"/>
      <c r="P316" s="8"/>
      <c r="Q316" s="8"/>
      <c r="R316" s="13"/>
    </row>
    <row r="317" spans="1:19" x14ac:dyDescent="0.4">
      <c r="A317" s="5"/>
      <c r="B317" s="5"/>
      <c r="C317" s="5"/>
      <c r="D317" s="6"/>
      <c r="E317" s="7"/>
      <c r="F317" s="7"/>
      <c r="G317" s="5"/>
      <c r="H317" s="6"/>
      <c r="I317" s="6"/>
      <c r="J317" s="6"/>
      <c r="K317" s="8"/>
      <c r="L317" s="9"/>
      <c r="M317" s="8"/>
      <c r="N317" s="10"/>
      <c r="O317" s="11"/>
      <c r="P317" s="8"/>
      <c r="Q317" s="8"/>
      <c r="R317" s="14"/>
    </row>
    <row r="318" spans="1:19" x14ac:dyDescent="0.4">
      <c r="A318" s="5"/>
      <c r="B318" s="5"/>
      <c r="C318" s="5"/>
      <c r="D318" s="6"/>
      <c r="E318" s="7"/>
      <c r="F318" s="7"/>
      <c r="G318" s="5"/>
      <c r="H318" s="6"/>
      <c r="I318" s="6"/>
      <c r="J318" s="6"/>
      <c r="K318" s="8"/>
      <c r="L318" s="9"/>
      <c r="M318" s="8"/>
      <c r="N318" s="10"/>
      <c r="O318" s="11"/>
      <c r="P318" s="8"/>
      <c r="Q318" s="8"/>
      <c r="R318" s="13"/>
    </row>
    <row r="319" spans="1:19" x14ac:dyDescent="0.4">
      <c r="A319" s="5"/>
      <c r="B319" s="5"/>
      <c r="C319" s="5"/>
      <c r="D319" s="6"/>
      <c r="E319" s="7"/>
      <c r="F319" s="7"/>
      <c r="G319" s="5"/>
      <c r="H319" s="6"/>
      <c r="I319" s="6"/>
      <c r="J319" s="6"/>
      <c r="K319" s="8"/>
      <c r="L319" s="9"/>
      <c r="M319" s="8"/>
      <c r="N319" s="10"/>
      <c r="O319" s="11"/>
      <c r="P319" s="8"/>
      <c r="Q319" s="8"/>
      <c r="R319" s="13"/>
    </row>
    <row r="320" spans="1:19" x14ac:dyDescent="0.4">
      <c r="A320" s="5"/>
      <c r="B320" s="5"/>
      <c r="C320" s="5"/>
      <c r="D320" s="6"/>
      <c r="E320" s="7"/>
      <c r="F320" s="7"/>
      <c r="G320" s="5"/>
      <c r="H320" s="6"/>
      <c r="I320" s="6"/>
      <c r="J320" s="6"/>
      <c r="K320" s="8"/>
      <c r="L320" s="9"/>
      <c r="M320" s="8"/>
      <c r="N320" s="10"/>
      <c r="O320" s="11"/>
      <c r="P320" s="8"/>
      <c r="Q320" s="8"/>
      <c r="R320" s="13"/>
    </row>
    <row r="321" spans="1:18" x14ac:dyDescent="0.4">
      <c r="A321" s="5"/>
      <c r="B321" s="5"/>
      <c r="C321" s="5"/>
      <c r="D321" s="6"/>
      <c r="E321" s="7"/>
      <c r="F321" s="7"/>
      <c r="G321" s="5"/>
      <c r="H321" s="6"/>
      <c r="I321" s="6"/>
      <c r="J321" s="6"/>
      <c r="K321" s="8"/>
      <c r="L321" s="9"/>
      <c r="M321" s="8"/>
      <c r="N321" s="10"/>
      <c r="O321" s="11"/>
      <c r="P321" s="8"/>
      <c r="Q321" s="8"/>
      <c r="R321" s="13"/>
    </row>
    <row r="322" spans="1:18" x14ac:dyDescent="0.4">
      <c r="A322" s="5"/>
      <c r="B322" s="5"/>
      <c r="C322" s="5"/>
      <c r="D322" s="6"/>
      <c r="E322" s="7"/>
      <c r="F322" s="7"/>
      <c r="G322" s="5"/>
      <c r="H322" s="6"/>
      <c r="I322" s="6"/>
      <c r="J322" s="6"/>
      <c r="K322" s="8"/>
      <c r="L322" s="9"/>
      <c r="M322" s="8"/>
      <c r="N322" s="10"/>
      <c r="O322" s="11"/>
      <c r="P322" s="8"/>
      <c r="Q322" s="8"/>
      <c r="R322" s="13"/>
    </row>
    <row r="323" spans="1:18" x14ac:dyDescent="0.4">
      <c r="A323" s="5"/>
      <c r="B323" s="5"/>
      <c r="C323" s="5"/>
      <c r="D323" s="6"/>
      <c r="E323" s="7"/>
      <c r="F323" s="7"/>
      <c r="G323" s="5"/>
      <c r="H323" s="6"/>
      <c r="I323" s="6"/>
      <c r="J323" s="6"/>
      <c r="K323" s="8"/>
      <c r="L323" s="9"/>
      <c r="M323" s="8"/>
      <c r="N323" s="10"/>
      <c r="O323" s="11"/>
      <c r="P323" s="8"/>
      <c r="Q323" s="8"/>
      <c r="R323" s="13"/>
    </row>
    <row r="324" spans="1:18" x14ac:dyDescent="0.4">
      <c r="A324" s="5"/>
      <c r="B324" s="5"/>
      <c r="C324" s="5"/>
      <c r="D324" s="6"/>
      <c r="E324" s="7"/>
      <c r="F324" s="7"/>
      <c r="G324" s="5"/>
      <c r="H324" s="6"/>
      <c r="I324" s="6"/>
      <c r="J324" s="6"/>
      <c r="K324" s="8"/>
      <c r="L324" s="9"/>
      <c r="M324" s="8"/>
      <c r="N324" s="10"/>
      <c r="O324" s="11"/>
      <c r="P324" s="8"/>
      <c r="Q324" s="8"/>
      <c r="R324" s="13"/>
    </row>
    <row r="325" spans="1:18" x14ac:dyDescent="0.4">
      <c r="A325" s="5"/>
      <c r="B325" s="5"/>
      <c r="C325" s="5"/>
      <c r="D325" s="6"/>
      <c r="E325" s="7"/>
      <c r="F325" s="7"/>
      <c r="G325" s="5"/>
      <c r="H325" s="6"/>
      <c r="I325" s="6"/>
      <c r="J325" s="6"/>
      <c r="K325" s="8"/>
      <c r="L325" s="9"/>
      <c r="M325" s="8"/>
      <c r="N325" s="10"/>
      <c r="O325" s="11"/>
      <c r="P325" s="8"/>
      <c r="Q325" s="8"/>
      <c r="R325" s="13"/>
    </row>
    <row r="326" spans="1:18" x14ac:dyDescent="0.4">
      <c r="A326" s="5"/>
      <c r="B326" s="5"/>
      <c r="C326" s="5"/>
      <c r="D326" s="6"/>
      <c r="E326" s="7"/>
      <c r="F326" s="7"/>
      <c r="G326" s="5"/>
      <c r="H326" s="6"/>
      <c r="I326" s="6"/>
      <c r="J326" s="6"/>
      <c r="K326" s="8"/>
      <c r="L326" s="9"/>
      <c r="M326" s="8"/>
      <c r="N326" s="10"/>
      <c r="O326" s="11"/>
      <c r="P326" s="8"/>
      <c r="Q326" s="8"/>
      <c r="R326" s="13"/>
    </row>
    <row r="327" spans="1:18" x14ac:dyDescent="0.4">
      <c r="A327" s="5"/>
      <c r="B327" s="5"/>
      <c r="C327" s="5"/>
      <c r="D327" s="6"/>
      <c r="E327" s="7"/>
      <c r="F327" s="7"/>
      <c r="G327" s="5"/>
      <c r="H327" s="6"/>
      <c r="I327" s="6"/>
      <c r="J327" s="6"/>
      <c r="K327" s="8"/>
      <c r="L327" s="9"/>
      <c r="M327" s="8"/>
      <c r="N327" s="10"/>
      <c r="O327" s="11"/>
      <c r="P327" s="8"/>
      <c r="Q327" s="8"/>
      <c r="R327" s="13"/>
    </row>
    <row r="328" spans="1:18" x14ac:dyDescent="0.4">
      <c r="A328" s="5"/>
      <c r="B328" s="5"/>
      <c r="C328" s="5"/>
      <c r="D328" s="6"/>
      <c r="E328" s="7"/>
      <c r="F328" s="7"/>
      <c r="G328" s="5"/>
      <c r="H328" s="6"/>
      <c r="I328" s="6"/>
      <c r="J328" s="6"/>
      <c r="K328" s="8"/>
      <c r="L328" s="9"/>
      <c r="M328" s="8"/>
      <c r="N328" s="10"/>
      <c r="O328" s="11"/>
      <c r="P328" s="8"/>
      <c r="Q328" s="8"/>
      <c r="R328" s="13"/>
    </row>
    <row r="329" spans="1:18" x14ac:dyDescent="0.4">
      <c r="A329" s="5"/>
      <c r="B329" s="5"/>
      <c r="C329" s="5"/>
      <c r="D329" s="6"/>
      <c r="E329" s="7"/>
      <c r="F329" s="7"/>
      <c r="G329" s="5"/>
      <c r="H329" s="6"/>
      <c r="I329" s="6"/>
      <c r="J329" s="6"/>
      <c r="K329" s="8"/>
      <c r="L329" s="9"/>
      <c r="M329" s="8"/>
      <c r="N329" s="10"/>
      <c r="O329" s="11"/>
      <c r="P329" s="8"/>
      <c r="Q329" s="8"/>
      <c r="R329" s="9"/>
    </row>
    <row r="330" spans="1:18" x14ac:dyDescent="0.4">
      <c r="A330" s="5"/>
      <c r="B330" s="5"/>
      <c r="C330" s="5"/>
      <c r="D330" s="6"/>
      <c r="E330" s="7"/>
      <c r="F330" s="7"/>
      <c r="G330" s="5"/>
      <c r="H330" s="6"/>
      <c r="I330" s="6"/>
      <c r="J330" s="6"/>
      <c r="K330" s="8"/>
      <c r="L330" s="9"/>
      <c r="M330" s="8"/>
      <c r="N330" s="10"/>
      <c r="O330" s="11"/>
      <c r="P330" s="8"/>
      <c r="Q330" s="8"/>
      <c r="R330" s="9"/>
    </row>
    <row r="331" spans="1:18" x14ac:dyDescent="0.4">
      <c r="A331" s="5"/>
      <c r="B331" s="5"/>
      <c r="C331" s="5"/>
      <c r="D331" s="6"/>
      <c r="E331" s="7"/>
      <c r="F331" s="7"/>
      <c r="G331" s="5"/>
      <c r="H331" s="6"/>
      <c r="I331" s="6"/>
      <c r="J331" s="6"/>
      <c r="K331" s="8"/>
      <c r="L331" s="9"/>
      <c r="M331" s="8"/>
      <c r="N331" s="10"/>
      <c r="O331" s="11"/>
      <c r="P331" s="8"/>
      <c r="Q331" s="8"/>
      <c r="R331" s="9"/>
    </row>
    <row r="332" spans="1:18" x14ac:dyDescent="0.4">
      <c r="A332" s="5"/>
      <c r="B332" s="5"/>
      <c r="C332" s="5"/>
      <c r="D332" s="6"/>
      <c r="E332" s="7"/>
      <c r="F332" s="7"/>
      <c r="G332" s="5"/>
      <c r="H332" s="6"/>
      <c r="I332" s="6"/>
      <c r="J332" s="6"/>
      <c r="K332" s="8"/>
      <c r="L332" s="9"/>
      <c r="M332" s="8"/>
      <c r="N332" s="10"/>
      <c r="O332" s="11"/>
      <c r="P332" s="8"/>
      <c r="Q332" s="8"/>
      <c r="R332" s="9"/>
    </row>
    <row r="333" spans="1:18" x14ac:dyDescent="0.4">
      <c r="A333" s="5"/>
      <c r="B333" s="5"/>
      <c r="C333" s="5"/>
      <c r="D333" s="6"/>
      <c r="E333" s="7"/>
      <c r="F333" s="7"/>
      <c r="G333" s="5"/>
      <c r="H333" s="6"/>
      <c r="I333" s="6"/>
      <c r="J333" s="6"/>
      <c r="K333" s="8"/>
      <c r="L333" s="9"/>
      <c r="M333" s="8"/>
      <c r="N333" s="10"/>
      <c r="O333" s="11"/>
      <c r="P333" s="8"/>
      <c r="Q333" s="8"/>
      <c r="R333" s="9"/>
    </row>
    <row r="334" spans="1:18" x14ac:dyDescent="0.4">
      <c r="A334" s="5"/>
      <c r="B334" s="5"/>
      <c r="C334" s="5"/>
      <c r="D334" s="6"/>
      <c r="E334" s="7"/>
      <c r="F334" s="7"/>
      <c r="G334" s="5"/>
      <c r="H334" s="6"/>
      <c r="I334" s="6"/>
      <c r="J334" s="6"/>
      <c r="K334" s="8"/>
      <c r="L334" s="9"/>
      <c r="M334" s="8"/>
      <c r="N334" s="10"/>
      <c r="O334" s="11"/>
      <c r="P334" s="8"/>
      <c r="Q334" s="8"/>
      <c r="R334" s="9"/>
    </row>
    <row r="335" spans="1:18" x14ac:dyDescent="0.4">
      <c r="A335" s="5"/>
      <c r="B335" s="5"/>
      <c r="C335" s="5"/>
      <c r="D335" s="6"/>
      <c r="E335" s="7"/>
      <c r="F335" s="7"/>
      <c r="G335" s="5"/>
      <c r="H335" s="6"/>
      <c r="I335" s="6"/>
      <c r="J335" s="6"/>
      <c r="K335" s="8"/>
      <c r="L335" s="9"/>
      <c r="M335" s="8"/>
      <c r="N335" s="10"/>
      <c r="O335" s="11"/>
      <c r="P335" s="8"/>
      <c r="Q335" s="8"/>
      <c r="R335" s="9"/>
    </row>
    <row r="336" spans="1:18" x14ac:dyDescent="0.4">
      <c r="A336" s="5"/>
      <c r="B336" s="5"/>
      <c r="C336" s="5"/>
      <c r="D336" s="6"/>
      <c r="E336" s="7"/>
      <c r="F336" s="7"/>
      <c r="G336" s="5"/>
      <c r="H336" s="6"/>
      <c r="I336" s="6"/>
      <c r="J336" s="6"/>
      <c r="K336" s="8"/>
      <c r="L336" s="9"/>
      <c r="M336" s="8"/>
      <c r="N336" s="10"/>
      <c r="O336" s="11"/>
      <c r="P336" s="8"/>
      <c r="Q336" s="8"/>
      <c r="R336" s="9"/>
    </row>
    <row r="337" spans="1:18" x14ac:dyDescent="0.4">
      <c r="A337" s="5"/>
      <c r="B337" s="5"/>
      <c r="C337" s="5"/>
      <c r="D337" s="6"/>
      <c r="E337" s="7"/>
      <c r="F337" s="7"/>
      <c r="G337" s="5"/>
      <c r="H337" s="6"/>
      <c r="I337" s="6"/>
      <c r="J337" s="6"/>
      <c r="K337" s="8"/>
      <c r="L337" s="9"/>
      <c r="M337" s="8"/>
      <c r="N337" s="10"/>
      <c r="O337" s="11"/>
      <c r="P337" s="8"/>
      <c r="Q337" s="8"/>
      <c r="R337" s="14"/>
    </row>
    <row r="338" spans="1:18" x14ac:dyDescent="0.4">
      <c r="A338" s="5"/>
      <c r="B338" s="5"/>
      <c r="C338" s="5"/>
      <c r="D338" s="6"/>
      <c r="E338" s="7"/>
      <c r="F338" s="7"/>
      <c r="G338" s="5"/>
      <c r="H338" s="6"/>
      <c r="I338" s="6"/>
      <c r="J338" s="6"/>
      <c r="K338" s="8"/>
      <c r="L338" s="9"/>
      <c r="M338" s="8"/>
      <c r="N338" s="10"/>
      <c r="O338" s="11"/>
      <c r="P338" s="8"/>
      <c r="Q338" s="8"/>
      <c r="R338" s="13"/>
    </row>
    <row r="339" spans="1:18" x14ac:dyDescent="0.4">
      <c r="A339" s="5"/>
      <c r="B339" s="5"/>
      <c r="C339" s="5"/>
      <c r="D339" s="6"/>
      <c r="E339" s="7"/>
      <c r="F339" s="7"/>
      <c r="G339" s="5"/>
      <c r="H339" s="6"/>
      <c r="I339" s="6"/>
      <c r="J339" s="6"/>
      <c r="K339" s="8"/>
      <c r="L339" s="9"/>
      <c r="M339" s="8"/>
      <c r="N339" s="10"/>
      <c r="O339" s="11"/>
      <c r="P339" s="8"/>
      <c r="Q339" s="8"/>
      <c r="R339" s="13"/>
    </row>
    <row r="340" spans="1:18" x14ac:dyDescent="0.4">
      <c r="A340" s="5"/>
      <c r="B340" s="5"/>
      <c r="C340" s="5"/>
      <c r="D340" s="6"/>
      <c r="E340" s="7"/>
      <c r="F340" s="7"/>
      <c r="G340" s="5"/>
      <c r="H340" s="6"/>
      <c r="I340" s="6"/>
      <c r="J340" s="6"/>
      <c r="K340" s="8"/>
      <c r="L340" s="9"/>
      <c r="M340" s="8"/>
      <c r="N340" s="10"/>
      <c r="O340" s="11"/>
      <c r="P340" s="8"/>
      <c r="Q340" s="8"/>
      <c r="R340" s="13"/>
    </row>
    <row r="341" spans="1:18" x14ac:dyDescent="0.4">
      <c r="A341" s="5"/>
      <c r="B341" s="5"/>
      <c r="C341" s="5"/>
      <c r="D341" s="6"/>
      <c r="E341" s="7"/>
      <c r="F341" s="7"/>
      <c r="G341" s="5"/>
      <c r="H341" s="6"/>
      <c r="I341" s="6"/>
      <c r="J341" s="6"/>
      <c r="K341" s="8"/>
      <c r="L341" s="9"/>
      <c r="M341" s="8"/>
      <c r="N341" s="10"/>
      <c r="O341" s="11"/>
      <c r="P341" s="8"/>
      <c r="Q341" s="8"/>
      <c r="R341" s="13"/>
    </row>
    <row r="342" spans="1:18" x14ac:dyDescent="0.4">
      <c r="A342" s="5"/>
      <c r="B342" s="5"/>
      <c r="C342" s="5"/>
      <c r="D342" s="6"/>
      <c r="E342" s="7"/>
      <c r="F342" s="7"/>
      <c r="G342" s="5"/>
      <c r="H342" s="6"/>
      <c r="I342" s="6"/>
      <c r="J342" s="6"/>
      <c r="K342" s="8"/>
      <c r="L342" s="9"/>
      <c r="M342" s="8"/>
      <c r="N342" s="10"/>
      <c r="O342" s="11"/>
      <c r="P342" s="8"/>
      <c r="Q342" s="8"/>
      <c r="R342" s="13"/>
    </row>
    <row r="343" spans="1:18" x14ac:dyDescent="0.4">
      <c r="A343" s="5"/>
      <c r="B343" s="5"/>
      <c r="C343" s="5"/>
      <c r="D343" s="6"/>
      <c r="E343" s="7"/>
      <c r="F343" s="7"/>
      <c r="G343" s="5"/>
      <c r="H343" s="6"/>
      <c r="I343" s="6"/>
      <c r="J343" s="6"/>
      <c r="K343" s="8"/>
      <c r="L343" s="9"/>
      <c r="M343" s="8"/>
      <c r="N343" s="10"/>
      <c r="O343" s="11"/>
      <c r="P343" s="8"/>
      <c r="Q343" s="8"/>
      <c r="R343" s="13"/>
    </row>
    <row r="344" spans="1:18" x14ac:dyDescent="0.4">
      <c r="A344" s="5"/>
      <c r="B344" s="5"/>
      <c r="C344" s="5"/>
      <c r="D344" s="6"/>
      <c r="E344" s="7"/>
      <c r="F344" s="7"/>
      <c r="G344" s="5"/>
      <c r="H344" s="6"/>
      <c r="I344" s="6"/>
      <c r="J344" s="6"/>
      <c r="K344" s="8"/>
      <c r="L344" s="9"/>
      <c r="M344" s="8"/>
      <c r="N344" s="10"/>
      <c r="O344" s="11"/>
      <c r="P344" s="8"/>
      <c r="Q344" s="8"/>
      <c r="R344" s="13"/>
    </row>
    <row r="345" spans="1:18" x14ac:dyDescent="0.4">
      <c r="A345" s="5"/>
      <c r="B345" s="5"/>
      <c r="C345" s="5"/>
      <c r="D345" s="6"/>
      <c r="E345" s="7"/>
      <c r="F345" s="7"/>
      <c r="G345" s="5"/>
      <c r="H345" s="6"/>
      <c r="I345" s="6"/>
      <c r="J345" s="6"/>
      <c r="K345" s="8"/>
      <c r="L345" s="9"/>
      <c r="M345" s="8"/>
      <c r="N345" s="10"/>
      <c r="O345" s="11"/>
      <c r="P345" s="8"/>
      <c r="Q345" s="8"/>
      <c r="R345" s="13"/>
    </row>
    <row r="346" spans="1:18" x14ac:dyDescent="0.4">
      <c r="A346" s="5"/>
      <c r="B346" s="5"/>
      <c r="C346" s="5"/>
      <c r="D346" s="6"/>
      <c r="E346" s="7"/>
      <c r="F346" s="7"/>
      <c r="G346" s="5"/>
      <c r="H346" s="6"/>
      <c r="I346" s="6"/>
      <c r="J346" s="6"/>
      <c r="K346" s="8"/>
      <c r="L346" s="9"/>
      <c r="M346" s="8"/>
      <c r="N346" s="10"/>
      <c r="O346" s="11"/>
      <c r="P346" s="8"/>
      <c r="Q346" s="8"/>
      <c r="R346" s="13"/>
    </row>
    <row r="347" spans="1:18" x14ac:dyDescent="0.4">
      <c r="A347" s="5"/>
      <c r="B347" s="5"/>
      <c r="C347" s="5"/>
      <c r="D347" s="6"/>
      <c r="E347" s="7"/>
      <c r="F347" s="7"/>
      <c r="G347" s="5"/>
      <c r="H347" s="6"/>
      <c r="I347" s="6"/>
      <c r="J347" s="6"/>
      <c r="K347" s="8"/>
      <c r="L347" s="9"/>
      <c r="M347" s="8"/>
      <c r="N347" s="10"/>
      <c r="O347" s="11"/>
      <c r="P347" s="8"/>
      <c r="Q347" s="8"/>
      <c r="R347" s="13"/>
    </row>
    <row r="348" spans="1:18" x14ac:dyDescent="0.4">
      <c r="A348" s="5"/>
      <c r="B348" s="5"/>
      <c r="C348" s="5"/>
      <c r="D348" s="6"/>
      <c r="E348" s="7"/>
      <c r="F348" s="7"/>
      <c r="G348" s="5"/>
      <c r="H348" s="6"/>
      <c r="I348" s="6"/>
      <c r="J348" s="6"/>
      <c r="K348" s="8"/>
      <c r="L348" s="9"/>
      <c r="M348" s="8"/>
      <c r="N348" s="10"/>
      <c r="O348" s="11"/>
      <c r="P348" s="8"/>
      <c r="Q348" s="8"/>
      <c r="R348" s="13"/>
    </row>
    <row r="349" spans="1:18" x14ac:dyDescent="0.4">
      <c r="A349" s="5"/>
      <c r="B349" s="5"/>
      <c r="C349" s="5"/>
      <c r="D349" s="6"/>
      <c r="E349" s="7"/>
      <c r="F349" s="7"/>
      <c r="G349" s="5"/>
      <c r="H349" s="6"/>
      <c r="I349" s="6"/>
      <c r="J349" s="6"/>
      <c r="K349" s="8"/>
      <c r="L349" s="9"/>
      <c r="M349" s="8"/>
      <c r="N349" s="10"/>
      <c r="O349" s="11"/>
      <c r="P349" s="8"/>
      <c r="Q349" s="8"/>
      <c r="R349" s="13"/>
    </row>
    <row r="350" spans="1:18" x14ac:dyDescent="0.4">
      <c r="A350" s="5"/>
      <c r="B350" s="5"/>
      <c r="C350" s="5"/>
      <c r="D350" s="6"/>
      <c r="E350" s="7"/>
      <c r="F350" s="7"/>
      <c r="G350" s="5"/>
      <c r="H350" s="6"/>
      <c r="I350" s="6"/>
      <c r="J350" s="6"/>
      <c r="K350" s="8"/>
      <c r="L350" s="9"/>
      <c r="M350" s="8"/>
      <c r="N350" s="10"/>
      <c r="O350" s="11"/>
      <c r="P350" s="8"/>
      <c r="Q350" s="8"/>
      <c r="R350" s="13"/>
    </row>
    <row r="351" spans="1:18" x14ac:dyDescent="0.4">
      <c r="A351" s="5"/>
      <c r="B351" s="5"/>
      <c r="C351" s="5"/>
      <c r="D351" s="6"/>
      <c r="E351" s="7"/>
      <c r="F351" s="7"/>
      <c r="G351" s="5"/>
      <c r="H351" s="6"/>
      <c r="I351" s="6"/>
      <c r="J351" s="6"/>
      <c r="K351" s="8"/>
      <c r="L351" s="9"/>
      <c r="M351" s="8"/>
      <c r="N351" s="10"/>
      <c r="O351" s="11"/>
      <c r="P351" s="8"/>
      <c r="Q351" s="8"/>
      <c r="R351" s="9"/>
    </row>
    <row r="352" spans="1:18" x14ac:dyDescent="0.4">
      <c r="A352" s="5"/>
      <c r="B352" s="5"/>
      <c r="C352" s="5"/>
      <c r="D352" s="6"/>
      <c r="E352" s="7"/>
      <c r="F352" s="7"/>
      <c r="G352" s="5"/>
      <c r="H352" s="6"/>
      <c r="I352" s="6"/>
      <c r="J352" s="6"/>
      <c r="K352" s="8"/>
      <c r="L352" s="9"/>
      <c r="M352" s="8"/>
      <c r="N352" s="10"/>
      <c r="O352" s="11"/>
      <c r="P352" s="8"/>
      <c r="Q352" s="8"/>
      <c r="R352" s="9"/>
    </row>
    <row r="353" spans="1:19" x14ac:dyDescent="0.4">
      <c r="A353" s="5"/>
      <c r="B353" s="5"/>
      <c r="C353" s="5"/>
      <c r="D353" s="6"/>
      <c r="E353" s="7"/>
      <c r="F353" s="7"/>
      <c r="G353" s="5"/>
      <c r="H353" s="6"/>
      <c r="I353" s="6"/>
      <c r="J353" s="6"/>
      <c r="K353" s="8"/>
      <c r="L353" s="9"/>
      <c r="M353" s="8"/>
      <c r="N353" s="10"/>
      <c r="O353" s="11"/>
      <c r="P353" s="8"/>
      <c r="Q353" s="8"/>
      <c r="R353" s="9"/>
      <c r="S353" s="17"/>
    </row>
    <row r="354" spans="1:19" x14ac:dyDescent="0.4">
      <c r="A354" s="5"/>
      <c r="B354" s="5"/>
      <c r="C354" s="5"/>
      <c r="D354" s="6"/>
      <c r="E354" s="7"/>
      <c r="F354" s="7"/>
      <c r="G354" s="5"/>
      <c r="H354" s="6"/>
      <c r="I354" s="6"/>
      <c r="J354" s="6"/>
      <c r="K354" s="8"/>
      <c r="L354" s="9"/>
      <c r="M354" s="8"/>
      <c r="N354" s="10"/>
      <c r="O354" s="11"/>
      <c r="P354" s="8"/>
      <c r="Q354" s="8"/>
      <c r="R354" s="9"/>
    </row>
    <row r="355" spans="1:19" x14ac:dyDescent="0.4">
      <c r="A355" s="5"/>
      <c r="B355" s="5"/>
      <c r="C355" s="5"/>
      <c r="D355" s="6"/>
      <c r="E355" s="7"/>
      <c r="F355" s="7"/>
      <c r="G355" s="5"/>
      <c r="H355" s="6"/>
      <c r="I355" s="6"/>
      <c r="J355" s="6"/>
      <c r="K355" s="8"/>
      <c r="L355" s="9"/>
      <c r="M355" s="8"/>
      <c r="N355" s="10"/>
      <c r="O355" s="11"/>
      <c r="P355" s="8"/>
      <c r="Q355" s="8"/>
      <c r="R355" s="9"/>
    </row>
    <row r="356" spans="1:19" x14ac:dyDescent="0.4">
      <c r="A356" s="5"/>
      <c r="B356" s="5"/>
      <c r="C356" s="5"/>
      <c r="D356" s="6"/>
      <c r="E356" s="7"/>
      <c r="F356" s="7"/>
      <c r="G356" s="5"/>
      <c r="H356" s="6"/>
      <c r="I356" s="6"/>
      <c r="J356" s="6"/>
      <c r="K356" s="8"/>
      <c r="L356" s="9"/>
      <c r="M356" s="8"/>
      <c r="N356" s="10"/>
      <c r="O356" s="11"/>
      <c r="P356" s="8"/>
      <c r="Q356" s="8"/>
      <c r="R356" s="8"/>
    </row>
    <row r="357" spans="1:19" x14ac:dyDescent="0.4">
      <c r="A357" s="5"/>
      <c r="B357" s="5"/>
      <c r="C357" s="5"/>
      <c r="D357" s="6"/>
      <c r="E357" s="7"/>
      <c r="F357" s="7"/>
      <c r="G357" s="5"/>
      <c r="H357" s="6"/>
      <c r="I357" s="6"/>
      <c r="J357" s="6"/>
      <c r="K357" s="8"/>
      <c r="L357" s="9"/>
      <c r="M357" s="8"/>
      <c r="N357" s="10"/>
      <c r="O357" s="11"/>
      <c r="P357" s="8"/>
      <c r="Q357" s="8"/>
      <c r="R357" s="8"/>
    </row>
    <row r="358" spans="1:19" x14ac:dyDescent="0.4">
      <c r="A358" s="5"/>
      <c r="B358" s="5"/>
      <c r="C358" s="5"/>
      <c r="D358" s="6"/>
      <c r="E358" s="7"/>
      <c r="F358" s="7"/>
      <c r="G358" s="5"/>
      <c r="H358" s="6"/>
      <c r="I358" s="6"/>
      <c r="J358" s="6"/>
      <c r="K358" s="8"/>
      <c r="L358" s="9"/>
      <c r="M358" s="8"/>
      <c r="N358" s="10"/>
      <c r="O358" s="11"/>
      <c r="P358" s="8"/>
      <c r="Q358" s="8"/>
      <c r="R358" s="8"/>
    </row>
    <row r="359" spans="1:19" x14ac:dyDescent="0.4">
      <c r="A359" s="5"/>
      <c r="B359" s="5"/>
      <c r="C359" s="5"/>
      <c r="D359" s="6"/>
      <c r="E359" s="7"/>
      <c r="F359" s="7"/>
      <c r="G359" s="5"/>
      <c r="H359" s="6"/>
      <c r="I359" s="6"/>
      <c r="J359" s="6"/>
      <c r="K359" s="8"/>
      <c r="L359" s="9"/>
      <c r="M359" s="8"/>
      <c r="N359" s="10"/>
      <c r="O359" s="11"/>
      <c r="P359" s="8"/>
      <c r="Q359" s="8"/>
      <c r="R359" s="8"/>
    </row>
    <row r="360" spans="1:19" x14ac:dyDescent="0.4">
      <c r="A360" s="5"/>
      <c r="B360" s="5"/>
      <c r="C360" s="5"/>
      <c r="D360" s="6"/>
      <c r="E360" s="7"/>
      <c r="F360" s="7"/>
      <c r="G360" s="5"/>
      <c r="H360" s="6"/>
      <c r="I360" s="6"/>
      <c r="J360" s="6"/>
      <c r="K360" s="8"/>
      <c r="L360" s="9"/>
      <c r="M360" s="8"/>
      <c r="N360" s="10"/>
      <c r="O360" s="11"/>
      <c r="P360" s="8"/>
      <c r="Q360" s="8"/>
      <c r="R360" s="14"/>
    </row>
    <row r="361" spans="1:19" x14ac:dyDescent="0.4">
      <c r="A361" s="5"/>
      <c r="B361" s="5"/>
      <c r="C361" s="5"/>
      <c r="D361" s="6"/>
      <c r="E361" s="7"/>
      <c r="F361" s="7"/>
      <c r="G361" s="5"/>
      <c r="H361" s="6"/>
      <c r="I361" s="6"/>
      <c r="J361" s="6"/>
      <c r="K361" s="8"/>
      <c r="L361" s="9"/>
      <c r="M361" s="8"/>
      <c r="N361" s="10"/>
      <c r="O361" s="11"/>
      <c r="P361" s="8"/>
      <c r="Q361" s="8"/>
      <c r="R361" s="13"/>
    </row>
    <row r="362" spans="1:19" x14ac:dyDescent="0.4">
      <c r="A362" s="5"/>
      <c r="B362" s="5"/>
      <c r="C362" s="5"/>
      <c r="D362" s="6"/>
      <c r="E362" s="7"/>
      <c r="F362" s="7"/>
      <c r="G362" s="5"/>
      <c r="H362" s="6"/>
      <c r="I362" s="6"/>
      <c r="J362" s="6"/>
      <c r="K362" s="8"/>
      <c r="L362" s="9"/>
      <c r="M362" s="8"/>
      <c r="N362" s="10"/>
      <c r="O362" s="11"/>
      <c r="P362" s="8"/>
      <c r="Q362" s="8"/>
      <c r="R362" s="13"/>
    </row>
    <row r="363" spans="1:19" x14ac:dyDescent="0.4">
      <c r="A363" s="5"/>
      <c r="B363" s="5"/>
      <c r="C363" s="5"/>
      <c r="D363" s="6"/>
      <c r="E363" s="7"/>
      <c r="F363" s="7"/>
      <c r="G363" s="5"/>
      <c r="H363" s="6"/>
      <c r="I363" s="6"/>
      <c r="J363" s="6"/>
      <c r="K363" s="8"/>
      <c r="L363" s="9"/>
      <c r="M363" s="8"/>
      <c r="N363" s="10"/>
      <c r="O363" s="11"/>
      <c r="P363" s="8"/>
      <c r="Q363" s="8"/>
      <c r="R363" s="13"/>
    </row>
    <row r="364" spans="1:19" x14ac:dyDescent="0.4">
      <c r="A364" s="5"/>
      <c r="B364" s="5"/>
      <c r="C364" s="5"/>
      <c r="D364" s="6"/>
      <c r="E364" s="7"/>
      <c r="F364" s="7"/>
      <c r="G364" s="5"/>
      <c r="H364" s="6"/>
      <c r="I364" s="6"/>
      <c r="J364" s="6"/>
      <c r="K364" s="8"/>
      <c r="L364" s="9"/>
      <c r="M364" s="8"/>
      <c r="N364" s="10"/>
      <c r="O364" s="11"/>
      <c r="P364" s="8"/>
      <c r="Q364" s="8"/>
      <c r="R364" s="13"/>
    </row>
    <row r="365" spans="1:19" x14ac:dyDescent="0.4">
      <c r="A365" s="5"/>
      <c r="B365" s="5"/>
      <c r="C365" s="5"/>
      <c r="D365" s="6"/>
      <c r="E365" s="7"/>
      <c r="F365" s="7"/>
      <c r="G365" s="5"/>
      <c r="H365" s="6"/>
      <c r="I365" s="6"/>
      <c r="J365" s="6"/>
      <c r="K365" s="8"/>
      <c r="L365" s="9"/>
      <c r="M365" s="8"/>
      <c r="N365" s="10"/>
      <c r="O365" s="11"/>
      <c r="P365" s="8"/>
      <c r="Q365" s="8"/>
      <c r="R365" s="13"/>
    </row>
    <row r="366" spans="1:19" x14ac:dyDescent="0.4">
      <c r="A366" s="5"/>
      <c r="B366" s="5"/>
      <c r="C366" s="5"/>
      <c r="D366" s="6"/>
      <c r="E366" s="7"/>
      <c r="F366" s="7"/>
      <c r="G366" s="5"/>
      <c r="H366" s="6"/>
      <c r="I366" s="6"/>
      <c r="J366" s="6"/>
      <c r="K366" s="8"/>
      <c r="L366" s="9"/>
      <c r="M366" s="8"/>
      <c r="N366" s="10"/>
      <c r="O366" s="11"/>
      <c r="P366" s="8"/>
      <c r="Q366" s="8"/>
      <c r="R366" s="9"/>
    </row>
    <row r="367" spans="1:19" x14ac:dyDescent="0.4">
      <c r="A367" s="5"/>
      <c r="B367" s="5"/>
      <c r="C367" s="5"/>
      <c r="D367" s="6"/>
      <c r="E367" s="7"/>
      <c r="F367" s="7"/>
      <c r="G367" s="5"/>
      <c r="H367" s="6"/>
      <c r="I367" s="6"/>
      <c r="J367" s="6"/>
      <c r="K367" s="8"/>
      <c r="L367" s="9"/>
      <c r="M367" s="8"/>
      <c r="N367" s="10"/>
      <c r="O367" s="11"/>
      <c r="P367" s="8"/>
      <c r="Q367" s="8"/>
      <c r="R367" s="13"/>
    </row>
    <row r="368" spans="1:19" x14ac:dyDescent="0.4">
      <c r="A368" s="5"/>
      <c r="B368" s="5"/>
      <c r="C368" s="5"/>
      <c r="D368" s="6"/>
      <c r="E368" s="7"/>
      <c r="F368" s="7"/>
      <c r="G368" s="5"/>
      <c r="H368" s="6"/>
      <c r="I368" s="6"/>
      <c r="J368" s="6"/>
      <c r="K368" s="8"/>
      <c r="L368" s="9"/>
      <c r="M368" s="8"/>
      <c r="N368" s="10"/>
      <c r="O368" s="11"/>
      <c r="P368" s="8"/>
      <c r="Q368" s="8"/>
      <c r="R368" s="9"/>
    </row>
    <row r="369" spans="1:18" x14ac:dyDescent="0.4">
      <c r="A369" s="5"/>
      <c r="B369" s="5"/>
      <c r="C369" s="5"/>
      <c r="D369" s="6"/>
      <c r="E369" s="7"/>
      <c r="F369" s="7"/>
      <c r="G369" s="5"/>
      <c r="H369" s="6"/>
      <c r="I369" s="6"/>
      <c r="J369" s="6"/>
      <c r="K369" s="8"/>
      <c r="L369" s="9"/>
      <c r="M369" s="8"/>
      <c r="N369" s="10"/>
      <c r="O369" s="11"/>
      <c r="P369" s="8"/>
      <c r="Q369" s="8"/>
      <c r="R369" s="9"/>
    </row>
    <row r="370" spans="1:18" x14ac:dyDescent="0.4">
      <c r="A370" s="5"/>
      <c r="B370" s="5"/>
      <c r="C370" s="5"/>
      <c r="D370" s="6"/>
      <c r="E370" s="7"/>
      <c r="F370" s="7"/>
      <c r="G370" s="5"/>
      <c r="H370" s="6"/>
      <c r="I370" s="6"/>
      <c r="J370" s="6"/>
      <c r="K370" s="8"/>
      <c r="L370" s="9"/>
      <c r="M370" s="8"/>
      <c r="N370" s="10"/>
      <c r="O370" s="11"/>
      <c r="P370" s="8"/>
      <c r="Q370" s="8"/>
      <c r="R370" s="9"/>
    </row>
    <row r="371" spans="1:18" x14ac:dyDescent="0.4">
      <c r="A371" s="5"/>
      <c r="B371" s="5"/>
      <c r="C371" s="5"/>
      <c r="D371" s="6"/>
      <c r="E371" s="7"/>
      <c r="F371" s="7"/>
      <c r="G371" s="5"/>
      <c r="H371" s="6"/>
      <c r="I371" s="6"/>
      <c r="J371" s="6"/>
      <c r="K371" s="8"/>
      <c r="L371" s="9"/>
      <c r="M371" s="8"/>
      <c r="N371" s="10"/>
      <c r="O371" s="11"/>
      <c r="P371" s="8"/>
      <c r="Q371" s="8"/>
      <c r="R371" s="9"/>
    </row>
    <row r="372" spans="1:18" x14ac:dyDescent="0.4">
      <c r="A372" s="5"/>
      <c r="B372" s="5"/>
      <c r="C372" s="5"/>
      <c r="D372" s="6"/>
      <c r="E372" s="7"/>
      <c r="F372" s="7"/>
      <c r="G372" s="5"/>
      <c r="H372" s="6"/>
      <c r="I372" s="6"/>
      <c r="J372" s="6"/>
      <c r="K372" s="8"/>
      <c r="L372" s="9"/>
      <c r="M372" s="8"/>
      <c r="N372" s="10"/>
      <c r="O372" s="11"/>
      <c r="P372" s="8"/>
      <c r="Q372" s="8"/>
      <c r="R372" s="9"/>
    </row>
    <row r="373" spans="1:18" x14ac:dyDescent="0.4">
      <c r="A373" s="5"/>
      <c r="B373" s="5"/>
      <c r="C373" s="5"/>
      <c r="D373" s="6"/>
      <c r="E373" s="7"/>
      <c r="F373" s="7"/>
      <c r="G373" s="5"/>
      <c r="H373" s="6"/>
      <c r="I373" s="6"/>
      <c r="J373" s="6"/>
      <c r="K373" s="8"/>
      <c r="L373" s="9"/>
      <c r="M373" s="8"/>
      <c r="N373" s="10"/>
      <c r="O373" s="11"/>
      <c r="P373" s="8"/>
      <c r="Q373" s="8"/>
      <c r="R373" s="9"/>
    </row>
    <row r="374" spans="1:18" x14ac:dyDescent="0.4">
      <c r="A374" s="5"/>
      <c r="B374" s="5"/>
      <c r="C374" s="5"/>
      <c r="D374" s="6"/>
      <c r="E374" s="7"/>
      <c r="F374" s="7"/>
      <c r="G374" s="5"/>
      <c r="H374" s="6"/>
      <c r="I374" s="6"/>
      <c r="J374" s="6"/>
      <c r="K374" s="8"/>
      <c r="L374" s="9"/>
      <c r="M374" s="8"/>
      <c r="N374" s="10"/>
      <c r="O374" s="11"/>
      <c r="P374" s="8"/>
      <c r="Q374" s="8"/>
      <c r="R374" s="9"/>
    </row>
    <row r="375" spans="1:18" x14ac:dyDescent="0.4">
      <c r="A375" s="5"/>
      <c r="B375" s="5"/>
      <c r="C375" s="5"/>
      <c r="D375" s="6"/>
      <c r="E375" s="7"/>
      <c r="F375" s="7"/>
      <c r="G375" s="5"/>
      <c r="H375" s="6"/>
      <c r="I375" s="6"/>
      <c r="J375" s="6"/>
      <c r="K375" s="8"/>
      <c r="L375" s="9"/>
      <c r="M375" s="8"/>
      <c r="N375" s="10"/>
      <c r="O375" s="11"/>
      <c r="P375" s="8"/>
      <c r="Q375" s="8"/>
      <c r="R375" s="9"/>
    </row>
    <row r="376" spans="1:18" x14ac:dyDescent="0.4">
      <c r="A376" s="5"/>
      <c r="B376" s="5"/>
      <c r="C376" s="5"/>
      <c r="D376" s="6"/>
      <c r="E376" s="7"/>
      <c r="F376" s="7"/>
      <c r="G376" s="5"/>
      <c r="H376" s="6"/>
      <c r="I376" s="6"/>
      <c r="J376" s="6"/>
      <c r="K376" s="8"/>
      <c r="L376" s="9"/>
      <c r="M376" s="8"/>
      <c r="N376" s="10"/>
      <c r="O376" s="11"/>
      <c r="P376" s="8"/>
      <c r="Q376" s="8"/>
      <c r="R376" s="9"/>
    </row>
    <row r="377" spans="1:18" x14ac:dyDescent="0.4">
      <c r="A377" s="5"/>
      <c r="B377" s="5"/>
      <c r="C377" s="5"/>
      <c r="D377" s="6"/>
      <c r="E377" s="7"/>
      <c r="F377" s="7"/>
      <c r="G377" s="5"/>
      <c r="H377" s="6"/>
      <c r="I377" s="6"/>
      <c r="J377" s="6"/>
      <c r="K377" s="8"/>
      <c r="L377" s="9"/>
      <c r="M377" s="8"/>
      <c r="N377" s="10"/>
      <c r="O377" s="11"/>
      <c r="P377" s="8"/>
      <c r="Q377" s="8"/>
      <c r="R377" s="9"/>
    </row>
    <row r="378" spans="1:18" x14ac:dyDescent="0.4">
      <c r="A378" s="5"/>
      <c r="B378" s="5"/>
      <c r="C378" s="5"/>
      <c r="D378" s="6"/>
      <c r="E378" s="7"/>
      <c r="F378" s="7"/>
      <c r="G378" s="5"/>
      <c r="H378" s="6"/>
      <c r="I378" s="6"/>
      <c r="J378" s="6"/>
      <c r="K378" s="8"/>
      <c r="L378" s="9"/>
      <c r="M378" s="8"/>
      <c r="N378" s="10"/>
      <c r="O378" s="11"/>
      <c r="P378" s="8"/>
      <c r="Q378" s="8"/>
      <c r="R378" s="9"/>
    </row>
    <row r="379" spans="1:18" x14ac:dyDescent="0.4">
      <c r="A379" s="5"/>
      <c r="B379" s="5"/>
      <c r="C379" s="5"/>
      <c r="D379" s="6"/>
      <c r="E379" s="7"/>
      <c r="F379" s="7"/>
      <c r="G379" s="5"/>
      <c r="H379" s="6"/>
      <c r="I379" s="6"/>
      <c r="J379" s="6"/>
      <c r="K379" s="8"/>
      <c r="L379" s="9"/>
      <c r="M379" s="8"/>
      <c r="N379" s="10"/>
      <c r="O379" s="11"/>
      <c r="P379" s="8"/>
      <c r="Q379" s="8"/>
      <c r="R379" s="9"/>
    </row>
    <row r="380" spans="1:18" x14ac:dyDescent="0.4">
      <c r="A380" s="5"/>
      <c r="B380" s="5"/>
      <c r="C380" s="5"/>
      <c r="D380" s="6"/>
      <c r="E380" s="7"/>
      <c r="F380" s="7"/>
      <c r="G380" s="5"/>
      <c r="H380" s="6"/>
      <c r="I380" s="6"/>
      <c r="J380" s="6"/>
      <c r="K380" s="8"/>
      <c r="L380" s="9"/>
      <c r="M380" s="8"/>
      <c r="N380" s="10"/>
      <c r="O380" s="11"/>
      <c r="P380" s="8"/>
      <c r="Q380" s="8"/>
      <c r="R380" s="9"/>
    </row>
    <row r="381" spans="1:18" x14ac:dyDescent="0.4">
      <c r="A381" s="5"/>
      <c r="B381" s="5"/>
      <c r="C381" s="5"/>
      <c r="D381" s="6"/>
      <c r="E381" s="7"/>
      <c r="F381" s="7"/>
      <c r="G381" s="5"/>
      <c r="H381" s="6"/>
      <c r="I381" s="6"/>
      <c r="J381" s="6"/>
      <c r="K381" s="8"/>
      <c r="L381" s="9"/>
      <c r="M381" s="8"/>
      <c r="N381" s="10"/>
      <c r="O381" s="11"/>
      <c r="P381" s="8"/>
      <c r="Q381" s="8"/>
      <c r="R381" s="9"/>
    </row>
    <row r="382" spans="1:18" x14ac:dyDescent="0.4">
      <c r="A382" s="5"/>
      <c r="B382" s="5"/>
      <c r="C382" s="5"/>
      <c r="D382" s="6"/>
      <c r="E382" s="7"/>
      <c r="F382" s="7"/>
      <c r="G382" s="5"/>
      <c r="H382" s="6"/>
      <c r="I382" s="6"/>
      <c r="J382" s="6"/>
      <c r="K382" s="8"/>
      <c r="L382" s="9"/>
      <c r="M382" s="8"/>
      <c r="N382" s="10"/>
      <c r="O382" s="11"/>
      <c r="P382" s="8"/>
      <c r="Q382" s="8"/>
      <c r="R382" s="9"/>
    </row>
    <row r="383" spans="1:18" x14ac:dyDescent="0.4">
      <c r="A383" s="5"/>
      <c r="B383" s="5"/>
      <c r="C383" s="5"/>
      <c r="D383" s="6"/>
      <c r="E383" s="7"/>
      <c r="F383" s="7"/>
      <c r="G383" s="5"/>
      <c r="H383" s="6"/>
      <c r="I383" s="6"/>
      <c r="J383" s="6"/>
      <c r="K383" s="8"/>
      <c r="L383" s="9"/>
      <c r="M383" s="8"/>
      <c r="N383" s="10"/>
      <c r="O383" s="11"/>
      <c r="P383" s="8"/>
      <c r="Q383" s="8"/>
      <c r="R383" s="9"/>
    </row>
    <row r="384" spans="1:18" x14ac:dyDescent="0.4">
      <c r="A384" s="5"/>
      <c r="B384" s="5"/>
      <c r="C384" s="5"/>
      <c r="D384" s="6"/>
      <c r="E384" s="7"/>
      <c r="F384" s="7"/>
      <c r="G384" s="5"/>
      <c r="H384" s="6"/>
      <c r="I384" s="6"/>
      <c r="J384" s="6"/>
      <c r="K384" s="8"/>
      <c r="L384" s="9"/>
      <c r="M384" s="8"/>
      <c r="N384" s="10"/>
      <c r="O384" s="11"/>
      <c r="P384" s="8"/>
      <c r="Q384" s="8"/>
      <c r="R384" s="9"/>
    </row>
    <row r="385" spans="1:18" x14ac:dyDescent="0.4">
      <c r="A385" s="5"/>
      <c r="B385" s="5"/>
      <c r="C385" s="5"/>
      <c r="D385" s="6"/>
      <c r="E385" s="7"/>
      <c r="F385" s="7"/>
      <c r="G385" s="5"/>
      <c r="H385" s="6"/>
      <c r="I385" s="6"/>
      <c r="J385" s="6"/>
      <c r="K385" s="8"/>
      <c r="L385" s="9"/>
      <c r="M385" s="8"/>
      <c r="N385" s="10"/>
      <c r="O385" s="11"/>
      <c r="P385" s="8"/>
      <c r="Q385" s="8"/>
      <c r="R385" s="9"/>
    </row>
    <row r="386" spans="1:18" x14ac:dyDescent="0.4">
      <c r="A386" s="5"/>
      <c r="B386" s="5"/>
      <c r="C386" s="5"/>
      <c r="D386" s="6"/>
      <c r="E386" s="7"/>
      <c r="F386" s="7"/>
      <c r="G386" s="5"/>
      <c r="H386" s="6"/>
      <c r="I386" s="6"/>
      <c r="J386" s="6"/>
      <c r="K386" s="8"/>
      <c r="L386" s="9"/>
      <c r="M386" s="8"/>
      <c r="N386" s="10"/>
      <c r="O386" s="11"/>
      <c r="P386" s="8"/>
      <c r="Q386" s="8"/>
      <c r="R386" s="9"/>
    </row>
    <row r="387" spans="1:18" x14ac:dyDescent="0.4">
      <c r="A387" s="5"/>
      <c r="B387" s="5"/>
      <c r="C387" s="5"/>
      <c r="D387" s="6"/>
      <c r="E387" s="7"/>
      <c r="F387" s="7"/>
      <c r="G387" s="5"/>
      <c r="H387" s="6"/>
      <c r="I387" s="6"/>
      <c r="J387" s="6"/>
      <c r="K387" s="8"/>
      <c r="L387" s="9"/>
      <c r="M387" s="8"/>
      <c r="N387" s="10"/>
      <c r="O387" s="11"/>
      <c r="P387" s="8"/>
      <c r="Q387" s="8"/>
      <c r="R387" s="9"/>
    </row>
    <row r="388" spans="1:18" x14ac:dyDescent="0.4">
      <c r="A388" s="5"/>
      <c r="B388" s="5"/>
      <c r="C388" s="5"/>
      <c r="D388" s="6"/>
      <c r="E388" s="7"/>
      <c r="F388" s="7"/>
      <c r="G388" s="5"/>
      <c r="H388" s="6"/>
      <c r="I388" s="6"/>
      <c r="J388" s="6"/>
      <c r="K388" s="8"/>
      <c r="L388" s="9"/>
      <c r="M388" s="8"/>
      <c r="N388" s="10"/>
      <c r="O388" s="11"/>
      <c r="P388" s="8"/>
      <c r="Q388" s="8"/>
      <c r="R388" s="9"/>
    </row>
    <row r="389" spans="1:18" x14ac:dyDescent="0.4">
      <c r="A389" s="5"/>
      <c r="B389" s="5"/>
      <c r="C389" s="5"/>
      <c r="D389" s="6"/>
      <c r="E389" s="7"/>
      <c r="F389" s="7"/>
      <c r="G389" s="5"/>
      <c r="H389" s="6"/>
      <c r="I389" s="6"/>
      <c r="J389" s="6"/>
      <c r="K389" s="8"/>
      <c r="L389" s="9"/>
      <c r="M389" s="8"/>
      <c r="N389" s="10"/>
      <c r="O389" s="11"/>
      <c r="P389" s="8"/>
      <c r="Q389" s="8"/>
      <c r="R389" s="9"/>
    </row>
    <row r="390" spans="1:18" x14ac:dyDescent="0.4">
      <c r="A390" s="5"/>
      <c r="B390" s="5"/>
      <c r="C390" s="5"/>
      <c r="D390" s="6"/>
      <c r="E390" s="7"/>
      <c r="F390" s="7"/>
      <c r="G390" s="5"/>
      <c r="H390" s="6"/>
      <c r="I390" s="6"/>
      <c r="J390" s="6"/>
      <c r="K390" s="8"/>
      <c r="L390" s="9"/>
      <c r="M390" s="8"/>
      <c r="N390" s="10"/>
      <c r="O390" s="11"/>
      <c r="P390" s="8"/>
      <c r="Q390" s="8"/>
      <c r="R390" s="9"/>
    </row>
    <row r="391" spans="1:18" x14ac:dyDescent="0.4">
      <c r="A391" s="5"/>
      <c r="B391" s="5"/>
      <c r="C391" s="5"/>
      <c r="D391" s="6"/>
      <c r="E391" s="7"/>
      <c r="F391" s="7"/>
      <c r="G391" s="5"/>
      <c r="H391" s="6"/>
      <c r="I391" s="6"/>
      <c r="J391" s="6"/>
      <c r="K391" s="8"/>
      <c r="L391" s="9"/>
      <c r="M391" s="8"/>
      <c r="N391" s="10"/>
      <c r="O391" s="11"/>
      <c r="P391" s="8"/>
      <c r="Q391" s="8"/>
      <c r="R391" s="9"/>
    </row>
    <row r="392" spans="1:18" x14ac:dyDescent="0.4">
      <c r="A392" s="5"/>
      <c r="B392" s="5"/>
      <c r="C392" s="5"/>
      <c r="D392" s="6"/>
      <c r="E392" s="7"/>
      <c r="F392" s="7"/>
      <c r="G392" s="5"/>
      <c r="H392" s="6"/>
      <c r="I392" s="6"/>
      <c r="J392" s="6"/>
      <c r="K392" s="8"/>
      <c r="L392" s="9"/>
      <c r="M392" s="8"/>
      <c r="N392" s="10"/>
      <c r="O392" s="11"/>
      <c r="P392" s="8"/>
      <c r="Q392" s="8"/>
      <c r="R392" s="9"/>
    </row>
    <row r="393" spans="1:18" x14ac:dyDescent="0.4">
      <c r="A393" s="5"/>
      <c r="B393" s="5"/>
      <c r="C393" s="5"/>
      <c r="D393" s="6"/>
      <c r="E393" s="7"/>
      <c r="F393" s="7"/>
      <c r="G393" s="5"/>
      <c r="H393" s="6"/>
      <c r="I393" s="6"/>
      <c r="J393" s="6"/>
      <c r="K393" s="8"/>
      <c r="L393" s="9"/>
      <c r="M393" s="8"/>
      <c r="N393" s="10"/>
      <c r="O393" s="11"/>
      <c r="P393" s="8"/>
      <c r="Q393" s="8"/>
      <c r="R393" s="9"/>
    </row>
    <row r="394" spans="1:18" x14ac:dyDescent="0.4">
      <c r="A394" s="5"/>
      <c r="B394" s="5"/>
      <c r="C394" s="5"/>
      <c r="D394" s="6"/>
      <c r="E394" s="7"/>
      <c r="F394" s="7"/>
      <c r="G394" s="5"/>
      <c r="H394" s="6"/>
      <c r="I394" s="6"/>
      <c r="J394" s="6"/>
      <c r="K394" s="8"/>
      <c r="L394" s="9"/>
      <c r="M394" s="8"/>
      <c r="N394" s="10"/>
      <c r="O394" s="11"/>
      <c r="P394" s="8"/>
      <c r="Q394" s="8"/>
      <c r="R394" s="9"/>
    </row>
    <row r="395" spans="1:18" x14ac:dyDescent="0.4">
      <c r="A395" s="5"/>
      <c r="B395" s="5"/>
      <c r="C395" s="5"/>
      <c r="D395" s="6"/>
      <c r="E395" s="7"/>
      <c r="F395" s="7"/>
      <c r="G395" s="5"/>
      <c r="H395" s="6"/>
      <c r="I395" s="6"/>
      <c r="J395" s="6"/>
      <c r="K395" s="8"/>
      <c r="L395" s="9"/>
      <c r="M395" s="8"/>
      <c r="N395" s="10"/>
      <c r="O395" s="11"/>
      <c r="P395" s="8"/>
      <c r="Q395" s="8"/>
      <c r="R395" s="9"/>
    </row>
    <row r="396" spans="1:18" x14ac:dyDescent="0.4">
      <c r="A396" s="5"/>
      <c r="B396" s="5"/>
      <c r="C396" s="5"/>
      <c r="D396" s="6"/>
      <c r="E396" s="7"/>
      <c r="F396" s="7"/>
      <c r="G396" s="5"/>
      <c r="H396" s="6"/>
      <c r="I396" s="6"/>
      <c r="J396" s="6"/>
      <c r="K396" s="8"/>
      <c r="L396" s="9"/>
      <c r="M396" s="8"/>
      <c r="N396" s="10"/>
      <c r="O396" s="11"/>
      <c r="P396" s="8"/>
      <c r="Q396" s="8"/>
      <c r="R396" s="9"/>
    </row>
    <row r="397" spans="1:18" x14ac:dyDescent="0.4">
      <c r="A397" s="5"/>
      <c r="B397" s="5"/>
      <c r="C397" s="5"/>
      <c r="D397" s="6"/>
      <c r="E397" s="7"/>
      <c r="F397" s="7"/>
      <c r="G397" s="5"/>
      <c r="H397" s="6"/>
      <c r="I397" s="6"/>
      <c r="J397" s="6"/>
      <c r="K397" s="8"/>
      <c r="L397" s="9"/>
      <c r="M397" s="8"/>
      <c r="N397" s="10"/>
      <c r="O397" s="11"/>
      <c r="P397" s="8"/>
      <c r="Q397" s="8"/>
      <c r="R397" s="14"/>
    </row>
    <row r="398" spans="1:18" x14ac:dyDescent="0.4">
      <c r="A398" s="5"/>
      <c r="B398" s="5"/>
      <c r="C398" s="5"/>
      <c r="D398" s="6"/>
      <c r="E398" s="7"/>
      <c r="F398" s="7"/>
      <c r="G398" s="5"/>
      <c r="H398" s="6"/>
      <c r="I398" s="6"/>
      <c r="J398" s="6"/>
      <c r="K398" s="8"/>
      <c r="L398" s="9"/>
      <c r="M398" s="8"/>
      <c r="N398" s="10"/>
      <c r="O398" s="11"/>
      <c r="P398" s="8"/>
      <c r="Q398" s="8"/>
      <c r="R398" s="13"/>
    </row>
    <row r="399" spans="1:18" x14ac:dyDescent="0.4">
      <c r="A399" s="5"/>
      <c r="B399" s="5"/>
      <c r="C399" s="5"/>
      <c r="D399" s="6"/>
      <c r="E399" s="7"/>
      <c r="F399" s="7"/>
      <c r="G399" s="5"/>
      <c r="H399" s="6"/>
      <c r="I399" s="6"/>
      <c r="J399" s="6"/>
      <c r="K399" s="8"/>
      <c r="L399" s="9"/>
      <c r="M399" s="8"/>
      <c r="N399" s="10"/>
      <c r="O399" s="11"/>
      <c r="P399" s="8"/>
      <c r="Q399" s="8"/>
      <c r="R399" s="13"/>
    </row>
    <row r="400" spans="1:18" x14ac:dyDescent="0.4">
      <c r="A400" s="5"/>
      <c r="B400" s="5"/>
      <c r="C400" s="5"/>
      <c r="D400" s="6"/>
      <c r="E400" s="7"/>
      <c r="F400" s="7"/>
      <c r="G400" s="5"/>
      <c r="H400" s="6"/>
      <c r="I400" s="6"/>
      <c r="J400" s="6"/>
      <c r="K400" s="8"/>
      <c r="L400" s="9"/>
      <c r="M400" s="8"/>
      <c r="N400" s="10"/>
      <c r="O400" s="11"/>
      <c r="P400" s="8"/>
      <c r="Q400" s="8"/>
      <c r="R400" s="13"/>
    </row>
    <row r="401" spans="1:18" x14ac:dyDescent="0.4">
      <c r="A401" s="5"/>
      <c r="B401" s="5"/>
      <c r="C401" s="5"/>
      <c r="D401" s="6"/>
      <c r="E401" s="7"/>
      <c r="F401" s="7"/>
      <c r="G401" s="5"/>
      <c r="H401" s="6"/>
      <c r="I401" s="6"/>
      <c r="J401" s="6"/>
      <c r="K401" s="8"/>
      <c r="L401" s="9"/>
      <c r="M401" s="8"/>
      <c r="N401" s="10"/>
      <c r="O401" s="11"/>
      <c r="P401" s="8"/>
      <c r="Q401" s="8"/>
      <c r="R401" s="13"/>
    </row>
    <row r="402" spans="1:18" x14ac:dyDescent="0.4">
      <c r="A402" s="5"/>
      <c r="B402" s="5"/>
      <c r="C402" s="5"/>
      <c r="D402" s="6"/>
      <c r="E402" s="7"/>
      <c r="F402" s="7"/>
      <c r="G402" s="5"/>
      <c r="H402" s="6"/>
      <c r="I402" s="6"/>
      <c r="J402" s="6"/>
      <c r="K402" s="8"/>
      <c r="L402" s="9"/>
      <c r="M402" s="8"/>
      <c r="N402" s="10"/>
      <c r="O402" s="11"/>
      <c r="P402" s="8"/>
      <c r="Q402" s="8"/>
      <c r="R402" s="13"/>
    </row>
    <row r="403" spans="1:18" x14ac:dyDescent="0.4">
      <c r="A403" s="5"/>
      <c r="B403" s="5"/>
      <c r="C403" s="5"/>
      <c r="D403" s="6"/>
      <c r="E403" s="7"/>
      <c r="F403" s="7"/>
      <c r="G403" s="5"/>
      <c r="H403" s="6"/>
      <c r="I403" s="6"/>
      <c r="J403" s="6"/>
      <c r="K403" s="8"/>
      <c r="L403" s="9"/>
      <c r="M403" s="8"/>
      <c r="N403" s="10"/>
      <c r="O403" s="11"/>
      <c r="P403" s="8"/>
      <c r="Q403" s="8"/>
      <c r="R403" s="13"/>
    </row>
    <row r="404" spans="1:18" x14ac:dyDescent="0.4">
      <c r="A404" s="5"/>
      <c r="B404" s="5"/>
      <c r="C404" s="5"/>
      <c r="D404" s="6"/>
      <c r="E404" s="7"/>
      <c r="F404" s="7"/>
      <c r="G404" s="5"/>
      <c r="H404" s="6"/>
      <c r="I404" s="6"/>
      <c r="J404" s="6"/>
      <c r="K404" s="8"/>
      <c r="L404" s="9"/>
      <c r="M404" s="8"/>
      <c r="N404" s="10"/>
      <c r="O404" s="11"/>
      <c r="P404" s="8"/>
      <c r="Q404" s="8"/>
      <c r="R404" s="13"/>
    </row>
    <row r="405" spans="1:18" x14ac:dyDescent="0.4">
      <c r="A405" s="5"/>
      <c r="B405" s="5"/>
      <c r="C405" s="5"/>
      <c r="D405" s="6"/>
      <c r="E405" s="7"/>
      <c r="F405" s="7"/>
      <c r="G405" s="5"/>
      <c r="H405" s="6"/>
      <c r="I405" s="6"/>
      <c r="J405" s="6"/>
      <c r="K405" s="8"/>
      <c r="L405" s="9"/>
      <c r="M405" s="8"/>
      <c r="N405" s="10"/>
      <c r="O405" s="11"/>
      <c r="P405" s="8"/>
      <c r="Q405" s="8"/>
      <c r="R405" s="13"/>
    </row>
    <row r="406" spans="1:18" x14ac:dyDescent="0.4">
      <c r="A406" s="5"/>
      <c r="B406" s="5"/>
      <c r="C406" s="5"/>
      <c r="D406" s="6"/>
      <c r="E406" s="7"/>
      <c r="F406" s="7"/>
      <c r="G406" s="5"/>
      <c r="H406" s="6"/>
      <c r="I406" s="6"/>
      <c r="J406" s="6"/>
      <c r="K406" s="8"/>
      <c r="L406" s="9"/>
      <c r="M406" s="8"/>
      <c r="N406" s="10"/>
      <c r="O406" s="11"/>
      <c r="P406" s="8"/>
      <c r="Q406" s="8"/>
      <c r="R406" s="13"/>
    </row>
    <row r="407" spans="1:18" x14ac:dyDescent="0.4">
      <c r="A407" s="5"/>
      <c r="B407" s="5"/>
      <c r="C407" s="5"/>
      <c r="D407" s="6"/>
      <c r="E407" s="7"/>
      <c r="F407" s="7"/>
      <c r="G407" s="5"/>
      <c r="H407" s="6"/>
      <c r="I407" s="6"/>
      <c r="J407" s="6"/>
      <c r="K407" s="8"/>
      <c r="L407" s="9"/>
      <c r="M407" s="8"/>
      <c r="N407" s="10"/>
      <c r="O407" s="11"/>
      <c r="P407" s="8"/>
      <c r="Q407" s="8"/>
      <c r="R407" s="13"/>
    </row>
    <row r="408" spans="1:18" x14ac:dyDescent="0.4">
      <c r="A408" s="5"/>
      <c r="B408" s="5"/>
      <c r="C408" s="5"/>
      <c r="D408" s="6"/>
      <c r="E408" s="7"/>
      <c r="F408" s="7"/>
      <c r="G408" s="5"/>
      <c r="H408" s="6"/>
      <c r="I408" s="6"/>
      <c r="J408" s="6"/>
      <c r="K408" s="8"/>
      <c r="L408" s="9"/>
      <c r="M408" s="8"/>
      <c r="N408" s="10"/>
      <c r="O408" s="11"/>
      <c r="P408" s="8"/>
      <c r="Q408" s="8"/>
      <c r="R408" s="13"/>
    </row>
    <row r="409" spans="1:18" x14ac:dyDescent="0.4">
      <c r="A409" s="5"/>
      <c r="B409" s="5"/>
      <c r="C409" s="5"/>
      <c r="D409" s="6"/>
      <c r="E409" s="7"/>
      <c r="F409" s="7"/>
      <c r="G409" s="5"/>
      <c r="H409" s="6"/>
      <c r="I409" s="6"/>
      <c r="J409" s="6"/>
      <c r="K409" s="8"/>
      <c r="L409" s="9"/>
      <c r="M409" s="8"/>
      <c r="N409" s="10"/>
      <c r="O409" s="11"/>
      <c r="P409" s="8"/>
      <c r="Q409" s="8"/>
      <c r="R409" s="9"/>
    </row>
    <row r="410" spans="1:18" x14ac:dyDescent="0.4">
      <c r="A410" s="5"/>
      <c r="B410" s="5"/>
      <c r="C410" s="5"/>
      <c r="D410" s="6"/>
      <c r="E410" s="7"/>
      <c r="F410" s="7"/>
      <c r="G410" s="5"/>
      <c r="H410" s="6"/>
      <c r="I410" s="6"/>
      <c r="J410" s="6"/>
      <c r="K410" s="8"/>
      <c r="L410" s="9"/>
      <c r="M410" s="8"/>
      <c r="N410" s="10"/>
      <c r="O410" s="11"/>
      <c r="P410" s="8"/>
      <c r="Q410" s="8"/>
      <c r="R410" s="9"/>
    </row>
    <row r="411" spans="1:18" x14ac:dyDescent="0.4">
      <c r="A411" s="5"/>
      <c r="B411" s="5"/>
      <c r="C411" s="5"/>
      <c r="D411" s="6"/>
      <c r="E411" s="7"/>
      <c r="F411" s="7"/>
      <c r="G411" s="5"/>
      <c r="H411" s="6"/>
      <c r="I411" s="6"/>
      <c r="J411" s="6"/>
      <c r="K411" s="8"/>
      <c r="L411" s="9"/>
      <c r="M411" s="8"/>
      <c r="N411" s="10"/>
      <c r="O411" s="11"/>
      <c r="P411" s="8"/>
      <c r="Q411" s="8"/>
      <c r="R411" s="9"/>
    </row>
    <row r="412" spans="1:18" x14ac:dyDescent="0.4">
      <c r="A412" s="5"/>
      <c r="B412" s="5"/>
      <c r="C412" s="5"/>
      <c r="D412" s="6"/>
      <c r="E412" s="7"/>
      <c r="F412" s="7"/>
      <c r="G412" s="5"/>
      <c r="H412" s="6"/>
      <c r="I412" s="6"/>
      <c r="J412" s="6"/>
      <c r="K412" s="8"/>
      <c r="L412" s="9"/>
      <c r="M412" s="8"/>
      <c r="N412" s="10"/>
      <c r="O412" s="11"/>
      <c r="P412" s="8"/>
      <c r="Q412" s="8"/>
      <c r="R412" s="9"/>
    </row>
    <row r="413" spans="1:18" x14ac:dyDescent="0.4">
      <c r="A413" s="5"/>
      <c r="B413" s="5"/>
      <c r="C413" s="5"/>
      <c r="D413" s="6"/>
      <c r="E413" s="7"/>
      <c r="F413" s="7"/>
      <c r="G413" s="5"/>
      <c r="H413" s="6"/>
      <c r="I413" s="6"/>
      <c r="J413" s="6"/>
      <c r="K413" s="8"/>
      <c r="L413" s="9"/>
      <c r="M413" s="8"/>
      <c r="N413" s="10"/>
      <c r="O413" s="11"/>
      <c r="P413" s="8"/>
      <c r="Q413" s="8"/>
      <c r="R413" s="9"/>
    </row>
    <row r="414" spans="1:18" x14ac:dyDescent="0.4">
      <c r="A414" s="5"/>
      <c r="B414" s="5"/>
      <c r="C414" s="5"/>
      <c r="D414" s="6"/>
      <c r="E414" s="7"/>
      <c r="F414" s="7"/>
      <c r="G414" s="5"/>
      <c r="H414" s="6"/>
      <c r="I414" s="6"/>
      <c r="J414" s="6"/>
      <c r="K414" s="8"/>
      <c r="L414" s="9"/>
      <c r="M414" s="8"/>
      <c r="N414" s="10"/>
      <c r="O414" s="11"/>
      <c r="P414" s="8"/>
      <c r="Q414" s="8"/>
      <c r="R414" s="9"/>
    </row>
    <row r="415" spans="1:18" x14ac:dyDescent="0.4">
      <c r="A415" s="5"/>
      <c r="B415" s="5"/>
      <c r="C415" s="5"/>
      <c r="D415" s="6"/>
      <c r="E415" s="7"/>
      <c r="F415" s="7"/>
      <c r="G415" s="5"/>
      <c r="H415" s="6"/>
      <c r="I415" s="6"/>
      <c r="J415" s="6"/>
      <c r="K415" s="8"/>
      <c r="L415" s="9"/>
      <c r="M415" s="8"/>
      <c r="N415" s="10"/>
      <c r="O415" s="11"/>
      <c r="P415" s="8"/>
      <c r="Q415" s="8"/>
      <c r="R415" s="9"/>
    </row>
    <row r="416" spans="1:18" x14ac:dyDescent="0.4">
      <c r="A416" s="5"/>
      <c r="B416" s="5"/>
      <c r="C416" s="5"/>
      <c r="D416" s="6"/>
      <c r="E416" s="7"/>
      <c r="F416" s="7"/>
      <c r="G416" s="5"/>
      <c r="H416" s="6"/>
      <c r="I416" s="6"/>
      <c r="J416" s="6"/>
      <c r="K416" s="8"/>
      <c r="L416" s="9"/>
      <c r="M416" s="8"/>
      <c r="N416" s="10"/>
      <c r="O416" s="11"/>
      <c r="P416" s="8"/>
      <c r="Q416" s="8"/>
      <c r="R416" s="9"/>
    </row>
    <row r="417" spans="1:19" x14ac:dyDescent="0.4">
      <c r="A417" s="5"/>
      <c r="B417" s="5"/>
      <c r="C417" s="5"/>
      <c r="D417" s="6"/>
      <c r="E417" s="7"/>
      <c r="F417" s="7"/>
      <c r="G417" s="5"/>
      <c r="H417" s="6"/>
      <c r="I417" s="6"/>
      <c r="J417" s="6"/>
      <c r="K417" s="8"/>
      <c r="L417" s="9"/>
      <c r="M417" s="8"/>
      <c r="N417" s="10"/>
      <c r="O417" s="11"/>
      <c r="P417" s="8"/>
      <c r="Q417" s="8"/>
      <c r="R417" s="9"/>
    </row>
    <row r="418" spans="1:19" x14ac:dyDescent="0.4">
      <c r="A418" s="5"/>
      <c r="B418" s="5"/>
      <c r="C418" s="5"/>
      <c r="D418" s="6"/>
      <c r="E418" s="7"/>
      <c r="F418" s="7"/>
      <c r="G418" s="5"/>
      <c r="H418" s="6"/>
      <c r="I418" s="6"/>
      <c r="J418" s="6"/>
      <c r="K418" s="8"/>
      <c r="L418" s="9"/>
      <c r="M418" s="8"/>
      <c r="N418" s="10"/>
      <c r="O418" s="11"/>
      <c r="P418" s="8"/>
      <c r="Q418" s="8"/>
      <c r="R418" s="9"/>
    </row>
    <row r="419" spans="1:19" x14ac:dyDescent="0.4">
      <c r="A419" s="5"/>
      <c r="B419" s="5"/>
      <c r="C419" s="5"/>
      <c r="D419" s="6"/>
      <c r="E419" s="7"/>
      <c r="F419" s="7"/>
      <c r="G419" s="5"/>
      <c r="H419" s="6"/>
      <c r="I419" s="6"/>
      <c r="J419" s="6"/>
      <c r="K419" s="8"/>
      <c r="L419" s="9"/>
      <c r="M419" s="8"/>
      <c r="N419" s="10"/>
      <c r="O419" s="11"/>
      <c r="P419" s="8"/>
      <c r="Q419" s="8"/>
      <c r="R419" s="9"/>
    </row>
    <row r="420" spans="1:19" x14ac:dyDescent="0.4">
      <c r="A420" s="5"/>
      <c r="B420" s="5"/>
      <c r="C420" s="5"/>
      <c r="D420" s="6"/>
      <c r="E420" s="7"/>
      <c r="F420" s="7"/>
      <c r="G420" s="5"/>
      <c r="H420" s="6"/>
      <c r="I420" s="6"/>
      <c r="J420" s="6"/>
      <c r="K420" s="8"/>
      <c r="L420" s="9"/>
      <c r="M420" s="8"/>
      <c r="N420" s="10"/>
      <c r="O420" s="11"/>
      <c r="P420" s="8"/>
      <c r="Q420" s="8"/>
      <c r="R420" s="9"/>
    </row>
    <row r="421" spans="1:19" x14ac:dyDescent="0.4">
      <c r="A421" s="5"/>
      <c r="B421" s="5"/>
      <c r="C421" s="5"/>
      <c r="D421" s="6"/>
      <c r="E421" s="7"/>
      <c r="F421" s="7"/>
      <c r="G421" s="5"/>
      <c r="H421" s="6"/>
      <c r="I421" s="6"/>
      <c r="J421" s="6"/>
      <c r="K421" s="8"/>
      <c r="L421" s="9"/>
      <c r="M421" s="8"/>
      <c r="N421" s="10"/>
      <c r="O421" s="11"/>
      <c r="P421" s="8"/>
      <c r="Q421" s="8"/>
      <c r="R421" s="9"/>
    </row>
    <row r="422" spans="1:19" x14ac:dyDescent="0.4">
      <c r="A422" s="5"/>
      <c r="B422" s="5"/>
      <c r="C422" s="5"/>
      <c r="D422" s="6"/>
      <c r="E422" s="7"/>
      <c r="F422" s="7"/>
      <c r="G422" s="5"/>
      <c r="H422" s="6"/>
      <c r="I422" s="6"/>
      <c r="J422" s="6"/>
      <c r="K422" s="8"/>
      <c r="L422" s="9"/>
      <c r="M422" s="8"/>
      <c r="N422" s="10"/>
      <c r="O422" s="11"/>
      <c r="P422" s="8"/>
      <c r="Q422" s="8"/>
      <c r="R422" s="9"/>
    </row>
    <row r="423" spans="1:19" x14ac:dyDescent="0.4">
      <c r="A423" s="5"/>
      <c r="B423" s="5"/>
      <c r="C423" s="5"/>
      <c r="D423" s="6"/>
      <c r="E423" s="7"/>
      <c r="F423" s="7"/>
      <c r="G423" s="5"/>
      <c r="H423" s="6"/>
      <c r="I423" s="6"/>
      <c r="J423" s="6"/>
      <c r="K423" s="8"/>
      <c r="L423" s="9"/>
      <c r="M423" s="8"/>
      <c r="N423" s="10"/>
      <c r="O423" s="11"/>
      <c r="P423" s="8"/>
      <c r="Q423" s="8"/>
      <c r="R423" s="9"/>
    </row>
    <row r="424" spans="1:19" x14ac:dyDescent="0.4">
      <c r="A424" s="5"/>
      <c r="B424" s="5"/>
      <c r="C424" s="5"/>
      <c r="D424" s="6"/>
      <c r="E424" s="7"/>
      <c r="F424" s="7"/>
      <c r="G424" s="5"/>
      <c r="H424" s="6"/>
      <c r="I424" s="6"/>
      <c r="J424" s="6"/>
      <c r="K424" s="8"/>
      <c r="L424" s="9"/>
      <c r="M424" s="8"/>
      <c r="N424" s="10"/>
      <c r="O424" s="11"/>
      <c r="P424" s="8"/>
      <c r="Q424" s="8"/>
      <c r="R424" s="9"/>
    </row>
    <row r="425" spans="1:19" x14ac:dyDescent="0.4">
      <c r="A425" s="5"/>
      <c r="B425" s="5"/>
      <c r="C425" s="5"/>
      <c r="D425" s="6"/>
      <c r="E425" s="7"/>
      <c r="F425" s="7"/>
      <c r="G425" s="5"/>
      <c r="H425" s="6"/>
      <c r="I425" s="6"/>
      <c r="J425" s="6"/>
      <c r="K425" s="8"/>
      <c r="L425" s="9"/>
      <c r="M425" s="8"/>
      <c r="N425" s="10"/>
      <c r="O425" s="11"/>
      <c r="P425" s="8"/>
      <c r="Q425" s="8"/>
      <c r="R425" s="8"/>
    </row>
    <row r="426" spans="1:19" x14ac:dyDescent="0.4">
      <c r="A426" s="5"/>
      <c r="B426" s="5"/>
      <c r="C426" s="5"/>
      <c r="D426" s="6"/>
      <c r="E426" s="7"/>
      <c r="F426" s="7"/>
      <c r="G426" s="5"/>
      <c r="H426" s="6"/>
      <c r="I426" s="6"/>
      <c r="J426" s="6"/>
      <c r="K426" s="8"/>
      <c r="L426" s="9"/>
      <c r="M426" s="8"/>
      <c r="N426" s="10"/>
      <c r="O426" s="11"/>
      <c r="P426" s="8"/>
      <c r="Q426" s="8"/>
      <c r="R426" s="13"/>
      <c r="S426" s="16"/>
    </row>
    <row r="427" spans="1:19" x14ac:dyDescent="0.4">
      <c r="A427" s="5"/>
      <c r="B427" s="5"/>
      <c r="C427" s="5"/>
      <c r="D427" s="6"/>
      <c r="E427" s="7"/>
      <c r="F427" s="7"/>
      <c r="G427" s="5"/>
      <c r="H427" s="6"/>
      <c r="I427" s="6"/>
      <c r="J427" s="6"/>
      <c r="K427" s="8"/>
      <c r="L427" s="9"/>
      <c r="M427" s="8"/>
      <c r="N427" s="10"/>
      <c r="O427" s="11"/>
      <c r="P427" s="8"/>
      <c r="Q427" s="8"/>
      <c r="R427" s="9"/>
    </row>
    <row r="428" spans="1:19" x14ac:dyDescent="0.4">
      <c r="A428" s="5"/>
      <c r="B428" s="5"/>
      <c r="C428" s="5"/>
      <c r="D428" s="6"/>
      <c r="E428" s="7"/>
      <c r="F428" s="7"/>
      <c r="G428" s="5"/>
      <c r="H428" s="6"/>
      <c r="I428" s="6"/>
      <c r="J428" s="6"/>
      <c r="K428" s="8"/>
      <c r="L428" s="9"/>
      <c r="M428" s="8"/>
      <c r="N428" s="10"/>
      <c r="O428" s="11"/>
      <c r="P428" s="8"/>
      <c r="Q428" s="8"/>
      <c r="R428" s="9"/>
    </row>
    <row r="429" spans="1:19" x14ac:dyDescent="0.4">
      <c r="A429" s="5"/>
      <c r="B429" s="5"/>
      <c r="C429" s="5"/>
      <c r="D429" s="6"/>
      <c r="E429" s="7"/>
      <c r="F429" s="7"/>
      <c r="G429" s="5"/>
      <c r="H429" s="6"/>
      <c r="I429" s="6"/>
      <c r="J429" s="6"/>
      <c r="K429" s="8"/>
      <c r="L429" s="9"/>
      <c r="M429" s="8"/>
      <c r="N429" s="10"/>
      <c r="O429" s="11"/>
      <c r="P429" s="8"/>
      <c r="Q429" s="8"/>
      <c r="R429" s="9"/>
    </row>
    <row r="430" spans="1:19" x14ac:dyDescent="0.4">
      <c r="A430" s="5"/>
      <c r="B430" s="5"/>
      <c r="C430" s="5"/>
      <c r="D430" s="6"/>
      <c r="E430" s="7"/>
      <c r="F430" s="7"/>
      <c r="G430" s="5"/>
      <c r="H430" s="6"/>
      <c r="I430" s="6"/>
      <c r="J430" s="6"/>
      <c r="K430" s="8"/>
      <c r="L430" s="9"/>
      <c r="M430" s="8"/>
      <c r="N430" s="10"/>
      <c r="O430" s="11"/>
      <c r="P430" s="8"/>
      <c r="Q430" s="8"/>
      <c r="R430" s="9"/>
    </row>
    <row r="431" spans="1:19" x14ac:dyDescent="0.4">
      <c r="A431" s="5"/>
      <c r="B431" s="5"/>
      <c r="C431" s="5"/>
      <c r="D431" s="6"/>
      <c r="E431" s="7"/>
      <c r="F431" s="7"/>
      <c r="G431" s="5"/>
      <c r="H431" s="6"/>
      <c r="I431" s="6"/>
      <c r="J431" s="6"/>
      <c r="K431" s="8"/>
      <c r="L431" s="9"/>
      <c r="M431" s="8"/>
      <c r="N431" s="10"/>
      <c r="O431" s="11"/>
      <c r="P431" s="8"/>
      <c r="Q431" s="8"/>
      <c r="R431" s="9"/>
    </row>
    <row r="432" spans="1:19" x14ac:dyDescent="0.4">
      <c r="A432" s="5"/>
      <c r="B432" s="5"/>
      <c r="C432" s="5"/>
      <c r="D432" s="6"/>
      <c r="E432" s="7"/>
      <c r="F432" s="7"/>
      <c r="G432" s="5"/>
      <c r="H432" s="6"/>
      <c r="I432" s="6"/>
      <c r="J432" s="6"/>
      <c r="K432" s="8"/>
      <c r="L432" s="9"/>
      <c r="M432" s="8"/>
      <c r="N432" s="10"/>
      <c r="O432" s="11"/>
      <c r="P432" s="8"/>
      <c r="Q432" s="8"/>
      <c r="R432" s="9"/>
    </row>
    <row r="433" spans="1:19" x14ac:dyDescent="0.4">
      <c r="A433" s="5"/>
      <c r="B433" s="5"/>
      <c r="C433" s="5"/>
      <c r="D433" s="6"/>
      <c r="E433" s="7"/>
      <c r="F433" s="7"/>
      <c r="G433" s="5"/>
      <c r="H433" s="6"/>
      <c r="I433" s="6"/>
      <c r="J433" s="6"/>
      <c r="K433" s="8"/>
      <c r="L433" s="9"/>
      <c r="M433" s="8"/>
      <c r="N433" s="10"/>
      <c r="O433" s="11"/>
      <c r="P433" s="8"/>
      <c r="Q433" s="8"/>
      <c r="R433" s="9"/>
    </row>
    <row r="434" spans="1:19" x14ac:dyDescent="0.4">
      <c r="A434" s="5"/>
      <c r="B434" s="5"/>
      <c r="C434" s="5"/>
      <c r="D434" s="6"/>
      <c r="E434" s="7"/>
      <c r="F434" s="7"/>
      <c r="G434" s="5"/>
      <c r="H434" s="6"/>
      <c r="I434" s="6"/>
      <c r="J434" s="6"/>
      <c r="K434" s="8"/>
      <c r="L434" s="9"/>
      <c r="M434" s="8"/>
      <c r="N434" s="10"/>
      <c r="O434" s="11"/>
      <c r="P434" s="8"/>
      <c r="Q434" s="8"/>
      <c r="R434" s="9"/>
    </row>
    <row r="435" spans="1:19" x14ac:dyDescent="0.4">
      <c r="A435" s="5"/>
      <c r="B435" s="5"/>
      <c r="C435" s="5"/>
      <c r="D435" s="6"/>
      <c r="E435" s="7"/>
      <c r="F435" s="7"/>
      <c r="G435" s="5"/>
      <c r="H435" s="6"/>
      <c r="I435" s="6"/>
      <c r="J435" s="6"/>
      <c r="K435" s="8"/>
      <c r="L435" s="9"/>
      <c r="M435" s="8"/>
      <c r="N435" s="10"/>
      <c r="O435" s="11"/>
      <c r="P435" s="8"/>
      <c r="Q435" s="8"/>
      <c r="R435" s="9"/>
    </row>
    <row r="436" spans="1:19" x14ac:dyDescent="0.4">
      <c r="A436" s="5"/>
      <c r="B436" s="5"/>
      <c r="C436" s="19"/>
      <c r="D436" s="6"/>
      <c r="E436" s="7"/>
      <c r="F436" s="7"/>
      <c r="G436" s="5"/>
      <c r="H436" s="6"/>
      <c r="I436" s="6"/>
      <c r="J436" s="6"/>
      <c r="K436" s="8"/>
      <c r="L436" s="9"/>
      <c r="M436" s="8"/>
      <c r="N436" s="10"/>
      <c r="O436" s="11"/>
      <c r="P436" s="8"/>
      <c r="Q436" s="8"/>
      <c r="R436" s="9"/>
    </row>
    <row r="437" spans="1:19" x14ac:dyDescent="0.4">
      <c r="A437" s="5"/>
      <c r="B437" s="5"/>
      <c r="C437" s="5"/>
      <c r="D437" s="6"/>
      <c r="E437" s="7"/>
      <c r="F437" s="7"/>
      <c r="G437" s="5"/>
      <c r="H437" s="6"/>
      <c r="I437" s="6"/>
      <c r="J437" s="6"/>
      <c r="K437" s="8"/>
      <c r="L437" s="9"/>
      <c r="M437" s="8"/>
      <c r="N437" s="10"/>
      <c r="O437" s="11"/>
      <c r="P437" s="8"/>
      <c r="Q437" s="8"/>
      <c r="R437" s="9"/>
    </row>
    <row r="438" spans="1:19" x14ac:dyDescent="0.4">
      <c r="A438" s="5"/>
      <c r="B438" s="5"/>
      <c r="C438" s="5"/>
      <c r="D438" s="6"/>
      <c r="E438" s="7"/>
      <c r="F438" s="7"/>
      <c r="G438" s="5"/>
      <c r="H438" s="6"/>
      <c r="I438" s="6"/>
      <c r="J438" s="6"/>
      <c r="K438" s="8"/>
      <c r="L438" s="9"/>
      <c r="M438" s="8"/>
      <c r="N438" s="10"/>
      <c r="O438" s="11"/>
      <c r="P438" s="8"/>
      <c r="Q438" s="8"/>
      <c r="R438" s="9"/>
    </row>
    <row r="439" spans="1:19" x14ac:dyDescent="0.4">
      <c r="A439" s="5"/>
      <c r="B439" s="5"/>
      <c r="C439" s="5"/>
      <c r="D439" s="6"/>
      <c r="E439" s="7"/>
      <c r="F439" s="7"/>
      <c r="G439" s="5"/>
      <c r="H439" s="6"/>
      <c r="I439" s="6"/>
      <c r="J439" s="6"/>
      <c r="K439" s="8"/>
      <c r="L439" s="9"/>
      <c r="M439" s="8"/>
      <c r="N439" s="10"/>
      <c r="O439" s="11"/>
      <c r="P439" s="8"/>
      <c r="Q439" s="8"/>
      <c r="R439" s="9"/>
    </row>
    <row r="440" spans="1:19" x14ac:dyDescent="0.4">
      <c r="A440" s="5"/>
      <c r="B440" s="5"/>
      <c r="C440" s="5"/>
      <c r="D440" s="6"/>
      <c r="E440" s="7"/>
      <c r="F440" s="7"/>
      <c r="G440" s="5"/>
      <c r="H440" s="6"/>
      <c r="I440" s="6"/>
      <c r="J440" s="6"/>
      <c r="K440" s="8"/>
      <c r="L440" s="9"/>
      <c r="M440" s="8"/>
      <c r="N440" s="10"/>
      <c r="O440" s="11"/>
      <c r="P440" s="8"/>
      <c r="Q440" s="8"/>
      <c r="R440" s="9"/>
    </row>
    <row r="441" spans="1:19" x14ac:dyDescent="0.4">
      <c r="A441" s="5"/>
      <c r="B441" s="5"/>
      <c r="C441" s="5"/>
      <c r="D441" s="6"/>
      <c r="E441" s="7"/>
      <c r="F441" s="7"/>
      <c r="G441" s="5"/>
      <c r="H441" s="6"/>
      <c r="I441" s="6"/>
      <c r="J441" s="6"/>
      <c r="K441" s="8"/>
      <c r="L441" s="9"/>
      <c r="M441" s="8"/>
      <c r="N441" s="10"/>
      <c r="O441" s="11"/>
      <c r="P441" s="8"/>
      <c r="Q441" s="8"/>
      <c r="R441" s="9"/>
    </row>
    <row r="442" spans="1:19" x14ac:dyDescent="0.4">
      <c r="A442" s="5"/>
      <c r="B442" s="5"/>
      <c r="C442" s="5"/>
      <c r="D442" s="6"/>
      <c r="E442" s="7"/>
      <c r="F442" s="7"/>
      <c r="G442" s="5"/>
      <c r="H442" s="6"/>
      <c r="I442" s="6"/>
      <c r="J442" s="6"/>
      <c r="K442" s="8"/>
      <c r="L442" s="9"/>
      <c r="M442" s="8"/>
      <c r="N442" s="10"/>
      <c r="O442" s="11"/>
      <c r="P442" s="8"/>
      <c r="Q442" s="8"/>
      <c r="R442" s="9"/>
    </row>
    <row r="443" spans="1:19" x14ac:dyDescent="0.4">
      <c r="A443" s="5"/>
      <c r="B443" s="5"/>
      <c r="C443" s="5"/>
      <c r="D443" s="6"/>
      <c r="E443" s="7"/>
      <c r="F443" s="7"/>
      <c r="G443" s="5"/>
      <c r="H443" s="6"/>
      <c r="I443" s="6"/>
      <c r="J443" s="6"/>
      <c r="K443" s="8"/>
      <c r="L443" s="9"/>
      <c r="M443" s="8"/>
      <c r="N443" s="10"/>
      <c r="O443" s="11"/>
      <c r="P443" s="8"/>
      <c r="Q443" s="8"/>
      <c r="R443" s="9"/>
    </row>
    <row r="444" spans="1:19" x14ac:dyDescent="0.4">
      <c r="A444" s="5"/>
      <c r="B444" s="5"/>
      <c r="C444" s="5"/>
      <c r="D444" s="6"/>
      <c r="E444" s="7"/>
      <c r="F444" s="7"/>
      <c r="G444" s="5"/>
      <c r="H444" s="6"/>
      <c r="I444" s="6"/>
      <c r="J444" s="6"/>
      <c r="K444" s="8"/>
      <c r="L444" s="9"/>
      <c r="M444" s="8"/>
      <c r="N444" s="10"/>
      <c r="O444" s="11"/>
      <c r="P444" s="8"/>
      <c r="Q444" s="8"/>
      <c r="R444" s="9"/>
    </row>
    <row r="445" spans="1:19" x14ac:dyDescent="0.4">
      <c r="A445" s="5"/>
      <c r="B445" s="5"/>
      <c r="C445" s="5"/>
      <c r="D445" s="6"/>
      <c r="E445" s="7"/>
      <c r="F445" s="7"/>
      <c r="G445" s="5"/>
      <c r="H445" s="6"/>
      <c r="I445" s="6"/>
      <c r="J445" s="6"/>
      <c r="K445" s="8"/>
      <c r="L445" s="9"/>
      <c r="M445" s="8"/>
      <c r="N445" s="10"/>
      <c r="O445" s="11"/>
      <c r="P445" s="8"/>
      <c r="Q445" s="8"/>
      <c r="R445" s="9"/>
      <c r="S445" s="16"/>
    </row>
    <row r="446" spans="1:19" x14ac:dyDescent="0.4">
      <c r="A446" s="5"/>
      <c r="B446" s="5"/>
      <c r="C446" s="5"/>
      <c r="D446" s="6"/>
      <c r="E446" s="7"/>
      <c r="F446" s="7"/>
      <c r="G446" s="5"/>
      <c r="H446" s="6"/>
      <c r="I446" s="6"/>
      <c r="J446" s="6"/>
      <c r="K446" s="8"/>
      <c r="L446" s="9"/>
      <c r="M446" s="8"/>
      <c r="N446" s="10"/>
      <c r="O446" s="11"/>
      <c r="P446" s="8"/>
      <c r="Q446" s="8"/>
      <c r="R446" s="9"/>
    </row>
    <row r="447" spans="1:19" x14ac:dyDescent="0.4">
      <c r="A447" s="5"/>
      <c r="B447" s="5"/>
      <c r="C447" s="5"/>
      <c r="D447" s="6"/>
      <c r="E447" s="7"/>
      <c r="F447" s="7"/>
      <c r="G447" s="5"/>
      <c r="H447" s="6"/>
      <c r="I447" s="6"/>
      <c r="J447" s="6"/>
      <c r="K447" s="8"/>
      <c r="L447" s="9"/>
      <c r="M447" s="8"/>
      <c r="N447" s="10"/>
      <c r="O447" s="11"/>
      <c r="P447" s="8"/>
      <c r="Q447" s="8"/>
      <c r="R447" s="9"/>
    </row>
    <row r="448" spans="1:19" x14ac:dyDescent="0.4">
      <c r="A448" s="5"/>
      <c r="B448" s="5"/>
      <c r="C448" s="5"/>
      <c r="D448" s="6"/>
      <c r="E448" s="7"/>
      <c r="F448" s="7"/>
      <c r="G448" s="5"/>
      <c r="H448" s="6"/>
      <c r="I448" s="6"/>
      <c r="J448" s="6"/>
      <c r="K448" s="8"/>
      <c r="L448" s="9"/>
      <c r="M448" s="8"/>
      <c r="N448" s="10"/>
      <c r="O448" s="11"/>
      <c r="P448" s="8"/>
      <c r="Q448" s="8"/>
      <c r="R448" s="9"/>
    </row>
    <row r="449" spans="1:18" x14ac:dyDescent="0.4">
      <c r="A449" s="5"/>
      <c r="B449" s="5"/>
      <c r="C449" s="5"/>
      <c r="D449" s="6"/>
      <c r="E449" s="7"/>
      <c r="F449" s="7"/>
      <c r="G449" s="5"/>
      <c r="H449" s="6"/>
      <c r="I449" s="6"/>
      <c r="J449" s="6"/>
      <c r="K449" s="8"/>
      <c r="L449" s="9"/>
      <c r="M449" s="8"/>
      <c r="N449" s="10"/>
      <c r="O449" s="11"/>
      <c r="P449" s="8"/>
      <c r="Q449" s="8"/>
      <c r="R449" s="14"/>
    </row>
    <row r="450" spans="1:18" x14ac:dyDescent="0.4">
      <c r="A450" s="5"/>
      <c r="B450" s="5"/>
      <c r="C450" s="5"/>
      <c r="D450" s="6"/>
      <c r="E450" s="7"/>
      <c r="F450" s="7"/>
      <c r="G450" s="5"/>
      <c r="H450" s="6"/>
      <c r="I450" s="6"/>
      <c r="J450" s="6"/>
      <c r="K450" s="8"/>
      <c r="L450" s="9"/>
      <c r="M450" s="8"/>
      <c r="N450" s="10"/>
      <c r="O450" s="11"/>
      <c r="P450" s="8"/>
      <c r="Q450" s="8"/>
      <c r="R450" s="13"/>
    </row>
    <row r="451" spans="1:18" x14ac:dyDescent="0.4">
      <c r="A451" s="5"/>
      <c r="B451" s="5"/>
      <c r="C451" s="5"/>
      <c r="D451" s="6"/>
      <c r="E451" s="7"/>
      <c r="F451" s="7"/>
      <c r="G451" s="5"/>
      <c r="H451" s="6"/>
      <c r="I451" s="6"/>
      <c r="J451" s="6"/>
      <c r="K451" s="8"/>
      <c r="L451" s="9"/>
      <c r="M451" s="8"/>
      <c r="N451" s="10"/>
      <c r="O451" s="11"/>
      <c r="P451" s="8"/>
      <c r="Q451" s="8"/>
      <c r="R451" s="13"/>
    </row>
    <row r="452" spans="1:18" x14ac:dyDescent="0.4">
      <c r="A452" s="5"/>
      <c r="B452" s="5"/>
      <c r="C452" s="5"/>
      <c r="D452" s="6"/>
      <c r="E452" s="7"/>
      <c r="F452" s="7"/>
      <c r="G452" s="5"/>
      <c r="H452" s="6"/>
      <c r="I452" s="6"/>
      <c r="J452" s="6"/>
      <c r="K452" s="8"/>
      <c r="L452" s="9"/>
      <c r="M452" s="8"/>
      <c r="N452" s="10"/>
      <c r="O452" s="11"/>
      <c r="P452" s="8"/>
      <c r="Q452" s="8"/>
      <c r="R452" s="13"/>
    </row>
    <row r="453" spans="1:18" x14ac:dyDescent="0.4">
      <c r="A453" s="5"/>
      <c r="B453" s="5"/>
      <c r="C453" s="5"/>
      <c r="D453" s="6"/>
      <c r="E453" s="7"/>
      <c r="F453" s="7"/>
      <c r="G453" s="5"/>
      <c r="H453" s="6"/>
      <c r="I453" s="6"/>
      <c r="J453" s="6"/>
      <c r="K453" s="8"/>
      <c r="L453" s="9"/>
      <c r="M453" s="8"/>
      <c r="N453" s="10"/>
      <c r="O453" s="11"/>
      <c r="P453" s="8"/>
      <c r="Q453" s="8"/>
      <c r="R453" s="13"/>
    </row>
    <row r="454" spans="1:18" x14ac:dyDescent="0.4">
      <c r="A454" s="5"/>
      <c r="B454" s="5"/>
      <c r="C454" s="5"/>
      <c r="D454" s="6"/>
      <c r="E454" s="7"/>
      <c r="F454" s="7"/>
      <c r="G454" s="5"/>
      <c r="H454" s="6"/>
      <c r="I454" s="6"/>
      <c r="J454" s="6"/>
      <c r="K454" s="8"/>
      <c r="L454" s="9"/>
      <c r="M454" s="8"/>
      <c r="N454" s="10"/>
      <c r="O454" s="11"/>
      <c r="P454" s="8"/>
      <c r="Q454" s="8"/>
      <c r="R454" s="13"/>
    </row>
    <row r="455" spans="1:18" x14ac:dyDescent="0.4">
      <c r="A455" s="5"/>
      <c r="B455" s="5"/>
      <c r="C455" s="5"/>
      <c r="D455" s="6"/>
      <c r="E455" s="7"/>
      <c r="F455" s="7"/>
      <c r="G455" s="5"/>
      <c r="H455" s="6"/>
      <c r="I455" s="6"/>
      <c r="J455" s="6"/>
      <c r="K455" s="8"/>
      <c r="L455" s="9"/>
      <c r="M455" s="8"/>
      <c r="N455" s="10"/>
      <c r="O455" s="11"/>
      <c r="P455" s="8"/>
      <c r="Q455" s="8"/>
      <c r="R455" s="13"/>
    </row>
    <row r="456" spans="1:18" x14ac:dyDescent="0.4">
      <c r="A456" s="5"/>
      <c r="B456" s="5"/>
      <c r="C456" s="5"/>
      <c r="D456" s="6"/>
      <c r="E456" s="7"/>
      <c r="F456" s="7"/>
      <c r="G456" s="5"/>
      <c r="H456" s="6"/>
      <c r="I456" s="6"/>
      <c r="J456" s="6"/>
      <c r="K456" s="8"/>
      <c r="L456" s="9"/>
      <c r="M456" s="8"/>
      <c r="N456" s="10"/>
      <c r="O456" s="11"/>
      <c r="P456" s="8"/>
      <c r="Q456" s="8"/>
      <c r="R456" s="13"/>
    </row>
    <row r="457" spans="1:18" x14ac:dyDescent="0.4">
      <c r="A457" s="5"/>
      <c r="B457" s="5"/>
      <c r="C457" s="5"/>
      <c r="D457" s="6"/>
      <c r="E457" s="7"/>
      <c r="F457" s="7"/>
      <c r="G457" s="5"/>
      <c r="H457" s="6"/>
      <c r="I457" s="6"/>
      <c r="J457" s="6"/>
      <c r="K457" s="8"/>
      <c r="L457" s="9"/>
      <c r="M457" s="8"/>
      <c r="N457" s="10"/>
      <c r="O457" s="11"/>
      <c r="P457" s="8"/>
      <c r="Q457" s="8"/>
      <c r="R457" s="13"/>
    </row>
    <row r="458" spans="1:18" x14ac:dyDescent="0.4">
      <c r="A458" s="5"/>
      <c r="B458" s="5"/>
      <c r="C458" s="5"/>
      <c r="D458" s="6"/>
      <c r="E458" s="7"/>
      <c r="F458" s="7"/>
      <c r="G458" s="5"/>
      <c r="H458" s="6"/>
      <c r="I458" s="6"/>
      <c r="J458" s="6"/>
      <c r="K458" s="8"/>
      <c r="L458" s="9"/>
      <c r="M458" s="8"/>
      <c r="N458" s="10"/>
      <c r="O458" s="11"/>
      <c r="P458" s="8"/>
      <c r="Q458" s="8"/>
      <c r="R458" s="9"/>
    </row>
    <row r="459" spans="1:18" x14ac:dyDescent="0.4">
      <c r="A459" s="5"/>
      <c r="B459" s="5"/>
      <c r="C459" s="5"/>
      <c r="D459" s="6"/>
      <c r="E459" s="7"/>
      <c r="F459" s="7"/>
      <c r="G459" s="5"/>
      <c r="H459" s="6"/>
      <c r="I459" s="6"/>
      <c r="J459" s="6"/>
      <c r="K459" s="8"/>
      <c r="L459" s="9"/>
      <c r="M459" s="8"/>
      <c r="N459" s="10"/>
      <c r="O459" s="11"/>
      <c r="P459" s="8"/>
      <c r="Q459" s="8"/>
      <c r="R459" s="9"/>
    </row>
    <row r="460" spans="1:18" x14ac:dyDescent="0.4">
      <c r="A460" s="5"/>
      <c r="B460" s="5"/>
      <c r="C460" s="5"/>
      <c r="D460" s="6"/>
      <c r="E460" s="7"/>
      <c r="F460" s="7"/>
      <c r="G460" s="5"/>
      <c r="H460" s="6"/>
      <c r="I460" s="6"/>
      <c r="J460" s="6"/>
      <c r="K460" s="8"/>
      <c r="L460" s="9"/>
      <c r="M460" s="8"/>
      <c r="N460" s="10"/>
      <c r="O460" s="11"/>
      <c r="P460" s="8"/>
      <c r="Q460" s="8"/>
      <c r="R460" s="9"/>
    </row>
    <row r="461" spans="1:18" x14ac:dyDescent="0.4">
      <c r="A461" s="5"/>
      <c r="B461" s="5"/>
      <c r="C461" s="5"/>
      <c r="D461" s="6"/>
      <c r="E461" s="7"/>
      <c r="F461" s="7"/>
      <c r="G461" s="5"/>
      <c r="H461" s="6"/>
      <c r="I461" s="6"/>
      <c r="J461" s="6"/>
      <c r="K461" s="8"/>
      <c r="L461" s="9"/>
      <c r="M461" s="8"/>
      <c r="N461" s="10"/>
      <c r="O461" s="11"/>
      <c r="P461" s="8"/>
      <c r="Q461" s="9"/>
      <c r="R461" s="9"/>
    </row>
    <row r="462" spans="1:18" x14ac:dyDescent="0.4">
      <c r="A462" s="5"/>
      <c r="B462" s="5"/>
      <c r="C462" s="5"/>
      <c r="D462" s="6"/>
      <c r="E462" s="7"/>
      <c r="F462" s="7"/>
      <c r="G462" s="5"/>
      <c r="H462" s="6"/>
      <c r="I462" s="6"/>
      <c r="J462" s="6"/>
      <c r="K462" s="8"/>
      <c r="L462" s="9"/>
      <c r="M462" s="8"/>
      <c r="N462" s="10"/>
      <c r="O462" s="11"/>
      <c r="P462" s="8"/>
      <c r="Q462" s="9"/>
      <c r="R462" s="9"/>
    </row>
    <row r="463" spans="1:18" x14ac:dyDescent="0.4">
      <c r="A463" s="5"/>
      <c r="B463" s="5"/>
      <c r="C463" s="5"/>
      <c r="D463" s="6"/>
      <c r="E463" s="7"/>
      <c r="F463" s="7"/>
      <c r="G463" s="5"/>
      <c r="H463" s="6"/>
      <c r="I463" s="6"/>
      <c r="J463" s="6"/>
      <c r="K463" s="8"/>
      <c r="L463" s="9"/>
      <c r="M463" s="8"/>
      <c r="N463" s="10"/>
      <c r="O463" s="11"/>
      <c r="P463" s="8"/>
      <c r="Q463" s="9"/>
      <c r="R463" s="9"/>
    </row>
    <row r="464" spans="1:18" x14ac:dyDescent="0.4">
      <c r="A464" s="5"/>
      <c r="B464" s="5"/>
      <c r="C464" s="5"/>
      <c r="D464" s="6"/>
      <c r="E464" s="7"/>
      <c r="F464" s="7"/>
      <c r="G464" s="5"/>
      <c r="H464" s="6"/>
      <c r="I464" s="6"/>
      <c r="J464" s="6"/>
      <c r="K464" s="8"/>
      <c r="L464" s="9"/>
      <c r="M464" s="8"/>
      <c r="N464" s="10"/>
      <c r="O464" s="11"/>
      <c r="P464" s="8"/>
      <c r="Q464" s="9"/>
      <c r="R464" s="9"/>
    </row>
    <row r="465" spans="1:18" x14ac:dyDescent="0.4">
      <c r="A465" s="5"/>
      <c r="B465" s="5"/>
      <c r="C465" s="5"/>
      <c r="D465" s="6"/>
      <c r="E465" s="7"/>
      <c r="F465" s="7"/>
      <c r="G465" s="5"/>
      <c r="H465" s="6"/>
      <c r="I465" s="6"/>
      <c r="J465" s="6"/>
      <c r="K465" s="8"/>
      <c r="L465" s="9"/>
      <c r="M465" s="8"/>
      <c r="N465" s="10"/>
      <c r="O465" s="11"/>
      <c r="P465" s="8"/>
      <c r="Q465" s="9"/>
      <c r="R465" s="9"/>
    </row>
    <row r="466" spans="1:18" x14ac:dyDescent="0.4">
      <c r="A466" s="5"/>
      <c r="B466" s="5"/>
      <c r="C466" s="5"/>
      <c r="D466" s="6"/>
      <c r="E466" s="7"/>
      <c r="F466" s="7"/>
      <c r="G466" s="5"/>
      <c r="H466" s="6"/>
      <c r="I466" s="6"/>
      <c r="J466" s="6"/>
      <c r="K466" s="8"/>
      <c r="L466" s="9"/>
      <c r="M466" s="8"/>
      <c r="N466" s="10"/>
      <c r="O466" s="11"/>
      <c r="P466" s="8"/>
      <c r="Q466" s="8"/>
      <c r="R466" s="9"/>
    </row>
    <row r="467" spans="1:18" x14ac:dyDescent="0.4">
      <c r="A467" s="5"/>
      <c r="B467" s="5"/>
      <c r="C467" s="5"/>
      <c r="D467" s="6"/>
      <c r="E467" s="7"/>
      <c r="F467" s="7"/>
      <c r="G467" s="5"/>
      <c r="H467" s="6"/>
      <c r="I467" s="6"/>
      <c r="J467" s="6"/>
      <c r="K467" s="8"/>
      <c r="L467" s="9"/>
      <c r="M467" s="8"/>
      <c r="N467" s="10"/>
      <c r="O467" s="11"/>
      <c r="P467" s="8"/>
      <c r="Q467" s="8"/>
      <c r="R467" s="9"/>
    </row>
    <row r="468" spans="1:18" x14ac:dyDescent="0.4">
      <c r="A468" s="5"/>
      <c r="B468" s="5"/>
      <c r="C468" s="5"/>
      <c r="D468" s="6"/>
      <c r="E468" s="7"/>
      <c r="F468" s="7"/>
      <c r="G468" s="5"/>
      <c r="H468" s="6"/>
      <c r="I468" s="6"/>
      <c r="J468" s="6"/>
      <c r="K468" s="8"/>
      <c r="L468" s="9"/>
      <c r="M468" s="8"/>
      <c r="N468" s="10"/>
      <c r="O468" s="11"/>
      <c r="P468" s="8"/>
      <c r="Q468" s="8"/>
      <c r="R468" s="9"/>
    </row>
    <row r="469" spans="1:18" x14ac:dyDescent="0.4">
      <c r="A469" s="5"/>
      <c r="B469" s="5"/>
      <c r="C469" s="5"/>
      <c r="D469" s="6"/>
      <c r="E469" s="7"/>
      <c r="F469" s="7"/>
      <c r="G469" s="5"/>
      <c r="H469" s="6"/>
      <c r="I469" s="6"/>
      <c r="J469" s="6"/>
      <c r="K469" s="8"/>
      <c r="L469" s="9"/>
      <c r="M469" s="8"/>
      <c r="N469" s="10"/>
      <c r="O469" s="11"/>
      <c r="P469" s="8"/>
      <c r="Q469" s="8"/>
      <c r="R469" s="9"/>
    </row>
    <row r="470" spans="1:18" x14ac:dyDescent="0.4">
      <c r="A470" s="5"/>
      <c r="B470" s="5"/>
      <c r="C470" s="5"/>
      <c r="D470" s="6"/>
      <c r="E470" s="7"/>
      <c r="F470" s="7"/>
      <c r="G470" s="5"/>
      <c r="H470" s="6"/>
      <c r="I470" s="6"/>
      <c r="J470" s="6"/>
      <c r="K470" s="8"/>
      <c r="L470" s="9"/>
      <c r="M470" s="8"/>
      <c r="N470" s="10"/>
      <c r="O470" s="11"/>
      <c r="P470" s="8"/>
      <c r="Q470" s="8"/>
      <c r="R470" s="9"/>
    </row>
    <row r="471" spans="1:18" x14ac:dyDescent="0.4">
      <c r="A471" s="5"/>
      <c r="B471" s="5"/>
      <c r="C471" s="5"/>
      <c r="D471" s="6"/>
      <c r="E471" s="7"/>
      <c r="F471" s="7"/>
      <c r="G471" s="5"/>
      <c r="H471" s="6"/>
      <c r="I471" s="6"/>
      <c r="J471" s="6"/>
      <c r="K471" s="8"/>
      <c r="L471" s="9"/>
      <c r="M471" s="8"/>
      <c r="N471" s="10"/>
      <c r="O471" s="11"/>
      <c r="P471" s="8"/>
      <c r="Q471" s="8"/>
      <c r="R471" s="9"/>
    </row>
    <row r="472" spans="1:18" x14ac:dyDescent="0.4">
      <c r="A472" s="5"/>
      <c r="B472" s="5"/>
      <c r="C472" s="5"/>
      <c r="D472" s="6"/>
      <c r="E472" s="7"/>
      <c r="F472" s="7"/>
      <c r="G472" s="5"/>
      <c r="H472" s="6"/>
      <c r="I472" s="6"/>
      <c r="J472" s="6"/>
      <c r="K472" s="8"/>
      <c r="L472" s="9"/>
      <c r="M472" s="8"/>
      <c r="N472" s="10"/>
      <c r="O472" s="11"/>
      <c r="P472" s="8"/>
      <c r="Q472" s="8"/>
      <c r="R472" s="9"/>
    </row>
    <row r="473" spans="1:18" x14ac:dyDescent="0.4">
      <c r="A473" s="5"/>
      <c r="B473" s="5"/>
      <c r="C473" s="5"/>
      <c r="D473" s="6"/>
      <c r="E473" s="7"/>
      <c r="F473" s="7"/>
      <c r="G473" s="5"/>
      <c r="H473" s="6"/>
      <c r="I473" s="6"/>
      <c r="J473" s="6"/>
      <c r="K473" s="8"/>
      <c r="L473" s="9"/>
      <c r="M473" s="8"/>
      <c r="N473" s="10"/>
      <c r="O473" s="11"/>
      <c r="P473" s="8"/>
      <c r="Q473" s="8"/>
      <c r="R473" s="9"/>
    </row>
    <row r="474" spans="1:18" x14ac:dyDescent="0.4">
      <c r="A474" s="5"/>
      <c r="B474" s="5"/>
      <c r="C474" s="5"/>
      <c r="D474" s="6"/>
      <c r="E474" s="7"/>
      <c r="F474" s="7"/>
      <c r="G474" s="5"/>
      <c r="H474" s="6"/>
      <c r="I474" s="6"/>
      <c r="J474" s="6"/>
      <c r="K474" s="8"/>
      <c r="L474" s="9"/>
      <c r="M474" s="8"/>
      <c r="N474" s="10"/>
      <c r="O474" s="11"/>
      <c r="P474" s="8"/>
      <c r="Q474" s="8"/>
      <c r="R474" s="9"/>
    </row>
    <row r="475" spans="1:18" x14ac:dyDescent="0.4">
      <c r="A475" s="5"/>
      <c r="B475" s="5"/>
      <c r="C475" s="5"/>
      <c r="D475" s="6"/>
      <c r="E475" s="7"/>
      <c r="F475" s="7"/>
      <c r="G475" s="5"/>
      <c r="H475" s="6"/>
      <c r="I475" s="6"/>
      <c r="J475" s="6"/>
      <c r="K475" s="8"/>
      <c r="L475" s="9"/>
      <c r="M475" s="8"/>
      <c r="N475" s="10"/>
      <c r="O475" s="11"/>
      <c r="P475" s="8"/>
      <c r="Q475" s="8"/>
      <c r="R475" s="9"/>
    </row>
    <row r="476" spans="1:18" x14ac:dyDescent="0.4">
      <c r="A476" s="5"/>
      <c r="B476" s="5"/>
      <c r="C476" s="5"/>
      <c r="D476" s="6"/>
      <c r="E476" s="7"/>
      <c r="F476" s="7"/>
      <c r="G476" s="5"/>
      <c r="H476" s="6"/>
      <c r="I476" s="6"/>
      <c r="J476" s="6"/>
      <c r="K476" s="8"/>
      <c r="L476" s="9"/>
      <c r="M476" s="8"/>
      <c r="N476" s="10"/>
      <c r="O476" s="11"/>
      <c r="P476" s="8"/>
      <c r="Q476" s="8"/>
      <c r="R476" s="9"/>
    </row>
    <row r="477" spans="1:18" x14ac:dyDescent="0.4">
      <c r="A477" s="5"/>
      <c r="B477" s="5"/>
      <c r="C477" s="5"/>
      <c r="D477" s="6"/>
      <c r="E477" s="7"/>
      <c r="F477" s="7"/>
      <c r="G477" s="5"/>
      <c r="H477" s="6"/>
      <c r="I477" s="6"/>
      <c r="J477" s="6"/>
      <c r="K477" s="8"/>
      <c r="L477" s="9"/>
      <c r="M477" s="8"/>
      <c r="N477" s="10"/>
      <c r="O477" s="11"/>
      <c r="P477" s="8"/>
      <c r="Q477" s="8"/>
      <c r="R477" s="9"/>
    </row>
    <row r="478" spans="1:18" x14ac:dyDescent="0.4">
      <c r="A478" s="5"/>
      <c r="B478" s="5"/>
      <c r="C478" s="5"/>
      <c r="D478" s="6"/>
      <c r="E478" s="7"/>
      <c r="F478" s="7"/>
      <c r="G478" s="5"/>
      <c r="H478" s="6"/>
      <c r="I478" s="6"/>
      <c r="J478" s="6"/>
      <c r="K478" s="8"/>
      <c r="L478" s="9"/>
      <c r="M478" s="8"/>
      <c r="N478" s="10"/>
      <c r="O478" s="11"/>
      <c r="P478" s="8"/>
      <c r="Q478" s="8"/>
      <c r="R478" s="9"/>
    </row>
    <row r="479" spans="1:18" x14ac:dyDescent="0.4">
      <c r="A479" s="5"/>
      <c r="B479" s="5"/>
      <c r="C479" s="5"/>
      <c r="D479" s="6"/>
      <c r="E479" s="7"/>
      <c r="F479" s="7"/>
      <c r="G479" s="5"/>
      <c r="H479" s="6"/>
      <c r="I479" s="6"/>
      <c r="J479" s="6"/>
      <c r="K479" s="8"/>
      <c r="L479" s="9"/>
      <c r="M479" s="8"/>
      <c r="N479" s="10"/>
      <c r="O479" s="11"/>
      <c r="P479" s="8"/>
      <c r="Q479" s="8"/>
      <c r="R479" s="9"/>
    </row>
    <row r="480" spans="1:18" x14ac:dyDescent="0.4">
      <c r="A480" s="5"/>
      <c r="B480" s="5"/>
      <c r="C480" s="5"/>
      <c r="D480" s="6"/>
      <c r="E480" s="7"/>
      <c r="F480" s="7"/>
      <c r="G480" s="5"/>
      <c r="H480" s="6"/>
      <c r="I480" s="6"/>
      <c r="J480" s="6"/>
      <c r="K480" s="8"/>
      <c r="L480" s="9"/>
      <c r="M480" s="8"/>
      <c r="N480" s="10"/>
      <c r="O480" s="11"/>
      <c r="P480" s="8"/>
      <c r="Q480" s="8"/>
      <c r="R480" s="9"/>
    </row>
    <row r="481" spans="1:18" x14ac:dyDescent="0.4">
      <c r="A481" s="5"/>
      <c r="B481" s="5"/>
      <c r="C481" s="5"/>
      <c r="D481" s="6"/>
      <c r="E481" s="7"/>
      <c r="F481" s="7"/>
      <c r="G481" s="5"/>
      <c r="H481" s="6"/>
      <c r="I481" s="6"/>
      <c r="J481" s="6"/>
      <c r="K481" s="8"/>
      <c r="L481" s="9"/>
      <c r="M481" s="8"/>
      <c r="N481" s="10"/>
      <c r="O481" s="11"/>
      <c r="P481" s="8"/>
      <c r="Q481" s="8"/>
      <c r="R481" s="9"/>
    </row>
    <row r="482" spans="1:18" x14ac:dyDescent="0.4">
      <c r="A482" s="5"/>
      <c r="B482" s="5"/>
      <c r="C482" s="5"/>
      <c r="D482" s="6"/>
      <c r="E482" s="7"/>
      <c r="F482" s="7"/>
      <c r="G482" s="5"/>
      <c r="H482" s="6"/>
      <c r="I482" s="6"/>
      <c r="J482" s="6"/>
      <c r="K482" s="8"/>
      <c r="L482" s="9"/>
      <c r="M482" s="8"/>
      <c r="N482" s="10"/>
      <c r="O482" s="11"/>
      <c r="P482" s="8"/>
      <c r="Q482" s="8"/>
      <c r="R482" s="9"/>
    </row>
    <row r="483" spans="1:18" x14ac:dyDescent="0.4">
      <c r="A483" s="5"/>
      <c r="B483" s="5"/>
      <c r="C483" s="5"/>
      <c r="D483" s="6"/>
      <c r="E483" s="7"/>
      <c r="F483" s="7"/>
      <c r="G483" s="5"/>
      <c r="H483" s="6"/>
      <c r="I483" s="6"/>
      <c r="J483" s="6"/>
      <c r="K483" s="8"/>
      <c r="L483" s="9"/>
      <c r="M483" s="8"/>
      <c r="N483" s="10"/>
      <c r="O483" s="11"/>
      <c r="P483" s="8"/>
      <c r="Q483" s="8"/>
      <c r="R483" s="9"/>
    </row>
    <row r="484" spans="1:18" x14ac:dyDescent="0.4">
      <c r="A484" s="5"/>
      <c r="B484" s="5"/>
      <c r="C484" s="5"/>
      <c r="D484" s="6"/>
      <c r="E484" s="7"/>
      <c r="F484" s="7"/>
      <c r="G484" s="5"/>
      <c r="H484" s="6"/>
      <c r="I484" s="6"/>
      <c r="J484" s="6"/>
      <c r="K484" s="8"/>
      <c r="L484" s="9"/>
      <c r="M484" s="8"/>
      <c r="N484" s="10"/>
      <c r="O484" s="11"/>
      <c r="P484" s="8"/>
      <c r="Q484" s="8"/>
      <c r="R484" s="9"/>
    </row>
    <row r="485" spans="1:18" x14ac:dyDescent="0.4">
      <c r="A485" s="5"/>
      <c r="B485" s="5"/>
      <c r="C485" s="5"/>
      <c r="D485" s="6"/>
      <c r="E485" s="7"/>
      <c r="F485" s="7"/>
      <c r="G485" s="5"/>
      <c r="H485" s="6"/>
      <c r="I485" s="6"/>
      <c r="J485" s="6"/>
      <c r="K485" s="8"/>
      <c r="L485" s="9"/>
      <c r="M485" s="8"/>
      <c r="N485" s="10"/>
      <c r="O485" s="11"/>
      <c r="P485" s="8"/>
      <c r="Q485" s="8"/>
      <c r="R485" s="9"/>
    </row>
    <row r="486" spans="1:18" x14ac:dyDescent="0.4">
      <c r="A486" s="5"/>
      <c r="B486" s="5"/>
      <c r="C486" s="5"/>
      <c r="D486" s="6"/>
      <c r="E486" s="7"/>
      <c r="F486" s="7"/>
      <c r="G486" s="5"/>
      <c r="H486" s="6"/>
      <c r="I486" s="6"/>
      <c r="J486" s="6"/>
      <c r="K486" s="8"/>
      <c r="L486" s="9"/>
      <c r="M486" s="8"/>
      <c r="N486" s="10"/>
      <c r="O486" s="11"/>
      <c r="P486" s="8"/>
      <c r="Q486" s="8"/>
      <c r="R486" s="9"/>
    </row>
    <row r="487" spans="1:18" x14ac:dyDescent="0.4">
      <c r="A487" s="5"/>
      <c r="B487" s="5"/>
      <c r="C487" s="5"/>
      <c r="D487" s="6"/>
      <c r="E487" s="7"/>
      <c r="F487" s="7"/>
      <c r="G487" s="5"/>
      <c r="H487" s="6"/>
      <c r="I487" s="6"/>
      <c r="J487" s="6"/>
      <c r="K487" s="8"/>
      <c r="L487" s="9"/>
      <c r="M487" s="8"/>
      <c r="N487" s="10"/>
      <c r="O487" s="11"/>
      <c r="P487" s="8"/>
      <c r="Q487" s="8"/>
      <c r="R487" s="9"/>
    </row>
    <row r="488" spans="1:18" x14ac:dyDescent="0.4">
      <c r="A488" s="5"/>
      <c r="B488" s="5"/>
      <c r="C488" s="5"/>
      <c r="D488" s="6"/>
      <c r="E488" s="7"/>
      <c r="F488" s="7"/>
      <c r="G488" s="5"/>
      <c r="H488" s="6"/>
      <c r="I488" s="6"/>
      <c r="J488" s="6"/>
      <c r="K488" s="8"/>
      <c r="L488" s="9"/>
      <c r="M488" s="8"/>
      <c r="N488" s="10"/>
      <c r="O488" s="11"/>
      <c r="P488" s="8"/>
      <c r="Q488" s="8"/>
      <c r="R488" s="9"/>
    </row>
    <row r="489" spans="1:18" x14ac:dyDescent="0.4">
      <c r="A489" s="5"/>
      <c r="B489" s="5"/>
      <c r="C489" s="5"/>
      <c r="D489" s="6"/>
      <c r="E489" s="7"/>
      <c r="F489" s="7"/>
      <c r="G489" s="5"/>
      <c r="H489" s="6"/>
      <c r="I489" s="6"/>
      <c r="J489" s="6"/>
      <c r="K489" s="8"/>
      <c r="L489" s="9"/>
      <c r="M489" s="8"/>
      <c r="N489" s="10"/>
      <c r="O489" s="11"/>
      <c r="P489" s="8"/>
      <c r="Q489" s="8"/>
      <c r="R489" s="9"/>
    </row>
    <row r="490" spans="1:18" x14ac:dyDescent="0.4">
      <c r="A490" s="5"/>
      <c r="B490" s="5"/>
      <c r="C490" s="5"/>
      <c r="D490" s="6"/>
      <c r="E490" s="7"/>
      <c r="F490" s="7"/>
      <c r="G490" s="5"/>
      <c r="H490" s="6"/>
      <c r="I490" s="6"/>
      <c r="J490" s="6"/>
      <c r="K490" s="8"/>
      <c r="L490" s="9"/>
      <c r="M490" s="8"/>
      <c r="N490" s="10"/>
      <c r="O490" s="11"/>
      <c r="P490" s="8"/>
      <c r="Q490" s="8"/>
      <c r="R490" s="9"/>
    </row>
    <row r="491" spans="1:18" x14ac:dyDescent="0.4">
      <c r="A491" s="5"/>
      <c r="B491" s="5"/>
      <c r="C491" s="5"/>
      <c r="D491" s="6"/>
      <c r="E491" s="7"/>
      <c r="F491" s="7"/>
      <c r="G491" s="5"/>
      <c r="H491" s="6"/>
      <c r="I491" s="6"/>
      <c r="J491" s="6"/>
      <c r="K491" s="8"/>
      <c r="L491" s="9"/>
      <c r="M491" s="8"/>
      <c r="N491" s="10"/>
      <c r="O491" s="11"/>
      <c r="P491" s="8"/>
      <c r="Q491" s="8"/>
      <c r="R491" s="9"/>
    </row>
    <row r="492" spans="1:18" x14ac:dyDescent="0.4">
      <c r="A492" s="5"/>
      <c r="B492" s="5"/>
      <c r="C492" s="5"/>
      <c r="D492" s="6"/>
      <c r="E492" s="7"/>
      <c r="F492" s="7"/>
      <c r="G492" s="5"/>
      <c r="H492" s="6"/>
      <c r="I492" s="6"/>
      <c r="J492" s="6"/>
      <c r="K492" s="8"/>
      <c r="L492" s="9"/>
      <c r="M492" s="8"/>
      <c r="N492" s="10"/>
      <c r="O492" s="11"/>
      <c r="P492" s="8"/>
      <c r="Q492" s="8"/>
      <c r="R492" s="9"/>
    </row>
    <row r="493" spans="1:18" x14ac:dyDescent="0.4">
      <c r="A493" s="5"/>
      <c r="B493" s="5"/>
      <c r="C493" s="5"/>
      <c r="D493" s="6"/>
      <c r="E493" s="7"/>
      <c r="F493" s="7"/>
      <c r="G493" s="5"/>
      <c r="H493" s="6"/>
      <c r="I493" s="6"/>
      <c r="J493" s="6"/>
      <c r="K493" s="8"/>
      <c r="L493" s="9"/>
      <c r="M493" s="8"/>
      <c r="N493" s="10"/>
      <c r="O493" s="11"/>
      <c r="P493" s="8"/>
      <c r="Q493" s="8"/>
      <c r="R493" s="9"/>
    </row>
    <row r="494" spans="1:18" x14ac:dyDescent="0.4">
      <c r="A494" s="5"/>
      <c r="B494" s="5"/>
      <c r="C494" s="5"/>
      <c r="D494" s="6"/>
      <c r="E494" s="7"/>
      <c r="F494" s="7"/>
      <c r="G494" s="5"/>
      <c r="H494" s="6"/>
      <c r="I494" s="6"/>
      <c r="J494" s="6"/>
      <c r="K494" s="8"/>
      <c r="L494" s="9"/>
      <c r="M494" s="8"/>
      <c r="N494" s="10"/>
      <c r="O494" s="11"/>
      <c r="P494" s="8"/>
      <c r="Q494" s="8"/>
      <c r="R494" s="9"/>
    </row>
    <row r="495" spans="1:18" x14ac:dyDescent="0.4">
      <c r="A495" s="5"/>
      <c r="B495" s="5"/>
      <c r="C495" s="5"/>
      <c r="D495" s="6"/>
      <c r="E495" s="7"/>
      <c r="F495" s="7"/>
      <c r="G495" s="5"/>
      <c r="H495" s="6"/>
      <c r="I495" s="6"/>
      <c r="J495" s="6"/>
      <c r="K495" s="8"/>
      <c r="L495" s="9"/>
      <c r="M495" s="8"/>
      <c r="N495" s="10"/>
      <c r="O495" s="11"/>
      <c r="P495" s="8"/>
      <c r="Q495" s="8"/>
      <c r="R495" s="9"/>
    </row>
    <row r="496" spans="1:18" x14ac:dyDescent="0.4">
      <c r="A496" s="5"/>
      <c r="B496" s="5"/>
      <c r="C496" s="5"/>
      <c r="D496" s="6"/>
      <c r="E496" s="7"/>
      <c r="F496" s="7"/>
      <c r="G496" s="5"/>
      <c r="H496" s="6"/>
      <c r="I496" s="6"/>
      <c r="J496" s="6"/>
      <c r="K496" s="8"/>
      <c r="L496" s="9"/>
      <c r="M496" s="8"/>
      <c r="N496" s="10"/>
      <c r="O496" s="11"/>
      <c r="P496" s="8"/>
      <c r="Q496" s="8"/>
      <c r="R496" s="9"/>
    </row>
    <row r="497" spans="1:18" x14ac:dyDescent="0.4">
      <c r="A497" s="5"/>
      <c r="B497" s="5"/>
      <c r="C497" s="5"/>
      <c r="D497" s="6"/>
      <c r="E497" s="7"/>
      <c r="F497" s="7"/>
      <c r="G497" s="5"/>
      <c r="H497" s="6"/>
      <c r="I497" s="6"/>
      <c r="J497" s="6"/>
      <c r="K497" s="8"/>
      <c r="L497" s="9"/>
      <c r="M497" s="8"/>
      <c r="N497" s="10"/>
      <c r="O497" s="11"/>
      <c r="P497" s="8"/>
      <c r="Q497" s="8"/>
      <c r="R497" s="9"/>
    </row>
    <row r="498" spans="1:18" x14ac:dyDescent="0.4">
      <c r="A498" s="5"/>
      <c r="B498" s="5"/>
      <c r="C498" s="5"/>
      <c r="D498" s="6"/>
      <c r="E498" s="7"/>
      <c r="F498" s="7"/>
      <c r="G498" s="5"/>
      <c r="H498" s="6"/>
      <c r="I498" s="6"/>
      <c r="J498" s="6"/>
      <c r="K498" s="8"/>
      <c r="L498" s="9"/>
      <c r="M498" s="8"/>
      <c r="N498" s="10"/>
      <c r="O498" s="11"/>
      <c r="P498" s="8"/>
      <c r="Q498" s="8"/>
      <c r="R498" s="9"/>
    </row>
    <row r="499" spans="1:18" x14ac:dyDescent="0.4">
      <c r="A499" s="5"/>
      <c r="B499" s="5"/>
      <c r="C499" s="5"/>
      <c r="D499" s="6"/>
      <c r="E499" s="7"/>
      <c r="F499" s="7"/>
      <c r="G499" s="5"/>
      <c r="H499" s="6"/>
      <c r="I499" s="6"/>
      <c r="J499" s="6"/>
      <c r="K499" s="8"/>
      <c r="L499" s="9"/>
      <c r="M499" s="8"/>
      <c r="N499" s="10"/>
      <c r="O499" s="11"/>
      <c r="P499" s="8"/>
      <c r="Q499" s="8"/>
      <c r="R499" s="9"/>
    </row>
    <row r="500" spans="1:18" x14ac:dyDescent="0.4">
      <c r="A500" s="5"/>
      <c r="B500" s="5"/>
      <c r="C500" s="5"/>
      <c r="D500" s="6"/>
      <c r="E500" s="7"/>
      <c r="F500" s="7"/>
      <c r="G500" s="5"/>
      <c r="H500" s="6"/>
      <c r="I500" s="6"/>
      <c r="J500" s="6"/>
      <c r="K500" s="8"/>
      <c r="L500" s="9"/>
      <c r="M500" s="8"/>
      <c r="N500" s="10"/>
      <c r="O500" s="11"/>
      <c r="P500" s="8"/>
      <c r="Q500" s="8"/>
      <c r="R500" s="9"/>
    </row>
    <row r="501" spans="1:18" x14ac:dyDescent="0.4">
      <c r="A501" s="5"/>
      <c r="B501" s="5"/>
      <c r="C501" s="5"/>
      <c r="D501" s="6"/>
      <c r="E501" s="7"/>
      <c r="F501" s="7"/>
      <c r="G501" s="5"/>
      <c r="H501" s="6"/>
      <c r="I501" s="6"/>
      <c r="J501" s="6"/>
      <c r="K501" s="8"/>
      <c r="L501" s="9"/>
      <c r="M501" s="8"/>
      <c r="N501" s="10"/>
      <c r="O501" s="11"/>
      <c r="P501" s="8"/>
      <c r="Q501" s="8"/>
      <c r="R501" s="13"/>
    </row>
    <row r="502" spans="1:18" x14ac:dyDescent="0.4">
      <c r="A502" s="5"/>
      <c r="B502" s="5"/>
      <c r="C502" s="5"/>
      <c r="D502" s="6"/>
      <c r="E502" s="7"/>
      <c r="F502" s="7"/>
      <c r="G502" s="5"/>
      <c r="H502" s="6"/>
      <c r="I502" s="6"/>
      <c r="J502" s="6"/>
      <c r="K502" s="8"/>
      <c r="L502" s="9"/>
      <c r="M502" s="8"/>
      <c r="N502" s="10"/>
      <c r="O502" s="11"/>
      <c r="P502" s="8"/>
      <c r="Q502" s="8"/>
      <c r="R502" s="9"/>
    </row>
    <row r="503" spans="1:18" x14ac:dyDescent="0.4">
      <c r="A503" s="5"/>
      <c r="B503" s="5"/>
      <c r="C503" s="5"/>
      <c r="D503" s="6"/>
      <c r="E503" s="7"/>
      <c r="F503" s="7"/>
      <c r="G503" s="5"/>
      <c r="H503" s="6"/>
      <c r="I503" s="6"/>
      <c r="J503" s="6"/>
      <c r="K503" s="8"/>
      <c r="L503" s="9"/>
      <c r="M503" s="8"/>
      <c r="N503" s="10"/>
      <c r="O503" s="11"/>
      <c r="P503" s="8"/>
      <c r="Q503" s="8"/>
      <c r="R503" s="9"/>
    </row>
    <row r="504" spans="1:18" x14ac:dyDescent="0.4">
      <c r="A504" s="5"/>
      <c r="B504" s="5"/>
      <c r="C504" s="5"/>
      <c r="D504" s="6"/>
      <c r="E504" s="7"/>
      <c r="F504" s="7"/>
      <c r="G504" s="5"/>
      <c r="H504" s="6"/>
      <c r="I504" s="6"/>
      <c r="J504" s="6"/>
      <c r="K504" s="8"/>
      <c r="L504" s="9"/>
      <c r="M504" s="8"/>
      <c r="N504" s="10"/>
      <c r="O504" s="11"/>
      <c r="P504" s="8"/>
      <c r="Q504" s="8"/>
      <c r="R504" s="9"/>
    </row>
    <row r="505" spans="1:18" x14ac:dyDescent="0.4">
      <c r="A505" s="5"/>
      <c r="B505" s="5"/>
      <c r="C505" s="5"/>
      <c r="D505" s="6"/>
      <c r="E505" s="7"/>
      <c r="F505" s="7"/>
      <c r="G505" s="5"/>
      <c r="H505" s="6"/>
      <c r="I505" s="6"/>
      <c r="J505" s="6"/>
      <c r="K505" s="8"/>
      <c r="L505" s="9"/>
      <c r="M505" s="8"/>
      <c r="N505" s="10"/>
      <c r="O505" s="11"/>
      <c r="P505" s="8"/>
      <c r="Q505" s="8"/>
      <c r="R505" s="9"/>
    </row>
    <row r="506" spans="1:18" x14ac:dyDescent="0.4">
      <c r="A506" s="5"/>
      <c r="B506" s="5"/>
      <c r="C506" s="5"/>
      <c r="D506" s="6"/>
      <c r="E506" s="7"/>
      <c r="F506" s="7"/>
      <c r="G506" s="5"/>
      <c r="H506" s="6"/>
      <c r="I506" s="6"/>
      <c r="J506" s="6"/>
      <c r="K506" s="8"/>
      <c r="L506" s="9"/>
      <c r="M506" s="8"/>
      <c r="N506" s="10"/>
      <c r="O506" s="11"/>
      <c r="P506" s="8"/>
      <c r="Q506" s="8"/>
      <c r="R506" s="9"/>
    </row>
    <row r="507" spans="1:18" x14ac:dyDescent="0.4">
      <c r="A507" s="5"/>
      <c r="B507" s="5"/>
      <c r="C507" s="5"/>
      <c r="D507" s="6"/>
      <c r="E507" s="7"/>
      <c r="F507" s="7"/>
      <c r="G507" s="5"/>
      <c r="H507" s="6"/>
      <c r="I507" s="6"/>
      <c r="J507" s="6"/>
      <c r="K507" s="8"/>
      <c r="L507" s="9"/>
      <c r="M507" s="8"/>
      <c r="N507" s="10"/>
      <c r="O507" s="11"/>
      <c r="P507" s="8"/>
      <c r="Q507" s="8"/>
      <c r="R507" s="9"/>
    </row>
    <row r="508" spans="1:18" x14ac:dyDescent="0.4">
      <c r="A508" s="5"/>
      <c r="B508" s="5"/>
      <c r="C508" s="5"/>
      <c r="D508" s="6"/>
      <c r="E508" s="7"/>
      <c r="F508" s="7"/>
      <c r="G508" s="5"/>
      <c r="H508" s="6"/>
      <c r="I508" s="6"/>
      <c r="J508" s="6"/>
      <c r="K508" s="8"/>
      <c r="L508" s="9"/>
      <c r="M508" s="8"/>
      <c r="N508" s="10"/>
      <c r="O508" s="11"/>
      <c r="P508" s="8"/>
      <c r="Q508" s="8"/>
      <c r="R508" s="9"/>
    </row>
    <row r="509" spans="1:18" x14ac:dyDescent="0.4">
      <c r="A509" s="5"/>
      <c r="B509" s="5"/>
      <c r="C509" s="5"/>
      <c r="D509" s="6"/>
      <c r="E509" s="7"/>
      <c r="F509" s="7"/>
      <c r="G509" s="5"/>
      <c r="H509" s="6"/>
      <c r="I509" s="6"/>
      <c r="J509" s="6"/>
      <c r="K509" s="8"/>
      <c r="L509" s="9"/>
      <c r="M509" s="8"/>
      <c r="N509" s="10"/>
      <c r="O509" s="11"/>
      <c r="P509" s="8"/>
      <c r="Q509" s="8"/>
      <c r="R509" s="9"/>
    </row>
    <row r="510" spans="1:18" x14ac:dyDescent="0.4">
      <c r="A510" s="5"/>
      <c r="B510" s="5"/>
      <c r="C510" s="5"/>
      <c r="D510" s="6"/>
      <c r="E510" s="7"/>
      <c r="F510" s="7"/>
      <c r="G510" s="5"/>
      <c r="H510" s="6"/>
      <c r="I510" s="6"/>
      <c r="J510" s="6"/>
      <c r="K510" s="8"/>
      <c r="L510" s="9"/>
      <c r="M510" s="8"/>
      <c r="N510" s="10"/>
      <c r="O510" s="11"/>
      <c r="P510" s="8"/>
      <c r="Q510" s="8"/>
      <c r="R510" s="9"/>
    </row>
    <row r="511" spans="1:18" x14ac:dyDescent="0.4">
      <c r="A511" s="5"/>
      <c r="B511" s="5"/>
      <c r="C511" s="5"/>
      <c r="D511" s="6"/>
      <c r="E511" s="7"/>
      <c r="F511" s="7"/>
      <c r="G511" s="5"/>
      <c r="H511" s="6"/>
      <c r="I511" s="6"/>
      <c r="J511" s="6"/>
      <c r="K511" s="8"/>
      <c r="L511" s="9"/>
      <c r="M511" s="8"/>
      <c r="N511" s="10"/>
      <c r="O511" s="11"/>
      <c r="P511" s="8"/>
      <c r="Q511" s="8"/>
      <c r="R511" s="9"/>
    </row>
    <row r="512" spans="1:18" x14ac:dyDescent="0.4">
      <c r="A512" s="5"/>
      <c r="B512" s="5"/>
      <c r="C512" s="5"/>
      <c r="D512" s="6"/>
      <c r="E512" s="7"/>
      <c r="F512" s="7"/>
      <c r="G512" s="5"/>
      <c r="H512" s="6"/>
      <c r="I512" s="6"/>
      <c r="J512" s="6"/>
      <c r="K512" s="8"/>
      <c r="L512" s="9"/>
      <c r="M512" s="8"/>
      <c r="N512" s="10"/>
      <c r="O512" s="11"/>
      <c r="P512" s="8"/>
      <c r="Q512" s="8"/>
      <c r="R512" s="9"/>
    </row>
    <row r="513" spans="1:19" x14ac:dyDescent="0.4">
      <c r="A513" s="5"/>
      <c r="B513" s="5"/>
      <c r="C513" s="5"/>
      <c r="D513" s="6"/>
      <c r="E513" s="7"/>
      <c r="F513" s="7"/>
      <c r="G513" s="5"/>
      <c r="H513" s="6"/>
      <c r="I513" s="6"/>
      <c r="J513" s="6"/>
      <c r="K513" s="8"/>
      <c r="L513" s="9"/>
      <c r="M513" s="8"/>
      <c r="N513" s="10"/>
      <c r="O513" s="11"/>
      <c r="P513" s="8"/>
      <c r="Q513" s="8"/>
      <c r="R513" s="9"/>
    </row>
    <row r="514" spans="1:19" x14ac:dyDescent="0.4">
      <c r="A514" s="5"/>
      <c r="B514" s="5"/>
      <c r="C514" s="5"/>
      <c r="D514" s="6"/>
      <c r="E514" s="7"/>
      <c r="F514" s="7"/>
      <c r="G514" s="5"/>
      <c r="H514" s="6"/>
      <c r="I514" s="6"/>
      <c r="J514" s="6"/>
      <c r="K514" s="8"/>
      <c r="L514" s="9"/>
      <c r="M514" s="8"/>
      <c r="N514" s="10"/>
      <c r="O514" s="11"/>
      <c r="P514" s="8"/>
      <c r="Q514" s="8"/>
      <c r="R514" s="9"/>
    </row>
    <row r="515" spans="1:19" x14ac:dyDescent="0.4">
      <c r="A515" s="5"/>
      <c r="B515" s="5"/>
      <c r="C515" s="5"/>
      <c r="D515" s="6"/>
      <c r="E515" s="7"/>
      <c r="F515" s="7"/>
      <c r="G515" s="5"/>
      <c r="H515" s="6"/>
      <c r="I515" s="6"/>
      <c r="J515" s="6"/>
      <c r="K515" s="8"/>
      <c r="L515" s="9"/>
      <c r="M515" s="8"/>
      <c r="N515" s="10"/>
      <c r="O515" s="11"/>
      <c r="P515" s="8"/>
      <c r="Q515" s="8"/>
      <c r="R515" s="9"/>
    </row>
    <row r="516" spans="1:19" x14ac:dyDescent="0.4">
      <c r="A516" s="5"/>
      <c r="B516" s="5"/>
      <c r="C516" s="5"/>
      <c r="D516" s="6"/>
      <c r="E516" s="7"/>
      <c r="F516" s="7"/>
      <c r="G516" s="5"/>
      <c r="H516" s="6"/>
      <c r="I516" s="6"/>
      <c r="J516" s="6"/>
      <c r="K516" s="8"/>
      <c r="L516" s="9"/>
      <c r="M516" s="8"/>
      <c r="N516" s="10"/>
      <c r="O516" s="11"/>
      <c r="P516" s="8"/>
      <c r="Q516" s="8"/>
      <c r="R516" s="9"/>
    </row>
    <row r="517" spans="1:19" x14ac:dyDescent="0.4">
      <c r="A517" s="5"/>
      <c r="B517" s="5"/>
      <c r="C517" s="5"/>
      <c r="D517" s="6"/>
      <c r="E517" s="7"/>
      <c r="F517" s="7"/>
      <c r="G517" s="5"/>
      <c r="H517" s="6"/>
      <c r="I517" s="6"/>
      <c r="J517" s="6"/>
      <c r="K517" s="8"/>
      <c r="L517" s="9"/>
      <c r="M517" s="8"/>
      <c r="N517" s="10"/>
      <c r="O517" s="11"/>
      <c r="P517" s="8"/>
      <c r="Q517" s="8"/>
      <c r="R517" s="9"/>
    </row>
    <row r="518" spans="1:19" x14ac:dyDescent="0.4">
      <c r="A518" s="5"/>
      <c r="B518" s="5"/>
      <c r="C518" s="5"/>
      <c r="D518" s="6"/>
      <c r="E518" s="7"/>
      <c r="F518" s="7"/>
      <c r="G518" s="5"/>
      <c r="H518" s="6"/>
      <c r="I518" s="6"/>
      <c r="J518" s="6"/>
      <c r="K518" s="8"/>
      <c r="L518" s="9"/>
      <c r="M518" s="8"/>
      <c r="N518" s="10"/>
      <c r="O518" s="11"/>
      <c r="P518" s="8"/>
      <c r="Q518" s="8"/>
      <c r="R518" s="9"/>
    </row>
    <row r="519" spans="1:19" x14ac:dyDescent="0.4">
      <c r="A519" s="5"/>
      <c r="B519" s="5"/>
      <c r="C519" s="5"/>
      <c r="D519" s="6"/>
      <c r="E519" s="7"/>
      <c r="F519" s="7"/>
      <c r="G519" s="5"/>
      <c r="H519" s="6"/>
      <c r="I519" s="6"/>
      <c r="J519" s="6"/>
      <c r="K519" s="8"/>
      <c r="L519" s="9"/>
      <c r="M519" s="8"/>
      <c r="N519" s="10"/>
      <c r="O519" s="11"/>
      <c r="P519" s="8"/>
      <c r="Q519" s="8"/>
      <c r="R519" s="9"/>
    </row>
    <row r="520" spans="1:19" x14ac:dyDescent="0.4">
      <c r="A520" s="5"/>
      <c r="B520" s="5"/>
      <c r="C520" s="5"/>
      <c r="D520" s="6"/>
      <c r="E520" s="7"/>
      <c r="F520" s="7"/>
      <c r="G520" s="5"/>
      <c r="H520" s="6"/>
      <c r="I520" s="6"/>
      <c r="J520" s="6"/>
      <c r="K520" s="8"/>
      <c r="L520" s="9"/>
      <c r="M520" s="8"/>
      <c r="N520" s="10"/>
      <c r="O520" s="11"/>
      <c r="P520" s="8"/>
      <c r="Q520" s="8"/>
      <c r="R520" s="9"/>
    </row>
    <row r="521" spans="1:19" x14ac:dyDescent="0.4">
      <c r="A521" s="5"/>
      <c r="B521" s="5"/>
      <c r="C521" s="5"/>
      <c r="D521" s="6"/>
      <c r="E521" s="7"/>
      <c r="F521" s="7"/>
      <c r="G521" s="5"/>
      <c r="H521" s="6"/>
      <c r="I521" s="6"/>
      <c r="J521" s="6"/>
      <c r="K521" s="8"/>
      <c r="L521" s="9"/>
      <c r="M521" s="8"/>
      <c r="N521" s="10"/>
      <c r="O521" s="11"/>
      <c r="P521" s="8"/>
      <c r="Q521" s="8"/>
      <c r="R521" s="9"/>
    </row>
    <row r="522" spans="1:19" x14ac:dyDescent="0.4">
      <c r="A522" s="5"/>
      <c r="B522" s="5"/>
      <c r="C522" s="5"/>
      <c r="D522" s="6"/>
      <c r="E522" s="7"/>
      <c r="F522" s="7"/>
      <c r="G522" s="5"/>
      <c r="H522" s="6"/>
      <c r="I522" s="6"/>
      <c r="J522" s="6"/>
      <c r="K522" s="8"/>
      <c r="L522" s="9"/>
      <c r="M522" s="8"/>
      <c r="N522" s="10"/>
      <c r="O522" s="11"/>
      <c r="P522" s="8"/>
      <c r="Q522" s="8"/>
      <c r="R522" s="9"/>
    </row>
    <row r="523" spans="1:19" x14ac:dyDescent="0.4">
      <c r="A523" s="5"/>
      <c r="B523" s="5"/>
      <c r="C523" s="5"/>
      <c r="D523" s="6"/>
      <c r="E523" s="7"/>
      <c r="F523" s="7"/>
      <c r="G523" s="5"/>
      <c r="H523" s="6"/>
      <c r="I523" s="6"/>
      <c r="J523" s="6"/>
      <c r="K523" s="8"/>
      <c r="L523" s="9"/>
      <c r="M523" s="8"/>
      <c r="N523" s="10"/>
      <c r="O523" s="11"/>
      <c r="P523" s="8"/>
      <c r="Q523" s="8"/>
      <c r="R523" s="9"/>
    </row>
    <row r="524" spans="1:19" x14ac:dyDescent="0.4">
      <c r="A524" s="5"/>
      <c r="B524" s="5"/>
      <c r="C524" s="5"/>
      <c r="D524" s="6"/>
      <c r="E524" s="7"/>
      <c r="F524" s="7"/>
      <c r="G524" s="5"/>
      <c r="H524" s="6"/>
      <c r="I524" s="6"/>
      <c r="J524" s="6"/>
      <c r="K524" s="8"/>
      <c r="L524" s="9"/>
      <c r="M524" s="8"/>
      <c r="N524" s="10"/>
      <c r="O524" s="11"/>
      <c r="P524" s="8"/>
      <c r="Q524" s="8"/>
      <c r="R524" s="9"/>
    </row>
    <row r="525" spans="1:19" x14ac:dyDescent="0.4">
      <c r="A525" s="5"/>
      <c r="B525" s="5"/>
      <c r="C525" s="5"/>
      <c r="D525" s="6"/>
      <c r="E525" s="7"/>
      <c r="F525" s="7"/>
      <c r="G525" s="5"/>
      <c r="H525" s="6"/>
      <c r="I525" s="6"/>
      <c r="J525" s="6"/>
      <c r="K525" s="8"/>
      <c r="L525" s="9"/>
      <c r="M525" s="8"/>
      <c r="N525" s="10"/>
      <c r="O525" s="11"/>
      <c r="P525" s="8"/>
      <c r="Q525" s="8"/>
      <c r="R525" s="13"/>
      <c r="S525" s="17"/>
    </row>
    <row r="526" spans="1:19" x14ac:dyDescent="0.4">
      <c r="A526" s="5"/>
      <c r="B526" s="5"/>
      <c r="C526" s="5"/>
      <c r="D526" s="6"/>
      <c r="E526" s="7"/>
      <c r="F526" s="7"/>
      <c r="G526" s="5"/>
      <c r="H526" s="6"/>
      <c r="I526" s="6"/>
      <c r="J526" s="6"/>
      <c r="K526" s="8"/>
      <c r="L526" s="9"/>
      <c r="M526" s="8"/>
      <c r="N526" s="10"/>
      <c r="O526" s="11"/>
      <c r="P526" s="8"/>
      <c r="Q526" s="8"/>
      <c r="R526" s="8"/>
    </row>
    <row r="527" spans="1:19" x14ac:dyDescent="0.4">
      <c r="A527" s="5"/>
      <c r="B527" s="5"/>
      <c r="C527" s="5"/>
      <c r="D527" s="6"/>
      <c r="E527" s="7"/>
      <c r="F527" s="7"/>
      <c r="G527" s="5"/>
      <c r="H527" s="6"/>
      <c r="I527" s="6"/>
      <c r="J527" s="6"/>
      <c r="K527" s="8"/>
      <c r="L527" s="9"/>
      <c r="M527" s="8"/>
      <c r="N527" s="10"/>
      <c r="O527" s="11"/>
      <c r="P527" s="8"/>
      <c r="Q527" s="8"/>
      <c r="R527" s="9"/>
    </row>
    <row r="528" spans="1:19" x14ac:dyDescent="0.4">
      <c r="A528" s="5"/>
      <c r="B528" s="5"/>
      <c r="C528" s="5"/>
      <c r="D528" s="6"/>
      <c r="E528" s="7"/>
      <c r="F528" s="7"/>
      <c r="G528" s="5"/>
      <c r="H528" s="6"/>
      <c r="I528" s="6"/>
      <c r="J528" s="6"/>
      <c r="K528" s="8"/>
      <c r="L528" s="9"/>
      <c r="M528" s="8"/>
      <c r="N528" s="10"/>
      <c r="O528" s="11"/>
      <c r="P528" s="8"/>
      <c r="Q528" s="8"/>
      <c r="R528" s="9"/>
    </row>
    <row r="529" spans="1:19" x14ac:dyDescent="0.4">
      <c r="A529" s="5"/>
      <c r="B529" s="5"/>
      <c r="C529" s="5"/>
      <c r="D529" s="6"/>
      <c r="E529" s="7"/>
      <c r="F529" s="7"/>
      <c r="G529" s="5"/>
      <c r="H529" s="6"/>
      <c r="I529" s="6"/>
      <c r="J529" s="6"/>
      <c r="K529" s="8"/>
      <c r="L529" s="9"/>
      <c r="M529" s="8"/>
      <c r="N529" s="10"/>
      <c r="O529" s="11"/>
      <c r="P529" s="8"/>
      <c r="Q529" s="8"/>
      <c r="R529" s="9"/>
    </row>
    <row r="530" spans="1:19" x14ac:dyDescent="0.4">
      <c r="A530" s="5"/>
      <c r="B530" s="5"/>
      <c r="C530" s="5"/>
      <c r="D530" s="6"/>
      <c r="E530" s="7"/>
      <c r="F530" s="7"/>
      <c r="G530" s="5"/>
      <c r="H530" s="6"/>
      <c r="I530" s="6"/>
      <c r="J530" s="6"/>
      <c r="K530" s="8"/>
      <c r="L530" s="9"/>
      <c r="M530" s="8"/>
      <c r="N530" s="10"/>
      <c r="O530" s="11"/>
      <c r="P530" s="8"/>
      <c r="Q530" s="8"/>
      <c r="R530" s="9"/>
    </row>
    <row r="531" spans="1:19" x14ac:dyDescent="0.4">
      <c r="A531" s="5"/>
      <c r="B531" s="5"/>
      <c r="C531" s="5"/>
      <c r="D531" s="6"/>
      <c r="E531" s="7"/>
      <c r="F531" s="7"/>
      <c r="G531" s="5"/>
      <c r="H531" s="6"/>
      <c r="I531" s="6"/>
      <c r="J531" s="6"/>
      <c r="K531" s="8"/>
      <c r="L531" s="9"/>
      <c r="M531" s="8"/>
      <c r="N531" s="10"/>
      <c r="O531" s="11"/>
      <c r="P531" s="8"/>
      <c r="Q531" s="8"/>
      <c r="R531" s="9"/>
    </row>
    <row r="532" spans="1:19" x14ac:dyDescent="0.4">
      <c r="A532" s="5"/>
      <c r="B532" s="5"/>
      <c r="C532" s="5"/>
      <c r="D532" s="6"/>
      <c r="E532" s="7"/>
      <c r="F532" s="7"/>
      <c r="G532" s="5"/>
      <c r="H532" s="6"/>
      <c r="I532" s="6"/>
      <c r="J532" s="6"/>
      <c r="K532" s="8"/>
      <c r="L532" s="9"/>
      <c r="M532" s="8"/>
      <c r="N532" s="10"/>
      <c r="O532" s="11"/>
      <c r="P532" s="8"/>
      <c r="Q532" s="8"/>
      <c r="R532" s="9"/>
    </row>
    <row r="533" spans="1:19" x14ac:dyDescent="0.4">
      <c r="A533" s="5"/>
      <c r="B533" s="20"/>
      <c r="C533" s="21"/>
      <c r="D533" s="22"/>
      <c r="E533" s="23"/>
      <c r="F533" s="23"/>
      <c r="G533" s="20"/>
      <c r="H533" s="24"/>
      <c r="I533" s="24"/>
      <c r="J533" s="24"/>
      <c r="K533" s="25"/>
      <c r="L533" s="26"/>
      <c r="M533" s="27"/>
      <c r="N533" s="28"/>
      <c r="O533" s="29"/>
      <c r="P533" s="25"/>
      <c r="Q533" s="8"/>
      <c r="R533" s="9"/>
    </row>
    <row r="534" spans="1:19" x14ac:dyDescent="0.4">
      <c r="A534" s="5"/>
      <c r="B534" s="30"/>
      <c r="C534" s="31"/>
      <c r="D534" s="32"/>
      <c r="E534" s="33"/>
      <c r="F534" s="33"/>
      <c r="G534" s="34"/>
      <c r="H534" s="35"/>
      <c r="I534" s="35"/>
      <c r="J534" s="35"/>
      <c r="K534" s="36"/>
      <c r="L534" s="37"/>
      <c r="M534" s="38"/>
      <c r="N534" s="39"/>
      <c r="O534" s="40"/>
      <c r="P534" s="36"/>
      <c r="Q534" s="8"/>
      <c r="R534" s="9"/>
    </row>
    <row r="535" spans="1:19" x14ac:dyDescent="0.4">
      <c r="A535" s="5"/>
      <c r="B535" s="41"/>
      <c r="C535" s="42"/>
      <c r="D535" s="43"/>
      <c r="E535" s="44"/>
      <c r="F535" s="44"/>
      <c r="G535" s="41"/>
      <c r="H535" s="45"/>
      <c r="I535" s="45"/>
      <c r="J535" s="45"/>
      <c r="K535" s="46"/>
      <c r="L535" s="47"/>
      <c r="M535" s="38"/>
      <c r="N535" s="48"/>
      <c r="O535" s="49"/>
      <c r="P535" s="46"/>
      <c r="Q535" s="8"/>
      <c r="R535" s="9"/>
    </row>
    <row r="536" spans="1:19" x14ac:dyDescent="0.4">
      <c r="A536" s="5"/>
      <c r="B536" s="41"/>
      <c r="C536" s="42"/>
      <c r="D536" s="43"/>
      <c r="E536" s="44"/>
      <c r="F536" s="44"/>
      <c r="G536" s="41"/>
      <c r="H536" s="45"/>
      <c r="I536" s="45"/>
      <c r="J536" s="45"/>
      <c r="K536" s="46"/>
      <c r="L536" s="47"/>
      <c r="M536" s="38"/>
      <c r="N536" s="48"/>
      <c r="O536" s="49"/>
      <c r="P536" s="46"/>
      <c r="Q536" s="8"/>
      <c r="R536" s="9"/>
    </row>
    <row r="537" spans="1:19" x14ac:dyDescent="0.4">
      <c r="A537" s="5"/>
      <c r="B537" s="41"/>
      <c r="C537" s="42"/>
      <c r="D537" s="43"/>
      <c r="E537" s="44"/>
      <c r="F537" s="44"/>
      <c r="G537" s="41"/>
      <c r="H537" s="45"/>
      <c r="I537" s="45"/>
      <c r="J537" s="45"/>
      <c r="K537" s="46"/>
      <c r="L537" s="47"/>
      <c r="M537" s="38"/>
      <c r="N537" s="48"/>
      <c r="O537" s="49"/>
      <c r="P537" s="46"/>
      <c r="Q537" s="9"/>
      <c r="R537" s="9"/>
    </row>
    <row r="538" spans="1:19" x14ac:dyDescent="0.4">
      <c r="A538" s="5"/>
      <c r="B538" s="41"/>
      <c r="C538" s="42"/>
      <c r="D538" s="43"/>
      <c r="E538" s="44"/>
      <c r="F538" s="44"/>
      <c r="G538" s="41"/>
      <c r="H538" s="45"/>
      <c r="I538" s="45"/>
      <c r="J538" s="45"/>
      <c r="K538" s="46"/>
      <c r="L538" s="47"/>
      <c r="M538" s="38"/>
      <c r="N538" s="48"/>
      <c r="O538" s="49"/>
      <c r="P538" s="46"/>
      <c r="Q538" s="9"/>
      <c r="R538" s="9"/>
    </row>
    <row r="539" spans="1:19" x14ac:dyDescent="0.4">
      <c r="A539" s="5"/>
      <c r="B539" s="41"/>
      <c r="C539" s="42"/>
      <c r="D539" s="43"/>
      <c r="E539" s="44"/>
      <c r="F539" s="44"/>
      <c r="G539" s="41"/>
      <c r="H539" s="45"/>
      <c r="I539" s="45"/>
      <c r="J539" s="45"/>
      <c r="K539" s="46"/>
      <c r="L539" s="47"/>
      <c r="M539" s="38"/>
      <c r="N539" s="48"/>
      <c r="O539" s="49"/>
      <c r="P539" s="46"/>
      <c r="Q539" s="9"/>
      <c r="R539" s="9"/>
    </row>
    <row r="540" spans="1:19" x14ac:dyDescent="0.4">
      <c r="A540" s="5"/>
      <c r="B540" s="41"/>
      <c r="C540" s="42"/>
      <c r="D540" s="43"/>
      <c r="E540" s="44"/>
      <c r="F540" s="44"/>
      <c r="G540" s="41"/>
      <c r="H540" s="45"/>
      <c r="I540" s="45"/>
      <c r="J540" s="45"/>
      <c r="K540" s="46"/>
      <c r="L540" s="47"/>
      <c r="M540" s="38"/>
      <c r="N540" s="48"/>
      <c r="O540" s="49"/>
      <c r="P540" s="46"/>
      <c r="Q540" s="9"/>
      <c r="R540" s="9"/>
    </row>
    <row r="541" spans="1:19" x14ac:dyDescent="0.4">
      <c r="A541" s="5"/>
      <c r="B541" s="41"/>
      <c r="C541" s="42"/>
      <c r="D541" s="43"/>
      <c r="E541" s="44"/>
      <c r="F541" s="44"/>
      <c r="G541" s="41"/>
      <c r="H541" s="45"/>
      <c r="I541" s="45"/>
      <c r="J541" s="45"/>
      <c r="K541" s="46"/>
      <c r="L541" s="47"/>
      <c r="M541" s="38"/>
      <c r="N541" s="48"/>
      <c r="O541" s="49"/>
      <c r="P541" s="46"/>
      <c r="Q541" s="9"/>
      <c r="R541" s="9"/>
    </row>
    <row r="542" spans="1:19" x14ac:dyDescent="0.4">
      <c r="A542" s="5"/>
      <c r="B542" s="30"/>
      <c r="C542" s="31"/>
      <c r="D542" s="32"/>
      <c r="E542" s="33"/>
      <c r="F542" s="33"/>
      <c r="G542" s="30"/>
      <c r="H542" s="35"/>
      <c r="I542" s="35"/>
      <c r="J542" s="35"/>
      <c r="K542" s="36"/>
      <c r="L542" s="37"/>
      <c r="M542" s="50"/>
      <c r="N542" s="48"/>
      <c r="O542" s="40"/>
      <c r="P542" s="36"/>
      <c r="Q542" s="9"/>
      <c r="R542" s="37"/>
    </row>
    <row r="543" spans="1:19" x14ac:dyDescent="0.4">
      <c r="A543" s="5"/>
      <c r="B543" s="41"/>
      <c r="C543" s="42"/>
      <c r="D543" s="43"/>
      <c r="E543" s="44"/>
      <c r="F543" s="44"/>
      <c r="G543" s="41"/>
      <c r="H543" s="45"/>
      <c r="I543" s="45"/>
      <c r="J543" s="45"/>
      <c r="K543" s="46"/>
      <c r="L543" s="47"/>
      <c r="M543" s="38"/>
      <c r="N543" s="48"/>
      <c r="O543" s="49"/>
      <c r="P543" s="46"/>
      <c r="Q543" s="9"/>
      <c r="R543" s="13"/>
      <c r="S543" s="17" t="s">
        <v>29</v>
      </c>
    </row>
    <row r="544" spans="1:19" x14ac:dyDescent="0.4">
      <c r="A544" s="5"/>
      <c r="B544" s="41"/>
      <c r="C544" s="42"/>
      <c r="D544" s="43"/>
      <c r="E544" s="44"/>
      <c r="F544" s="44"/>
      <c r="G544" s="41"/>
      <c r="H544" s="45"/>
      <c r="I544" s="45"/>
      <c r="J544" s="45"/>
      <c r="K544" s="46"/>
      <c r="L544" s="47"/>
      <c r="M544" s="38"/>
      <c r="N544" s="48"/>
      <c r="O544" s="49"/>
      <c r="P544" s="46"/>
      <c r="Q544" s="9"/>
      <c r="R544" s="47"/>
    </row>
    <row r="545" spans="1:18" x14ac:dyDescent="0.4">
      <c r="A545" s="5"/>
      <c r="B545" s="30"/>
      <c r="C545" s="31"/>
      <c r="D545" s="32"/>
      <c r="E545" s="33"/>
      <c r="F545" s="33"/>
      <c r="G545" s="30"/>
      <c r="H545" s="35"/>
      <c r="I545" s="35"/>
      <c r="J545" s="35"/>
      <c r="K545" s="36"/>
      <c r="L545" s="37"/>
      <c r="M545" s="50"/>
      <c r="N545" s="39"/>
      <c r="O545" s="40"/>
      <c r="P545" s="36"/>
      <c r="Q545" s="9"/>
      <c r="R545" s="9"/>
    </row>
    <row r="546" spans="1:18" x14ac:dyDescent="0.4">
      <c r="A546" s="5"/>
      <c r="B546" s="41"/>
      <c r="C546" s="42"/>
      <c r="D546" s="43"/>
      <c r="E546" s="44"/>
      <c r="F546" s="44"/>
      <c r="G546" s="41"/>
      <c r="H546" s="45"/>
      <c r="I546" s="45"/>
      <c r="J546" s="45"/>
      <c r="K546" s="46"/>
      <c r="L546" s="47"/>
      <c r="M546" s="38"/>
      <c r="N546" s="48"/>
      <c r="O546" s="49"/>
      <c r="P546" s="46"/>
      <c r="Q546" s="9"/>
      <c r="R546" s="9"/>
    </row>
    <row r="547" spans="1:18" x14ac:dyDescent="0.4">
      <c r="A547" s="5"/>
      <c r="B547" s="30"/>
      <c r="C547" s="31"/>
      <c r="D547" s="32"/>
      <c r="E547" s="33"/>
      <c r="F547" s="33"/>
      <c r="G547" s="30"/>
      <c r="H547" s="35"/>
      <c r="I547" s="35"/>
      <c r="J547" s="35"/>
      <c r="K547" s="36"/>
      <c r="L547" s="37"/>
      <c r="M547" s="50"/>
      <c r="N547" s="39"/>
      <c r="O547" s="40"/>
      <c r="P547" s="36"/>
      <c r="Q547" s="9"/>
      <c r="R547" s="9"/>
    </row>
    <row r="548" spans="1:18" x14ac:dyDescent="0.4">
      <c r="A548" s="5"/>
      <c r="B548" s="41"/>
      <c r="C548" s="42"/>
      <c r="D548" s="43"/>
      <c r="E548" s="44"/>
      <c r="F548" s="33"/>
      <c r="G548" s="41"/>
      <c r="H548" s="45"/>
      <c r="I548" s="45"/>
      <c r="J548" s="45"/>
      <c r="K548" s="46"/>
      <c r="L548" s="37"/>
      <c r="M548" s="38"/>
      <c r="N548" s="48"/>
      <c r="O548" s="49"/>
      <c r="P548" s="46"/>
      <c r="Q548" s="8"/>
      <c r="R548" s="9"/>
    </row>
    <row r="549" spans="1:18" x14ac:dyDescent="0.4">
      <c r="A549" s="5"/>
      <c r="B549" s="41"/>
      <c r="C549" s="42"/>
      <c r="D549" s="43"/>
      <c r="E549" s="44"/>
      <c r="F549" s="44"/>
      <c r="G549" s="41"/>
      <c r="H549" s="45"/>
      <c r="I549" s="45"/>
      <c r="J549" s="45"/>
      <c r="K549" s="46"/>
      <c r="L549" s="47"/>
      <c r="M549" s="38"/>
      <c r="N549" s="48"/>
      <c r="O549" s="49"/>
      <c r="P549" s="46"/>
      <c r="Q549" s="8"/>
      <c r="R549" s="8"/>
    </row>
    <row r="550" spans="1:18" x14ac:dyDescent="0.4">
      <c r="A550" s="5"/>
      <c r="B550" s="41"/>
      <c r="C550" s="42"/>
      <c r="D550" s="43"/>
      <c r="E550" s="44"/>
      <c r="F550" s="33"/>
      <c r="G550" s="41"/>
      <c r="H550" s="45"/>
      <c r="I550" s="45"/>
      <c r="J550" s="45"/>
      <c r="K550" s="46"/>
      <c r="L550" s="47"/>
      <c r="M550" s="38"/>
      <c r="N550" s="48"/>
      <c r="O550" s="49"/>
      <c r="P550" s="46"/>
      <c r="Q550" s="8"/>
      <c r="R550" s="9"/>
    </row>
    <row r="551" spans="1:18" x14ac:dyDescent="0.4">
      <c r="A551" s="5"/>
      <c r="B551" s="41"/>
      <c r="C551" s="42"/>
      <c r="D551" s="43"/>
      <c r="E551" s="44"/>
      <c r="F551" s="33"/>
      <c r="G551" s="41"/>
      <c r="H551" s="45"/>
      <c r="I551" s="45"/>
      <c r="J551" s="45"/>
      <c r="K551" s="46"/>
      <c r="L551" s="47"/>
      <c r="M551" s="38"/>
      <c r="N551" s="48"/>
      <c r="O551" s="49"/>
      <c r="P551" s="46"/>
      <c r="Q551" s="8"/>
      <c r="R551" s="9"/>
    </row>
    <row r="552" spans="1:18" x14ac:dyDescent="0.4">
      <c r="A552" s="5"/>
      <c r="B552" s="5"/>
      <c r="C552" s="5"/>
      <c r="D552" s="6"/>
      <c r="E552" s="7"/>
      <c r="F552" s="7"/>
      <c r="G552" s="5"/>
      <c r="H552" s="6"/>
      <c r="I552" s="6"/>
      <c r="J552" s="6"/>
      <c r="K552" s="8"/>
      <c r="L552" s="9"/>
      <c r="M552" s="8"/>
      <c r="N552" s="10"/>
      <c r="O552" s="11"/>
      <c r="P552" s="8"/>
      <c r="Q552" s="8"/>
      <c r="R552" s="14"/>
    </row>
    <row r="553" spans="1:18" x14ac:dyDescent="0.4">
      <c r="A553" s="5"/>
      <c r="B553" s="5"/>
      <c r="C553" s="5"/>
      <c r="D553" s="6"/>
      <c r="E553" s="7"/>
      <c r="F553" s="7"/>
      <c r="G553" s="5"/>
      <c r="H553" s="6"/>
      <c r="I553" s="6"/>
      <c r="J553" s="6"/>
      <c r="K553" s="8"/>
      <c r="L553" s="9"/>
      <c r="M553" s="8"/>
      <c r="N553" s="10"/>
      <c r="O553" s="11"/>
      <c r="P553" s="8"/>
      <c r="Q553" s="8"/>
      <c r="R553" s="13"/>
    </row>
    <row r="554" spans="1:18" x14ac:dyDescent="0.4">
      <c r="A554" s="5"/>
      <c r="B554" s="5"/>
      <c r="C554" s="5"/>
      <c r="D554" s="6"/>
      <c r="E554" s="7"/>
      <c r="F554" s="7"/>
      <c r="G554" s="5"/>
      <c r="H554" s="6"/>
      <c r="I554" s="6"/>
      <c r="J554" s="6"/>
      <c r="K554" s="8"/>
      <c r="L554" s="9"/>
      <c r="M554" s="8"/>
      <c r="N554" s="10"/>
      <c r="O554" s="11"/>
      <c r="P554" s="8"/>
      <c r="Q554" s="8"/>
      <c r="R554" s="13"/>
    </row>
    <row r="555" spans="1:18" x14ac:dyDescent="0.4">
      <c r="A555" s="5"/>
      <c r="B555" s="5"/>
      <c r="C555" s="5"/>
      <c r="D555" s="6"/>
      <c r="E555" s="7"/>
      <c r="F555" s="7"/>
      <c r="G555" s="5"/>
      <c r="H555" s="6"/>
      <c r="I555" s="6"/>
      <c r="J555" s="6"/>
      <c r="K555" s="8"/>
      <c r="L555" s="9"/>
      <c r="M555" s="8"/>
      <c r="N555" s="10"/>
      <c r="O555" s="11"/>
      <c r="P555" s="8"/>
      <c r="Q555" s="8"/>
      <c r="R555" s="13"/>
    </row>
    <row r="556" spans="1:18" x14ac:dyDescent="0.4">
      <c r="A556" s="5"/>
      <c r="B556" s="5"/>
      <c r="C556" s="5"/>
      <c r="D556" s="6"/>
      <c r="E556" s="7"/>
      <c r="F556" s="7"/>
      <c r="G556" s="5"/>
      <c r="H556" s="6"/>
      <c r="I556" s="6"/>
      <c r="J556" s="6"/>
      <c r="K556" s="8"/>
      <c r="L556" s="9"/>
      <c r="M556" s="8"/>
      <c r="N556" s="10"/>
      <c r="O556" s="11"/>
      <c r="P556" s="8"/>
      <c r="Q556" s="8"/>
      <c r="R556" s="13"/>
    </row>
    <row r="557" spans="1:18" x14ac:dyDescent="0.4">
      <c r="A557" s="5"/>
      <c r="B557" s="5"/>
      <c r="C557" s="5"/>
      <c r="D557" s="6"/>
      <c r="E557" s="7"/>
      <c r="F557" s="7"/>
      <c r="G557" s="5"/>
      <c r="H557" s="6"/>
      <c r="I557" s="6"/>
      <c r="J557" s="6"/>
      <c r="K557" s="8"/>
      <c r="L557" s="9"/>
      <c r="M557" s="8"/>
      <c r="N557" s="10"/>
      <c r="O557" s="11"/>
      <c r="P557" s="8"/>
      <c r="Q557" s="8"/>
      <c r="R557" s="9"/>
    </row>
    <row r="558" spans="1:18" x14ac:dyDescent="0.4">
      <c r="A558" s="5"/>
      <c r="B558" s="5"/>
      <c r="C558" s="5"/>
      <c r="D558" s="6"/>
      <c r="E558" s="7"/>
      <c r="F558" s="7"/>
      <c r="G558" s="5"/>
      <c r="H558" s="6"/>
      <c r="I558" s="6"/>
      <c r="J558" s="6"/>
      <c r="K558" s="8"/>
      <c r="L558" s="9"/>
      <c r="M558" s="8"/>
      <c r="N558" s="10"/>
      <c r="O558" s="11"/>
      <c r="P558" s="8"/>
      <c r="Q558" s="8"/>
      <c r="R558" s="9"/>
    </row>
    <row r="559" spans="1:18" x14ac:dyDescent="0.4">
      <c r="A559" s="5"/>
      <c r="B559" s="5"/>
      <c r="C559" s="5"/>
      <c r="D559" s="6"/>
      <c r="E559" s="7"/>
      <c r="F559" s="7"/>
      <c r="G559" s="5"/>
      <c r="H559" s="6"/>
      <c r="I559" s="6"/>
      <c r="J559" s="6"/>
      <c r="K559" s="8"/>
      <c r="L559" s="9"/>
      <c r="M559" s="8"/>
      <c r="N559" s="10"/>
      <c r="O559" s="11"/>
      <c r="P559" s="8"/>
      <c r="Q559" s="8"/>
      <c r="R559" s="9"/>
    </row>
    <row r="560" spans="1:18" x14ac:dyDescent="0.4">
      <c r="A560" s="5"/>
      <c r="B560" s="5"/>
      <c r="C560" s="5"/>
      <c r="D560" s="6"/>
      <c r="E560" s="7"/>
      <c r="F560" s="7"/>
      <c r="G560" s="5"/>
      <c r="H560" s="6"/>
      <c r="I560" s="6"/>
      <c r="J560" s="6"/>
      <c r="K560" s="8"/>
      <c r="L560" s="9"/>
      <c r="M560" s="8"/>
      <c r="N560" s="10"/>
      <c r="O560" s="11"/>
      <c r="P560" s="8"/>
      <c r="Q560" s="8"/>
      <c r="R560" s="9"/>
    </row>
    <row r="561" spans="1:19" x14ac:dyDescent="0.4">
      <c r="A561" s="5"/>
      <c r="B561" s="5"/>
      <c r="C561" s="5"/>
      <c r="D561" s="6"/>
      <c r="E561" s="7"/>
      <c r="F561" s="7"/>
      <c r="G561" s="5"/>
      <c r="H561" s="6"/>
      <c r="I561" s="6"/>
      <c r="J561" s="6"/>
      <c r="K561" s="8"/>
      <c r="L561" s="9"/>
      <c r="M561" s="8"/>
      <c r="N561" s="10"/>
      <c r="O561" s="11"/>
      <c r="P561" s="8"/>
      <c r="Q561" s="8"/>
      <c r="R561" s="9"/>
    </row>
    <row r="562" spans="1:19" x14ac:dyDescent="0.4">
      <c r="A562" s="5"/>
      <c r="B562" s="5"/>
      <c r="C562" s="5"/>
      <c r="D562" s="6"/>
      <c r="E562" s="7"/>
      <c r="F562" s="7"/>
      <c r="G562" s="5"/>
      <c r="H562" s="6"/>
      <c r="I562" s="6"/>
      <c r="J562" s="6"/>
      <c r="K562" s="8"/>
      <c r="L562" s="9"/>
      <c r="M562" s="8"/>
      <c r="N562" s="10"/>
      <c r="O562" s="11"/>
      <c r="P562" s="8"/>
      <c r="Q562" s="8"/>
      <c r="R562" s="9"/>
    </row>
    <row r="563" spans="1:19" x14ac:dyDescent="0.4">
      <c r="A563" s="5"/>
      <c r="B563" s="5"/>
      <c r="C563" s="5"/>
      <c r="D563" s="6"/>
      <c r="E563" s="7"/>
      <c r="F563" s="7"/>
      <c r="G563" s="5"/>
      <c r="H563" s="6"/>
      <c r="I563" s="6"/>
      <c r="J563" s="6"/>
      <c r="K563" s="8"/>
      <c r="L563" s="9"/>
      <c r="M563" s="8"/>
      <c r="N563" s="10"/>
      <c r="O563" s="11"/>
      <c r="P563" s="8"/>
      <c r="Q563" s="8"/>
      <c r="R563" s="9"/>
    </row>
    <row r="564" spans="1:19" x14ac:dyDescent="0.4">
      <c r="A564" s="5"/>
      <c r="B564" s="5"/>
      <c r="C564" s="5"/>
      <c r="D564" s="6"/>
      <c r="E564" s="7"/>
      <c r="F564" s="7"/>
      <c r="G564" s="5"/>
      <c r="H564" s="6"/>
      <c r="I564" s="6"/>
      <c r="J564" s="6"/>
      <c r="K564" s="8"/>
      <c r="L564" s="9"/>
      <c r="M564" s="8"/>
      <c r="N564" s="10"/>
      <c r="O564" s="11"/>
      <c r="P564" s="8"/>
      <c r="Q564" s="8"/>
      <c r="R564" s="9"/>
    </row>
    <row r="565" spans="1:19" x14ac:dyDescent="0.4">
      <c r="A565" s="5"/>
      <c r="B565" s="5"/>
      <c r="C565" s="5"/>
      <c r="D565" s="6"/>
      <c r="E565" s="7"/>
      <c r="F565" s="7"/>
      <c r="G565" s="5"/>
      <c r="H565" s="6"/>
      <c r="I565" s="6"/>
      <c r="J565" s="6"/>
      <c r="K565" s="8"/>
      <c r="L565" s="9"/>
      <c r="M565" s="8"/>
      <c r="N565" s="10"/>
      <c r="O565" s="11"/>
      <c r="P565" s="8"/>
      <c r="Q565" s="8"/>
      <c r="R565" s="9"/>
    </row>
    <row r="566" spans="1:19" x14ac:dyDescent="0.4">
      <c r="A566" s="5"/>
      <c r="B566" s="5"/>
      <c r="C566" s="5"/>
      <c r="D566" s="6"/>
      <c r="E566" s="7"/>
      <c r="F566" s="7"/>
      <c r="G566" s="5"/>
      <c r="H566" s="6"/>
      <c r="I566" s="6"/>
      <c r="J566" s="6"/>
      <c r="K566" s="8"/>
      <c r="L566" s="9"/>
      <c r="M566" s="8"/>
      <c r="N566" s="10"/>
      <c r="O566" s="11"/>
      <c r="P566" s="8"/>
      <c r="Q566" s="8"/>
      <c r="R566" s="9"/>
    </row>
    <row r="567" spans="1:19" x14ac:dyDescent="0.4">
      <c r="A567" s="5"/>
      <c r="B567" s="5"/>
      <c r="C567" s="5"/>
      <c r="D567" s="6"/>
      <c r="E567" s="7"/>
      <c r="F567" s="7"/>
      <c r="G567" s="5"/>
      <c r="H567" s="6"/>
      <c r="I567" s="6"/>
      <c r="J567" s="6"/>
      <c r="K567" s="8"/>
      <c r="L567" s="9"/>
      <c r="M567" s="8"/>
      <c r="N567" s="10"/>
      <c r="O567" s="11"/>
      <c r="P567" s="8"/>
      <c r="Q567" s="8"/>
      <c r="R567" s="9"/>
    </row>
    <row r="568" spans="1:19" x14ac:dyDescent="0.4">
      <c r="A568" s="5"/>
      <c r="B568" s="5"/>
      <c r="C568" s="5"/>
      <c r="D568" s="6"/>
      <c r="E568" s="7"/>
      <c r="F568" s="7"/>
      <c r="G568" s="5"/>
      <c r="H568" s="6"/>
      <c r="I568" s="6"/>
      <c r="J568" s="6"/>
      <c r="K568" s="8"/>
      <c r="L568" s="9"/>
      <c r="M568" s="8"/>
      <c r="N568" s="10"/>
      <c r="O568" s="11"/>
      <c r="P568" s="8"/>
      <c r="Q568" s="8"/>
      <c r="R568" s="9"/>
    </row>
    <row r="569" spans="1:19" x14ac:dyDescent="0.4">
      <c r="A569" s="5"/>
      <c r="B569" s="5"/>
      <c r="C569" s="5"/>
      <c r="D569" s="6"/>
      <c r="E569" s="7"/>
      <c r="F569" s="7"/>
      <c r="G569" s="5"/>
      <c r="H569" s="6"/>
      <c r="I569" s="6"/>
      <c r="J569" s="6"/>
      <c r="K569" s="8"/>
      <c r="L569" s="9"/>
      <c r="M569" s="8"/>
      <c r="N569" s="10"/>
      <c r="O569" s="11"/>
      <c r="P569" s="8"/>
      <c r="Q569" s="8"/>
      <c r="R569" s="9"/>
    </row>
    <row r="570" spans="1:19" x14ac:dyDescent="0.4">
      <c r="A570" s="5"/>
      <c r="B570" s="5"/>
      <c r="C570" s="5"/>
      <c r="D570" s="6"/>
      <c r="E570" s="7"/>
      <c r="F570" s="7"/>
      <c r="G570" s="5"/>
      <c r="H570" s="6"/>
      <c r="I570" s="6"/>
      <c r="J570" s="6"/>
      <c r="K570" s="8"/>
      <c r="L570" s="9"/>
      <c r="M570" s="8"/>
      <c r="N570" s="10"/>
      <c r="O570" s="11"/>
      <c r="P570" s="8"/>
      <c r="Q570" s="8"/>
      <c r="R570" s="9"/>
    </row>
    <row r="571" spans="1:19" x14ac:dyDescent="0.4">
      <c r="A571" s="5"/>
      <c r="B571" s="5"/>
      <c r="C571" s="5"/>
      <c r="D571" s="6"/>
      <c r="E571" s="7"/>
      <c r="F571" s="7"/>
      <c r="G571" s="5"/>
      <c r="H571" s="6"/>
      <c r="I571" s="6"/>
      <c r="J571" s="6"/>
      <c r="K571" s="8"/>
      <c r="L571" s="9"/>
      <c r="M571" s="8"/>
      <c r="N571" s="10"/>
      <c r="O571" s="11"/>
      <c r="P571" s="8"/>
      <c r="Q571" s="8"/>
      <c r="R571" s="13"/>
      <c r="S571" s="17"/>
    </row>
    <row r="572" spans="1:19" x14ac:dyDescent="0.4">
      <c r="A572" s="5"/>
      <c r="B572" s="5"/>
      <c r="C572" s="5"/>
      <c r="D572" s="6"/>
      <c r="E572" s="7"/>
      <c r="F572" s="7"/>
      <c r="G572" s="5"/>
      <c r="H572" s="6"/>
      <c r="I572" s="6"/>
      <c r="J572" s="6"/>
      <c r="K572" s="8"/>
      <c r="L572" s="9"/>
      <c r="M572" s="8"/>
      <c r="N572" s="10"/>
      <c r="O572" s="11"/>
      <c r="P572" s="8"/>
      <c r="Q572" s="8"/>
      <c r="R572" s="9"/>
    </row>
    <row r="573" spans="1:19" x14ac:dyDescent="0.4">
      <c r="A573" s="5"/>
      <c r="B573" s="5"/>
      <c r="C573" s="5"/>
      <c r="D573" s="6"/>
      <c r="E573" s="7"/>
      <c r="F573" s="7"/>
      <c r="G573" s="5"/>
      <c r="H573" s="6"/>
      <c r="I573" s="6"/>
      <c r="J573" s="6"/>
      <c r="K573" s="8"/>
      <c r="L573" s="9"/>
      <c r="M573" s="8"/>
      <c r="N573" s="10"/>
      <c r="O573" s="11"/>
      <c r="P573" s="8"/>
      <c r="Q573" s="8"/>
      <c r="R573" s="9"/>
    </row>
    <row r="574" spans="1:19" x14ac:dyDescent="0.4">
      <c r="A574" s="5"/>
      <c r="B574" s="5"/>
      <c r="C574" s="5"/>
      <c r="D574" s="6"/>
      <c r="E574" s="7"/>
      <c r="F574" s="7"/>
      <c r="G574" s="5"/>
      <c r="H574" s="6"/>
      <c r="I574" s="6"/>
      <c r="J574" s="6"/>
      <c r="K574" s="8"/>
      <c r="L574" s="9"/>
      <c r="M574" s="8"/>
      <c r="N574" s="10"/>
      <c r="O574" s="11"/>
      <c r="P574" s="8"/>
      <c r="Q574" s="8"/>
      <c r="R574" s="9"/>
    </row>
    <row r="575" spans="1:19" x14ac:dyDescent="0.4">
      <c r="A575" s="5"/>
      <c r="B575" s="5"/>
      <c r="C575" s="5"/>
      <c r="D575" s="6"/>
      <c r="E575" s="7"/>
      <c r="F575" s="7"/>
      <c r="G575" s="5"/>
      <c r="H575" s="6"/>
      <c r="I575" s="6"/>
      <c r="J575" s="6"/>
      <c r="K575" s="8"/>
      <c r="L575" s="9"/>
      <c r="M575" s="8"/>
      <c r="N575" s="10"/>
      <c r="O575" s="11"/>
      <c r="P575" s="8"/>
      <c r="Q575" s="8"/>
      <c r="R575" s="8"/>
    </row>
    <row r="576" spans="1:19" x14ac:dyDescent="0.4">
      <c r="A576" s="5"/>
      <c r="B576" s="5"/>
      <c r="C576" s="5"/>
      <c r="D576" s="6"/>
      <c r="E576" s="7"/>
      <c r="F576" s="7"/>
      <c r="G576" s="5"/>
      <c r="H576" s="6"/>
      <c r="I576" s="6"/>
      <c r="J576" s="6"/>
      <c r="K576" s="8"/>
      <c r="L576" s="9"/>
      <c r="M576" s="8"/>
      <c r="N576" s="10"/>
      <c r="O576" s="11"/>
      <c r="P576" s="8"/>
      <c r="Q576" s="8"/>
      <c r="R576" s="8"/>
    </row>
    <row r="577" spans="1:18" x14ac:dyDescent="0.4">
      <c r="A577" s="5"/>
      <c r="B577" s="5"/>
      <c r="C577" s="5"/>
      <c r="D577" s="6"/>
      <c r="E577" s="7"/>
      <c r="F577" s="7"/>
      <c r="G577" s="5"/>
      <c r="H577" s="6"/>
      <c r="I577" s="6"/>
      <c r="J577" s="6"/>
      <c r="K577" s="8"/>
      <c r="L577" s="9"/>
      <c r="M577" s="8"/>
      <c r="N577" s="10"/>
      <c r="O577" s="11"/>
      <c r="P577" s="8"/>
      <c r="Q577" s="8"/>
      <c r="R577" s="8"/>
    </row>
    <row r="578" spans="1:18" x14ac:dyDescent="0.4">
      <c r="A578" s="5"/>
      <c r="B578" s="5"/>
      <c r="C578" s="5"/>
      <c r="D578" s="6"/>
      <c r="E578" s="7"/>
      <c r="F578" s="7"/>
      <c r="G578" s="5"/>
      <c r="H578" s="6"/>
      <c r="I578" s="6"/>
      <c r="J578" s="6"/>
      <c r="K578" s="8"/>
      <c r="L578" s="9"/>
      <c r="M578" s="8"/>
      <c r="N578" s="10"/>
      <c r="O578" s="11"/>
      <c r="P578" s="8"/>
      <c r="Q578" s="8"/>
      <c r="R578" s="9"/>
    </row>
    <row r="579" spans="1:18" x14ac:dyDescent="0.4">
      <c r="A579" s="5"/>
      <c r="B579" s="5"/>
      <c r="C579" s="5"/>
      <c r="D579" s="6"/>
      <c r="E579" s="7"/>
      <c r="F579" s="7"/>
      <c r="G579" s="5"/>
      <c r="H579" s="6"/>
      <c r="I579" s="6"/>
      <c r="J579" s="6"/>
      <c r="K579" s="8"/>
      <c r="L579" s="9"/>
      <c r="M579" s="8"/>
      <c r="N579" s="10"/>
      <c r="O579" s="11"/>
      <c r="P579" s="8"/>
      <c r="Q579" s="8"/>
      <c r="R579" s="9"/>
    </row>
    <row r="580" spans="1:18" x14ac:dyDescent="0.4">
      <c r="A580" s="5"/>
      <c r="B580" s="5"/>
      <c r="C580" s="5"/>
      <c r="D580" s="6"/>
      <c r="E580" s="7"/>
      <c r="F580" s="7"/>
      <c r="G580" s="5"/>
      <c r="H580" s="6"/>
      <c r="I580" s="6"/>
      <c r="J580" s="6"/>
      <c r="K580" s="8"/>
      <c r="L580" s="9"/>
      <c r="M580" s="8"/>
      <c r="N580" s="10"/>
      <c r="O580" s="11"/>
      <c r="P580" s="8"/>
      <c r="Q580" s="8"/>
      <c r="R580" s="9"/>
    </row>
    <row r="581" spans="1:18" x14ac:dyDescent="0.4">
      <c r="A581" s="5"/>
      <c r="B581" s="5"/>
      <c r="C581" s="5"/>
      <c r="D581" s="6"/>
      <c r="E581" s="7"/>
      <c r="F581" s="7"/>
      <c r="G581" s="5"/>
      <c r="H581" s="6"/>
      <c r="I581" s="6"/>
      <c r="J581" s="6"/>
      <c r="K581" s="8"/>
      <c r="L581" s="9"/>
      <c r="M581" s="8"/>
      <c r="N581" s="10"/>
      <c r="O581" s="11"/>
      <c r="P581" s="8"/>
      <c r="Q581" s="8"/>
      <c r="R581" s="9"/>
    </row>
    <row r="582" spans="1:18" x14ac:dyDescent="0.4">
      <c r="A582" s="5"/>
      <c r="B582" s="5"/>
      <c r="C582" s="5"/>
      <c r="D582" s="6"/>
      <c r="E582" s="7"/>
      <c r="F582" s="7"/>
      <c r="G582" s="5"/>
      <c r="H582" s="6"/>
      <c r="I582" s="6"/>
      <c r="J582" s="6"/>
      <c r="K582" s="8"/>
      <c r="L582" s="9"/>
      <c r="M582" s="8"/>
      <c r="N582" s="10"/>
      <c r="O582" s="11"/>
      <c r="P582" s="8"/>
      <c r="Q582" s="8"/>
      <c r="R582" s="13"/>
    </row>
    <row r="583" spans="1:18" x14ac:dyDescent="0.4">
      <c r="A583" s="5"/>
      <c r="B583" s="5"/>
      <c r="C583" s="5"/>
      <c r="D583" s="6"/>
      <c r="E583" s="7"/>
      <c r="F583" s="7"/>
      <c r="G583" s="5"/>
      <c r="H583" s="6"/>
      <c r="I583" s="6"/>
      <c r="J583" s="6"/>
      <c r="K583" s="8"/>
      <c r="L583" s="9"/>
      <c r="M583" s="8"/>
      <c r="N583" s="10"/>
      <c r="O583" s="11"/>
      <c r="P583" s="8"/>
      <c r="Q583" s="8"/>
      <c r="R583" s="13"/>
    </row>
    <row r="584" spans="1:18" x14ac:dyDescent="0.4">
      <c r="A584" s="5"/>
      <c r="B584" s="5"/>
      <c r="C584" s="5"/>
      <c r="D584" s="6"/>
      <c r="E584" s="7"/>
      <c r="F584" s="7"/>
      <c r="G584" s="5"/>
      <c r="H584" s="6"/>
      <c r="I584" s="6"/>
      <c r="J584" s="6"/>
      <c r="K584" s="8"/>
      <c r="L584" s="9"/>
      <c r="M584" s="8"/>
      <c r="N584" s="10"/>
      <c r="O584" s="11"/>
      <c r="P584" s="8"/>
      <c r="Q584" s="8"/>
      <c r="R584" s="9"/>
    </row>
    <row r="585" spans="1:18" x14ac:dyDescent="0.4">
      <c r="A585" s="5"/>
      <c r="B585" s="5"/>
      <c r="C585" s="5"/>
      <c r="D585" s="6"/>
      <c r="E585" s="7"/>
      <c r="F585" s="7"/>
      <c r="G585" s="5"/>
      <c r="H585" s="6"/>
      <c r="I585" s="6"/>
      <c r="J585" s="6"/>
      <c r="K585" s="8"/>
      <c r="L585" s="9"/>
      <c r="M585" s="8"/>
      <c r="N585" s="10"/>
      <c r="O585" s="11"/>
      <c r="P585" s="8"/>
      <c r="Q585" s="8"/>
      <c r="R585" s="9"/>
    </row>
    <row r="586" spans="1:18" x14ac:dyDescent="0.4">
      <c r="A586" s="5"/>
      <c r="B586" s="5"/>
      <c r="C586" s="5"/>
      <c r="D586" s="6"/>
      <c r="E586" s="7"/>
      <c r="F586" s="7"/>
      <c r="G586" s="5"/>
      <c r="H586" s="6"/>
      <c r="I586" s="6"/>
      <c r="J586" s="6"/>
      <c r="K586" s="8"/>
      <c r="L586" s="9"/>
      <c r="M586" s="8"/>
      <c r="N586" s="10"/>
      <c r="O586" s="11"/>
      <c r="P586" s="8"/>
      <c r="Q586" s="8"/>
      <c r="R586" s="9"/>
    </row>
    <row r="587" spans="1:18" x14ac:dyDescent="0.4">
      <c r="A587" s="5"/>
      <c r="B587" s="5"/>
      <c r="C587" s="5"/>
      <c r="D587" s="6"/>
      <c r="E587" s="7"/>
      <c r="F587" s="7"/>
      <c r="G587" s="5"/>
      <c r="H587" s="6"/>
      <c r="I587" s="6"/>
      <c r="J587" s="6"/>
      <c r="K587" s="8"/>
      <c r="L587" s="9"/>
      <c r="M587" s="8"/>
      <c r="N587" s="10"/>
      <c r="O587" s="11"/>
      <c r="P587" s="8"/>
      <c r="Q587" s="8"/>
      <c r="R587" s="9"/>
    </row>
    <row r="588" spans="1:18" x14ac:dyDescent="0.4">
      <c r="A588" s="5"/>
      <c r="B588" s="5"/>
      <c r="C588" s="5"/>
      <c r="D588" s="6"/>
      <c r="E588" s="7"/>
      <c r="F588" s="7"/>
      <c r="G588" s="5"/>
      <c r="H588" s="6"/>
      <c r="I588" s="6"/>
      <c r="J588" s="6"/>
      <c r="K588" s="8"/>
      <c r="L588" s="9"/>
      <c r="M588" s="8"/>
      <c r="N588" s="10"/>
      <c r="O588" s="11"/>
      <c r="P588" s="8"/>
      <c r="Q588" s="8"/>
      <c r="R588" s="14"/>
    </row>
    <row r="589" spans="1:18" x14ac:dyDescent="0.4">
      <c r="A589" s="5"/>
      <c r="B589" s="5"/>
      <c r="C589" s="5"/>
      <c r="D589" s="6"/>
      <c r="E589" s="7"/>
      <c r="F589" s="7"/>
      <c r="G589" s="5"/>
      <c r="H589" s="6"/>
      <c r="I589" s="6"/>
      <c r="J589" s="6"/>
      <c r="K589" s="8"/>
      <c r="L589" s="9"/>
      <c r="M589" s="8"/>
      <c r="N589" s="10"/>
      <c r="O589" s="11"/>
      <c r="P589" s="8"/>
      <c r="Q589" s="8"/>
      <c r="R589" s="13"/>
    </row>
    <row r="590" spans="1:18" x14ac:dyDescent="0.4">
      <c r="A590" s="5"/>
      <c r="B590" s="5"/>
      <c r="C590" s="5"/>
      <c r="D590" s="6"/>
      <c r="E590" s="7"/>
      <c r="F590" s="7"/>
      <c r="G590" s="5"/>
      <c r="H590" s="6"/>
      <c r="I590" s="6"/>
      <c r="J590" s="6"/>
      <c r="K590" s="8"/>
      <c r="L590" s="9"/>
      <c r="M590" s="8"/>
      <c r="N590" s="10"/>
      <c r="O590" s="11"/>
      <c r="P590" s="8"/>
      <c r="Q590" s="8"/>
      <c r="R590" s="13"/>
    </row>
    <row r="591" spans="1:18" x14ac:dyDescent="0.4">
      <c r="A591" s="5"/>
      <c r="B591" s="5"/>
      <c r="C591" s="5"/>
      <c r="D591" s="6"/>
      <c r="E591" s="7"/>
      <c r="F591" s="7"/>
      <c r="G591" s="5"/>
      <c r="H591" s="6"/>
      <c r="I591" s="6"/>
      <c r="J591" s="6"/>
      <c r="K591" s="8"/>
      <c r="L591" s="9"/>
      <c r="M591" s="8"/>
      <c r="N591" s="10"/>
      <c r="O591" s="11"/>
      <c r="P591" s="8"/>
      <c r="Q591" s="8"/>
      <c r="R591" s="13"/>
    </row>
    <row r="592" spans="1:18" x14ac:dyDescent="0.4">
      <c r="A592" s="5"/>
      <c r="B592" s="5"/>
      <c r="C592" s="5"/>
      <c r="D592" s="6"/>
      <c r="E592" s="7"/>
      <c r="F592" s="7"/>
      <c r="G592" s="5"/>
      <c r="H592" s="6"/>
      <c r="I592" s="6"/>
      <c r="J592" s="6"/>
      <c r="K592" s="8"/>
      <c r="L592" s="9"/>
      <c r="M592" s="8"/>
      <c r="N592" s="10"/>
      <c r="O592" s="11"/>
      <c r="P592" s="8"/>
      <c r="Q592" s="8"/>
      <c r="R592" s="13"/>
    </row>
    <row r="593" spans="1:18" x14ac:dyDescent="0.4">
      <c r="A593" s="5"/>
      <c r="B593" s="5"/>
      <c r="C593" s="5"/>
      <c r="D593" s="6"/>
      <c r="E593" s="7"/>
      <c r="F593" s="7"/>
      <c r="G593" s="5"/>
      <c r="H593" s="6"/>
      <c r="I593" s="6"/>
      <c r="J593" s="6"/>
      <c r="K593" s="8"/>
      <c r="L593" s="9"/>
      <c r="M593" s="8"/>
      <c r="N593" s="10"/>
      <c r="O593" s="11"/>
      <c r="P593" s="8"/>
      <c r="Q593" s="8"/>
      <c r="R593" s="13"/>
    </row>
    <row r="594" spans="1:18" x14ac:dyDescent="0.4">
      <c r="A594" s="5"/>
      <c r="B594" s="5"/>
      <c r="C594" s="5"/>
      <c r="D594" s="6"/>
      <c r="E594" s="7"/>
      <c r="F594" s="7"/>
      <c r="G594" s="5"/>
      <c r="H594" s="6"/>
      <c r="I594" s="6"/>
      <c r="J594" s="6"/>
      <c r="K594" s="8"/>
      <c r="L594" s="9"/>
      <c r="M594" s="8"/>
      <c r="N594" s="10"/>
      <c r="O594" s="11"/>
      <c r="P594" s="8"/>
      <c r="Q594" s="8"/>
      <c r="R594" s="13"/>
    </row>
    <row r="595" spans="1:18" x14ac:dyDescent="0.4">
      <c r="A595" s="5"/>
      <c r="B595" s="5"/>
      <c r="C595" s="5"/>
      <c r="D595" s="6"/>
      <c r="E595" s="7"/>
      <c r="F595" s="7"/>
      <c r="G595" s="5"/>
      <c r="H595" s="6"/>
      <c r="I595" s="6"/>
      <c r="J595" s="6"/>
      <c r="K595" s="8"/>
      <c r="L595" s="9"/>
      <c r="M595" s="8"/>
      <c r="N595" s="10"/>
      <c r="O595" s="11"/>
      <c r="P595" s="8"/>
      <c r="Q595" s="8"/>
      <c r="R595" s="13"/>
    </row>
    <row r="596" spans="1:18" x14ac:dyDescent="0.4">
      <c r="A596" s="5"/>
      <c r="B596" s="5"/>
      <c r="C596" s="5"/>
      <c r="D596" s="6"/>
      <c r="E596" s="7"/>
      <c r="F596" s="7"/>
      <c r="G596" s="5"/>
      <c r="H596" s="6"/>
      <c r="I596" s="6"/>
      <c r="J596" s="6"/>
      <c r="K596" s="8"/>
      <c r="L596" s="9"/>
      <c r="M596" s="8"/>
      <c r="N596" s="10"/>
      <c r="O596" s="11"/>
      <c r="P596" s="8"/>
      <c r="Q596" s="8"/>
      <c r="R596" s="13"/>
    </row>
    <row r="597" spans="1:18" x14ac:dyDescent="0.4">
      <c r="A597" s="5"/>
      <c r="B597" s="5"/>
      <c r="C597" s="5"/>
      <c r="D597" s="6"/>
      <c r="E597" s="7"/>
      <c r="F597" s="7"/>
      <c r="G597" s="5"/>
      <c r="H597" s="6"/>
      <c r="I597" s="6"/>
      <c r="J597" s="6"/>
      <c r="K597" s="8"/>
      <c r="L597" s="9"/>
      <c r="M597" s="8"/>
      <c r="N597" s="10"/>
      <c r="O597" s="11"/>
      <c r="P597" s="8"/>
      <c r="Q597" s="8"/>
      <c r="R597" s="13"/>
    </row>
    <row r="598" spans="1:18" x14ac:dyDescent="0.4">
      <c r="A598" s="5"/>
      <c r="B598" s="5"/>
      <c r="C598" s="5"/>
      <c r="D598" s="6"/>
      <c r="E598" s="7"/>
      <c r="F598" s="7"/>
      <c r="G598" s="5"/>
      <c r="H598" s="6"/>
      <c r="I598" s="6"/>
      <c r="J598" s="6"/>
      <c r="K598" s="8"/>
      <c r="L598" s="9"/>
      <c r="M598" s="8"/>
      <c r="N598" s="10"/>
      <c r="O598" s="11"/>
      <c r="P598" s="8"/>
      <c r="Q598" s="8"/>
      <c r="R598" s="13"/>
    </row>
    <row r="599" spans="1:18" x14ac:dyDescent="0.4">
      <c r="A599" s="5"/>
      <c r="B599" s="5"/>
      <c r="C599" s="5"/>
      <c r="D599" s="6"/>
      <c r="E599" s="7"/>
      <c r="F599" s="7"/>
      <c r="G599" s="5"/>
      <c r="H599" s="6"/>
      <c r="I599" s="6"/>
      <c r="J599" s="6"/>
      <c r="K599" s="8"/>
      <c r="L599" s="9"/>
      <c r="M599" s="8"/>
      <c r="N599" s="10"/>
      <c r="O599" s="11"/>
      <c r="P599" s="8"/>
      <c r="Q599" s="8"/>
      <c r="R599" s="13"/>
    </row>
    <row r="600" spans="1:18" x14ac:dyDescent="0.4">
      <c r="A600" s="5"/>
      <c r="B600" s="5"/>
      <c r="C600" s="5"/>
      <c r="D600" s="6"/>
      <c r="E600" s="7"/>
      <c r="F600" s="7"/>
      <c r="G600" s="5"/>
      <c r="H600" s="6"/>
      <c r="I600" s="6"/>
      <c r="J600" s="6"/>
      <c r="K600" s="8"/>
      <c r="L600" s="9"/>
      <c r="M600" s="8"/>
      <c r="N600" s="10"/>
      <c r="O600" s="11"/>
      <c r="P600" s="8"/>
      <c r="Q600" s="8"/>
      <c r="R600" s="13"/>
    </row>
    <row r="601" spans="1:18" x14ac:dyDescent="0.4">
      <c r="A601" s="5"/>
      <c r="B601" s="5"/>
      <c r="C601" s="5"/>
      <c r="D601" s="6"/>
      <c r="E601" s="7"/>
      <c r="F601" s="7"/>
      <c r="G601" s="5"/>
      <c r="H601" s="6"/>
      <c r="I601" s="6"/>
      <c r="J601" s="6"/>
      <c r="K601" s="8"/>
      <c r="L601" s="9"/>
      <c r="M601" s="8"/>
      <c r="N601" s="10"/>
      <c r="O601" s="11"/>
      <c r="P601" s="8"/>
      <c r="Q601" s="8"/>
      <c r="R601" s="13"/>
    </row>
    <row r="602" spans="1:18" x14ac:dyDescent="0.4">
      <c r="A602" s="5"/>
      <c r="B602" s="5"/>
      <c r="C602" s="5"/>
      <c r="D602" s="6"/>
      <c r="E602" s="7"/>
      <c r="F602" s="7"/>
      <c r="G602" s="5"/>
      <c r="H602" s="6"/>
      <c r="I602" s="6"/>
      <c r="J602" s="6"/>
      <c r="K602" s="8"/>
      <c r="L602" s="9"/>
      <c r="M602" s="8"/>
      <c r="N602" s="10"/>
      <c r="O602" s="11"/>
      <c r="P602" s="8"/>
      <c r="Q602" s="8"/>
      <c r="R602" s="13"/>
    </row>
    <row r="603" spans="1:18" x14ac:dyDescent="0.4">
      <c r="A603" s="5"/>
      <c r="B603" s="5"/>
      <c r="C603" s="5"/>
      <c r="D603" s="6"/>
      <c r="E603" s="7"/>
      <c r="F603" s="7"/>
      <c r="G603" s="5"/>
      <c r="H603" s="6"/>
      <c r="I603" s="6"/>
      <c r="J603" s="6"/>
      <c r="K603" s="8"/>
      <c r="L603" s="9"/>
      <c r="M603" s="8"/>
      <c r="N603" s="10"/>
      <c r="O603" s="11"/>
      <c r="P603" s="8"/>
      <c r="Q603" s="8"/>
      <c r="R603" s="9"/>
    </row>
    <row r="604" spans="1:18" x14ac:dyDescent="0.4">
      <c r="A604" s="5"/>
      <c r="B604" s="5"/>
      <c r="C604" s="5"/>
      <c r="D604" s="6"/>
      <c r="E604" s="7"/>
      <c r="F604" s="7"/>
      <c r="G604" s="5"/>
      <c r="H604" s="6"/>
      <c r="I604" s="6"/>
      <c r="J604" s="6"/>
      <c r="K604" s="8"/>
      <c r="L604" s="9"/>
      <c r="M604" s="8"/>
      <c r="N604" s="10"/>
      <c r="O604" s="11"/>
      <c r="P604" s="8"/>
      <c r="Q604" s="8"/>
      <c r="R604" s="8"/>
    </row>
    <row r="605" spans="1:18" x14ac:dyDescent="0.4">
      <c r="A605" s="5"/>
      <c r="B605" s="5"/>
      <c r="C605" s="5"/>
      <c r="D605" s="6"/>
      <c r="E605" s="7"/>
      <c r="F605" s="7"/>
      <c r="G605" s="5"/>
      <c r="H605" s="6"/>
      <c r="I605" s="6"/>
      <c r="J605" s="6"/>
      <c r="K605" s="8"/>
      <c r="L605" s="9"/>
      <c r="M605" s="8"/>
      <c r="N605" s="10"/>
      <c r="O605" s="11"/>
      <c r="P605" s="8"/>
      <c r="Q605" s="8"/>
      <c r="R605" s="8"/>
    </row>
    <row r="606" spans="1:18" x14ac:dyDescent="0.4">
      <c r="A606" s="5"/>
      <c r="B606" s="5"/>
      <c r="C606" s="5"/>
      <c r="D606" s="6"/>
      <c r="E606" s="7"/>
      <c r="F606" s="7"/>
      <c r="G606" s="5"/>
      <c r="H606" s="6"/>
      <c r="I606" s="6"/>
      <c r="J606" s="6"/>
      <c r="K606" s="8"/>
      <c r="L606" s="9"/>
      <c r="M606" s="8"/>
      <c r="N606" s="10"/>
      <c r="O606" s="11"/>
      <c r="P606" s="8"/>
      <c r="Q606" s="8"/>
      <c r="R606" s="9"/>
    </row>
    <row r="607" spans="1:18" x14ac:dyDescent="0.4">
      <c r="A607" s="5"/>
      <c r="B607" s="5"/>
      <c r="C607" s="5"/>
      <c r="D607" s="6"/>
      <c r="E607" s="7"/>
      <c r="F607" s="7"/>
      <c r="G607" s="5"/>
      <c r="H607" s="6"/>
      <c r="I607" s="6"/>
      <c r="J607" s="6"/>
      <c r="K607" s="8"/>
      <c r="L607" s="9"/>
      <c r="M607" s="8"/>
      <c r="N607" s="10"/>
      <c r="O607" s="11"/>
      <c r="P607" s="8"/>
      <c r="Q607" s="8"/>
      <c r="R607" s="9"/>
    </row>
    <row r="608" spans="1:18" x14ac:dyDescent="0.4">
      <c r="A608" s="5"/>
      <c r="B608" s="5"/>
      <c r="C608" s="5"/>
      <c r="D608" s="6"/>
      <c r="E608" s="7"/>
      <c r="F608" s="7"/>
      <c r="G608" s="5"/>
      <c r="H608" s="6"/>
      <c r="I608" s="6"/>
      <c r="J608" s="6"/>
      <c r="K608" s="8"/>
      <c r="L608" s="9"/>
      <c r="M608" s="8"/>
      <c r="N608" s="10"/>
      <c r="O608" s="11"/>
      <c r="P608" s="8"/>
      <c r="Q608" s="8"/>
      <c r="R608" s="9"/>
    </row>
    <row r="609" spans="1:18" x14ac:dyDescent="0.4">
      <c r="A609" s="5"/>
      <c r="B609" s="5"/>
      <c r="C609" s="5"/>
      <c r="D609" s="6"/>
      <c r="E609" s="7"/>
      <c r="F609" s="7"/>
      <c r="G609" s="5"/>
      <c r="H609" s="6"/>
      <c r="I609" s="6"/>
      <c r="J609" s="6"/>
      <c r="K609" s="8"/>
      <c r="L609" s="9"/>
      <c r="M609" s="8"/>
      <c r="N609" s="10"/>
      <c r="O609" s="11"/>
      <c r="P609" s="8"/>
      <c r="Q609" s="8"/>
      <c r="R609" s="9"/>
    </row>
    <row r="610" spans="1:18" x14ac:dyDescent="0.4">
      <c r="A610" s="5"/>
      <c r="B610" s="5"/>
      <c r="C610" s="5"/>
      <c r="D610" s="6"/>
      <c r="E610" s="7"/>
      <c r="F610" s="7"/>
      <c r="G610" s="5"/>
      <c r="H610" s="6"/>
      <c r="I610" s="6"/>
      <c r="J610" s="6"/>
      <c r="K610" s="8"/>
      <c r="L610" s="9"/>
      <c r="M610" s="8"/>
      <c r="N610" s="10"/>
      <c r="O610" s="11"/>
      <c r="P610" s="8"/>
      <c r="Q610" s="8"/>
      <c r="R610" s="8"/>
    </row>
    <row r="611" spans="1:18" x14ac:dyDescent="0.4">
      <c r="A611" s="5"/>
      <c r="B611" s="5"/>
      <c r="C611" s="5"/>
      <c r="D611" s="6"/>
      <c r="E611" s="7"/>
      <c r="F611" s="7"/>
      <c r="G611" s="5"/>
      <c r="H611" s="6"/>
      <c r="I611" s="6"/>
      <c r="J611" s="6"/>
      <c r="K611" s="8"/>
      <c r="L611" s="9"/>
      <c r="M611" s="8"/>
      <c r="N611" s="10"/>
      <c r="O611" s="11"/>
      <c r="P611" s="8"/>
      <c r="Q611" s="8"/>
      <c r="R611" s="8"/>
    </row>
    <row r="612" spans="1:18" x14ac:dyDescent="0.4">
      <c r="A612" s="5"/>
      <c r="B612" s="5"/>
      <c r="C612" s="5"/>
      <c r="D612" s="6"/>
      <c r="E612" s="7"/>
      <c r="F612" s="7"/>
      <c r="G612" s="5"/>
      <c r="H612" s="6"/>
      <c r="I612" s="6"/>
      <c r="J612" s="6"/>
      <c r="K612" s="8"/>
      <c r="L612" s="9"/>
      <c r="M612" s="8"/>
      <c r="N612" s="10"/>
      <c r="O612" s="11"/>
      <c r="P612" s="8"/>
      <c r="Q612" s="8"/>
      <c r="R612" s="8"/>
    </row>
    <row r="613" spans="1:18" x14ac:dyDescent="0.4">
      <c r="A613" s="5"/>
      <c r="B613" s="5"/>
      <c r="C613" s="5"/>
      <c r="D613" s="6"/>
      <c r="E613" s="7"/>
      <c r="F613" s="7"/>
      <c r="G613" s="5"/>
      <c r="H613" s="6"/>
      <c r="I613" s="6"/>
      <c r="J613" s="6"/>
      <c r="K613" s="8"/>
      <c r="L613" s="9"/>
      <c r="M613" s="8"/>
      <c r="N613" s="10"/>
      <c r="O613" s="11"/>
      <c r="P613" s="8"/>
      <c r="Q613" s="8"/>
      <c r="R613" s="8"/>
    </row>
    <row r="614" spans="1:18" x14ac:dyDescent="0.4">
      <c r="A614" s="5"/>
      <c r="B614" s="5"/>
      <c r="C614" s="5"/>
      <c r="D614" s="6"/>
      <c r="E614" s="7"/>
      <c r="F614" s="7"/>
      <c r="G614" s="5"/>
      <c r="H614" s="6"/>
      <c r="I614" s="6"/>
      <c r="J614" s="6"/>
      <c r="K614" s="8"/>
      <c r="L614" s="9"/>
      <c r="M614" s="8"/>
      <c r="N614" s="10"/>
      <c r="O614" s="11"/>
      <c r="P614" s="8"/>
      <c r="Q614" s="8"/>
      <c r="R614" s="8"/>
    </row>
    <row r="615" spans="1:18" x14ac:dyDescent="0.4">
      <c r="A615" s="5"/>
      <c r="B615" s="5"/>
      <c r="C615" s="5"/>
      <c r="D615" s="6"/>
      <c r="E615" s="7"/>
      <c r="F615" s="7"/>
      <c r="G615" s="5"/>
      <c r="H615" s="6"/>
      <c r="I615" s="6"/>
      <c r="J615" s="6"/>
      <c r="K615" s="8"/>
      <c r="L615" s="9"/>
      <c r="M615" s="8"/>
      <c r="N615" s="10"/>
      <c r="O615" s="11"/>
      <c r="P615" s="8"/>
      <c r="Q615" s="8"/>
      <c r="R615" s="8"/>
    </row>
    <row r="616" spans="1:18" x14ac:dyDescent="0.4">
      <c r="A616" s="5"/>
      <c r="B616" s="5"/>
      <c r="C616" s="5"/>
      <c r="D616" s="6"/>
      <c r="E616" s="7"/>
      <c r="F616" s="7"/>
      <c r="G616" s="5"/>
      <c r="H616" s="6"/>
      <c r="I616" s="6"/>
      <c r="J616" s="6"/>
      <c r="K616" s="8"/>
      <c r="L616" s="9"/>
      <c r="M616" s="8"/>
      <c r="N616" s="10"/>
      <c r="O616" s="11"/>
      <c r="P616" s="8"/>
      <c r="Q616" s="8"/>
      <c r="R616" s="8"/>
    </row>
    <row r="617" spans="1:18" x14ac:dyDescent="0.4">
      <c r="A617" s="5"/>
      <c r="B617" s="5"/>
      <c r="C617" s="5"/>
      <c r="D617" s="6"/>
      <c r="E617" s="7"/>
      <c r="F617" s="7"/>
      <c r="G617" s="5"/>
      <c r="H617" s="6"/>
      <c r="I617" s="6"/>
      <c r="J617" s="6"/>
      <c r="K617" s="8"/>
      <c r="L617" s="9"/>
      <c r="M617" s="8"/>
      <c r="N617" s="10"/>
      <c r="O617" s="11"/>
      <c r="P617" s="8"/>
      <c r="Q617" s="8"/>
      <c r="R617" s="8"/>
    </row>
    <row r="618" spans="1:18" x14ac:dyDescent="0.4">
      <c r="A618" s="5"/>
      <c r="B618" s="5"/>
      <c r="C618" s="5"/>
      <c r="D618" s="6"/>
      <c r="E618" s="7"/>
      <c r="F618" s="7"/>
      <c r="G618" s="5"/>
      <c r="H618" s="6"/>
      <c r="I618" s="6"/>
      <c r="J618" s="6"/>
      <c r="K618" s="8"/>
      <c r="L618" s="9"/>
      <c r="M618" s="8"/>
      <c r="N618" s="10"/>
      <c r="O618" s="11"/>
      <c r="P618" s="8"/>
      <c r="Q618" s="8"/>
      <c r="R618" s="8"/>
    </row>
    <row r="619" spans="1:18" x14ac:dyDescent="0.4">
      <c r="A619" s="5"/>
      <c r="B619" s="5"/>
      <c r="C619" s="5"/>
      <c r="D619" s="6"/>
      <c r="E619" s="7"/>
      <c r="F619" s="7"/>
      <c r="G619" s="5"/>
      <c r="H619" s="6"/>
      <c r="I619" s="6"/>
      <c r="J619" s="6"/>
      <c r="K619" s="8"/>
      <c r="L619" s="9"/>
      <c r="M619" s="8"/>
      <c r="N619" s="10"/>
      <c r="O619" s="11"/>
      <c r="P619" s="8"/>
      <c r="Q619" s="8"/>
      <c r="R619" s="9"/>
    </row>
    <row r="620" spans="1:18" x14ac:dyDescent="0.4">
      <c r="A620" s="5"/>
      <c r="B620" s="5"/>
      <c r="C620" s="5"/>
      <c r="D620" s="6"/>
      <c r="E620" s="7"/>
      <c r="F620" s="7"/>
      <c r="G620" s="5"/>
      <c r="H620" s="6"/>
      <c r="I620" s="6"/>
      <c r="J620" s="6"/>
      <c r="K620" s="8"/>
      <c r="L620" s="9"/>
      <c r="M620" s="8"/>
      <c r="N620" s="10"/>
      <c r="O620" s="11"/>
      <c r="P620" s="8"/>
      <c r="Q620" s="8"/>
      <c r="R620" s="13"/>
    </row>
    <row r="621" spans="1:18" x14ac:dyDescent="0.4">
      <c r="A621" s="5"/>
      <c r="B621" s="5"/>
      <c r="C621" s="5"/>
      <c r="D621" s="6"/>
      <c r="E621" s="7"/>
      <c r="F621" s="7"/>
      <c r="G621" s="5"/>
      <c r="H621" s="6"/>
      <c r="I621" s="6"/>
      <c r="J621" s="6"/>
      <c r="K621" s="8"/>
      <c r="L621" s="9"/>
      <c r="M621" s="8"/>
      <c r="N621" s="10"/>
      <c r="O621" s="11"/>
      <c r="P621" s="8"/>
      <c r="Q621" s="8"/>
      <c r="R621" s="8"/>
    </row>
    <row r="622" spans="1:18" x14ac:dyDescent="0.4">
      <c r="A622" s="5"/>
      <c r="B622" s="5"/>
      <c r="C622" s="5"/>
      <c r="D622" s="6"/>
      <c r="E622" s="7"/>
      <c r="F622" s="7"/>
      <c r="G622" s="5"/>
      <c r="H622" s="6"/>
      <c r="I622" s="6"/>
      <c r="J622" s="6"/>
      <c r="K622" s="8"/>
      <c r="L622" s="9"/>
      <c r="M622" s="8"/>
      <c r="N622" s="10"/>
      <c r="O622" s="11"/>
      <c r="P622" s="8"/>
      <c r="Q622" s="8"/>
      <c r="R622" s="8"/>
    </row>
    <row r="623" spans="1:18" x14ac:dyDescent="0.4">
      <c r="A623" s="5"/>
      <c r="B623" s="5"/>
      <c r="C623" s="5"/>
      <c r="D623" s="6"/>
      <c r="E623" s="7"/>
      <c r="F623" s="7"/>
      <c r="G623" s="5"/>
      <c r="H623" s="6"/>
      <c r="I623" s="6"/>
      <c r="J623" s="6"/>
      <c r="K623" s="8"/>
      <c r="L623" s="9"/>
      <c r="M623" s="8"/>
      <c r="N623" s="10"/>
      <c r="O623" s="11"/>
      <c r="P623" s="8"/>
      <c r="Q623" s="8"/>
      <c r="R623" s="8"/>
    </row>
    <row r="624" spans="1:18" x14ac:dyDescent="0.4">
      <c r="A624" s="5"/>
      <c r="B624" s="5"/>
      <c r="C624" s="5"/>
      <c r="D624" s="6"/>
      <c r="E624" s="7"/>
      <c r="F624" s="7"/>
      <c r="G624" s="5"/>
      <c r="H624" s="6"/>
      <c r="I624" s="6"/>
      <c r="J624" s="6"/>
      <c r="K624" s="8"/>
      <c r="L624" s="9"/>
      <c r="M624" s="8"/>
      <c r="N624" s="10"/>
      <c r="O624" s="11"/>
      <c r="P624" s="8"/>
      <c r="Q624" s="8"/>
      <c r="R624" s="8"/>
    </row>
    <row r="625" spans="1:18" x14ac:dyDescent="0.4">
      <c r="A625" s="5"/>
      <c r="B625" s="5"/>
      <c r="C625" s="5"/>
      <c r="D625" s="6"/>
      <c r="E625" s="7"/>
      <c r="F625" s="7"/>
      <c r="G625" s="5"/>
      <c r="H625" s="6"/>
      <c r="I625" s="6"/>
      <c r="J625" s="6"/>
      <c r="K625" s="8"/>
      <c r="L625" s="9"/>
      <c r="M625" s="8"/>
      <c r="N625" s="10"/>
      <c r="O625" s="11"/>
      <c r="P625" s="8"/>
      <c r="Q625" s="8"/>
      <c r="R625" s="9"/>
    </row>
    <row r="626" spans="1:18" x14ac:dyDescent="0.4">
      <c r="A626" s="5"/>
      <c r="B626" s="5"/>
      <c r="C626" s="5"/>
      <c r="D626" s="6"/>
      <c r="E626" s="7"/>
      <c r="F626" s="7"/>
      <c r="G626" s="5"/>
      <c r="H626" s="6"/>
      <c r="I626" s="6"/>
      <c r="J626" s="6"/>
      <c r="K626" s="8"/>
      <c r="L626" s="9"/>
      <c r="M626" s="8"/>
      <c r="N626" s="10"/>
      <c r="O626" s="11"/>
      <c r="P626" s="8"/>
      <c r="Q626" s="8"/>
      <c r="R626" s="8"/>
    </row>
    <row r="627" spans="1:18" x14ac:dyDescent="0.4">
      <c r="A627" s="5"/>
      <c r="B627" s="5"/>
      <c r="C627" s="5"/>
      <c r="D627" s="6"/>
      <c r="E627" s="7"/>
      <c r="F627" s="7"/>
      <c r="G627" s="5"/>
      <c r="H627" s="6"/>
      <c r="I627" s="6"/>
      <c r="J627" s="6"/>
      <c r="K627" s="8"/>
      <c r="L627" s="9"/>
      <c r="M627" s="8"/>
      <c r="N627" s="10"/>
      <c r="O627" s="11"/>
      <c r="P627" s="8"/>
      <c r="Q627" s="8"/>
      <c r="R627" s="8"/>
    </row>
    <row r="628" spans="1:18" x14ac:dyDescent="0.4">
      <c r="A628" s="5"/>
      <c r="B628" s="5"/>
      <c r="C628" s="5"/>
      <c r="D628" s="6"/>
      <c r="E628" s="7"/>
      <c r="F628" s="7"/>
      <c r="G628" s="5"/>
      <c r="H628" s="6"/>
      <c r="I628" s="6"/>
      <c r="J628" s="6"/>
      <c r="K628" s="8"/>
      <c r="L628" s="9"/>
      <c r="M628" s="8"/>
      <c r="N628" s="10"/>
      <c r="O628" s="11"/>
      <c r="P628" s="8"/>
      <c r="Q628" s="8"/>
      <c r="R628" s="8"/>
    </row>
    <row r="629" spans="1:18" x14ac:dyDescent="0.4">
      <c r="A629" s="5"/>
      <c r="B629" s="5"/>
      <c r="C629" s="5"/>
      <c r="D629" s="6"/>
      <c r="E629" s="7"/>
      <c r="F629" s="7"/>
      <c r="G629" s="5"/>
      <c r="H629" s="6"/>
      <c r="I629" s="6"/>
      <c r="J629" s="6"/>
      <c r="K629" s="8"/>
      <c r="L629" s="9"/>
      <c r="M629" s="8"/>
      <c r="N629" s="10"/>
      <c r="O629" s="11"/>
      <c r="P629" s="8"/>
      <c r="Q629" s="8"/>
      <c r="R629" s="8"/>
    </row>
    <row r="630" spans="1:18" x14ac:dyDescent="0.4">
      <c r="A630" s="5"/>
      <c r="B630" s="5"/>
      <c r="C630" s="5"/>
      <c r="D630" s="6"/>
      <c r="E630" s="7"/>
      <c r="F630" s="7"/>
      <c r="G630" s="5"/>
      <c r="H630" s="6"/>
      <c r="I630" s="6"/>
      <c r="J630" s="6"/>
      <c r="K630" s="8"/>
      <c r="L630" s="9"/>
      <c r="M630" s="8"/>
      <c r="N630" s="10"/>
      <c r="O630" s="11"/>
      <c r="P630" s="8"/>
      <c r="Q630" s="8"/>
      <c r="R630" s="8"/>
    </row>
    <row r="631" spans="1:18" x14ac:dyDescent="0.4">
      <c r="A631" s="5"/>
      <c r="B631" s="5"/>
      <c r="C631" s="5"/>
      <c r="D631" s="6"/>
      <c r="E631" s="7"/>
      <c r="F631" s="7"/>
      <c r="G631" s="5"/>
      <c r="H631" s="6"/>
      <c r="I631" s="6"/>
      <c r="J631" s="6"/>
      <c r="K631" s="8"/>
      <c r="L631" s="9"/>
      <c r="M631" s="8"/>
      <c r="N631" s="10"/>
      <c r="O631" s="11"/>
      <c r="P631" s="8"/>
      <c r="Q631" s="8"/>
      <c r="R631" s="8"/>
    </row>
    <row r="632" spans="1:18" x14ac:dyDescent="0.4">
      <c r="A632" s="5"/>
      <c r="B632" s="5"/>
      <c r="C632" s="5"/>
      <c r="D632" s="6"/>
      <c r="E632" s="7"/>
      <c r="F632" s="7"/>
      <c r="G632" s="5"/>
      <c r="H632" s="6"/>
      <c r="I632" s="6"/>
      <c r="J632" s="6"/>
      <c r="K632" s="8"/>
      <c r="L632" s="9"/>
      <c r="M632" s="8"/>
      <c r="N632" s="10"/>
      <c r="O632" s="11"/>
      <c r="P632" s="8"/>
      <c r="Q632" s="8"/>
      <c r="R632" s="8"/>
    </row>
    <row r="633" spans="1:18" x14ac:dyDescent="0.4">
      <c r="A633" s="5"/>
      <c r="B633" s="5"/>
      <c r="C633" s="5"/>
      <c r="D633" s="6"/>
      <c r="E633" s="7"/>
      <c r="F633" s="7"/>
      <c r="G633" s="5"/>
      <c r="H633" s="6"/>
      <c r="I633" s="6"/>
      <c r="J633" s="6"/>
      <c r="K633" s="8"/>
      <c r="L633" s="9"/>
      <c r="M633" s="8"/>
      <c r="N633" s="10"/>
      <c r="O633" s="11"/>
      <c r="P633" s="8"/>
      <c r="Q633" s="8"/>
      <c r="R633" s="9"/>
    </row>
    <row r="634" spans="1:18" x14ac:dyDescent="0.4">
      <c r="A634" s="5"/>
      <c r="B634" s="5"/>
      <c r="C634" s="5"/>
      <c r="D634" s="6"/>
      <c r="E634" s="7"/>
      <c r="F634" s="7"/>
      <c r="G634" s="5"/>
      <c r="H634" s="6"/>
      <c r="I634" s="6"/>
      <c r="J634" s="6"/>
      <c r="K634" s="8"/>
      <c r="L634" s="9"/>
      <c r="M634" s="8"/>
      <c r="N634" s="10"/>
      <c r="O634" s="11"/>
      <c r="P634" s="8"/>
      <c r="Q634" s="8"/>
      <c r="R634" s="9"/>
    </row>
    <row r="635" spans="1:18" x14ac:dyDescent="0.4">
      <c r="A635" s="5"/>
      <c r="B635" s="5"/>
      <c r="C635" s="5"/>
      <c r="D635" s="6"/>
      <c r="E635" s="7"/>
      <c r="F635" s="7"/>
      <c r="G635" s="5"/>
      <c r="H635" s="6"/>
      <c r="I635" s="6"/>
      <c r="J635" s="6"/>
      <c r="K635" s="8"/>
      <c r="L635" s="9"/>
      <c r="M635" s="8"/>
      <c r="N635" s="10"/>
      <c r="O635" s="11"/>
      <c r="P635" s="8"/>
      <c r="Q635" s="8"/>
      <c r="R635" s="9"/>
    </row>
    <row r="636" spans="1:18" x14ac:dyDescent="0.4">
      <c r="A636" s="5"/>
      <c r="B636" s="5"/>
      <c r="C636" s="5"/>
      <c r="D636" s="6"/>
      <c r="E636" s="7"/>
      <c r="F636" s="7"/>
      <c r="G636" s="5"/>
      <c r="H636" s="6"/>
      <c r="I636" s="6"/>
      <c r="J636" s="6"/>
      <c r="K636" s="8"/>
      <c r="L636" s="9"/>
      <c r="M636" s="8"/>
      <c r="N636" s="10"/>
      <c r="O636" s="11"/>
      <c r="P636" s="8"/>
      <c r="Q636" s="8"/>
      <c r="R636" s="9"/>
    </row>
    <row r="637" spans="1:18" x14ac:dyDescent="0.4">
      <c r="A637" s="5"/>
      <c r="B637" s="5"/>
      <c r="C637" s="5"/>
      <c r="D637" s="6"/>
      <c r="E637" s="7"/>
      <c r="F637" s="7"/>
      <c r="G637" s="5"/>
      <c r="H637" s="6"/>
      <c r="I637" s="6"/>
      <c r="J637" s="6"/>
      <c r="K637" s="8"/>
      <c r="L637" s="9"/>
      <c r="M637" s="8"/>
      <c r="N637" s="10"/>
      <c r="O637" s="11"/>
      <c r="P637" s="8"/>
      <c r="Q637" s="8"/>
      <c r="R637" s="9"/>
    </row>
    <row r="638" spans="1:18" x14ac:dyDescent="0.4">
      <c r="A638" s="5"/>
      <c r="B638" s="5"/>
      <c r="C638" s="5"/>
      <c r="D638" s="6"/>
      <c r="E638" s="7"/>
      <c r="F638" s="7"/>
      <c r="G638" s="5"/>
      <c r="H638" s="6"/>
      <c r="I638" s="6"/>
      <c r="J638" s="6"/>
      <c r="K638" s="8"/>
      <c r="L638" s="9"/>
      <c r="M638" s="8"/>
      <c r="N638" s="10"/>
      <c r="O638" s="11"/>
      <c r="P638" s="8"/>
      <c r="Q638" s="8"/>
      <c r="R638" s="9"/>
    </row>
    <row r="639" spans="1:18" x14ac:dyDescent="0.4">
      <c r="A639" s="5"/>
      <c r="B639" s="5"/>
      <c r="C639" s="5"/>
      <c r="D639" s="6"/>
      <c r="E639" s="7"/>
      <c r="F639" s="7"/>
      <c r="G639" s="5"/>
      <c r="H639" s="6"/>
      <c r="I639" s="6"/>
      <c r="J639" s="6"/>
      <c r="K639" s="8"/>
      <c r="L639" s="9"/>
      <c r="M639" s="8"/>
      <c r="N639" s="10"/>
      <c r="O639" s="11"/>
      <c r="P639" s="8"/>
      <c r="Q639" s="8"/>
      <c r="R639" s="9"/>
    </row>
    <row r="640" spans="1:18" x14ac:dyDescent="0.4">
      <c r="A640" s="5"/>
      <c r="B640" s="30"/>
      <c r="C640" s="31"/>
      <c r="D640" s="32"/>
      <c r="E640" s="33"/>
      <c r="F640" s="33"/>
      <c r="G640" s="34"/>
      <c r="H640" s="35"/>
      <c r="I640" s="35"/>
      <c r="J640" s="35"/>
      <c r="K640" s="36"/>
      <c r="L640" s="37"/>
      <c r="M640" s="38"/>
      <c r="N640" s="39"/>
      <c r="O640" s="40"/>
      <c r="P640" s="36"/>
      <c r="Q640" s="8"/>
      <c r="R640" s="37"/>
    </row>
    <row r="641" spans="1:18" x14ac:dyDescent="0.4">
      <c r="A641" s="5"/>
      <c r="B641" s="41"/>
      <c r="C641" s="42"/>
      <c r="D641" s="43"/>
      <c r="E641" s="44"/>
      <c r="F641" s="44"/>
      <c r="G641" s="41"/>
      <c r="H641" s="45"/>
      <c r="I641" s="45"/>
      <c r="J641" s="45"/>
      <c r="K641" s="46"/>
      <c r="L641" s="47"/>
      <c r="M641" s="38"/>
      <c r="N641" s="48"/>
      <c r="O641" s="49"/>
      <c r="P641" s="46"/>
      <c r="Q641" s="8"/>
      <c r="R641" s="47"/>
    </row>
    <row r="642" spans="1:18" x14ac:dyDescent="0.4">
      <c r="A642" s="5"/>
      <c r="B642" s="41"/>
      <c r="C642" s="42"/>
      <c r="D642" s="43"/>
      <c r="E642" s="44"/>
      <c r="F642" s="44"/>
      <c r="G642" s="41"/>
      <c r="H642" s="45"/>
      <c r="I642" s="45"/>
      <c r="J642" s="45"/>
      <c r="K642" s="46"/>
      <c r="L642" s="47"/>
      <c r="M642" s="38"/>
      <c r="N642" s="48"/>
      <c r="O642" s="49"/>
      <c r="P642" s="46"/>
      <c r="Q642" s="8"/>
      <c r="R642" s="47"/>
    </row>
    <row r="643" spans="1:18" x14ac:dyDescent="0.4">
      <c r="A643" s="5"/>
      <c r="B643" s="41"/>
      <c r="C643" s="42"/>
      <c r="D643" s="43"/>
      <c r="E643" s="44"/>
      <c r="F643" s="44"/>
      <c r="G643" s="41"/>
      <c r="H643" s="45"/>
      <c r="I643" s="45"/>
      <c r="J643" s="45"/>
      <c r="K643" s="46"/>
      <c r="L643" s="47"/>
      <c r="M643" s="38"/>
      <c r="N643" s="48"/>
      <c r="O643" s="49"/>
      <c r="P643" s="46"/>
      <c r="Q643" s="8"/>
      <c r="R643" s="47"/>
    </row>
    <row r="644" spans="1:18" x14ac:dyDescent="0.4">
      <c r="A644" s="5"/>
      <c r="B644" s="41"/>
      <c r="C644" s="42"/>
      <c r="D644" s="43"/>
      <c r="E644" s="44"/>
      <c r="F644" s="44"/>
      <c r="G644" s="41"/>
      <c r="H644" s="45"/>
      <c r="I644" s="45"/>
      <c r="J644" s="45"/>
      <c r="K644" s="46"/>
      <c r="L644" s="47"/>
      <c r="M644" s="38"/>
      <c r="N644" s="48"/>
      <c r="O644" s="49"/>
      <c r="P644" s="46"/>
      <c r="Q644" s="8"/>
      <c r="R644" s="47"/>
    </row>
    <row r="645" spans="1:18" x14ac:dyDescent="0.4">
      <c r="A645" s="5"/>
      <c r="B645" s="41"/>
      <c r="C645" s="42"/>
      <c r="D645" s="43"/>
      <c r="E645" s="44"/>
      <c r="F645" s="44"/>
      <c r="G645" s="41"/>
      <c r="H645" s="45"/>
      <c r="I645" s="45"/>
      <c r="J645" s="45"/>
      <c r="K645" s="46"/>
      <c r="L645" s="47"/>
      <c r="M645" s="38"/>
      <c r="N645" s="48"/>
      <c r="O645" s="49"/>
      <c r="P645" s="46"/>
      <c r="Q645" s="8"/>
      <c r="R645" s="47"/>
    </row>
    <row r="646" spans="1:18" x14ac:dyDescent="0.4">
      <c r="A646" s="5"/>
      <c r="B646" s="41"/>
      <c r="C646" s="42"/>
      <c r="D646" s="43"/>
      <c r="E646" s="44"/>
      <c r="F646" s="44"/>
      <c r="G646" s="41"/>
      <c r="H646" s="45"/>
      <c r="I646" s="45"/>
      <c r="J646" s="45"/>
      <c r="K646" s="46"/>
      <c r="L646" s="47"/>
      <c r="M646" s="38"/>
      <c r="N646" s="48"/>
      <c r="O646" s="49"/>
      <c r="P646" s="46"/>
      <c r="Q646" s="8"/>
      <c r="R646" s="47"/>
    </row>
    <row r="647" spans="1:18" x14ac:dyDescent="0.4">
      <c r="A647" s="5"/>
      <c r="B647" s="41"/>
      <c r="C647" s="42"/>
      <c r="D647" s="43"/>
      <c r="E647" s="44"/>
      <c r="F647" s="44"/>
      <c r="G647" s="41"/>
      <c r="H647" s="45"/>
      <c r="I647" s="45"/>
      <c r="J647" s="45"/>
      <c r="K647" s="46"/>
      <c r="L647" s="47"/>
      <c r="M647" s="38"/>
      <c r="N647" s="48"/>
      <c r="O647" s="49"/>
      <c r="P647" s="46"/>
      <c r="Q647" s="8"/>
      <c r="R647" s="47"/>
    </row>
    <row r="648" spans="1:18" x14ac:dyDescent="0.4">
      <c r="A648" s="5"/>
      <c r="B648" s="41"/>
      <c r="C648" s="42"/>
      <c r="D648" s="43"/>
      <c r="E648" s="44"/>
      <c r="F648" s="44"/>
      <c r="G648" s="41"/>
      <c r="H648" s="45"/>
      <c r="I648" s="45"/>
      <c r="J648" s="45"/>
      <c r="K648" s="46"/>
      <c r="L648" s="47"/>
      <c r="M648" s="38"/>
      <c r="N648" s="48"/>
      <c r="O648" s="49"/>
      <c r="P648" s="46"/>
      <c r="Q648" s="8"/>
      <c r="R648" s="47"/>
    </row>
    <row r="649" spans="1:18" x14ac:dyDescent="0.4">
      <c r="A649" s="5"/>
      <c r="B649" s="30"/>
      <c r="C649" s="31"/>
      <c r="D649" s="32"/>
      <c r="E649" s="33"/>
      <c r="F649" s="33"/>
      <c r="G649" s="30"/>
      <c r="H649" s="35"/>
      <c r="I649" s="35"/>
      <c r="J649" s="35"/>
      <c r="K649" s="36"/>
      <c r="L649" s="37"/>
      <c r="M649" s="50"/>
      <c r="N649" s="48"/>
      <c r="O649" s="40"/>
      <c r="P649" s="36"/>
      <c r="Q649" s="8"/>
      <c r="R649" s="9"/>
    </row>
    <row r="650" spans="1:18" x14ac:dyDescent="0.4">
      <c r="A650" s="5"/>
      <c r="B650" s="41"/>
      <c r="C650" s="42"/>
      <c r="D650" s="43"/>
      <c r="E650" s="44"/>
      <c r="F650" s="44"/>
      <c r="G650" s="41"/>
      <c r="H650" s="45"/>
      <c r="I650" s="45"/>
      <c r="J650" s="45"/>
      <c r="K650" s="46"/>
      <c r="L650" s="47"/>
      <c r="M650" s="38"/>
      <c r="N650" s="48"/>
      <c r="O650" s="49"/>
      <c r="P650" s="46"/>
      <c r="Q650" s="8"/>
      <c r="R650" s="9"/>
    </row>
    <row r="651" spans="1:18" x14ac:dyDescent="0.4">
      <c r="A651" s="5"/>
      <c r="B651" s="41"/>
      <c r="C651" s="42"/>
      <c r="D651" s="43"/>
      <c r="E651" s="44"/>
      <c r="F651" s="44"/>
      <c r="G651" s="41"/>
      <c r="H651" s="45"/>
      <c r="I651" s="45"/>
      <c r="J651" s="45"/>
      <c r="K651" s="46"/>
      <c r="L651" s="47"/>
      <c r="M651" s="38"/>
      <c r="N651" s="48"/>
      <c r="O651" s="49"/>
      <c r="P651" s="46"/>
      <c r="Q651" s="8"/>
      <c r="R651" s="9"/>
    </row>
    <row r="652" spans="1:18" x14ac:dyDescent="0.4">
      <c r="A652" s="5"/>
      <c r="B652" s="41"/>
      <c r="C652" s="42"/>
      <c r="D652" s="43"/>
      <c r="E652" s="44"/>
      <c r="F652" s="44"/>
      <c r="G652" s="41"/>
      <c r="H652" s="45"/>
      <c r="I652" s="45"/>
      <c r="J652" s="45"/>
      <c r="K652" s="46"/>
      <c r="L652" s="47"/>
      <c r="M652" s="38"/>
      <c r="N652" s="48"/>
      <c r="O652" s="49"/>
      <c r="P652" s="46"/>
      <c r="Q652" s="8"/>
      <c r="R652" s="9"/>
    </row>
    <row r="653" spans="1:18" x14ac:dyDescent="0.4">
      <c r="A653" s="5"/>
      <c r="B653" s="30"/>
      <c r="C653" s="31"/>
      <c r="D653" s="32"/>
      <c r="E653" s="33"/>
      <c r="F653" s="33"/>
      <c r="G653" s="30"/>
      <c r="H653" s="35"/>
      <c r="I653" s="35"/>
      <c r="J653" s="35"/>
      <c r="K653" s="36"/>
      <c r="L653" s="37"/>
      <c r="M653" s="50"/>
      <c r="N653" s="39"/>
      <c r="O653" s="40"/>
      <c r="P653" s="36"/>
      <c r="Q653" s="8"/>
      <c r="R653" s="9"/>
    </row>
    <row r="654" spans="1:18" x14ac:dyDescent="0.4">
      <c r="A654" s="5"/>
      <c r="B654" s="41"/>
      <c r="C654" s="42"/>
      <c r="D654" s="43"/>
      <c r="E654" s="44"/>
      <c r="F654" s="44"/>
      <c r="G654" s="41"/>
      <c r="H654" s="45"/>
      <c r="I654" s="45"/>
      <c r="J654" s="45"/>
      <c r="K654" s="46"/>
      <c r="L654" s="47"/>
      <c r="M654" s="38"/>
      <c r="N654" s="48"/>
      <c r="O654" s="49"/>
      <c r="P654" s="46"/>
      <c r="Q654" s="8"/>
      <c r="R654" s="9"/>
    </row>
    <row r="655" spans="1:18" x14ac:dyDescent="0.4">
      <c r="A655" s="5"/>
      <c r="B655" s="41"/>
      <c r="C655" s="42"/>
      <c r="D655" s="43"/>
      <c r="E655" s="44"/>
      <c r="F655" s="44"/>
      <c r="G655" s="41"/>
      <c r="H655" s="45"/>
      <c r="I655" s="45"/>
      <c r="J655" s="45"/>
      <c r="K655" s="46"/>
      <c r="L655" s="47"/>
      <c r="M655" s="38"/>
      <c r="N655" s="48"/>
      <c r="O655" s="49"/>
      <c r="P655" s="46"/>
      <c r="Q655" s="8"/>
      <c r="R655" s="9"/>
    </row>
    <row r="656" spans="1:18" x14ac:dyDescent="0.4">
      <c r="A656" s="5"/>
      <c r="B656" s="30"/>
      <c r="C656" s="31"/>
      <c r="D656" s="32"/>
      <c r="E656" s="33"/>
      <c r="F656" s="33"/>
      <c r="G656" s="30"/>
      <c r="H656" s="35"/>
      <c r="I656" s="35"/>
      <c r="J656" s="35"/>
      <c r="K656" s="36"/>
      <c r="L656" s="37"/>
      <c r="M656" s="50"/>
      <c r="N656" s="39"/>
      <c r="O656" s="40"/>
      <c r="P656" s="36"/>
      <c r="Q656" s="8"/>
      <c r="R656" s="9"/>
    </row>
    <row r="657" spans="1:18" x14ac:dyDescent="0.4">
      <c r="A657" s="5"/>
      <c r="B657" s="41"/>
      <c r="C657" s="42"/>
      <c r="D657" s="43"/>
      <c r="E657" s="44"/>
      <c r="F657" s="33"/>
      <c r="G657" s="41"/>
      <c r="H657" s="45"/>
      <c r="I657" s="45"/>
      <c r="J657" s="45"/>
      <c r="K657" s="46"/>
      <c r="L657" s="37"/>
      <c r="M657" s="38"/>
      <c r="N657" s="48"/>
      <c r="O657" s="49"/>
      <c r="P657" s="46"/>
      <c r="Q657" s="8"/>
      <c r="R657" s="9"/>
    </row>
    <row r="658" spans="1:18" x14ac:dyDescent="0.4">
      <c r="A658" s="5"/>
      <c r="B658" s="41"/>
      <c r="C658" s="42"/>
      <c r="D658" s="43"/>
      <c r="E658" s="44"/>
      <c r="F658" s="44"/>
      <c r="G658" s="41"/>
      <c r="H658" s="45"/>
      <c r="I658" s="45"/>
      <c r="J658" s="45"/>
      <c r="K658" s="46"/>
      <c r="L658" s="47"/>
      <c r="M658" s="38"/>
      <c r="N658" s="48"/>
      <c r="O658" s="49"/>
      <c r="P658" s="46"/>
      <c r="Q658" s="8"/>
      <c r="R658" s="9"/>
    </row>
    <row r="659" spans="1:18" x14ac:dyDescent="0.4">
      <c r="A659" s="5"/>
      <c r="B659" s="41"/>
      <c r="C659" s="42"/>
      <c r="D659" s="43"/>
      <c r="E659" s="44"/>
      <c r="F659" s="44"/>
      <c r="G659" s="41"/>
      <c r="H659" s="45"/>
      <c r="I659" s="45"/>
      <c r="J659" s="45"/>
      <c r="K659" s="46"/>
      <c r="L659" s="47"/>
      <c r="M659" s="38"/>
      <c r="N659" s="48"/>
      <c r="O659" s="49"/>
      <c r="P659" s="46"/>
      <c r="Q659" s="8"/>
      <c r="R659" s="9"/>
    </row>
    <row r="660" spans="1:18" x14ac:dyDescent="0.4">
      <c r="A660" s="5"/>
      <c r="B660" s="41"/>
      <c r="C660" s="42"/>
      <c r="D660" s="43"/>
      <c r="E660" s="44"/>
      <c r="F660" s="44"/>
      <c r="G660" s="41"/>
      <c r="H660" s="45"/>
      <c r="I660" s="45"/>
      <c r="J660" s="45"/>
      <c r="K660" s="46"/>
      <c r="L660" s="47"/>
      <c r="M660" s="38"/>
      <c r="N660" s="48"/>
      <c r="O660" s="49"/>
      <c r="P660" s="46"/>
      <c r="Q660" s="8"/>
      <c r="R660" s="9"/>
    </row>
    <row r="661" spans="1:18" x14ac:dyDescent="0.4">
      <c r="A661" s="5"/>
      <c r="B661" s="41"/>
      <c r="C661" s="42"/>
      <c r="D661" s="43"/>
      <c r="E661" s="44"/>
      <c r="F661" s="44"/>
      <c r="G661" s="41"/>
      <c r="H661" s="45"/>
      <c r="I661" s="45"/>
      <c r="J661" s="45"/>
      <c r="K661" s="46"/>
      <c r="L661" s="47"/>
      <c r="M661" s="38"/>
      <c r="N661" s="48"/>
      <c r="O661" s="49"/>
      <c r="P661" s="46"/>
      <c r="Q661" s="8"/>
      <c r="R661" s="9"/>
    </row>
    <row r="662" spans="1:18" x14ac:dyDescent="0.4">
      <c r="A662" s="5"/>
      <c r="B662" s="41"/>
      <c r="C662" s="42"/>
      <c r="D662" s="43"/>
      <c r="E662" s="44"/>
      <c r="F662" s="44"/>
      <c r="G662" s="41"/>
      <c r="H662" s="45"/>
      <c r="I662" s="45"/>
      <c r="J662" s="45"/>
      <c r="K662" s="46"/>
      <c r="L662" s="47"/>
      <c r="M662" s="38"/>
      <c r="N662" s="48"/>
      <c r="O662" s="49"/>
      <c r="P662" s="46"/>
      <c r="Q662" s="8"/>
      <c r="R662" s="9"/>
    </row>
    <row r="663" spans="1:18" x14ac:dyDescent="0.4">
      <c r="A663" s="5"/>
      <c r="B663" s="41"/>
      <c r="C663" s="42"/>
      <c r="D663" s="43"/>
      <c r="E663" s="44"/>
      <c r="F663" s="44"/>
      <c r="G663" s="41"/>
      <c r="H663" s="45"/>
      <c r="I663" s="45"/>
      <c r="J663" s="45"/>
      <c r="K663" s="46"/>
      <c r="L663" s="47"/>
      <c r="M663" s="38"/>
      <c r="N663" s="48"/>
      <c r="O663" s="49"/>
      <c r="P663" s="46"/>
      <c r="Q663" s="8"/>
      <c r="R663" s="9"/>
    </row>
    <row r="664" spans="1:18" x14ac:dyDescent="0.4">
      <c r="A664" s="5"/>
      <c r="B664" s="41"/>
      <c r="C664" s="42"/>
      <c r="D664" s="43"/>
      <c r="E664" s="44"/>
      <c r="F664" s="44"/>
      <c r="G664" s="41"/>
      <c r="H664" s="45"/>
      <c r="I664" s="45"/>
      <c r="J664" s="45"/>
      <c r="K664" s="46"/>
      <c r="L664" s="47"/>
      <c r="M664" s="38"/>
      <c r="N664" s="48"/>
      <c r="O664" s="49"/>
      <c r="P664" s="46"/>
      <c r="Q664" s="8"/>
      <c r="R664" s="9"/>
    </row>
    <row r="665" spans="1:18" x14ac:dyDescent="0.4">
      <c r="A665" s="5"/>
      <c r="B665" s="41"/>
      <c r="C665" s="42"/>
      <c r="D665" s="43"/>
      <c r="E665" s="44"/>
      <c r="F665" s="44"/>
      <c r="G665" s="41"/>
      <c r="H665" s="45"/>
      <c r="I665" s="45"/>
      <c r="J665" s="45"/>
      <c r="K665" s="46"/>
      <c r="L665" s="47"/>
      <c r="M665" s="38"/>
      <c r="N665" s="48"/>
      <c r="O665" s="49"/>
      <c r="P665" s="46"/>
      <c r="Q665" s="8"/>
      <c r="R665" s="9"/>
    </row>
    <row r="666" spans="1:18" x14ac:dyDescent="0.4">
      <c r="A666" s="5"/>
      <c r="B666" s="5"/>
      <c r="C666" s="5"/>
      <c r="D666" s="6"/>
      <c r="E666" s="7"/>
      <c r="F666" s="7"/>
      <c r="G666" s="5"/>
      <c r="H666" s="6"/>
      <c r="I666" s="6"/>
      <c r="J666" s="6"/>
      <c r="K666" s="8"/>
      <c r="L666" s="9"/>
      <c r="M666" s="8"/>
      <c r="N666" s="10"/>
      <c r="O666" s="11"/>
      <c r="P666" s="8"/>
      <c r="Q666" s="8"/>
      <c r="R666" s="14"/>
    </row>
    <row r="667" spans="1:18" x14ac:dyDescent="0.4">
      <c r="A667" s="5"/>
      <c r="B667" s="5"/>
      <c r="C667" s="5"/>
      <c r="D667" s="6"/>
      <c r="E667" s="7"/>
      <c r="F667" s="7"/>
      <c r="G667" s="5"/>
      <c r="H667" s="6"/>
      <c r="I667" s="6"/>
      <c r="J667" s="6"/>
      <c r="K667" s="8"/>
      <c r="L667" s="9"/>
      <c r="M667" s="8"/>
      <c r="N667" s="10"/>
      <c r="O667" s="11"/>
      <c r="P667" s="8"/>
      <c r="Q667" s="8"/>
      <c r="R667" s="13"/>
    </row>
    <row r="668" spans="1:18" x14ac:dyDescent="0.4">
      <c r="A668" s="5"/>
      <c r="B668" s="5"/>
      <c r="C668" s="5"/>
      <c r="D668" s="6"/>
      <c r="E668" s="7"/>
      <c r="F668" s="7"/>
      <c r="G668" s="5"/>
      <c r="H668" s="6"/>
      <c r="I668" s="6"/>
      <c r="J668" s="6"/>
      <c r="K668" s="8"/>
      <c r="L668" s="9"/>
      <c r="M668" s="8"/>
      <c r="N668" s="10"/>
      <c r="O668" s="11"/>
      <c r="P668" s="8"/>
      <c r="Q668" s="8"/>
      <c r="R668" s="13"/>
    </row>
    <row r="669" spans="1:18" x14ac:dyDescent="0.4">
      <c r="A669" s="5"/>
      <c r="B669" s="5"/>
      <c r="C669" s="5"/>
      <c r="D669" s="6"/>
      <c r="E669" s="7"/>
      <c r="F669" s="7"/>
      <c r="G669" s="5"/>
      <c r="H669" s="6"/>
      <c r="I669" s="6"/>
      <c r="J669" s="6"/>
      <c r="K669" s="8"/>
      <c r="L669" s="9"/>
      <c r="M669" s="8"/>
      <c r="N669" s="10"/>
      <c r="O669" s="11"/>
      <c r="P669" s="8"/>
      <c r="Q669" s="8"/>
      <c r="R669" s="13"/>
    </row>
    <row r="670" spans="1:18" x14ac:dyDescent="0.4">
      <c r="A670" s="5"/>
      <c r="B670" s="5"/>
      <c r="C670" s="5"/>
      <c r="D670" s="6"/>
      <c r="E670" s="7"/>
      <c r="F670" s="7"/>
      <c r="G670" s="5"/>
      <c r="H670" s="6"/>
      <c r="I670" s="6"/>
      <c r="J670" s="6"/>
      <c r="K670" s="8"/>
      <c r="L670" s="9"/>
      <c r="M670" s="8"/>
      <c r="N670" s="10"/>
      <c r="O670" s="11"/>
      <c r="P670" s="8"/>
      <c r="Q670" s="8"/>
      <c r="R670" s="13"/>
    </row>
    <row r="671" spans="1:18" x14ac:dyDescent="0.4">
      <c r="A671" s="5"/>
      <c r="B671" s="5"/>
      <c r="C671" s="5"/>
      <c r="D671" s="6"/>
      <c r="E671" s="7"/>
      <c r="F671" s="7"/>
      <c r="G671" s="5"/>
      <c r="H671" s="6"/>
      <c r="I671" s="6"/>
      <c r="J671" s="6"/>
      <c r="K671" s="8"/>
      <c r="L671" s="9"/>
      <c r="M671" s="8"/>
      <c r="N671" s="10"/>
      <c r="O671" s="11"/>
      <c r="P671" s="8"/>
      <c r="Q671" s="8"/>
      <c r="R671" s="13"/>
    </row>
    <row r="672" spans="1:18" x14ac:dyDescent="0.4">
      <c r="A672" s="5"/>
      <c r="B672" s="5"/>
      <c r="C672" s="5"/>
      <c r="D672" s="6"/>
      <c r="E672" s="7"/>
      <c r="F672" s="7"/>
      <c r="G672" s="5"/>
      <c r="H672" s="6"/>
      <c r="I672" s="6"/>
      <c r="J672" s="6"/>
      <c r="K672" s="8"/>
      <c r="L672" s="9"/>
      <c r="M672" s="8"/>
      <c r="N672" s="10"/>
      <c r="O672" s="11"/>
      <c r="P672" s="8"/>
      <c r="Q672" s="8"/>
      <c r="R672" s="13"/>
    </row>
    <row r="673" spans="1:19" x14ac:dyDescent="0.4">
      <c r="A673" s="5"/>
      <c r="B673" s="5"/>
      <c r="C673" s="5"/>
      <c r="D673" s="6"/>
      <c r="E673" s="7"/>
      <c r="F673" s="7"/>
      <c r="G673" s="5"/>
      <c r="H673" s="6"/>
      <c r="I673" s="6"/>
      <c r="J673" s="6"/>
      <c r="K673" s="8"/>
      <c r="L673" s="9"/>
      <c r="M673" s="8"/>
      <c r="N673" s="10"/>
      <c r="O673" s="11"/>
      <c r="P673" s="8"/>
      <c r="Q673" s="8"/>
      <c r="R673" s="13"/>
      <c r="S673" s="17" t="s">
        <v>29</v>
      </c>
    </row>
    <row r="674" spans="1:19" x14ac:dyDescent="0.4">
      <c r="A674" s="5"/>
      <c r="B674" s="5"/>
      <c r="C674" s="5"/>
      <c r="D674" s="6"/>
      <c r="E674" s="7"/>
      <c r="F674" s="7"/>
      <c r="G674" s="5"/>
      <c r="H674" s="6"/>
      <c r="I674" s="6"/>
      <c r="J674" s="6"/>
      <c r="K674" s="8"/>
      <c r="L674" s="9"/>
      <c r="M674" s="8"/>
      <c r="N674" s="10"/>
      <c r="O674" s="11"/>
      <c r="P674" s="8"/>
      <c r="Q674" s="8"/>
      <c r="R674" s="13"/>
    </row>
    <row r="675" spans="1:19" x14ac:dyDescent="0.4">
      <c r="A675" s="5"/>
      <c r="B675" s="5"/>
      <c r="C675" s="5"/>
      <c r="D675" s="6"/>
      <c r="E675" s="7"/>
      <c r="F675" s="7"/>
      <c r="G675" s="5"/>
      <c r="H675" s="6"/>
      <c r="I675" s="6"/>
      <c r="J675" s="6"/>
      <c r="K675" s="8"/>
      <c r="L675" s="9"/>
      <c r="M675" s="8"/>
      <c r="N675" s="10"/>
      <c r="O675" s="11"/>
      <c r="P675" s="8"/>
      <c r="Q675" s="8"/>
      <c r="R675" s="13"/>
    </row>
    <row r="676" spans="1:19" x14ac:dyDescent="0.4">
      <c r="A676" s="5"/>
      <c r="B676" s="5"/>
      <c r="C676" s="5"/>
      <c r="D676" s="6"/>
      <c r="E676" s="7"/>
      <c r="F676" s="7"/>
      <c r="G676" s="5"/>
      <c r="H676" s="6"/>
      <c r="I676" s="6"/>
      <c r="J676" s="6"/>
      <c r="K676" s="8"/>
      <c r="L676" s="9"/>
      <c r="M676" s="8"/>
      <c r="N676" s="10"/>
      <c r="O676" s="11"/>
      <c r="P676" s="8"/>
      <c r="Q676" s="8"/>
      <c r="R676" s="13"/>
    </row>
    <row r="677" spans="1:19" x14ac:dyDescent="0.4">
      <c r="A677" s="5"/>
      <c r="B677" s="5"/>
      <c r="C677" s="5"/>
      <c r="D677" s="6"/>
      <c r="E677" s="7"/>
      <c r="F677" s="7"/>
      <c r="G677" s="5"/>
      <c r="H677" s="6"/>
      <c r="I677" s="6"/>
      <c r="J677" s="6"/>
      <c r="K677" s="8"/>
      <c r="L677" s="9"/>
      <c r="M677" s="8"/>
      <c r="N677" s="10"/>
      <c r="O677" s="11"/>
      <c r="P677" s="8"/>
      <c r="Q677" s="8"/>
      <c r="R677" s="13"/>
    </row>
    <row r="678" spans="1:19" x14ac:dyDescent="0.4">
      <c r="A678" s="5"/>
      <c r="B678" s="5"/>
      <c r="C678" s="5"/>
      <c r="D678" s="6"/>
      <c r="E678" s="7"/>
      <c r="F678" s="7"/>
      <c r="G678" s="5"/>
      <c r="H678" s="6"/>
      <c r="I678" s="6"/>
      <c r="J678" s="6"/>
      <c r="K678" s="8"/>
      <c r="L678" s="9"/>
      <c r="M678" s="8"/>
      <c r="N678" s="10"/>
      <c r="O678" s="11"/>
      <c r="P678" s="8"/>
      <c r="Q678" s="8"/>
      <c r="R678" s="13"/>
    </row>
    <row r="679" spans="1:19" x14ac:dyDescent="0.4">
      <c r="A679" s="5"/>
      <c r="B679" s="5"/>
      <c r="C679" s="5"/>
      <c r="D679" s="6"/>
      <c r="E679" s="7"/>
      <c r="F679" s="7"/>
      <c r="G679" s="5"/>
      <c r="H679" s="6"/>
      <c r="I679" s="6"/>
      <c r="J679" s="6"/>
      <c r="K679" s="8"/>
      <c r="L679" s="9"/>
      <c r="M679" s="8"/>
      <c r="N679" s="10"/>
      <c r="O679" s="11"/>
      <c r="P679" s="8"/>
      <c r="Q679" s="8"/>
      <c r="R679" s="13"/>
    </row>
    <row r="680" spans="1:19" x14ac:dyDescent="0.4">
      <c r="A680" s="5"/>
      <c r="B680" s="5"/>
      <c r="C680" s="5"/>
      <c r="D680" s="6"/>
      <c r="E680" s="7"/>
      <c r="F680" s="7"/>
      <c r="G680" s="5"/>
      <c r="H680" s="6"/>
      <c r="I680" s="6"/>
      <c r="J680" s="6"/>
      <c r="K680" s="8"/>
      <c r="L680" s="9"/>
      <c r="M680" s="8"/>
      <c r="N680" s="10"/>
      <c r="O680" s="11"/>
      <c r="P680" s="8"/>
      <c r="Q680" s="8"/>
      <c r="R680" s="13"/>
    </row>
    <row r="681" spans="1:19" x14ac:dyDescent="0.4">
      <c r="A681" s="5"/>
      <c r="B681" s="5"/>
      <c r="C681" s="5"/>
      <c r="D681" s="6"/>
      <c r="E681" s="7"/>
      <c r="F681" s="7"/>
      <c r="G681" s="5"/>
      <c r="H681" s="6"/>
      <c r="I681" s="6"/>
      <c r="J681" s="6"/>
      <c r="K681" s="8"/>
      <c r="L681" s="9"/>
      <c r="M681" s="8"/>
      <c r="N681" s="10"/>
      <c r="O681" s="11"/>
      <c r="P681" s="8"/>
      <c r="Q681" s="8"/>
      <c r="R681" s="9"/>
    </row>
    <row r="682" spans="1:19" x14ac:dyDescent="0.4">
      <c r="A682" s="5"/>
      <c r="B682" s="5"/>
      <c r="C682" s="5"/>
      <c r="D682" s="6"/>
      <c r="E682" s="7"/>
      <c r="F682" s="7"/>
      <c r="G682" s="5"/>
      <c r="H682" s="6"/>
      <c r="I682" s="6"/>
      <c r="J682" s="6"/>
      <c r="K682" s="8"/>
      <c r="L682" s="9"/>
      <c r="M682" s="8"/>
      <c r="N682" s="10"/>
      <c r="O682" s="11"/>
      <c r="P682" s="8"/>
      <c r="Q682" s="8"/>
      <c r="R682" s="9"/>
    </row>
    <row r="683" spans="1:19" x14ac:dyDescent="0.4">
      <c r="A683" s="5"/>
      <c r="B683" s="5"/>
      <c r="C683" s="5"/>
      <c r="D683" s="6"/>
      <c r="E683" s="7"/>
      <c r="F683" s="7"/>
      <c r="G683" s="5"/>
      <c r="H683" s="6"/>
      <c r="I683" s="6"/>
      <c r="J683" s="6"/>
      <c r="K683" s="8"/>
      <c r="L683" s="9"/>
      <c r="M683" s="8"/>
      <c r="N683" s="10"/>
      <c r="O683" s="11"/>
      <c r="P683" s="8"/>
      <c r="Q683" s="8"/>
      <c r="R683" s="9"/>
    </row>
    <row r="684" spans="1:19" x14ac:dyDescent="0.4">
      <c r="A684" s="5"/>
      <c r="B684" s="5"/>
      <c r="C684" s="5"/>
      <c r="D684" s="6"/>
      <c r="E684" s="7"/>
      <c r="F684" s="7"/>
      <c r="G684" s="5"/>
      <c r="H684" s="6"/>
      <c r="I684" s="6"/>
      <c r="J684" s="6"/>
      <c r="K684" s="8"/>
      <c r="L684" s="9"/>
      <c r="M684" s="8"/>
      <c r="N684" s="10"/>
      <c r="O684" s="11"/>
      <c r="P684" s="8"/>
      <c r="Q684" s="8"/>
      <c r="R684" s="9"/>
    </row>
    <row r="685" spans="1:19" x14ac:dyDescent="0.4">
      <c r="A685" s="5"/>
      <c r="B685" s="5"/>
      <c r="C685" s="5"/>
      <c r="D685" s="6"/>
      <c r="E685" s="7"/>
      <c r="F685" s="7"/>
      <c r="G685" s="5"/>
      <c r="H685" s="6"/>
      <c r="I685" s="6"/>
      <c r="J685" s="6"/>
      <c r="K685" s="8"/>
      <c r="L685" s="9"/>
      <c r="M685" s="8"/>
      <c r="N685" s="10"/>
      <c r="O685" s="11"/>
      <c r="P685" s="8"/>
      <c r="Q685" s="8"/>
      <c r="R685" s="9"/>
    </row>
    <row r="686" spans="1:19" x14ac:dyDescent="0.4">
      <c r="A686" s="5"/>
      <c r="B686" s="5"/>
      <c r="C686" s="5"/>
      <c r="D686" s="6"/>
      <c r="E686" s="7"/>
      <c r="F686" s="7"/>
      <c r="G686" s="5"/>
      <c r="H686" s="6"/>
      <c r="I686" s="6"/>
      <c r="J686" s="6"/>
      <c r="K686" s="8"/>
      <c r="L686" s="9"/>
      <c r="M686" s="8"/>
      <c r="N686" s="10"/>
      <c r="O686" s="11"/>
      <c r="P686" s="8"/>
      <c r="Q686" s="8"/>
      <c r="R686" s="9"/>
    </row>
    <row r="687" spans="1:19" x14ac:dyDescent="0.4">
      <c r="A687" s="5"/>
      <c r="B687" s="5"/>
      <c r="C687" s="5"/>
      <c r="D687" s="6"/>
      <c r="E687" s="7"/>
      <c r="F687" s="7"/>
      <c r="G687" s="5"/>
      <c r="H687" s="6"/>
      <c r="I687" s="6"/>
      <c r="J687" s="6"/>
      <c r="K687" s="8"/>
      <c r="L687" s="9"/>
      <c r="M687" s="8"/>
      <c r="N687" s="10"/>
      <c r="O687" s="11"/>
      <c r="P687" s="8"/>
      <c r="Q687" s="8"/>
      <c r="R687" s="9"/>
    </row>
    <row r="688" spans="1:19" x14ac:dyDescent="0.4">
      <c r="A688" s="5"/>
      <c r="B688" s="5"/>
      <c r="C688" s="5"/>
      <c r="D688" s="6"/>
      <c r="E688" s="7"/>
      <c r="F688" s="7"/>
      <c r="G688" s="5"/>
      <c r="H688" s="6"/>
      <c r="I688" s="6"/>
      <c r="J688" s="6"/>
      <c r="K688" s="8"/>
      <c r="L688" s="9"/>
      <c r="M688" s="8"/>
      <c r="N688" s="10"/>
      <c r="O688" s="11"/>
      <c r="P688" s="8"/>
      <c r="Q688" s="8"/>
      <c r="R688" s="9"/>
    </row>
    <row r="689" spans="1:18" x14ac:dyDescent="0.4">
      <c r="A689" s="5"/>
      <c r="B689" s="5"/>
      <c r="C689" s="5"/>
      <c r="D689" s="6"/>
      <c r="E689" s="7"/>
      <c r="F689" s="7"/>
      <c r="G689" s="5"/>
      <c r="H689" s="6"/>
      <c r="I689" s="6"/>
      <c r="J689" s="6"/>
      <c r="K689" s="8"/>
      <c r="L689" s="9"/>
      <c r="M689" s="8"/>
      <c r="N689" s="10"/>
      <c r="O689" s="11"/>
      <c r="P689" s="8"/>
      <c r="Q689" s="8"/>
      <c r="R689" s="9"/>
    </row>
    <row r="690" spans="1:18" x14ac:dyDescent="0.4">
      <c r="A690" s="5"/>
      <c r="B690" s="5"/>
      <c r="C690" s="5"/>
      <c r="D690" s="6"/>
      <c r="E690" s="7"/>
      <c r="F690" s="7"/>
      <c r="G690" s="5"/>
      <c r="H690" s="6"/>
      <c r="I690" s="6"/>
      <c r="J690" s="6"/>
      <c r="K690" s="8"/>
      <c r="L690" s="9"/>
      <c r="M690" s="8"/>
      <c r="N690" s="10"/>
      <c r="O690" s="11"/>
      <c r="P690" s="8"/>
      <c r="Q690" s="8"/>
      <c r="R690" s="9"/>
    </row>
    <row r="691" spans="1:18" x14ac:dyDescent="0.4">
      <c r="A691" s="5"/>
      <c r="B691" s="5"/>
      <c r="C691" s="5"/>
      <c r="D691" s="6"/>
      <c r="E691" s="7"/>
      <c r="F691" s="7"/>
      <c r="G691" s="5"/>
      <c r="H691" s="6"/>
      <c r="I691" s="6"/>
      <c r="J691" s="6"/>
      <c r="K691" s="8"/>
      <c r="L691" s="9"/>
      <c r="M691" s="8"/>
      <c r="N691" s="10"/>
      <c r="O691" s="11"/>
      <c r="P691" s="8"/>
      <c r="Q691" s="8"/>
      <c r="R691" s="9"/>
    </row>
    <row r="692" spans="1:18" x14ac:dyDescent="0.4">
      <c r="A692" s="5"/>
      <c r="B692" s="5"/>
      <c r="C692" s="5"/>
      <c r="D692" s="6"/>
      <c r="E692" s="7"/>
      <c r="F692" s="7"/>
      <c r="G692" s="5"/>
      <c r="H692" s="6"/>
      <c r="I692" s="6"/>
      <c r="J692" s="6"/>
      <c r="K692" s="8"/>
      <c r="L692" s="9"/>
      <c r="M692" s="8"/>
      <c r="N692" s="10"/>
      <c r="O692" s="11"/>
      <c r="P692" s="8"/>
      <c r="Q692" s="8"/>
      <c r="R692" s="9"/>
    </row>
    <row r="693" spans="1:18" x14ac:dyDescent="0.4">
      <c r="A693" s="5"/>
      <c r="B693" s="5"/>
      <c r="C693" s="5"/>
      <c r="D693" s="6"/>
      <c r="E693" s="7"/>
      <c r="F693" s="7"/>
      <c r="G693" s="5"/>
      <c r="H693" s="6"/>
      <c r="I693" s="6"/>
      <c r="J693" s="6"/>
      <c r="K693" s="8"/>
      <c r="L693" s="9"/>
      <c r="M693" s="8"/>
      <c r="N693" s="10"/>
      <c r="O693" s="11"/>
      <c r="P693" s="8"/>
      <c r="Q693" s="8"/>
      <c r="R693" s="9"/>
    </row>
    <row r="694" spans="1:18" x14ac:dyDescent="0.4">
      <c r="A694" s="5"/>
      <c r="B694" s="5"/>
      <c r="C694" s="5"/>
      <c r="D694" s="6"/>
      <c r="E694" s="7"/>
      <c r="F694" s="7"/>
      <c r="G694" s="5"/>
      <c r="H694" s="6"/>
      <c r="I694" s="6"/>
      <c r="J694" s="6"/>
      <c r="K694" s="8"/>
      <c r="L694" s="9"/>
      <c r="M694" s="8"/>
      <c r="N694" s="10"/>
      <c r="O694" s="11"/>
      <c r="P694" s="8"/>
      <c r="Q694" s="8"/>
      <c r="R694" s="9"/>
    </row>
    <row r="695" spans="1:18" x14ac:dyDescent="0.4">
      <c r="A695" s="5"/>
      <c r="B695" s="5"/>
      <c r="C695" s="5"/>
      <c r="D695" s="6"/>
      <c r="E695" s="7"/>
      <c r="F695" s="7"/>
      <c r="G695" s="5"/>
      <c r="H695" s="6"/>
      <c r="I695" s="6"/>
      <c r="J695" s="6"/>
      <c r="K695" s="8"/>
      <c r="L695" s="9"/>
      <c r="M695" s="8"/>
      <c r="N695" s="10"/>
      <c r="O695" s="11"/>
      <c r="P695" s="8"/>
      <c r="Q695" s="8"/>
      <c r="R695" s="9"/>
    </row>
    <row r="696" spans="1:18" x14ac:dyDescent="0.4">
      <c r="A696" s="5"/>
      <c r="B696" s="5"/>
      <c r="C696" s="5"/>
      <c r="D696" s="6"/>
      <c r="E696" s="7"/>
      <c r="F696" s="7"/>
      <c r="G696" s="5"/>
      <c r="H696" s="6"/>
      <c r="I696" s="6"/>
      <c r="J696" s="6"/>
      <c r="K696" s="8"/>
      <c r="L696" s="9"/>
      <c r="M696" s="8"/>
      <c r="N696" s="10"/>
      <c r="O696" s="11"/>
      <c r="P696" s="8"/>
      <c r="Q696" s="8"/>
      <c r="R696" s="9"/>
    </row>
    <row r="697" spans="1:18" x14ac:dyDescent="0.4">
      <c r="A697" s="5"/>
      <c r="B697" s="5"/>
      <c r="C697" s="5"/>
      <c r="D697" s="6"/>
      <c r="E697" s="7"/>
      <c r="F697" s="7"/>
      <c r="G697" s="5"/>
      <c r="H697" s="6"/>
      <c r="I697" s="6"/>
      <c r="J697" s="6"/>
      <c r="K697" s="8"/>
      <c r="L697" s="9"/>
      <c r="M697" s="8"/>
      <c r="N697" s="10"/>
      <c r="O697" s="11"/>
      <c r="P697" s="8"/>
      <c r="Q697" s="8"/>
      <c r="R697" s="9"/>
    </row>
    <row r="698" spans="1:18" x14ac:dyDescent="0.4">
      <c r="A698" s="5"/>
      <c r="B698" s="5"/>
      <c r="C698" s="5"/>
      <c r="D698" s="6"/>
      <c r="E698" s="7"/>
      <c r="F698" s="7"/>
      <c r="G698" s="5"/>
      <c r="H698" s="6"/>
      <c r="I698" s="6"/>
      <c r="J698" s="6"/>
      <c r="K698" s="8"/>
      <c r="L698" s="9"/>
      <c r="M698" s="8"/>
      <c r="N698" s="10"/>
      <c r="O698" s="11"/>
      <c r="P698" s="8"/>
      <c r="Q698" s="8"/>
      <c r="R698" s="9"/>
    </row>
    <row r="699" spans="1:18" x14ac:dyDescent="0.4">
      <c r="A699" s="5"/>
      <c r="B699" s="5"/>
      <c r="C699" s="5"/>
      <c r="D699" s="6"/>
      <c r="E699" s="7"/>
      <c r="F699" s="7"/>
      <c r="G699" s="5"/>
      <c r="H699" s="6"/>
      <c r="I699" s="6"/>
      <c r="J699" s="6"/>
      <c r="K699" s="8"/>
      <c r="L699" s="9"/>
      <c r="M699" s="8"/>
      <c r="N699" s="10"/>
      <c r="O699" s="11"/>
      <c r="P699" s="8"/>
      <c r="Q699" s="8"/>
      <c r="R699" s="9"/>
    </row>
    <row r="700" spans="1:18" x14ac:dyDescent="0.4">
      <c r="A700" s="5"/>
      <c r="B700" s="5"/>
      <c r="C700" s="5"/>
      <c r="D700" s="6"/>
      <c r="E700" s="7"/>
      <c r="F700" s="7"/>
      <c r="G700" s="5"/>
      <c r="H700" s="6"/>
      <c r="I700" s="6"/>
      <c r="J700" s="6"/>
      <c r="K700" s="8"/>
      <c r="L700" s="9"/>
      <c r="M700" s="8"/>
      <c r="N700" s="10"/>
      <c r="O700" s="11"/>
      <c r="P700" s="8"/>
      <c r="Q700" s="8"/>
      <c r="R700" s="9"/>
    </row>
    <row r="701" spans="1:18" x14ac:dyDescent="0.4">
      <c r="A701" s="5"/>
      <c r="B701" s="5"/>
      <c r="C701" s="5"/>
      <c r="D701" s="6"/>
      <c r="E701" s="7"/>
      <c r="F701" s="7"/>
      <c r="G701" s="5"/>
      <c r="H701" s="6"/>
      <c r="I701" s="6"/>
      <c r="J701" s="6"/>
      <c r="K701" s="8"/>
      <c r="L701" s="9"/>
      <c r="M701" s="8"/>
      <c r="N701" s="10"/>
      <c r="O701" s="11"/>
      <c r="P701" s="8"/>
      <c r="Q701" s="8"/>
      <c r="R701" s="26"/>
    </row>
    <row r="702" spans="1:18" x14ac:dyDescent="0.4">
      <c r="A702" s="5"/>
      <c r="B702" s="5"/>
      <c r="C702" s="5"/>
      <c r="D702" s="6"/>
      <c r="E702" s="7"/>
      <c r="F702" s="7"/>
      <c r="G702" s="5"/>
      <c r="H702" s="6"/>
      <c r="I702" s="6"/>
      <c r="J702" s="6"/>
      <c r="K702" s="8"/>
      <c r="L702" s="9"/>
      <c r="M702" s="8"/>
      <c r="N702" s="10"/>
      <c r="O702" s="11"/>
      <c r="P702" s="8"/>
      <c r="Q702" s="8"/>
      <c r="R702" s="14"/>
    </row>
    <row r="703" spans="1:18" x14ac:dyDescent="0.4">
      <c r="A703" s="5"/>
      <c r="B703" s="5"/>
      <c r="C703" s="5"/>
      <c r="D703" s="6"/>
      <c r="E703" s="7"/>
      <c r="F703" s="7"/>
      <c r="G703" s="5"/>
      <c r="H703" s="6"/>
      <c r="I703" s="6"/>
      <c r="J703" s="6"/>
      <c r="K703" s="8"/>
      <c r="L703" s="9"/>
      <c r="M703" s="8"/>
      <c r="N703" s="10"/>
      <c r="O703" s="11"/>
      <c r="P703" s="8"/>
      <c r="Q703" s="8"/>
      <c r="R703" s="13"/>
    </row>
    <row r="704" spans="1:18" x14ac:dyDescent="0.4">
      <c r="A704" s="5"/>
      <c r="B704" s="5"/>
      <c r="C704" s="5"/>
      <c r="D704" s="6"/>
      <c r="E704" s="7"/>
      <c r="F704" s="7"/>
      <c r="G704" s="5"/>
      <c r="H704" s="6"/>
      <c r="I704" s="6"/>
      <c r="J704" s="6"/>
      <c r="K704" s="8"/>
      <c r="L704" s="9"/>
      <c r="M704" s="8"/>
      <c r="N704" s="10"/>
      <c r="O704" s="11"/>
      <c r="P704" s="8"/>
      <c r="Q704" s="8"/>
      <c r="R704" s="13"/>
    </row>
    <row r="705" spans="1:18" x14ac:dyDescent="0.4">
      <c r="A705" s="5"/>
      <c r="B705" s="5"/>
      <c r="C705" s="5"/>
      <c r="D705" s="6"/>
      <c r="E705" s="7"/>
      <c r="F705" s="7"/>
      <c r="G705" s="5"/>
      <c r="H705" s="6"/>
      <c r="I705" s="6"/>
      <c r="J705" s="6"/>
      <c r="K705" s="8"/>
      <c r="L705" s="9"/>
      <c r="M705" s="8"/>
      <c r="N705" s="10"/>
      <c r="O705" s="11"/>
      <c r="P705" s="8"/>
      <c r="Q705" s="8"/>
      <c r="R705" s="13"/>
    </row>
    <row r="706" spans="1:18" x14ac:dyDescent="0.4">
      <c r="A706" s="5"/>
      <c r="B706" s="5"/>
      <c r="C706" s="5"/>
      <c r="D706" s="6"/>
      <c r="E706" s="7"/>
      <c r="F706" s="7"/>
      <c r="G706" s="5"/>
      <c r="H706" s="6"/>
      <c r="I706" s="6"/>
      <c r="J706" s="6"/>
      <c r="K706" s="8"/>
      <c r="L706" s="9"/>
      <c r="M706" s="8"/>
      <c r="N706" s="10"/>
      <c r="O706" s="11"/>
      <c r="P706" s="8"/>
      <c r="Q706" s="8"/>
      <c r="R706" s="13"/>
    </row>
    <row r="707" spans="1:18" x14ac:dyDescent="0.4">
      <c r="A707" s="5"/>
      <c r="B707" s="5"/>
      <c r="C707" s="5"/>
      <c r="D707" s="6"/>
      <c r="E707" s="7"/>
      <c r="F707" s="7"/>
      <c r="G707" s="5"/>
      <c r="H707" s="6"/>
      <c r="I707" s="6"/>
      <c r="J707" s="6"/>
      <c r="K707" s="8"/>
      <c r="L707" s="9"/>
      <c r="M707" s="8"/>
      <c r="N707" s="10"/>
      <c r="O707" s="11"/>
      <c r="P707" s="8"/>
      <c r="Q707" s="8"/>
      <c r="R707" s="13"/>
    </row>
    <row r="708" spans="1:18" x14ac:dyDescent="0.4">
      <c r="A708" s="5"/>
      <c r="B708" s="5"/>
      <c r="C708" s="5"/>
      <c r="D708" s="6"/>
      <c r="E708" s="7"/>
      <c r="F708" s="7"/>
      <c r="G708" s="5"/>
      <c r="H708" s="6"/>
      <c r="I708" s="6"/>
      <c r="J708" s="6"/>
      <c r="K708" s="8"/>
      <c r="L708" s="9"/>
      <c r="M708" s="8"/>
      <c r="N708" s="10"/>
      <c r="O708" s="11"/>
      <c r="P708" s="8"/>
      <c r="Q708" s="8"/>
      <c r="R708" s="13"/>
    </row>
    <row r="709" spans="1:18" x14ac:dyDescent="0.4">
      <c r="A709" s="5"/>
      <c r="B709" s="5"/>
      <c r="C709" s="5"/>
      <c r="D709" s="6"/>
      <c r="E709" s="7"/>
      <c r="F709" s="7"/>
      <c r="G709" s="5"/>
      <c r="H709" s="6"/>
      <c r="I709" s="6"/>
      <c r="J709" s="6"/>
      <c r="K709" s="8"/>
      <c r="L709" s="9"/>
      <c r="M709" s="8"/>
      <c r="N709" s="10"/>
      <c r="O709" s="11"/>
      <c r="P709" s="8"/>
      <c r="Q709" s="8"/>
      <c r="R709" s="13"/>
    </row>
    <row r="710" spans="1:18" x14ac:dyDescent="0.4">
      <c r="A710" s="5"/>
      <c r="B710" s="5"/>
      <c r="C710" s="5"/>
      <c r="D710" s="6"/>
      <c r="E710" s="7"/>
      <c r="F710" s="7"/>
      <c r="G710" s="5"/>
      <c r="H710" s="6"/>
      <c r="I710" s="6"/>
      <c r="J710" s="6"/>
      <c r="K710" s="8"/>
      <c r="L710" s="9"/>
      <c r="M710" s="8"/>
      <c r="N710" s="10"/>
      <c r="O710" s="11"/>
      <c r="P710" s="8"/>
      <c r="Q710" s="8"/>
      <c r="R710" s="13"/>
    </row>
    <row r="711" spans="1:18" x14ac:dyDescent="0.4">
      <c r="A711" s="5"/>
      <c r="B711" s="5"/>
      <c r="C711" s="5"/>
      <c r="D711" s="6"/>
      <c r="E711" s="7"/>
      <c r="F711" s="7"/>
      <c r="G711" s="5"/>
      <c r="H711" s="6"/>
      <c r="I711" s="6"/>
      <c r="J711" s="6"/>
      <c r="K711" s="8"/>
      <c r="L711" s="9"/>
      <c r="M711" s="8"/>
      <c r="N711" s="10"/>
      <c r="O711" s="11"/>
      <c r="P711" s="8"/>
      <c r="Q711" s="8"/>
      <c r="R711" s="13"/>
    </row>
    <row r="712" spans="1:18" x14ac:dyDescent="0.4">
      <c r="A712" s="5"/>
      <c r="B712" s="5"/>
      <c r="C712" s="5"/>
      <c r="D712" s="6"/>
      <c r="E712" s="7"/>
      <c r="F712" s="7"/>
      <c r="G712" s="5"/>
      <c r="H712" s="6"/>
      <c r="I712" s="6"/>
      <c r="J712" s="6"/>
      <c r="K712" s="8"/>
      <c r="L712" s="9"/>
      <c r="M712" s="8"/>
      <c r="N712" s="10"/>
      <c r="O712" s="11"/>
      <c r="P712" s="8"/>
      <c r="Q712" s="8"/>
      <c r="R712" s="13"/>
    </row>
    <row r="713" spans="1:18" x14ac:dyDescent="0.4">
      <c r="A713" s="5"/>
      <c r="B713" s="5"/>
      <c r="C713" s="5"/>
      <c r="D713" s="6"/>
      <c r="E713" s="7"/>
      <c r="F713" s="7"/>
      <c r="G713" s="5"/>
      <c r="H713" s="6"/>
      <c r="I713" s="6"/>
      <c r="J713" s="6"/>
      <c r="K713" s="8"/>
      <c r="L713" s="9"/>
      <c r="M713" s="8"/>
      <c r="N713" s="10"/>
      <c r="O713" s="11"/>
      <c r="P713" s="8"/>
      <c r="Q713" s="8"/>
      <c r="R713" s="13"/>
    </row>
    <row r="714" spans="1:18" x14ac:dyDescent="0.4">
      <c r="A714" s="5"/>
      <c r="B714" s="5"/>
      <c r="C714" s="5"/>
      <c r="D714" s="6"/>
      <c r="E714" s="7"/>
      <c r="F714" s="7"/>
      <c r="G714" s="5"/>
      <c r="H714" s="6"/>
      <c r="I714" s="6"/>
      <c r="J714" s="6"/>
      <c r="K714" s="8"/>
      <c r="L714" s="9"/>
      <c r="M714" s="8"/>
      <c r="N714" s="10"/>
      <c r="O714" s="11"/>
      <c r="P714" s="8"/>
      <c r="Q714" s="8"/>
      <c r="R714" s="13"/>
    </row>
    <row r="715" spans="1:18" x14ac:dyDescent="0.4">
      <c r="A715" s="5"/>
      <c r="B715" s="5"/>
      <c r="C715" s="5"/>
      <c r="D715" s="6"/>
      <c r="E715" s="7"/>
      <c r="F715" s="7"/>
      <c r="G715" s="5"/>
      <c r="H715" s="6"/>
      <c r="I715" s="6"/>
      <c r="J715" s="6"/>
      <c r="K715" s="8"/>
      <c r="L715" s="9"/>
      <c r="M715" s="8"/>
      <c r="N715" s="10"/>
      <c r="O715" s="11"/>
      <c r="P715" s="8"/>
      <c r="Q715" s="8"/>
      <c r="R715" s="9"/>
    </row>
    <row r="716" spans="1:18" x14ac:dyDescent="0.4">
      <c r="A716" s="5"/>
      <c r="B716" s="5"/>
      <c r="C716" s="51"/>
      <c r="D716" s="6"/>
      <c r="E716" s="7"/>
      <c r="F716" s="7"/>
      <c r="G716" s="5"/>
      <c r="H716" s="6"/>
      <c r="I716" s="6"/>
      <c r="J716" s="6"/>
      <c r="K716" s="8"/>
      <c r="L716" s="9"/>
      <c r="M716" s="8"/>
      <c r="N716" s="10"/>
      <c r="O716" s="11"/>
      <c r="P716" s="8"/>
      <c r="Q716" s="8"/>
      <c r="R716" s="9"/>
    </row>
    <row r="717" spans="1:18" x14ac:dyDescent="0.4">
      <c r="A717" s="5"/>
      <c r="B717" s="5"/>
      <c r="C717" s="5"/>
      <c r="D717" s="6"/>
      <c r="E717" s="7"/>
      <c r="F717" s="7"/>
      <c r="G717" s="5"/>
      <c r="H717" s="6"/>
      <c r="I717" s="6"/>
      <c r="J717" s="6"/>
      <c r="K717" s="8"/>
      <c r="L717" s="9"/>
      <c r="M717" s="8"/>
      <c r="N717" s="10"/>
      <c r="O717" s="11"/>
      <c r="P717" s="8"/>
      <c r="Q717" s="8"/>
      <c r="R717" s="9"/>
    </row>
    <row r="718" spans="1:18" x14ac:dyDescent="0.4">
      <c r="A718" s="5"/>
      <c r="B718" s="5"/>
      <c r="C718" s="5"/>
      <c r="D718" s="6"/>
      <c r="E718" s="7"/>
      <c r="F718" s="7"/>
      <c r="G718" s="5"/>
      <c r="H718" s="6"/>
      <c r="I718" s="6"/>
      <c r="J718" s="6"/>
      <c r="K718" s="8"/>
      <c r="L718" s="9"/>
      <c r="M718" s="8"/>
      <c r="N718" s="10"/>
      <c r="O718" s="11"/>
      <c r="P718" s="8"/>
      <c r="Q718" s="8"/>
      <c r="R718" s="9"/>
    </row>
    <row r="719" spans="1:18" x14ac:dyDescent="0.4">
      <c r="A719" s="5"/>
      <c r="B719" s="5"/>
      <c r="C719" s="5"/>
      <c r="D719" s="6"/>
      <c r="E719" s="7"/>
      <c r="F719" s="7"/>
      <c r="G719" s="5"/>
      <c r="H719" s="6"/>
      <c r="I719" s="6"/>
      <c r="J719" s="6"/>
      <c r="K719" s="8"/>
      <c r="L719" s="9"/>
      <c r="M719" s="8"/>
      <c r="N719" s="10"/>
      <c r="O719" s="11"/>
      <c r="P719" s="8"/>
      <c r="Q719" s="8"/>
      <c r="R719" s="9"/>
    </row>
    <row r="720" spans="1:18" x14ac:dyDescent="0.4">
      <c r="A720" s="5"/>
      <c r="B720" s="5"/>
      <c r="C720" s="5"/>
      <c r="D720" s="6"/>
      <c r="E720" s="7"/>
      <c r="F720" s="7"/>
      <c r="G720" s="5"/>
      <c r="H720" s="6"/>
      <c r="I720" s="6"/>
      <c r="J720" s="6"/>
      <c r="K720" s="8"/>
      <c r="L720" s="9"/>
      <c r="M720" s="8"/>
      <c r="N720" s="10"/>
      <c r="O720" s="11"/>
      <c r="P720" s="8"/>
      <c r="Q720" s="8"/>
      <c r="R720" s="9"/>
    </row>
    <row r="721" spans="1:21" x14ac:dyDescent="0.4">
      <c r="A721" s="5"/>
      <c r="B721" s="5"/>
      <c r="C721" s="5"/>
      <c r="D721" s="6"/>
      <c r="E721" s="7"/>
      <c r="F721" s="7"/>
      <c r="G721" s="5"/>
      <c r="H721" s="6"/>
      <c r="I721" s="6"/>
      <c r="J721" s="6"/>
      <c r="K721" s="8"/>
      <c r="L721" s="9"/>
      <c r="M721" s="8"/>
      <c r="N721" s="10"/>
      <c r="O721" s="11"/>
      <c r="P721" s="8"/>
      <c r="Q721" s="8"/>
      <c r="R721" s="9"/>
      <c r="U721" s="17"/>
    </row>
    <row r="722" spans="1:21" x14ac:dyDescent="0.4">
      <c r="A722" s="5"/>
      <c r="B722" s="5"/>
      <c r="C722" s="5"/>
      <c r="D722" s="6"/>
      <c r="E722" s="7"/>
      <c r="F722" s="7"/>
      <c r="G722" s="5"/>
      <c r="H722" s="6"/>
      <c r="I722" s="6"/>
      <c r="J722" s="6"/>
      <c r="K722" s="8"/>
      <c r="L722" s="9"/>
      <c r="M722" s="8"/>
      <c r="N722" s="10"/>
      <c r="O722" s="11"/>
      <c r="P722" s="8"/>
      <c r="Q722" s="8"/>
      <c r="R722" s="9"/>
    </row>
    <row r="723" spans="1:21" x14ac:dyDescent="0.4">
      <c r="A723" s="5"/>
      <c r="B723" s="5"/>
      <c r="C723" s="5"/>
      <c r="D723" s="6"/>
      <c r="E723" s="7"/>
      <c r="F723" s="7"/>
      <c r="G723" s="5"/>
      <c r="H723" s="6"/>
      <c r="I723" s="6"/>
      <c r="J723" s="6"/>
      <c r="K723" s="8"/>
      <c r="L723" s="9"/>
      <c r="M723" s="8"/>
      <c r="N723" s="10"/>
      <c r="O723" s="11"/>
      <c r="P723" s="8"/>
      <c r="Q723" s="8"/>
      <c r="R723" s="8"/>
    </row>
    <row r="724" spans="1:21" x14ac:dyDescent="0.4">
      <c r="A724" s="5"/>
      <c r="B724" s="5"/>
      <c r="C724" s="5"/>
      <c r="D724" s="6"/>
      <c r="E724" s="7"/>
      <c r="F724" s="7"/>
      <c r="G724" s="5"/>
      <c r="H724" s="6"/>
      <c r="I724" s="6"/>
      <c r="J724" s="6"/>
      <c r="K724" s="8"/>
      <c r="L724" s="9"/>
      <c r="M724" s="8"/>
      <c r="N724" s="10"/>
      <c r="O724" s="11"/>
      <c r="P724" s="8"/>
      <c r="Q724" s="8"/>
      <c r="R724" s="9"/>
    </row>
    <row r="725" spans="1:21" x14ac:dyDescent="0.4">
      <c r="A725" s="5"/>
      <c r="B725" s="5"/>
      <c r="C725" s="5"/>
      <c r="D725" s="6"/>
      <c r="E725" s="7"/>
      <c r="F725" s="7"/>
      <c r="G725" s="5"/>
      <c r="H725" s="6"/>
      <c r="I725" s="6"/>
      <c r="J725" s="6"/>
      <c r="K725" s="8"/>
      <c r="L725" s="9"/>
      <c r="M725" s="8"/>
      <c r="N725" s="10"/>
      <c r="O725" s="11"/>
      <c r="P725" s="8"/>
      <c r="Q725" s="8"/>
      <c r="R725" s="9"/>
    </row>
    <row r="726" spans="1:21" x14ac:dyDescent="0.4">
      <c r="A726" s="5"/>
      <c r="B726" s="5"/>
      <c r="C726" s="5"/>
      <c r="D726" s="6"/>
      <c r="E726" s="7"/>
      <c r="F726" s="7"/>
      <c r="G726" s="5"/>
      <c r="H726" s="6"/>
      <c r="I726" s="6"/>
      <c r="J726" s="6"/>
      <c r="K726" s="8"/>
      <c r="L726" s="9"/>
      <c r="M726" s="8"/>
      <c r="N726" s="10"/>
      <c r="O726" s="11"/>
      <c r="P726" s="8"/>
      <c r="Q726" s="8"/>
      <c r="R726" s="9"/>
    </row>
    <row r="727" spans="1:21" x14ac:dyDescent="0.4">
      <c r="A727" s="5"/>
      <c r="B727" s="5"/>
      <c r="C727" s="5"/>
      <c r="D727" s="6"/>
      <c r="E727" s="7"/>
      <c r="F727" s="7"/>
      <c r="G727" s="5"/>
      <c r="H727" s="6"/>
      <c r="I727" s="6"/>
      <c r="J727" s="6"/>
      <c r="K727" s="8"/>
      <c r="L727" s="9"/>
      <c r="M727" s="8"/>
      <c r="N727" s="10"/>
      <c r="O727" s="11"/>
      <c r="P727" s="8"/>
      <c r="Q727" s="8"/>
      <c r="R727" s="9"/>
    </row>
    <row r="728" spans="1:21" x14ac:dyDescent="0.4">
      <c r="A728" s="5"/>
      <c r="B728" s="5"/>
      <c r="C728" s="5"/>
      <c r="D728" s="6"/>
      <c r="E728" s="7"/>
      <c r="F728" s="7"/>
      <c r="G728" s="5"/>
      <c r="H728" s="6"/>
      <c r="I728" s="6"/>
      <c r="J728" s="6"/>
      <c r="K728" s="8"/>
      <c r="L728" s="9"/>
      <c r="M728" s="8"/>
      <c r="N728" s="10"/>
      <c r="O728" s="11"/>
      <c r="P728" s="8"/>
      <c r="Q728" s="8"/>
      <c r="R728" s="9"/>
    </row>
    <row r="729" spans="1:21" x14ac:dyDescent="0.4">
      <c r="A729" s="5"/>
      <c r="B729" s="5"/>
      <c r="C729" s="5"/>
      <c r="D729" s="6"/>
      <c r="E729" s="7"/>
      <c r="F729" s="7"/>
      <c r="G729" s="5"/>
      <c r="H729" s="6"/>
      <c r="I729" s="6"/>
      <c r="J729" s="6"/>
      <c r="K729" s="8"/>
      <c r="L729" s="9"/>
      <c r="M729" s="8"/>
      <c r="N729" s="10"/>
      <c r="O729" s="11"/>
      <c r="P729" s="8"/>
      <c r="Q729" s="8"/>
      <c r="R729" s="9"/>
    </row>
    <row r="730" spans="1:21" x14ac:dyDescent="0.4">
      <c r="A730" s="5"/>
      <c r="B730" s="5"/>
      <c r="C730" s="5"/>
      <c r="D730" s="6"/>
      <c r="E730" s="7"/>
      <c r="F730" s="7"/>
      <c r="G730" s="5"/>
      <c r="H730" s="6"/>
      <c r="I730" s="6"/>
      <c r="J730" s="6"/>
      <c r="K730" s="8"/>
      <c r="L730" s="9"/>
      <c r="M730" s="8"/>
      <c r="N730" s="10"/>
      <c r="O730" s="11"/>
      <c r="P730" s="8"/>
      <c r="Q730" s="8"/>
      <c r="R730" s="9"/>
    </row>
    <row r="731" spans="1:21" x14ac:dyDescent="0.4">
      <c r="A731" s="5"/>
      <c r="B731" s="5"/>
      <c r="C731" s="5"/>
      <c r="D731" s="6"/>
      <c r="E731" s="7"/>
      <c r="F731" s="7"/>
      <c r="G731" s="5"/>
      <c r="H731" s="6"/>
      <c r="I731" s="6"/>
      <c r="J731" s="6"/>
      <c r="K731" s="8"/>
      <c r="L731" s="9"/>
      <c r="M731" s="8"/>
      <c r="N731" s="10"/>
      <c r="O731" s="11"/>
      <c r="P731" s="8"/>
      <c r="Q731" s="8"/>
      <c r="R731" s="9"/>
    </row>
    <row r="732" spans="1:21" x14ac:dyDescent="0.4">
      <c r="A732" s="5"/>
      <c r="B732" s="5"/>
      <c r="C732" s="5"/>
      <c r="D732" s="6"/>
      <c r="E732" s="7"/>
      <c r="F732" s="7"/>
      <c r="G732" s="5"/>
      <c r="H732" s="6"/>
      <c r="I732" s="6"/>
      <c r="J732" s="6"/>
      <c r="K732" s="8"/>
      <c r="L732" s="9"/>
      <c r="M732" s="8"/>
      <c r="N732" s="10"/>
      <c r="O732" s="11"/>
      <c r="P732" s="8"/>
      <c r="Q732" s="8"/>
      <c r="R732" s="9"/>
    </row>
    <row r="733" spans="1:21" x14ac:dyDescent="0.4">
      <c r="A733" s="5"/>
      <c r="B733" s="5"/>
      <c r="C733" s="5"/>
      <c r="D733" s="6"/>
      <c r="E733" s="7"/>
      <c r="F733" s="7"/>
      <c r="G733" s="5"/>
      <c r="H733" s="6"/>
      <c r="I733" s="6"/>
      <c r="J733" s="6"/>
      <c r="K733" s="8"/>
      <c r="L733" s="9"/>
      <c r="M733" s="8"/>
      <c r="N733" s="10"/>
      <c r="O733" s="11"/>
      <c r="P733" s="8"/>
      <c r="Q733" s="8"/>
      <c r="R733" s="9"/>
    </row>
    <row r="734" spans="1:21" x14ac:dyDescent="0.4">
      <c r="A734" s="5"/>
      <c r="B734" s="5"/>
      <c r="C734" s="5"/>
      <c r="D734" s="6"/>
      <c r="E734" s="7"/>
      <c r="F734" s="7"/>
      <c r="G734" s="5"/>
      <c r="H734" s="6"/>
      <c r="I734" s="6"/>
      <c r="J734" s="6"/>
      <c r="K734" s="8"/>
      <c r="L734" s="9"/>
      <c r="M734" s="8"/>
      <c r="N734" s="10"/>
      <c r="O734" s="11"/>
      <c r="P734" s="8"/>
      <c r="Q734" s="8"/>
      <c r="R734" s="9"/>
    </row>
    <row r="735" spans="1:21" x14ac:dyDescent="0.4">
      <c r="A735" s="5"/>
      <c r="B735" s="5"/>
      <c r="C735" s="5"/>
      <c r="D735" s="6"/>
      <c r="E735" s="7"/>
      <c r="F735" s="7"/>
      <c r="G735" s="5"/>
      <c r="H735" s="6"/>
      <c r="I735" s="6"/>
      <c r="J735" s="6"/>
      <c r="K735" s="8"/>
      <c r="L735" s="9"/>
      <c r="M735" s="8"/>
      <c r="N735" s="10"/>
      <c r="O735" s="11"/>
      <c r="P735" s="8"/>
      <c r="Q735" s="8"/>
      <c r="R735" s="9"/>
    </row>
    <row r="736" spans="1:21" x14ac:dyDescent="0.4">
      <c r="A736" s="5"/>
      <c r="B736" s="5"/>
      <c r="C736" s="5"/>
      <c r="D736" s="6"/>
      <c r="E736" s="7"/>
      <c r="F736" s="7"/>
      <c r="G736" s="5"/>
      <c r="H736" s="6"/>
      <c r="I736" s="6"/>
      <c r="J736" s="6"/>
      <c r="K736" s="8"/>
      <c r="L736" s="9"/>
      <c r="M736" s="8"/>
      <c r="N736" s="10"/>
      <c r="O736" s="11"/>
      <c r="P736" s="8"/>
      <c r="Q736" s="8"/>
      <c r="R736" s="9"/>
    </row>
    <row r="737" spans="1:18" x14ac:dyDescent="0.4">
      <c r="A737" s="5"/>
      <c r="B737" s="5"/>
      <c r="C737" s="5"/>
      <c r="D737" s="6"/>
      <c r="E737" s="7"/>
      <c r="F737" s="7"/>
      <c r="G737" s="5"/>
      <c r="H737" s="6"/>
      <c r="I737" s="6"/>
      <c r="J737" s="6"/>
      <c r="K737" s="8"/>
      <c r="L737" s="9"/>
      <c r="M737" s="8"/>
      <c r="N737" s="10"/>
      <c r="O737" s="11"/>
      <c r="P737" s="8"/>
      <c r="Q737" s="8"/>
      <c r="R737" s="9"/>
    </row>
    <row r="738" spans="1:18" x14ac:dyDescent="0.4">
      <c r="A738" s="5"/>
      <c r="B738" s="5"/>
      <c r="C738" s="5"/>
      <c r="D738" s="6"/>
      <c r="E738" s="7"/>
      <c r="F738" s="7"/>
      <c r="G738" s="5"/>
      <c r="H738" s="6"/>
      <c r="I738" s="6"/>
      <c r="J738" s="6"/>
      <c r="K738" s="8"/>
      <c r="L738" s="9"/>
      <c r="M738" s="8"/>
      <c r="N738" s="10"/>
      <c r="O738" s="11"/>
      <c r="P738" s="8"/>
      <c r="Q738" s="8"/>
      <c r="R738" s="9"/>
    </row>
    <row r="739" spans="1:18" x14ac:dyDescent="0.4">
      <c r="A739" s="5"/>
      <c r="B739" s="5"/>
      <c r="C739" s="5"/>
      <c r="D739" s="6"/>
      <c r="E739" s="7"/>
      <c r="F739" s="7"/>
      <c r="G739" s="5"/>
      <c r="H739" s="6"/>
      <c r="I739" s="6"/>
      <c r="J739" s="6"/>
      <c r="K739" s="8"/>
      <c r="L739" s="9"/>
      <c r="M739" s="8"/>
      <c r="N739" s="10"/>
      <c r="O739" s="11"/>
      <c r="P739" s="8"/>
      <c r="Q739" s="8"/>
      <c r="R739" s="9"/>
    </row>
    <row r="740" spans="1:18" x14ac:dyDescent="0.4">
      <c r="A740" s="5"/>
      <c r="B740" s="5"/>
      <c r="C740" s="5"/>
      <c r="D740" s="6"/>
      <c r="E740" s="7"/>
      <c r="F740" s="7"/>
      <c r="G740" s="5"/>
      <c r="H740" s="6"/>
      <c r="I740" s="6"/>
      <c r="J740" s="6"/>
      <c r="K740" s="8"/>
      <c r="L740" s="9"/>
      <c r="M740" s="8"/>
      <c r="N740" s="10"/>
      <c r="O740" s="11"/>
      <c r="P740" s="8"/>
      <c r="Q740" s="8"/>
      <c r="R740" s="9"/>
    </row>
    <row r="741" spans="1:18" x14ac:dyDescent="0.4">
      <c r="A741" s="5"/>
      <c r="B741" s="5"/>
      <c r="C741" s="5"/>
      <c r="D741" s="6"/>
      <c r="E741" s="7"/>
      <c r="F741" s="7"/>
      <c r="G741" s="5"/>
      <c r="H741" s="6"/>
      <c r="I741" s="6"/>
      <c r="J741" s="6"/>
      <c r="K741" s="8"/>
      <c r="L741" s="9"/>
      <c r="M741" s="8"/>
      <c r="N741" s="10"/>
      <c r="O741" s="11"/>
      <c r="P741" s="8"/>
      <c r="Q741" s="8"/>
      <c r="R741" s="9"/>
    </row>
    <row r="742" spans="1:18" x14ac:dyDescent="0.4">
      <c r="A742" s="5"/>
      <c r="B742" s="5"/>
      <c r="C742" s="5"/>
      <c r="D742" s="6"/>
      <c r="E742" s="7"/>
      <c r="F742" s="7"/>
      <c r="G742" s="5"/>
      <c r="H742" s="6"/>
      <c r="I742" s="6"/>
      <c r="J742" s="6"/>
      <c r="K742" s="8"/>
      <c r="L742" s="9"/>
      <c r="M742" s="8"/>
      <c r="N742" s="10"/>
      <c r="O742" s="11"/>
      <c r="P742" s="8"/>
      <c r="Q742" s="8"/>
      <c r="R742" s="9"/>
    </row>
    <row r="743" spans="1:18" x14ac:dyDescent="0.4">
      <c r="A743" s="5"/>
      <c r="B743" s="5"/>
      <c r="C743" s="5"/>
      <c r="D743" s="6"/>
      <c r="E743" s="7"/>
      <c r="F743" s="7"/>
      <c r="G743" s="5"/>
      <c r="H743" s="6"/>
      <c r="I743" s="6"/>
      <c r="J743" s="6"/>
      <c r="K743" s="8"/>
      <c r="L743" s="9"/>
      <c r="M743" s="8"/>
      <c r="N743" s="10"/>
      <c r="O743" s="11"/>
      <c r="P743" s="8"/>
      <c r="Q743" s="8"/>
      <c r="R743" s="9"/>
    </row>
    <row r="744" spans="1:18" x14ac:dyDescent="0.4">
      <c r="A744" s="5"/>
      <c r="B744" s="5"/>
      <c r="C744" s="5"/>
      <c r="D744" s="6"/>
      <c r="E744" s="7"/>
      <c r="F744" s="7"/>
      <c r="G744" s="5"/>
      <c r="H744" s="6"/>
      <c r="I744" s="6"/>
      <c r="J744" s="6"/>
      <c r="K744" s="8"/>
      <c r="L744" s="9"/>
      <c r="M744" s="8"/>
      <c r="N744" s="10"/>
      <c r="O744" s="11"/>
      <c r="P744" s="8"/>
      <c r="Q744" s="8"/>
      <c r="R744" s="9"/>
    </row>
    <row r="745" spans="1:18" x14ac:dyDescent="0.4">
      <c r="A745" s="5"/>
      <c r="B745" s="5"/>
      <c r="C745" s="5"/>
      <c r="D745" s="6"/>
      <c r="E745" s="7"/>
      <c r="F745" s="7"/>
      <c r="G745" s="5"/>
      <c r="H745" s="6"/>
      <c r="I745" s="6"/>
      <c r="J745" s="6"/>
      <c r="K745" s="8"/>
      <c r="L745" s="9"/>
      <c r="M745" s="8"/>
      <c r="N745" s="10"/>
      <c r="O745" s="11"/>
      <c r="P745" s="8"/>
      <c r="Q745" s="8"/>
      <c r="R745" s="9"/>
    </row>
    <row r="746" spans="1:18" x14ac:dyDescent="0.4">
      <c r="A746" s="5"/>
      <c r="B746" s="5"/>
      <c r="C746" s="5"/>
      <c r="D746" s="6"/>
      <c r="E746" s="7"/>
      <c r="F746" s="7"/>
      <c r="G746" s="5"/>
      <c r="H746" s="6"/>
      <c r="I746" s="6"/>
      <c r="J746" s="6"/>
      <c r="K746" s="8"/>
      <c r="L746" s="9"/>
      <c r="M746" s="8"/>
      <c r="N746" s="10"/>
      <c r="O746" s="11"/>
      <c r="P746" s="8"/>
      <c r="Q746" s="8"/>
      <c r="R746" s="9"/>
    </row>
    <row r="747" spans="1:18" x14ac:dyDescent="0.4">
      <c r="A747" s="5"/>
      <c r="B747" s="5"/>
      <c r="C747" s="5"/>
      <c r="D747" s="6"/>
      <c r="E747" s="7"/>
      <c r="F747" s="7"/>
      <c r="G747" s="5"/>
      <c r="H747" s="6"/>
      <c r="I747" s="6"/>
      <c r="J747" s="6"/>
      <c r="K747" s="8"/>
      <c r="L747" s="9"/>
      <c r="M747" s="8"/>
      <c r="N747" s="10"/>
      <c r="O747" s="11"/>
      <c r="P747" s="8"/>
      <c r="Q747" s="8"/>
      <c r="R747" s="9"/>
    </row>
    <row r="748" spans="1:18" x14ac:dyDescent="0.4">
      <c r="A748" s="5"/>
      <c r="B748" s="5"/>
      <c r="C748" s="5"/>
      <c r="D748" s="6"/>
      <c r="E748" s="7"/>
      <c r="F748" s="7"/>
      <c r="G748" s="5"/>
      <c r="H748" s="6"/>
      <c r="I748" s="6"/>
      <c r="J748" s="6"/>
      <c r="K748" s="8"/>
      <c r="L748" s="9"/>
      <c r="M748" s="8"/>
      <c r="N748" s="10"/>
      <c r="O748" s="11"/>
      <c r="P748" s="8"/>
      <c r="Q748" s="8"/>
      <c r="R748" s="9"/>
    </row>
    <row r="749" spans="1:18" x14ac:dyDescent="0.4">
      <c r="A749" s="5"/>
      <c r="B749" s="5"/>
      <c r="C749" s="5"/>
      <c r="D749" s="6"/>
      <c r="E749" s="7"/>
      <c r="F749" s="7"/>
      <c r="G749" s="5"/>
      <c r="H749" s="6"/>
      <c r="I749" s="6"/>
      <c r="J749" s="6"/>
      <c r="K749" s="8"/>
      <c r="L749" s="9"/>
      <c r="M749" s="8"/>
      <c r="N749" s="10"/>
      <c r="O749" s="11"/>
      <c r="P749" s="8"/>
      <c r="Q749" s="8"/>
      <c r="R749" s="9"/>
    </row>
    <row r="750" spans="1:18" x14ac:dyDescent="0.4">
      <c r="A750" s="5"/>
      <c r="B750" s="5"/>
      <c r="C750" s="5"/>
      <c r="D750" s="6"/>
      <c r="E750" s="7"/>
      <c r="F750" s="7"/>
      <c r="G750" s="5"/>
      <c r="H750" s="6"/>
      <c r="I750" s="6"/>
      <c r="J750" s="6"/>
      <c r="K750" s="8"/>
      <c r="L750" s="9"/>
      <c r="M750" s="8"/>
      <c r="N750" s="10"/>
      <c r="O750" s="11"/>
      <c r="P750" s="8"/>
      <c r="Q750" s="8"/>
      <c r="R750" s="9"/>
    </row>
    <row r="751" spans="1:18" x14ac:dyDescent="0.4">
      <c r="A751" s="5"/>
      <c r="B751" s="5"/>
      <c r="C751" s="5"/>
      <c r="D751" s="6"/>
      <c r="E751" s="7"/>
      <c r="F751" s="7"/>
      <c r="G751" s="5"/>
      <c r="H751" s="6"/>
      <c r="I751" s="6"/>
      <c r="J751" s="6"/>
      <c r="K751" s="8"/>
      <c r="L751" s="9"/>
      <c r="M751" s="8"/>
      <c r="N751" s="10"/>
      <c r="O751" s="11"/>
      <c r="P751" s="8"/>
      <c r="Q751" s="8"/>
      <c r="R751" s="9"/>
    </row>
    <row r="752" spans="1:18" x14ac:dyDescent="0.4">
      <c r="A752" s="5"/>
      <c r="B752" s="5"/>
      <c r="C752" s="5"/>
      <c r="D752" s="6"/>
      <c r="E752" s="7"/>
      <c r="F752" s="7"/>
      <c r="G752" s="5"/>
      <c r="H752" s="6"/>
      <c r="I752" s="6"/>
      <c r="J752" s="6"/>
      <c r="K752" s="8"/>
      <c r="L752" s="9"/>
      <c r="M752" s="8"/>
      <c r="N752" s="10"/>
      <c r="O752" s="11"/>
      <c r="P752" s="8"/>
      <c r="Q752" s="8"/>
      <c r="R752" s="9"/>
    </row>
    <row r="753" spans="1:24" x14ac:dyDescent="0.4">
      <c r="A753" s="5"/>
      <c r="B753" s="5"/>
      <c r="C753" s="5"/>
      <c r="D753" s="6"/>
      <c r="E753" s="7"/>
      <c r="F753" s="7"/>
      <c r="G753" s="5"/>
      <c r="H753" s="6"/>
      <c r="I753" s="6"/>
      <c r="J753" s="6"/>
      <c r="K753" s="8"/>
      <c r="L753" s="9"/>
      <c r="M753" s="8"/>
      <c r="N753" s="10"/>
      <c r="O753" s="11"/>
      <c r="P753" s="8"/>
      <c r="Q753" s="8"/>
      <c r="R753" s="52"/>
    </row>
    <row r="754" spans="1:24" x14ac:dyDescent="0.4">
      <c r="A754" s="5"/>
      <c r="B754" s="5"/>
      <c r="C754" s="5"/>
      <c r="D754" s="6"/>
      <c r="E754" s="7"/>
      <c r="F754" s="7"/>
      <c r="G754" s="5"/>
      <c r="H754" s="6"/>
      <c r="I754" s="6"/>
      <c r="J754" s="6"/>
      <c r="K754" s="8"/>
      <c r="L754" s="9"/>
      <c r="M754" s="8"/>
      <c r="N754" s="10"/>
      <c r="O754" s="11"/>
      <c r="P754" s="8"/>
      <c r="Q754" s="8"/>
      <c r="R754" s="14"/>
    </row>
    <row r="755" spans="1:24" x14ac:dyDescent="0.4">
      <c r="A755" s="5"/>
      <c r="B755" s="5"/>
      <c r="C755" s="5"/>
      <c r="D755" s="6"/>
      <c r="E755" s="7"/>
      <c r="F755" s="7"/>
      <c r="G755" s="5"/>
      <c r="H755" s="6"/>
      <c r="I755" s="6"/>
      <c r="J755" s="6"/>
      <c r="K755" s="8"/>
      <c r="L755" s="9"/>
      <c r="M755" s="8"/>
      <c r="N755" s="10"/>
      <c r="O755" s="11"/>
      <c r="P755" s="8"/>
      <c r="Q755" s="8"/>
      <c r="R755" s="13"/>
    </row>
    <row r="756" spans="1:24" x14ac:dyDescent="0.4">
      <c r="A756" s="5"/>
      <c r="B756" s="5"/>
      <c r="C756" s="5"/>
      <c r="D756" s="6"/>
      <c r="E756" s="7"/>
      <c r="F756" s="7"/>
      <c r="G756" s="5"/>
      <c r="H756" s="6"/>
      <c r="I756" s="6"/>
      <c r="J756" s="6"/>
      <c r="K756" s="8"/>
      <c r="L756" s="9"/>
      <c r="M756" s="8"/>
      <c r="N756" s="10"/>
      <c r="O756" s="11"/>
      <c r="P756" s="8"/>
      <c r="Q756" s="8"/>
      <c r="R756" s="13"/>
    </row>
    <row r="757" spans="1:24" x14ac:dyDescent="0.4">
      <c r="A757" s="5"/>
      <c r="B757" s="5"/>
      <c r="C757" s="5"/>
      <c r="D757" s="6"/>
      <c r="E757" s="7"/>
      <c r="F757" s="7"/>
      <c r="G757" s="5"/>
      <c r="H757" s="6"/>
      <c r="I757" s="6"/>
      <c r="J757" s="6"/>
      <c r="K757" s="8"/>
      <c r="L757" s="9"/>
      <c r="M757" s="8"/>
      <c r="N757" s="10"/>
      <c r="O757" s="11"/>
      <c r="P757" s="8"/>
      <c r="Q757" s="8"/>
      <c r="R757" s="13"/>
    </row>
    <row r="758" spans="1:24" x14ac:dyDescent="0.4">
      <c r="A758" s="5"/>
      <c r="B758" s="5"/>
      <c r="C758" s="5"/>
      <c r="D758" s="6"/>
      <c r="E758" s="7"/>
      <c r="F758" s="7"/>
      <c r="G758" s="5"/>
      <c r="H758" s="6"/>
      <c r="I758" s="6"/>
      <c r="J758" s="6"/>
      <c r="K758" s="8"/>
      <c r="L758" s="9"/>
      <c r="M758" s="8"/>
      <c r="N758" s="10"/>
      <c r="O758" s="11"/>
      <c r="P758" s="8"/>
      <c r="Q758" s="8"/>
      <c r="R758" s="13"/>
    </row>
    <row r="759" spans="1:24" x14ac:dyDescent="0.4">
      <c r="A759" s="5"/>
      <c r="B759" s="5"/>
      <c r="C759" s="5"/>
      <c r="D759" s="6"/>
      <c r="E759" s="7"/>
      <c r="F759" s="7"/>
      <c r="G759" s="5"/>
      <c r="H759" s="6"/>
      <c r="I759" s="6"/>
      <c r="J759" s="6"/>
      <c r="K759" s="8"/>
      <c r="L759" s="9"/>
      <c r="M759" s="8"/>
      <c r="N759" s="10"/>
      <c r="O759" s="11"/>
      <c r="P759" s="8"/>
      <c r="Q759" s="8"/>
      <c r="R759" s="13"/>
    </row>
    <row r="760" spans="1:24" x14ac:dyDescent="0.4">
      <c r="A760" s="5"/>
      <c r="B760" s="5"/>
      <c r="C760" s="5"/>
      <c r="D760" s="6"/>
      <c r="E760" s="7"/>
      <c r="F760" s="7"/>
      <c r="G760" s="5"/>
      <c r="H760" s="6"/>
      <c r="I760" s="6"/>
      <c r="J760" s="6"/>
      <c r="K760" s="8"/>
      <c r="L760" s="9"/>
      <c r="M760" s="8"/>
      <c r="N760" s="10"/>
      <c r="O760" s="11"/>
      <c r="P760" s="8"/>
      <c r="Q760" s="8"/>
      <c r="R760" s="13"/>
    </row>
    <row r="761" spans="1:24" x14ac:dyDescent="0.4">
      <c r="A761" s="5"/>
      <c r="B761" s="5"/>
      <c r="C761" s="5"/>
      <c r="D761" s="6"/>
      <c r="E761" s="7"/>
      <c r="F761" s="7"/>
      <c r="G761" s="5"/>
      <c r="H761" s="6"/>
      <c r="I761" s="6"/>
      <c r="J761" s="6"/>
      <c r="K761" s="8"/>
      <c r="L761" s="9"/>
      <c r="M761" s="8"/>
      <c r="N761" s="10"/>
      <c r="O761" s="11"/>
      <c r="P761" s="8"/>
      <c r="Q761" s="8"/>
      <c r="R761" s="13"/>
    </row>
    <row r="762" spans="1:24" x14ac:dyDescent="0.4">
      <c r="A762" s="5"/>
      <c r="B762" s="5"/>
      <c r="C762" s="5"/>
      <c r="D762" s="6"/>
      <c r="E762" s="7"/>
      <c r="F762" s="7"/>
      <c r="G762" s="5"/>
      <c r="H762" s="6"/>
      <c r="I762" s="6"/>
      <c r="J762" s="6"/>
      <c r="K762" s="8"/>
      <c r="L762" s="9"/>
      <c r="M762" s="8"/>
      <c r="N762" s="10"/>
      <c r="O762" s="11"/>
      <c r="P762" s="8"/>
      <c r="Q762" s="8"/>
      <c r="R762" s="13"/>
    </row>
    <row r="763" spans="1:24" x14ac:dyDescent="0.4">
      <c r="A763" s="5"/>
      <c r="B763" s="5"/>
      <c r="C763" s="5"/>
      <c r="D763" s="6"/>
      <c r="E763" s="7"/>
      <c r="F763" s="7"/>
      <c r="G763" s="5"/>
      <c r="H763" s="6"/>
      <c r="I763" s="6"/>
      <c r="J763" s="6"/>
      <c r="K763" s="8"/>
      <c r="L763" s="9"/>
      <c r="M763" s="8"/>
      <c r="N763" s="10"/>
      <c r="O763" s="11"/>
      <c r="P763" s="8"/>
      <c r="Q763" s="8"/>
      <c r="R763" s="13"/>
    </row>
    <row r="764" spans="1:24" x14ac:dyDescent="0.4">
      <c r="A764" s="5"/>
      <c r="B764" s="5"/>
      <c r="C764" s="5"/>
      <c r="D764" s="6"/>
      <c r="E764" s="7"/>
      <c r="F764" s="7"/>
      <c r="G764" s="5"/>
      <c r="H764" s="6"/>
      <c r="I764" s="6"/>
      <c r="J764" s="6"/>
      <c r="K764" s="8"/>
      <c r="L764" s="9"/>
      <c r="M764" s="8"/>
      <c r="N764" s="10"/>
      <c r="O764" s="11"/>
      <c r="P764" s="8"/>
      <c r="Q764" s="8"/>
      <c r="R764" s="13"/>
    </row>
    <row r="765" spans="1:24" x14ac:dyDescent="0.4">
      <c r="A765" s="5"/>
      <c r="B765" s="5"/>
      <c r="C765" s="5"/>
      <c r="D765" s="6"/>
      <c r="E765" s="7"/>
      <c r="F765" s="7"/>
      <c r="G765" s="5"/>
      <c r="H765" s="6"/>
      <c r="I765" s="6"/>
      <c r="J765" s="6"/>
      <c r="K765" s="8"/>
      <c r="L765" s="9"/>
      <c r="M765" s="8"/>
      <c r="N765" s="10"/>
      <c r="O765" s="11"/>
      <c r="P765" s="8"/>
      <c r="Q765" s="8"/>
      <c r="R765" s="9"/>
      <c r="T765" s="53"/>
      <c r="U765" s="53"/>
      <c r="V765" s="54"/>
      <c r="W765" s="54"/>
      <c r="X765" s="55"/>
    </row>
    <row r="766" spans="1:24" x14ac:dyDescent="0.4">
      <c r="A766" s="5"/>
      <c r="B766" s="5"/>
      <c r="C766" s="5"/>
      <c r="D766" s="6"/>
      <c r="E766" s="7"/>
      <c r="F766" s="7"/>
      <c r="G766" s="5"/>
      <c r="H766" s="6"/>
      <c r="I766" s="6"/>
      <c r="J766" s="6"/>
      <c r="K766" s="8"/>
      <c r="L766" s="9"/>
      <c r="M766" s="8"/>
      <c r="N766" s="10"/>
      <c r="O766" s="11"/>
      <c r="P766" s="8"/>
      <c r="Q766" s="8"/>
      <c r="R766" s="9"/>
      <c r="T766" s="53"/>
      <c r="U766" s="53"/>
      <c r="V766" s="54"/>
      <c r="W766" s="54"/>
      <c r="X766" s="55"/>
    </row>
    <row r="767" spans="1:24" x14ac:dyDescent="0.4">
      <c r="A767" s="5"/>
      <c r="B767" s="5"/>
      <c r="C767" s="5"/>
      <c r="D767" s="6"/>
      <c r="E767" s="7"/>
      <c r="F767" s="7"/>
      <c r="G767" s="5"/>
      <c r="H767" s="6"/>
      <c r="I767" s="6"/>
      <c r="J767" s="6"/>
      <c r="K767" s="8"/>
      <c r="L767" s="9"/>
      <c r="M767" s="8"/>
      <c r="N767" s="10"/>
      <c r="O767" s="11"/>
      <c r="P767" s="8"/>
      <c r="Q767" s="8"/>
      <c r="R767" s="52"/>
      <c r="S767" s="16"/>
      <c r="T767" s="53"/>
      <c r="U767" s="53"/>
      <c r="V767" s="54"/>
      <c r="W767" s="54"/>
      <c r="X767" s="55"/>
    </row>
    <row r="768" spans="1:24" x14ac:dyDescent="0.4">
      <c r="A768" s="5"/>
      <c r="B768" s="5"/>
      <c r="C768" s="5"/>
      <c r="D768" s="6"/>
      <c r="E768" s="7"/>
      <c r="F768" s="7"/>
      <c r="G768" s="5"/>
      <c r="H768" s="6"/>
      <c r="I768" s="6"/>
      <c r="J768" s="6"/>
      <c r="K768" s="8"/>
      <c r="L768" s="9"/>
      <c r="M768" s="8"/>
      <c r="N768" s="10"/>
      <c r="O768" s="11"/>
      <c r="P768" s="8"/>
      <c r="Q768" s="8"/>
      <c r="R768" s="52"/>
      <c r="S768" s="16"/>
      <c r="T768" s="53"/>
      <c r="U768" s="53"/>
      <c r="V768" s="54"/>
      <c r="W768" s="54"/>
      <c r="X768" s="55"/>
    </row>
    <row r="769" spans="1:24" x14ac:dyDescent="0.4">
      <c r="A769" s="5"/>
      <c r="B769" s="5"/>
      <c r="C769" s="5"/>
      <c r="D769" s="6"/>
      <c r="E769" s="7"/>
      <c r="F769" s="7"/>
      <c r="G769" s="5"/>
      <c r="H769" s="6"/>
      <c r="I769" s="6"/>
      <c r="J769" s="6"/>
      <c r="K769" s="8"/>
      <c r="L769" s="9"/>
      <c r="M769" s="8"/>
      <c r="N769" s="10"/>
      <c r="O769" s="11"/>
      <c r="P769" s="8"/>
      <c r="Q769" s="8"/>
      <c r="R769" s="52"/>
      <c r="T769" s="53"/>
      <c r="U769" s="53"/>
      <c r="V769" s="54"/>
      <c r="W769" s="54"/>
      <c r="X769" s="55"/>
    </row>
    <row r="770" spans="1:24" x14ac:dyDescent="0.4">
      <c r="A770" s="5"/>
      <c r="B770" s="5"/>
      <c r="C770" s="5"/>
      <c r="D770" s="6"/>
      <c r="E770" s="7"/>
      <c r="F770" s="7"/>
      <c r="G770" s="5"/>
      <c r="H770" s="6"/>
      <c r="I770" s="6"/>
      <c r="J770" s="6"/>
      <c r="K770" s="8"/>
      <c r="L770" s="9"/>
      <c r="M770" s="8"/>
      <c r="N770" s="10"/>
      <c r="O770" s="11"/>
      <c r="P770" s="8"/>
      <c r="Q770" s="8"/>
      <c r="R770" s="52"/>
      <c r="T770" s="56"/>
      <c r="U770" s="56"/>
      <c r="V770" s="54"/>
      <c r="W770" s="54"/>
      <c r="X770" s="55"/>
    </row>
    <row r="771" spans="1:24" x14ac:dyDescent="0.4">
      <c r="A771" s="5"/>
      <c r="B771" s="5"/>
      <c r="C771" s="5"/>
      <c r="D771" s="6"/>
      <c r="E771" s="7"/>
      <c r="F771" s="7"/>
      <c r="G771" s="5"/>
      <c r="H771" s="6"/>
      <c r="I771" s="6"/>
      <c r="J771" s="6"/>
      <c r="K771" s="8"/>
      <c r="L771" s="9"/>
      <c r="M771" s="8"/>
      <c r="N771" s="10"/>
      <c r="O771" s="11"/>
      <c r="P771" s="8"/>
      <c r="Q771" s="8"/>
      <c r="R771" s="52"/>
    </row>
    <row r="772" spans="1:24" x14ac:dyDescent="0.4">
      <c r="A772" s="5"/>
      <c r="B772" s="5"/>
      <c r="C772" s="5"/>
      <c r="D772" s="6"/>
      <c r="E772" s="7"/>
      <c r="F772" s="7"/>
      <c r="G772" s="5"/>
      <c r="H772" s="6"/>
      <c r="I772" s="6"/>
      <c r="J772" s="6"/>
      <c r="K772" s="8"/>
      <c r="L772" s="9"/>
      <c r="M772" s="8"/>
      <c r="N772" s="10"/>
      <c r="O772" s="11"/>
      <c r="P772" s="8"/>
      <c r="Q772" s="8"/>
      <c r="R772" s="52"/>
    </row>
    <row r="773" spans="1:24" x14ac:dyDescent="0.4">
      <c r="A773" s="5"/>
      <c r="B773" s="5"/>
      <c r="C773" s="5"/>
      <c r="D773" s="6"/>
      <c r="E773" s="7"/>
      <c r="F773" s="7"/>
      <c r="G773" s="5"/>
      <c r="H773" s="6"/>
      <c r="I773" s="6"/>
      <c r="J773" s="6"/>
      <c r="K773" s="8"/>
      <c r="L773" s="9"/>
      <c r="M773" s="8"/>
      <c r="N773" s="10"/>
      <c r="O773" s="11"/>
      <c r="P773" s="8"/>
      <c r="Q773" s="8"/>
      <c r="R773" s="52"/>
    </row>
    <row r="774" spans="1:24" x14ac:dyDescent="0.4">
      <c r="A774" s="5"/>
      <c r="B774" s="5"/>
      <c r="C774" s="5"/>
      <c r="D774" s="6"/>
      <c r="E774" s="7"/>
      <c r="F774" s="7"/>
      <c r="G774" s="5"/>
      <c r="H774" s="6"/>
      <c r="I774" s="6"/>
      <c r="J774" s="6"/>
      <c r="K774" s="8"/>
      <c r="L774" s="9"/>
      <c r="M774" s="8"/>
      <c r="N774" s="10"/>
      <c r="O774" s="11"/>
      <c r="P774" s="8"/>
      <c r="Q774" s="8"/>
      <c r="R774" s="52"/>
    </row>
    <row r="775" spans="1:24" x14ac:dyDescent="0.4">
      <c r="A775" s="5"/>
      <c r="B775" s="5"/>
      <c r="C775" s="5"/>
      <c r="D775" s="6"/>
      <c r="E775" s="7"/>
      <c r="F775" s="7"/>
      <c r="G775" s="5"/>
      <c r="H775" s="6"/>
      <c r="I775" s="6"/>
      <c r="J775" s="6"/>
      <c r="K775" s="8"/>
      <c r="L775" s="9"/>
      <c r="M775" s="8"/>
      <c r="N775" s="10"/>
      <c r="O775" s="11"/>
      <c r="P775" s="8"/>
      <c r="Q775" s="8"/>
      <c r="R775" s="52"/>
    </row>
    <row r="776" spans="1:24" x14ac:dyDescent="0.4">
      <c r="A776" s="5"/>
      <c r="B776" s="5"/>
      <c r="C776" s="5"/>
      <c r="D776" s="6"/>
      <c r="E776" s="7"/>
      <c r="F776" s="7"/>
      <c r="G776" s="5"/>
      <c r="H776" s="6"/>
      <c r="I776" s="6"/>
      <c r="J776" s="6"/>
      <c r="K776" s="8"/>
      <c r="L776" s="9"/>
      <c r="M776" s="8"/>
      <c r="N776" s="10"/>
      <c r="O776" s="11"/>
      <c r="P776" s="8"/>
      <c r="Q776" s="8"/>
      <c r="R776" s="9"/>
      <c r="T776" s="122"/>
      <c r="U776" s="122"/>
      <c r="V776" s="122"/>
      <c r="W776" s="122"/>
      <c r="X776" s="122"/>
    </row>
    <row r="777" spans="1:24" x14ac:dyDescent="0.75">
      <c r="T777" s="128"/>
      <c r="U777" s="128"/>
      <c r="V777" s="125"/>
      <c r="W777" s="125"/>
      <c r="X777" s="126"/>
    </row>
    <row r="778" spans="1:24" x14ac:dyDescent="0.75">
      <c r="T778" s="122"/>
      <c r="U778" s="122"/>
      <c r="V778" s="122"/>
      <c r="W778" s="122"/>
      <c r="X778" s="122"/>
    </row>
    <row r="779" spans="1:24" x14ac:dyDescent="0.75">
      <c r="T779" s="122"/>
      <c r="U779" s="122"/>
      <c r="V779" s="122"/>
      <c r="W779" s="122"/>
      <c r="X779" s="122"/>
    </row>
    <row r="780" spans="1:24" x14ac:dyDescent="0.75">
      <c r="T780" s="123"/>
      <c r="U780" s="124"/>
      <c r="V780" s="125"/>
      <c r="W780" s="125"/>
      <c r="X780" s="126"/>
    </row>
    <row r="781" spans="1:24" x14ac:dyDescent="0.75">
      <c r="T781" s="127"/>
      <c r="U781" s="127"/>
      <c r="V781" s="125"/>
      <c r="W781" s="125"/>
      <c r="X781" s="126"/>
    </row>
    <row r="782" spans="1:24" x14ac:dyDescent="0.75">
      <c r="T782" s="127"/>
      <c r="U782" s="124"/>
      <c r="V782" s="125"/>
      <c r="W782" s="125"/>
      <c r="X782" s="126"/>
    </row>
    <row r="783" spans="1:24" x14ac:dyDescent="0.75">
      <c r="T783" s="127"/>
      <c r="U783" s="127"/>
      <c r="V783" s="125"/>
      <c r="W783" s="125"/>
      <c r="X783" s="126"/>
    </row>
    <row r="784" spans="1:24" x14ac:dyDescent="0.75">
      <c r="T784" s="127"/>
      <c r="U784" s="124"/>
      <c r="V784" s="125"/>
      <c r="W784" s="125"/>
      <c r="X784" s="126"/>
    </row>
    <row r="785" spans="20:24" x14ac:dyDescent="0.75">
      <c r="T785" s="128"/>
      <c r="U785" s="128"/>
      <c r="V785" s="125"/>
      <c r="W785" s="125"/>
      <c r="X785" s="126"/>
    </row>
    <row r="786" spans="20:24" x14ac:dyDescent="0.75">
      <c r="T786" s="122"/>
      <c r="U786" s="122"/>
      <c r="V786" s="122"/>
      <c r="W786" s="122"/>
      <c r="X786" s="122"/>
    </row>
  </sheetData>
  <autoFilter ref="A1:R777" xr:uid="{6638A96F-F02D-4A9A-B153-C2A2EA434689}">
    <filterColumn colId="6" showButton="0"/>
    <filterColumn colId="7" showButton="0"/>
    <filterColumn colId="8" showButton="0"/>
    <filterColumn colId="9" showButton="0"/>
    <filterColumn colId="12" showButton="0"/>
    <filterColumn colId="13" showButton="0"/>
    <filterColumn colId="14" showButton="0"/>
    <filterColumn colId="15" showButton="0"/>
  </autoFilter>
  <mergeCells count="10">
    <mergeCell ref="A1:A2"/>
    <mergeCell ref="B1:B2"/>
    <mergeCell ref="C1:C2"/>
    <mergeCell ref="D1:D2"/>
    <mergeCell ref="E1:E2"/>
    <mergeCell ref="F1:F2"/>
    <mergeCell ref="G1:K1"/>
    <mergeCell ref="L1:L2"/>
    <mergeCell ref="M1:Q1"/>
    <mergeCell ref="R1:R2"/>
  </mergeCells>
  <phoneticPr fontId="4" type="noConversion"/>
  <dataValidations disablePrompts="1" count="1">
    <dataValidation type="list" allowBlank="1" showInputMessage="1" showErrorMessage="1" sqref="M3:M776" xr:uid="{7B54E08A-5654-4845-888A-73A5CB5805FB}">
      <formula1>INDIRECT(S3)</formula1>
    </dataValidation>
  </dataValidations>
  <printOptions horizontalCentered="1"/>
  <pageMargins left="0.39370078740157483" right="0.23622047244094491" top="0.23622047244094491" bottom="0.23622047244094491" header="0.23622047244094491" footer="0.23622047244094491"/>
  <pageSetup paperSize="9" scale="45" orientation="landscape" r:id="rId1"/>
  <colBreaks count="1" manualBreakCount="1">
    <brk id="18" max="1048575" man="1"/>
  </col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F28E9-5AA4-4AA5-89BE-10AB023E21A4}">
  <dimension ref="A1:AF330"/>
  <sheetViews>
    <sheetView zoomScale="70" zoomScaleNormal="70" workbookViewId="0">
      <selection activeCell="K5" sqref="K5"/>
    </sheetView>
  </sheetViews>
  <sheetFormatPr defaultRowHeight="17.25" x14ac:dyDescent="0.4"/>
  <cols>
    <col min="1" max="1" width="6.42578125" style="1" customWidth="1"/>
    <col min="2" max="2" width="12" style="1" customWidth="1"/>
    <col min="3" max="3" width="11.85546875" style="1" customWidth="1"/>
    <col min="4" max="4" width="9.140625" style="1"/>
    <col min="5" max="5" width="18.85546875" style="1" bestFit="1" customWidth="1"/>
    <col min="6" max="6" width="25.85546875" style="1" customWidth="1"/>
    <col min="7" max="11" width="9.140625" style="1"/>
    <col min="12" max="12" width="36.7109375" style="1" customWidth="1"/>
    <col min="13" max="17" width="9.140625" style="1"/>
    <col min="18" max="18" width="31.28515625" style="1" customWidth="1"/>
    <col min="19" max="19" width="19.5703125" style="1" customWidth="1"/>
    <col min="20" max="16384" width="9.140625" style="1"/>
  </cols>
  <sheetData>
    <row r="1" spans="1:18" ht="27" x14ac:dyDescent="0.4">
      <c r="A1" s="171" t="s">
        <v>0</v>
      </c>
      <c r="B1" s="171" t="s">
        <v>1</v>
      </c>
      <c r="C1" s="171" t="s">
        <v>2</v>
      </c>
      <c r="D1" s="172" t="s">
        <v>3</v>
      </c>
      <c r="E1" s="172" t="s">
        <v>4</v>
      </c>
      <c r="F1" s="163" t="s">
        <v>5</v>
      </c>
      <c r="G1" s="163" t="s">
        <v>6</v>
      </c>
      <c r="H1" s="163"/>
      <c r="I1" s="163"/>
      <c r="J1" s="163"/>
      <c r="K1" s="163"/>
      <c r="L1" s="169" t="s">
        <v>7</v>
      </c>
      <c r="M1" s="169" t="s">
        <v>8</v>
      </c>
      <c r="N1" s="169"/>
      <c r="O1" s="169"/>
      <c r="P1" s="169"/>
      <c r="Q1" s="169"/>
      <c r="R1" s="170" t="s">
        <v>9</v>
      </c>
    </row>
    <row r="2" spans="1:18" ht="108" x14ac:dyDescent="0.4">
      <c r="A2" s="171"/>
      <c r="B2" s="171"/>
      <c r="C2" s="171"/>
      <c r="D2" s="172"/>
      <c r="E2" s="172"/>
      <c r="F2" s="163"/>
      <c r="G2" s="63" t="s">
        <v>10</v>
      </c>
      <c r="H2" s="63" t="s">
        <v>11</v>
      </c>
      <c r="I2" s="63" t="s">
        <v>12</v>
      </c>
      <c r="J2" s="63" t="s">
        <v>13</v>
      </c>
      <c r="K2" s="63" t="s">
        <v>14</v>
      </c>
      <c r="L2" s="169"/>
      <c r="M2" s="64" t="s">
        <v>10</v>
      </c>
      <c r="N2" s="64" t="s">
        <v>11</v>
      </c>
      <c r="O2" s="64" t="s">
        <v>15</v>
      </c>
      <c r="P2" s="64" t="s">
        <v>16</v>
      </c>
      <c r="Q2" s="64" t="s">
        <v>17</v>
      </c>
      <c r="R2" s="170"/>
    </row>
    <row r="3" spans="1:18" ht="27" x14ac:dyDescent="0.4">
      <c r="A3" s="65"/>
      <c r="B3" s="66"/>
      <c r="C3" s="66"/>
      <c r="D3" s="67"/>
      <c r="E3" s="68"/>
      <c r="F3" s="68"/>
      <c r="G3" s="66"/>
      <c r="H3" s="67"/>
      <c r="I3" s="67"/>
      <c r="J3" s="67"/>
      <c r="K3" s="66"/>
      <c r="L3" s="68"/>
      <c r="M3" s="66"/>
      <c r="N3" s="69"/>
      <c r="O3" s="67"/>
      <c r="P3" s="66"/>
      <c r="Q3" s="65"/>
      <c r="R3" s="70"/>
    </row>
    <row r="4" spans="1:18" ht="27" x14ac:dyDescent="0.4">
      <c r="A4" s="65"/>
      <c r="B4" s="66"/>
      <c r="C4" s="66"/>
      <c r="D4" s="67"/>
      <c r="E4" s="68"/>
      <c r="F4" s="68"/>
      <c r="G4" s="66"/>
      <c r="H4" s="67"/>
      <c r="I4" s="67"/>
      <c r="J4" s="67"/>
      <c r="K4" s="66"/>
      <c r="L4" s="68"/>
      <c r="M4" s="66"/>
      <c r="N4" s="69"/>
      <c r="O4" s="67"/>
      <c r="P4" s="66"/>
      <c r="Q4" s="65"/>
      <c r="R4" s="70"/>
    </row>
    <row r="5" spans="1:18" ht="27" x14ac:dyDescent="0.4">
      <c r="A5" s="65"/>
      <c r="B5" s="66"/>
      <c r="C5" s="66"/>
      <c r="D5" s="67"/>
      <c r="E5" s="68"/>
      <c r="F5" s="68"/>
      <c r="G5" s="66"/>
      <c r="H5" s="67"/>
      <c r="I5" s="67"/>
      <c r="J5" s="67"/>
      <c r="K5" s="66"/>
      <c r="L5" s="68"/>
      <c r="M5" s="66"/>
      <c r="N5" s="69"/>
      <c r="O5" s="67"/>
      <c r="P5" s="66"/>
      <c r="Q5" s="65"/>
      <c r="R5" s="68"/>
    </row>
    <row r="6" spans="1:18" ht="27" x14ac:dyDescent="0.4">
      <c r="A6" s="65"/>
      <c r="B6" s="66"/>
      <c r="C6" s="66"/>
      <c r="D6" s="67"/>
      <c r="E6" s="68"/>
      <c r="F6" s="68"/>
      <c r="G6" s="66"/>
      <c r="H6" s="67"/>
      <c r="I6" s="67"/>
      <c r="J6" s="67"/>
      <c r="K6" s="66"/>
      <c r="L6" s="68"/>
      <c r="M6" s="66"/>
      <c r="N6" s="69"/>
      <c r="O6" s="67"/>
      <c r="P6" s="66"/>
      <c r="Q6" s="65"/>
      <c r="R6" s="70"/>
    </row>
    <row r="7" spans="1:18" ht="27" x14ac:dyDescent="0.4">
      <c r="A7" s="65"/>
      <c r="B7" s="66"/>
      <c r="C7" s="66"/>
      <c r="D7" s="67"/>
      <c r="E7" s="68"/>
      <c r="F7" s="68"/>
      <c r="G7" s="66"/>
      <c r="H7" s="67"/>
      <c r="I7" s="67"/>
      <c r="J7" s="67"/>
      <c r="K7" s="66"/>
      <c r="L7" s="68"/>
      <c r="M7" s="66"/>
      <c r="N7" s="69"/>
      <c r="O7" s="67"/>
      <c r="P7" s="66"/>
      <c r="Q7" s="65"/>
      <c r="R7" s="70"/>
    </row>
    <row r="8" spans="1:18" ht="27" x14ac:dyDescent="0.4">
      <c r="A8" s="65"/>
      <c r="B8" s="66"/>
      <c r="C8" s="66"/>
      <c r="D8" s="67"/>
      <c r="E8" s="68"/>
      <c r="F8" s="68"/>
      <c r="G8" s="66"/>
      <c r="H8" s="67"/>
      <c r="I8" s="67"/>
      <c r="J8" s="67"/>
      <c r="K8" s="66"/>
      <c r="L8" s="68"/>
      <c r="M8" s="66"/>
      <c r="N8" s="69"/>
      <c r="O8" s="67"/>
      <c r="P8" s="66"/>
      <c r="Q8" s="65"/>
      <c r="R8" s="70"/>
    </row>
    <row r="9" spans="1:18" ht="27" x14ac:dyDescent="0.4">
      <c r="A9" s="65"/>
      <c r="B9" s="66"/>
      <c r="C9" s="66"/>
      <c r="D9" s="67"/>
      <c r="E9" s="68"/>
      <c r="F9" s="68"/>
      <c r="G9" s="66"/>
      <c r="H9" s="67"/>
      <c r="I9" s="67"/>
      <c r="J9" s="67"/>
      <c r="K9" s="66"/>
      <c r="L9" s="68"/>
      <c r="M9" s="66"/>
      <c r="N9" s="69"/>
      <c r="O9" s="67"/>
      <c r="P9" s="66"/>
      <c r="Q9" s="65"/>
      <c r="R9" s="70"/>
    </row>
    <row r="10" spans="1:18" ht="27" x14ac:dyDescent="0.4">
      <c r="A10" s="65"/>
      <c r="B10" s="66"/>
      <c r="C10" s="66"/>
      <c r="D10" s="67"/>
      <c r="E10" s="68"/>
      <c r="F10" s="68"/>
      <c r="G10" s="66"/>
      <c r="H10" s="67"/>
      <c r="I10" s="67"/>
      <c r="J10" s="67"/>
      <c r="K10" s="66"/>
      <c r="L10" s="68"/>
      <c r="M10" s="66"/>
      <c r="N10" s="69"/>
      <c r="O10" s="67"/>
      <c r="P10" s="66"/>
      <c r="Q10" s="65"/>
      <c r="R10" s="70"/>
    </row>
    <row r="11" spans="1:18" ht="27" x14ac:dyDescent="0.4">
      <c r="A11" s="65"/>
      <c r="B11" s="66"/>
      <c r="C11" s="66"/>
      <c r="D11" s="67"/>
      <c r="E11" s="68"/>
      <c r="F11" s="68"/>
      <c r="G11" s="66"/>
      <c r="H11" s="67"/>
      <c r="I11" s="67"/>
      <c r="J11" s="67"/>
      <c r="K11" s="66"/>
      <c r="L11" s="68"/>
      <c r="M11" s="66"/>
      <c r="N11" s="69"/>
      <c r="O11" s="67"/>
      <c r="P11" s="66"/>
      <c r="Q11" s="65"/>
      <c r="R11" s="70"/>
    </row>
    <row r="12" spans="1:18" ht="27" x14ac:dyDescent="0.4">
      <c r="A12" s="65"/>
      <c r="B12" s="66"/>
      <c r="C12" s="66"/>
      <c r="D12" s="67"/>
      <c r="E12" s="68"/>
      <c r="F12" s="68"/>
      <c r="G12" s="66"/>
      <c r="H12" s="67"/>
      <c r="I12" s="67"/>
      <c r="J12" s="67"/>
      <c r="K12" s="66"/>
      <c r="L12" s="68"/>
      <c r="M12" s="66"/>
      <c r="N12" s="69"/>
      <c r="O12" s="67"/>
      <c r="P12" s="66"/>
      <c r="Q12" s="65"/>
      <c r="R12" s="68"/>
    </row>
    <row r="13" spans="1:18" ht="27" x14ac:dyDescent="0.4">
      <c r="A13" s="65"/>
      <c r="B13" s="66"/>
      <c r="C13" s="66"/>
      <c r="D13" s="67"/>
      <c r="E13" s="68"/>
      <c r="F13" s="68"/>
      <c r="G13" s="66"/>
      <c r="H13" s="67"/>
      <c r="I13" s="67"/>
      <c r="J13" s="67"/>
      <c r="K13" s="66"/>
      <c r="L13" s="68"/>
      <c r="M13" s="66"/>
      <c r="N13" s="69"/>
      <c r="O13" s="67"/>
      <c r="P13" s="66"/>
      <c r="Q13" s="65"/>
      <c r="R13" s="68"/>
    </row>
    <row r="14" spans="1:18" ht="27" x14ac:dyDescent="0.4">
      <c r="A14" s="65"/>
      <c r="B14" s="66"/>
      <c r="C14" s="66"/>
      <c r="D14" s="67"/>
      <c r="E14" s="68"/>
      <c r="F14" s="68"/>
      <c r="G14" s="66"/>
      <c r="H14" s="67"/>
      <c r="I14" s="67"/>
      <c r="J14" s="67"/>
      <c r="K14" s="66"/>
      <c r="L14" s="68"/>
      <c r="M14" s="66"/>
      <c r="N14" s="69"/>
      <c r="O14" s="67"/>
      <c r="P14" s="66"/>
      <c r="Q14" s="65"/>
      <c r="R14" s="68"/>
    </row>
    <row r="15" spans="1:18" ht="27" x14ac:dyDescent="0.4">
      <c r="A15" s="65"/>
      <c r="B15" s="66"/>
      <c r="C15" s="66"/>
      <c r="D15" s="67"/>
      <c r="E15" s="68"/>
      <c r="F15" s="68"/>
      <c r="G15" s="66"/>
      <c r="H15" s="67"/>
      <c r="I15" s="67"/>
      <c r="J15" s="67"/>
      <c r="K15" s="66"/>
      <c r="L15" s="68"/>
      <c r="M15" s="66"/>
      <c r="N15" s="69"/>
      <c r="O15" s="67"/>
      <c r="P15" s="66"/>
      <c r="Q15" s="65"/>
      <c r="R15" s="65"/>
    </row>
    <row r="16" spans="1:18" ht="27" x14ac:dyDescent="0.4">
      <c r="A16" s="65"/>
      <c r="B16" s="66"/>
      <c r="C16" s="66"/>
      <c r="D16" s="67"/>
      <c r="E16" s="68"/>
      <c r="F16" s="68"/>
      <c r="G16" s="66"/>
      <c r="H16" s="67"/>
      <c r="I16" s="67"/>
      <c r="J16" s="67"/>
      <c r="K16" s="66"/>
      <c r="L16" s="68"/>
      <c r="M16" s="66"/>
      <c r="N16" s="69"/>
      <c r="O16" s="67"/>
      <c r="P16" s="66"/>
      <c r="Q16" s="65"/>
      <c r="R16" s="120"/>
    </row>
    <row r="17" spans="1:18" ht="27" x14ac:dyDescent="0.4">
      <c r="A17" s="65"/>
      <c r="B17" s="66"/>
      <c r="C17" s="66"/>
      <c r="D17" s="67"/>
      <c r="E17" s="68"/>
      <c r="F17" s="68"/>
      <c r="G17" s="66"/>
      <c r="H17" s="67"/>
      <c r="I17" s="67"/>
      <c r="J17" s="67"/>
      <c r="K17" s="66"/>
      <c r="L17" s="68"/>
      <c r="M17" s="66"/>
      <c r="N17" s="69"/>
      <c r="O17" s="67"/>
      <c r="P17" s="66"/>
      <c r="Q17" s="65"/>
      <c r="R17" s="65"/>
    </row>
    <row r="18" spans="1:18" ht="27" x14ac:dyDescent="0.4">
      <c r="A18" s="65"/>
      <c r="B18" s="66"/>
      <c r="C18" s="66"/>
      <c r="D18" s="67"/>
      <c r="E18" s="68"/>
      <c r="F18" s="68"/>
      <c r="G18" s="66"/>
      <c r="H18" s="67"/>
      <c r="I18" s="67"/>
      <c r="J18" s="67"/>
      <c r="K18" s="66"/>
      <c r="L18" s="68"/>
      <c r="M18" s="66"/>
      <c r="N18" s="69"/>
      <c r="O18" s="67"/>
      <c r="P18" s="66"/>
      <c r="Q18" s="65"/>
      <c r="R18" s="70"/>
    </row>
    <row r="19" spans="1:18" ht="27" x14ac:dyDescent="0.4">
      <c r="A19" s="65"/>
      <c r="B19" s="66"/>
      <c r="C19" s="66"/>
      <c r="D19" s="67"/>
      <c r="E19" s="68"/>
      <c r="F19" s="68"/>
      <c r="G19" s="66"/>
      <c r="H19" s="67"/>
      <c r="I19" s="67"/>
      <c r="J19" s="67"/>
      <c r="K19" s="66"/>
      <c r="L19" s="68"/>
      <c r="M19" s="66"/>
      <c r="N19" s="69"/>
      <c r="O19" s="67"/>
      <c r="P19" s="66"/>
      <c r="Q19" s="65"/>
      <c r="R19" s="68"/>
    </row>
    <row r="20" spans="1:18" ht="27" x14ac:dyDescent="0.4">
      <c r="A20" s="65"/>
      <c r="B20" s="66"/>
      <c r="C20" s="66"/>
      <c r="D20" s="67"/>
      <c r="E20" s="68"/>
      <c r="F20" s="68"/>
      <c r="G20" s="66"/>
      <c r="H20" s="67"/>
      <c r="I20" s="67"/>
      <c r="J20" s="67"/>
      <c r="K20" s="66"/>
      <c r="L20" s="68"/>
      <c r="M20" s="66"/>
      <c r="N20" s="69"/>
      <c r="O20" s="67"/>
      <c r="P20" s="66"/>
      <c r="Q20" s="65"/>
      <c r="R20" s="68"/>
    </row>
    <row r="21" spans="1:18" ht="27" x14ac:dyDescent="0.4">
      <c r="A21" s="65"/>
      <c r="B21" s="66"/>
      <c r="C21" s="66"/>
      <c r="D21" s="67"/>
      <c r="E21" s="68"/>
      <c r="F21" s="68"/>
      <c r="G21" s="66"/>
      <c r="H21" s="67"/>
      <c r="I21" s="67"/>
      <c r="J21" s="67"/>
      <c r="K21" s="66"/>
      <c r="L21" s="68"/>
      <c r="M21" s="66"/>
      <c r="N21" s="69"/>
      <c r="O21" s="67"/>
      <c r="P21" s="66"/>
      <c r="Q21" s="65"/>
      <c r="R21" s="68"/>
    </row>
    <row r="22" spans="1:18" ht="27" x14ac:dyDescent="0.4">
      <c r="A22" s="65"/>
      <c r="B22" s="66"/>
      <c r="C22" s="66"/>
      <c r="D22" s="67"/>
      <c r="E22" s="68"/>
      <c r="F22" s="68"/>
      <c r="G22" s="66"/>
      <c r="H22" s="67"/>
      <c r="I22" s="67"/>
      <c r="J22" s="67"/>
      <c r="K22" s="66"/>
      <c r="L22" s="68"/>
      <c r="M22" s="66"/>
      <c r="N22" s="69"/>
      <c r="O22" s="67"/>
      <c r="P22" s="66"/>
      <c r="Q22" s="65"/>
      <c r="R22" s="68"/>
    </row>
    <row r="23" spans="1:18" ht="27" x14ac:dyDescent="0.4">
      <c r="A23" s="65"/>
      <c r="B23" s="66"/>
      <c r="C23" s="66"/>
      <c r="D23" s="67"/>
      <c r="E23" s="68"/>
      <c r="F23" s="68"/>
      <c r="G23" s="66"/>
      <c r="H23" s="67"/>
      <c r="I23" s="67"/>
      <c r="J23" s="67"/>
      <c r="K23" s="66"/>
      <c r="L23" s="68"/>
      <c r="M23" s="66"/>
      <c r="N23" s="69"/>
      <c r="O23" s="67"/>
      <c r="P23" s="66"/>
      <c r="Q23" s="65"/>
      <c r="R23" s="68"/>
    </row>
    <row r="24" spans="1:18" ht="27" x14ac:dyDescent="0.4">
      <c r="A24" s="65"/>
      <c r="B24" s="66"/>
      <c r="C24" s="66"/>
      <c r="D24" s="67"/>
      <c r="E24" s="68"/>
      <c r="F24" s="68"/>
      <c r="G24" s="66"/>
      <c r="H24" s="67"/>
      <c r="I24" s="67"/>
      <c r="J24" s="67"/>
      <c r="K24" s="66"/>
      <c r="L24" s="68"/>
      <c r="M24" s="66"/>
      <c r="N24" s="69"/>
      <c r="O24" s="67"/>
      <c r="P24" s="66"/>
      <c r="Q24" s="65"/>
      <c r="R24" s="68"/>
    </row>
    <row r="25" spans="1:18" ht="27" x14ac:dyDescent="0.4">
      <c r="A25" s="65"/>
      <c r="B25" s="66"/>
      <c r="C25" s="66"/>
      <c r="D25" s="67"/>
      <c r="E25" s="68"/>
      <c r="F25" s="68"/>
      <c r="G25" s="66"/>
      <c r="H25" s="67"/>
      <c r="I25" s="67"/>
      <c r="J25" s="67"/>
      <c r="K25" s="66"/>
      <c r="L25" s="68"/>
      <c r="M25" s="66"/>
      <c r="N25" s="69"/>
      <c r="O25" s="67"/>
      <c r="P25" s="66"/>
      <c r="Q25" s="65"/>
      <c r="R25" s="68"/>
    </row>
    <row r="26" spans="1:18" ht="27" x14ac:dyDescent="0.4">
      <c r="A26" s="65"/>
      <c r="B26" s="66"/>
      <c r="C26" s="66"/>
      <c r="D26" s="67"/>
      <c r="E26" s="68"/>
      <c r="F26" s="68"/>
      <c r="G26" s="66"/>
      <c r="H26" s="67"/>
      <c r="I26" s="67"/>
      <c r="J26" s="67"/>
      <c r="K26" s="66"/>
      <c r="L26" s="68"/>
      <c r="M26" s="66"/>
      <c r="N26" s="69"/>
      <c r="O26" s="67"/>
      <c r="P26" s="66"/>
      <c r="Q26" s="65"/>
      <c r="R26" s="68"/>
    </row>
    <row r="27" spans="1:18" ht="27" x14ac:dyDescent="0.4">
      <c r="A27" s="65"/>
      <c r="B27" s="66"/>
      <c r="C27" s="66"/>
      <c r="D27" s="67"/>
      <c r="E27" s="68"/>
      <c r="F27" s="68"/>
      <c r="G27" s="66"/>
      <c r="H27" s="67"/>
      <c r="I27" s="67"/>
      <c r="J27" s="67"/>
      <c r="K27" s="66"/>
      <c r="L27" s="68"/>
      <c r="M27" s="66"/>
      <c r="N27" s="69"/>
      <c r="O27" s="67"/>
      <c r="P27" s="66"/>
      <c r="Q27" s="65"/>
      <c r="R27" s="68"/>
    </row>
    <row r="28" spans="1:18" ht="27" x14ac:dyDescent="0.4">
      <c r="A28" s="65"/>
      <c r="B28" s="66"/>
      <c r="C28" s="66"/>
      <c r="D28" s="67"/>
      <c r="E28" s="68"/>
      <c r="F28" s="68"/>
      <c r="G28" s="66"/>
      <c r="H28" s="67"/>
      <c r="I28" s="67"/>
      <c r="J28" s="67"/>
      <c r="K28" s="66"/>
      <c r="L28" s="68"/>
      <c r="M28" s="66"/>
      <c r="N28" s="69"/>
      <c r="O28" s="67"/>
      <c r="P28" s="66"/>
      <c r="Q28" s="65"/>
      <c r="R28" s="68"/>
    </row>
    <row r="29" spans="1:18" ht="27" x14ac:dyDescent="0.4">
      <c r="A29" s="65"/>
      <c r="B29" s="66"/>
      <c r="C29" s="66"/>
      <c r="D29" s="67"/>
      <c r="E29" s="68"/>
      <c r="F29" s="68"/>
      <c r="G29" s="66"/>
      <c r="H29" s="67"/>
      <c r="I29" s="67"/>
      <c r="J29" s="67"/>
      <c r="K29" s="71"/>
      <c r="L29" s="68"/>
      <c r="M29" s="66"/>
      <c r="N29" s="69"/>
      <c r="O29" s="67"/>
      <c r="P29" s="71"/>
      <c r="Q29" s="65"/>
      <c r="R29" s="68"/>
    </row>
    <row r="30" spans="1:18" ht="27" x14ac:dyDescent="0.4">
      <c r="A30" s="65"/>
      <c r="B30" s="66"/>
      <c r="C30" s="66"/>
      <c r="D30" s="67"/>
      <c r="E30" s="68"/>
      <c r="F30" s="68"/>
      <c r="G30" s="66"/>
      <c r="H30" s="67"/>
      <c r="I30" s="67"/>
      <c r="J30" s="67"/>
      <c r="K30" s="71"/>
      <c r="L30" s="68"/>
      <c r="M30" s="66"/>
      <c r="N30" s="69"/>
      <c r="O30" s="67"/>
      <c r="P30" s="71"/>
      <c r="Q30" s="65"/>
      <c r="R30" s="68"/>
    </row>
    <row r="31" spans="1:18" ht="27" x14ac:dyDescent="0.4">
      <c r="A31" s="65"/>
      <c r="B31" s="66"/>
      <c r="C31" s="66"/>
      <c r="D31" s="67"/>
      <c r="E31" s="68"/>
      <c r="F31" s="68"/>
      <c r="G31" s="66"/>
      <c r="H31" s="67"/>
      <c r="I31" s="67"/>
      <c r="J31" s="67"/>
      <c r="K31" s="71"/>
      <c r="L31" s="68"/>
      <c r="M31" s="66"/>
      <c r="N31" s="69"/>
      <c r="O31" s="67"/>
      <c r="P31" s="71"/>
      <c r="Q31" s="65"/>
      <c r="R31" s="68"/>
    </row>
    <row r="32" spans="1:18" ht="27" x14ac:dyDescent="0.4">
      <c r="A32" s="65"/>
      <c r="B32" s="66"/>
      <c r="C32" s="66"/>
      <c r="D32" s="67"/>
      <c r="E32" s="68"/>
      <c r="F32" s="68"/>
      <c r="G32" s="66"/>
      <c r="H32" s="67"/>
      <c r="I32" s="67"/>
      <c r="J32" s="67"/>
      <c r="K32" s="66"/>
      <c r="L32" s="68"/>
      <c r="M32" s="66"/>
      <c r="N32" s="69"/>
      <c r="O32" s="67"/>
      <c r="P32" s="66"/>
      <c r="Q32" s="65"/>
      <c r="R32" s="68"/>
    </row>
    <row r="33" spans="1:18" ht="27" x14ac:dyDescent="0.4">
      <c r="A33" s="65"/>
      <c r="B33" s="66"/>
      <c r="C33" s="66"/>
      <c r="D33" s="67"/>
      <c r="E33" s="68"/>
      <c r="F33" s="68"/>
      <c r="G33" s="66"/>
      <c r="H33" s="67"/>
      <c r="I33" s="67"/>
      <c r="J33" s="67"/>
      <c r="K33" s="66"/>
      <c r="L33" s="68"/>
      <c r="M33" s="66"/>
      <c r="N33" s="69"/>
      <c r="O33" s="67"/>
      <c r="P33" s="66"/>
      <c r="Q33" s="68"/>
      <c r="R33" s="68"/>
    </row>
    <row r="34" spans="1:18" ht="27" x14ac:dyDescent="0.4">
      <c r="A34" s="65"/>
      <c r="B34" s="66"/>
      <c r="C34" s="66"/>
      <c r="D34" s="67"/>
      <c r="E34" s="68"/>
      <c r="F34" s="68"/>
      <c r="G34" s="66"/>
      <c r="H34" s="67"/>
      <c r="I34" s="67"/>
      <c r="J34" s="67"/>
      <c r="K34" s="66"/>
      <c r="L34" s="68"/>
      <c r="M34" s="66"/>
      <c r="N34" s="69"/>
      <c r="O34" s="67"/>
      <c r="P34" s="66"/>
      <c r="Q34" s="68"/>
      <c r="R34" s="68"/>
    </row>
    <row r="35" spans="1:18" ht="27" x14ac:dyDescent="0.4">
      <c r="A35" s="65"/>
      <c r="B35" s="66"/>
      <c r="C35" s="66"/>
      <c r="D35" s="67"/>
      <c r="E35" s="68"/>
      <c r="F35" s="68"/>
      <c r="G35" s="66"/>
      <c r="H35" s="67"/>
      <c r="I35" s="67"/>
      <c r="J35" s="67"/>
      <c r="K35" s="66"/>
      <c r="L35" s="68"/>
      <c r="M35" s="66"/>
      <c r="N35" s="69"/>
      <c r="O35" s="67"/>
      <c r="P35" s="66"/>
      <c r="Q35" s="68"/>
      <c r="R35" s="68"/>
    </row>
    <row r="36" spans="1:18" ht="27" x14ac:dyDescent="0.4">
      <c r="A36" s="65"/>
      <c r="B36" s="66"/>
      <c r="C36" s="66"/>
      <c r="D36" s="67"/>
      <c r="E36" s="68"/>
      <c r="F36" s="68"/>
      <c r="G36" s="66"/>
      <c r="H36" s="67"/>
      <c r="I36" s="67"/>
      <c r="J36" s="67"/>
      <c r="K36" s="66"/>
      <c r="L36" s="68"/>
      <c r="M36" s="66"/>
      <c r="N36" s="69"/>
      <c r="O36" s="67"/>
      <c r="P36" s="66"/>
      <c r="Q36" s="68"/>
      <c r="R36" s="68"/>
    </row>
    <row r="37" spans="1:18" ht="27" x14ac:dyDescent="0.4">
      <c r="A37" s="65"/>
      <c r="B37" s="66"/>
      <c r="C37" s="66"/>
      <c r="D37" s="67"/>
      <c r="E37" s="68"/>
      <c r="F37" s="68"/>
      <c r="G37" s="66"/>
      <c r="H37" s="67"/>
      <c r="I37" s="67"/>
      <c r="J37" s="67"/>
      <c r="K37" s="66"/>
      <c r="L37" s="68"/>
      <c r="M37" s="66"/>
      <c r="N37" s="69"/>
      <c r="O37" s="67"/>
      <c r="P37" s="66"/>
      <c r="Q37" s="68"/>
      <c r="R37" s="68"/>
    </row>
    <row r="38" spans="1:18" ht="27" x14ac:dyDescent="0.4">
      <c r="A38" s="65"/>
      <c r="B38" s="66"/>
      <c r="C38" s="66"/>
      <c r="D38" s="67"/>
      <c r="E38" s="68"/>
      <c r="F38" s="68"/>
      <c r="G38" s="66"/>
      <c r="H38" s="67"/>
      <c r="I38" s="67"/>
      <c r="J38" s="67"/>
      <c r="K38" s="66"/>
      <c r="L38" s="68"/>
      <c r="M38" s="66"/>
      <c r="N38" s="69"/>
      <c r="O38" s="67"/>
      <c r="P38" s="66"/>
      <c r="Q38" s="68"/>
      <c r="R38" s="68"/>
    </row>
    <row r="39" spans="1:18" ht="27" x14ac:dyDescent="0.4">
      <c r="A39" s="65"/>
      <c r="B39" s="66"/>
      <c r="C39" s="66"/>
      <c r="D39" s="67"/>
      <c r="E39" s="68"/>
      <c r="F39" s="68"/>
      <c r="G39" s="66"/>
      <c r="H39" s="67"/>
      <c r="I39" s="67"/>
      <c r="J39" s="67"/>
      <c r="K39" s="66"/>
      <c r="L39" s="68"/>
      <c r="M39" s="66"/>
      <c r="N39" s="69"/>
      <c r="O39" s="67"/>
      <c r="P39" s="66"/>
      <c r="Q39" s="68"/>
      <c r="R39" s="68"/>
    </row>
    <row r="40" spans="1:18" ht="27" x14ac:dyDescent="0.4">
      <c r="A40" s="65"/>
      <c r="B40" s="66"/>
      <c r="C40" s="66"/>
      <c r="D40" s="67"/>
      <c r="E40" s="68"/>
      <c r="F40" s="68"/>
      <c r="G40" s="66"/>
      <c r="H40" s="67"/>
      <c r="I40" s="67"/>
      <c r="J40" s="67"/>
      <c r="K40" s="66"/>
      <c r="L40" s="68"/>
      <c r="M40" s="66"/>
      <c r="N40" s="69"/>
      <c r="O40" s="67"/>
      <c r="P40" s="66"/>
      <c r="Q40" s="68"/>
      <c r="R40" s="68"/>
    </row>
    <row r="41" spans="1:18" ht="27" x14ac:dyDescent="0.4">
      <c r="A41" s="65"/>
      <c r="B41" s="66"/>
      <c r="C41" s="66"/>
      <c r="D41" s="67"/>
      <c r="E41" s="73"/>
      <c r="F41" s="68"/>
      <c r="G41" s="66"/>
      <c r="H41" s="67"/>
      <c r="I41" s="67"/>
      <c r="J41" s="67"/>
      <c r="K41" s="66"/>
      <c r="L41" s="68"/>
      <c r="M41" s="66"/>
      <c r="N41" s="69"/>
      <c r="O41" s="67"/>
      <c r="P41" s="66"/>
      <c r="Q41" s="68"/>
      <c r="R41" s="68"/>
    </row>
    <row r="42" spans="1:18" ht="27" x14ac:dyDescent="0.4">
      <c r="A42" s="65"/>
      <c r="B42" s="66"/>
      <c r="C42" s="66"/>
      <c r="D42" s="67"/>
      <c r="E42" s="68"/>
      <c r="F42" s="68"/>
      <c r="G42" s="66"/>
      <c r="H42" s="67"/>
      <c r="I42" s="67"/>
      <c r="J42" s="67"/>
      <c r="K42" s="66"/>
      <c r="L42" s="68"/>
      <c r="M42" s="66"/>
      <c r="N42" s="69"/>
      <c r="O42" s="67"/>
      <c r="P42" s="66"/>
      <c r="Q42" s="68"/>
      <c r="R42" s="68"/>
    </row>
    <row r="43" spans="1:18" ht="27" x14ac:dyDescent="0.4">
      <c r="A43" s="65"/>
      <c r="B43" s="66"/>
      <c r="C43" s="66"/>
      <c r="D43" s="67"/>
      <c r="E43" s="68"/>
      <c r="F43" s="68"/>
      <c r="G43" s="66"/>
      <c r="H43" s="67"/>
      <c r="I43" s="67"/>
      <c r="J43" s="67"/>
      <c r="K43" s="66"/>
      <c r="L43" s="68"/>
      <c r="M43" s="66"/>
      <c r="N43" s="69"/>
      <c r="O43" s="67"/>
      <c r="P43" s="66"/>
      <c r="Q43" s="68"/>
      <c r="R43" s="68"/>
    </row>
    <row r="44" spans="1:18" ht="27" x14ac:dyDescent="0.4">
      <c r="A44" s="65"/>
      <c r="B44" s="66"/>
      <c r="C44" s="66"/>
      <c r="D44" s="67"/>
      <c r="E44" s="68"/>
      <c r="F44" s="68"/>
      <c r="G44" s="66"/>
      <c r="H44" s="67"/>
      <c r="I44" s="67"/>
      <c r="J44" s="67"/>
      <c r="K44" s="66"/>
      <c r="L44" s="68"/>
      <c r="M44" s="66"/>
      <c r="N44" s="69"/>
      <c r="O44" s="67"/>
      <c r="P44" s="66"/>
      <c r="Q44" s="68"/>
      <c r="R44" s="68"/>
    </row>
    <row r="45" spans="1:18" ht="27" x14ac:dyDescent="0.4">
      <c r="A45" s="65"/>
      <c r="B45" s="66"/>
      <c r="C45" s="66"/>
      <c r="D45" s="67"/>
      <c r="E45" s="68"/>
      <c r="F45" s="68"/>
      <c r="G45" s="66"/>
      <c r="H45" s="67"/>
      <c r="I45" s="67"/>
      <c r="J45" s="67"/>
      <c r="K45" s="66"/>
      <c r="L45" s="68"/>
      <c r="M45" s="66"/>
      <c r="N45" s="69"/>
      <c r="O45" s="67"/>
      <c r="P45" s="66"/>
      <c r="Q45" s="68"/>
      <c r="R45" s="68"/>
    </row>
    <row r="46" spans="1:18" ht="27" x14ac:dyDescent="0.4">
      <c r="A46" s="65"/>
      <c r="B46" s="66"/>
      <c r="C46" s="66"/>
      <c r="D46" s="67"/>
      <c r="E46" s="68"/>
      <c r="F46" s="68"/>
      <c r="G46" s="66"/>
      <c r="H46" s="67"/>
      <c r="I46" s="67"/>
      <c r="J46" s="67"/>
      <c r="K46" s="66"/>
      <c r="L46" s="68"/>
      <c r="M46" s="66"/>
      <c r="N46" s="69"/>
      <c r="O46" s="67"/>
      <c r="P46" s="66"/>
      <c r="Q46" s="68"/>
      <c r="R46" s="68"/>
    </row>
    <row r="47" spans="1:18" ht="27" x14ac:dyDescent="0.4">
      <c r="A47" s="65"/>
      <c r="B47" s="66"/>
      <c r="C47" s="66"/>
      <c r="D47" s="67"/>
      <c r="E47" s="68"/>
      <c r="F47" s="68"/>
      <c r="G47" s="66"/>
      <c r="H47" s="67"/>
      <c r="I47" s="67"/>
      <c r="J47" s="67"/>
      <c r="K47" s="66"/>
      <c r="L47" s="68"/>
      <c r="M47" s="66"/>
      <c r="N47" s="69"/>
      <c r="O47" s="67"/>
      <c r="P47" s="66"/>
      <c r="Q47" s="68"/>
      <c r="R47" s="68"/>
    </row>
    <row r="48" spans="1:18" ht="27" x14ac:dyDescent="0.4">
      <c r="A48" s="65"/>
      <c r="B48" s="66"/>
      <c r="C48" s="66"/>
      <c r="D48" s="67"/>
      <c r="E48" s="68"/>
      <c r="F48" s="68"/>
      <c r="G48" s="66"/>
      <c r="H48" s="67"/>
      <c r="I48" s="67"/>
      <c r="J48" s="67"/>
      <c r="K48" s="66"/>
      <c r="L48" s="72"/>
      <c r="M48" s="66"/>
      <c r="N48" s="69"/>
      <c r="O48" s="67"/>
      <c r="P48" s="66"/>
      <c r="Q48" s="68"/>
      <c r="R48" s="68"/>
    </row>
    <row r="49" spans="1:18" ht="27" x14ac:dyDescent="0.4">
      <c r="A49" s="65"/>
      <c r="B49" s="66"/>
      <c r="C49" s="66"/>
      <c r="D49" s="67"/>
      <c r="E49" s="68"/>
      <c r="F49" s="68"/>
      <c r="G49" s="66"/>
      <c r="H49" s="67"/>
      <c r="I49" s="67"/>
      <c r="J49" s="67"/>
      <c r="K49" s="66"/>
      <c r="L49" s="68"/>
      <c r="M49" s="66"/>
      <c r="N49" s="69"/>
      <c r="O49" s="67"/>
      <c r="P49" s="66"/>
      <c r="Q49" s="68"/>
      <c r="R49" s="68"/>
    </row>
    <row r="50" spans="1:18" ht="27" x14ac:dyDescent="0.4">
      <c r="A50" s="65"/>
      <c r="B50" s="66"/>
      <c r="C50" s="66"/>
      <c r="D50" s="67"/>
      <c r="E50" s="68"/>
      <c r="F50" s="68"/>
      <c r="G50" s="66"/>
      <c r="H50" s="67"/>
      <c r="I50" s="67"/>
      <c r="J50" s="67"/>
      <c r="K50" s="66"/>
      <c r="L50" s="68"/>
      <c r="M50" s="66"/>
      <c r="N50" s="69"/>
      <c r="O50" s="67"/>
      <c r="P50" s="66"/>
      <c r="Q50" s="68"/>
      <c r="R50" s="68"/>
    </row>
    <row r="51" spans="1:18" ht="27" x14ac:dyDescent="0.4">
      <c r="A51" s="65"/>
      <c r="B51" s="66"/>
      <c r="C51" s="66"/>
      <c r="D51" s="67"/>
      <c r="E51" s="68"/>
      <c r="F51" s="68"/>
      <c r="G51" s="66"/>
      <c r="H51" s="67"/>
      <c r="I51" s="67"/>
      <c r="J51" s="67"/>
      <c r="K51" s="66"/>
      <c r="L51" s="68"/>
      <c r="M51" s="66"/>
      <c r="N51" s="69"/>
      <c r="O51" s="67"/>
      <c r="P51" s="66"/>
      <c r="Q51" s="68"/>
      <c r="R51" s="68"/>
    </row>
    <row r="52" spans="1:18" ht="27" x14ac:dyDescent="0.4">
      <c r="A52" s="65"/>
      <c r="B52" s="66"/>
      <c r="C52" s="66"/>
      <c r="D52" s="67"/>
      <c r="E52" s="68"/>
      <c r="F52" s="68"/>
      <c r="G52" s="66"/>
      <c r="H52" s="67"/>
      <c r="I52" s="67"/>
      <c r="J52" s="67"/>
      <c r="K52" s="66"/>
      <c r="L52" s="68"/>
      <c r="M52" s="66"/>
      <c r="N52" s="69"/>
      <c r="O52" s="67"/>
      <c r="P52" s="66"/>
      <c r="Q52" s="68"/>
      <c r="R52" s="68"/>
    </row>
    <row r="53" spans="1:18" ht="27" x14ac:dyDescent="0.4">
      <c r="A53" s="65"/>
      <c r="B53" s="66"/>
      <c r="C53" s="66"/>
      <c r="D53" s="67"/>
      <c r="E53" s="68"/>
      <c r="F53" s="68"/>
      <c r="G53" s="66"/>
      <c r="H53" s="67"/>
      <c r="I53" s="67"/>
      <c r="J53" s="67"/>
      <c r="K53" s="66"/>
      <c r="L53" s="72"/>
      <c r="M53" s="66"/>
      <c r="N53" s="69"/>
      <c r="O53" s="67"/>
      <c r="P53" s="66"/>
      <c r="Q53" s="68"/>
      <c r="R53" s="68"/>
    </row>
    <row r="54" spans="1:18" ht="27" x14ac:dyDescent="0.4">
      <c r="A54" s="65"/>
      <c r="B54" s="66"/>
      <c r="C54" s="66"/>
      <c r="D54" s="67"/>
      <c r="E54" s="68"/>
      <c r="F54" s="68"/>
      <c r="G54" s="66"/>
      <c r="H54" s="67"/>
      <c r="I54" s="67"/>
      <c r="J54" s="67"/>
      <c r="K54" s="66"/>
      <c r="L54" s="68"/>
      <c r="M54" s="66"/>
      <c r="N54" s="69"/>
      <c r="O54" s="67"/>
      <c r="P54" s="66"/>
      <c r="Q54" s="68"/>
      <c r="R54" s="68"/>
    </row>
    <row r="55" spans="1:18" ht="27" x14ac:dyDescent="0.4">
      <c r="A55" s="65"/>
      <c r="B55" s="66"/>
      <c r="C55" s="66"/>
      <c r="D55" s="67"/>
      <c r="E55" s="68"/>
      <c r="F55" s="68"/>
      <c r="G55" s="66"/>
      <c r="H55" s="67"/>
      <c r="I55" s="67"/>
      <c r="J55" s="67"/>
      <c r="K55" s="66"/>
      <c r="L55" s="68"/>
      <c r="M55" s="66"/>
      <c r="N55" s="69"/>
      <c r="O55" s="67"/>
      <c r="P55" s="66"/>
      <c r="Q55" s="68"/>
      <c r="R55" s="68"/>
    </row>
    <row r="56" spans="1:18" ht="27" x14ac:dyDescent="0.4">
      <c r="A56" s="65"/>
      <c r="B56" s="66"/>
      <c r="C56" s="66"/>
      <c r="D56" s="67"/>
      <c r="E56" s="68"/>
      <c r="F56" s="68"/>
      <c r="G56" s="66"/>
      <c r="H56" s="67"/>
      <c r="I56" s="67"/>
      <c r="J56" s="67"/>
      <c r="K56" s="66"/>
      <c r="L56" s="68"/>
      <c r="M56" s="66"/>
      <c r="N56" s="69"/>
      <c r="O56" s="67"/>
      <c r="P56" s="66"/>
      <c r="Q56" s="65"/>
      <c r="R56" s="68"/>
    </row>
    <row r="57" spans="1:18" ht="27" x14ac:dyDescent="0.4">
      <c r="A57" s="65"/>
      <c r="B57" s="66"/>
      <c r="C57" s="66"/>
      <c r="D57" s="67"/>
      <c r="E57" s="68"/>
      <c r="F57" s="73"/>
      <c r="G57" s="66"/>
      <c r="H57" s="67"/>
      <c r="I57" s="67"/>
      <c r="J57" s="67"/>
      <c r="K57" s="66"/>
      <c r="L57" s="68"/>
      <c r="M57" s="66"/>
      <c r="N57" s="69"/>
      <c r="O57" s="67"/>
      <c r="P57" s="66"/>
      <c r="Q57" s="65"/>
      <c r="R57" s="68"/>
    </row>
    <row r="58" spans="1:18" ht="27" x14ac:dyDescent="0.4">
      <c r="A58" s="65"/>
      <c r="B58" s="66"/>
      <c r="C58" s="66"/>
      <c r="D58" s="67"/>
      <c r="E58" s="68"/>
      <c r="F58" s="68"/>
      <c r="G58" s="66"/>
      <c r="H58" s="67"/>
      <c r="I58" s="67"/>
      <c r="J58" s="67"/>
      <c r="K58" s="66"/>
      <c r="L58" s="68"/>
      <c r="M58" s="66"/>
      <c r="N58" s="69"/>
      <c r="O58" s="67"/>
      <c r="P58" s="66"/>
      <c r="Q58" s="65"/>
      <c r="R58" s="68"/>
    </row>
    <row r="59" spans="1:18" ht="27" x14ac:dyDescent="0.4">
      <c r="A59" s="65"/>
      <c r="B59" s="66"/>
      <c r="C59" s="66"/>
      <c r="D59" s="67"/>
      <c r="E59" s="68"/>
      <c r="F59" s="68"/>
      <c r="G59" s="66"/>
      <c r="H59" s="67"/>
      <c r="I59" s="67"/>
      <c r="J59" s="67"/>
      <c r="K59" s="66"/>
      <c r="L59" s="68"/>
      <c r="M59" s="66"/>
      <c r="N59" s="69"/>
      <c r="O59" s="67"/>
      <c r="P59" s="66"/>
      <c r="Q59" s="65"/>
      <c r="R59" s="68"/>
    </row>
    <row r="60" spans="1:18" ht="27" x14ac:dyDescent="0.4">
      <c r="A60" s="65"/>
      <c r="B60" s="66"/>
      <c r="C60" s="66"/>
      <c r="D60" s="67"/>
      <c r="E60" s="68"/>
      <c r="F60" s="68"/>
      <c r="G60" s="66"/>
      <c r="H60" s="67"/>
      <c r="I60" s="67"/>
      <c r="J60" s="67"/>
      <c r="K60" s="66"/>
      <c r="L60" s="68"/>
      <c r="M60" s="66"/>
      <c r="N60" s="69"/>
      <c r="O60" s="67"/>
      <c r="P60" s="66"/>
      <c r="Q60" s="65"/>
      <c r="R60" s="68"/>
    </row>
    <row r="61" spans="1:18" ht="27" x14ac:dyDescent="0.4">
      <c r="A61" s="65"/>
      <c r="B61" s="66"/>
      <c r="C61" s="66"/>
      <c r="D61" s="67"/>
      <c r="E61" s="68"/>
      <c r="F61" s="68"/>
      <c r="G61" s="66"/>
      <c r="H61" s="67"/>
      <c r="I61" s="67"/>
      <c r="J61" s="67"/>
      <c r="K61" s="66"/>
      <c r="L61" s="68"/>
      <c r="M61" s="66"/>
      <c r="N61" s="69"/>
      <c r="O61" s="67"/>
      <c r="P61" s="66"/>
      <c r="Q61" s="65"/>
      <c r="R61" s="68"/>
    </row>
    <row r="62" spans="1:18" ht="27" x14ac:dyDescent="0.4">
      <c r="A62" s="65"/>
      <c r="B62" s="66"/>
      <c r="C62" s="66"/>
      <c r="D62" s="67"/>
      <c r="E62" s="68"/>
      <c r="F62" s="68"/>
      <c r="G62" s="66"/>
      <c r="H62" s="67"/>
      <c r="I62" s="67"/>
      <c r="J62" s="67"/>
      <c r="K62" s="66"/>
      <c r="L62" s="68"/>
      <c r="M62" s="66"/>
      <c r="N62" s="69"/>
      <c r="O62" s="67"/>
      <c r="P62" s="66"/>
      <c r="Q62" s="65"/>
      <c r="R62" s="68"/>
    </row>
    <row r="63" spans="1:18" ht="27" x14ac:dyDescent="0.4">
      <c r="A63" s="65"/>
      <c r="B63" s="66"/>
      <c r="C63" s="66"/>
      <c r="D63" s="67"/>
      <c r="E63" s="68"/>
      <c r="F63" s="68"/>
      <c r="G63" s="66"/>
      <c r="H63" s="67"/>
      <c r="I63" s="67"/>
      <c r="J63" s="67"/>
      <c r="K63" s="66"/>
      <c r="L63" s="68"/>
      <c r="M63" s="66"/>
      <c r="N63" s="69"/>
      <c r="O63" s="67"/>
      <c r="P63" s="66"/>
      <c r="Q63" s="65"/>
      <c r="R63" s="68"/>
    </row>
    <row r="64" spans="1:18" ht="27" x14ac:dyDescent="0.4">
      <c r="A64" s="65"/>
      <c r="B64" s="66"/>
      <c r="C64" s="66"/>
      <c r="D64" s="67"/>
      <c r="E64" s="68"/>
      <c r="F64" s="68"/>
      <c r="G64" s="66"/>
      <c r="H64" s="67"/>
      <c r="I64" s="67"/>
      <c r="J64" s="67"/>
      <c r="K64" s="66"/>
      <c r="L64" s="68"/>
      <c r="M64" s="66"/>
      <c r="N64" s="69"/>
      <c r="O64" s="67"/>
      <c r="P64" s="66"/>
      <c r="Q64" s="65"/>
      <c r="R64" s="68"/>
    </row>
    <row r="65" spans="1:18" ht="27" x14ac:dyDescent="0.4">
      <c r="A65" s="65"/>
      <c r="B65" s="66"/>
      <c r="C65" s="66"/>
      <c r="D65" s="67"/>
      <c r="E65" s="68"/>
      <c r="F65" s="68"/>
      <c r="G65" s="66"/>
      <c r="H65" s="67"/>
      <c r="I65" s="67"/>
      <c r="J65" s="67"/>
      <c r="K65" s="66"/>
      <c r="L65" s="68"/>
      <c r="M65" s="66"/>
      <c r="N65" s="69"/>
      <c r="O65" s="67"/>
      <c r="P65" s="66"/>
      <c r="Q65" s="65"/>
      <c r="R65" s="68"/>
    </row>
    <row r="66" spans="1:18" ht="27" x14ac:dyDescent="0.4">
      <c r="A66" s="65"/>
      <c r="B66" s="66"/>
      <c r="C66" s="66"/>
      <c r="D66" s="67"/>
      <c r="E66" s="68"/>
      <c r="F66" s="68"/>
      <c r="G66" s="66"/>
      <c r="H66" s="67"/>
      <c r="I66" s="67"/>
      <c r="J66" s="67"/>
      <c r="K66" s="66"/>
      <c r="L66" s="68"/>
      <c r="M66" s="66"/>
      <c r="N66" s="69"/>
      <c r="O66" s="67"/>
      <c r="P66" s="66"/>
      <c r="Q66" s="65"/>
      <c r="R66" s="68"/>
    </row>
    <row r="67" spans="1:18" ht="27" x14ac:dyDescent="0.4">
      <c r="A67" s="65"/>
      <c r="B67" s="66"/>
      <c r="C67" s="66"/>
      <c r="D67" s="67"/>
      <c r="E67" s="68"/>
      <c r="F67" s="68"/>
      <c r="G67" s="66"/>
      <c r="H67" s="67"/>
      <c r="I67" s="67"/>
      <c r="J67" s="67"/>
      <c r="K67" s="66"/>
      <c r="L67" s="68"/>
      <c r="M67" s="66"/>
      <c r="N67" s="69"/>
      <c r="O67" s="67"/>
      <c r="P67" s="66"/>
      <c r="Q67" s="65"/>
      <c r="R67" s="68"/>
    </row>
    <row r="68" spans="1:18" ht="27" x14ac:dyDescent="0.4">
      <c r="A68" s="65"/>
      <c r="B68" s="66"/>
      <c r="C68" s="66"/>
      <c r="D68" s="67"/>
      <c r="E68" s="68"/>
      <c r="F68" s="68"/>
      <c r="G68" s="66"/>
      <c r="H68" s="67"/>
      <c r="I68" s="67"/>
      <c r="J68" s="67"/>
      <c r="K68" s="66"/>
      <c r="L68" s="68"/>
      <c r="M68" s="66"/>
      <c r="N68" s="69"/>
      <c r="O68" s="67"/>
      <c r="P68" s="66"/>
      <c r="Q68" s="65"/>
      <c r="R68" s="68"/>
    </row>
    <row r="69" spans="1:18" ht="27" x14ac:dyDescent="0.4">
      <c r="A69" s="65"/>
      <c r="B69" s="66"/>
      <c r="C69" s="66"/>
      <c r="D69" s="67"/>
      <c r="E69" s="68"/>
      <c r="F69" s="68"/>
      <c r="G69" s="66"/>
      <c r="H69" s="67"/>
      <c r="I69" s="67"/>
      <c r="J69" s="67"/>
      <c r="K69" s="66"/>
      <c r="L69" s="68"/>
      <c r="M69" s="66"/>
      <c r="N69" s="69"/>
      <c r="O69" s="67"/>
      <c r="P69" s="66"/>
      <c r="Q69" s="65"/>
      <c r="R69" s="68"/>
    </row>
    <row r="70" spans="1:18" ht="27" x14ac:dyDescent="0.4">
      <c r="A70" s="65"/>
      <c r="B70" s="66"/>
      <c r="C70" s="66"/>
      <c r="D70" s="67"/>
      <c r="E70" s="68"/>
      <c r="F70" s="68"/>
      <c r="G70" s="66"/>
      <c r="H70" s="67"/>
      <c r="I70" s="67"/>
      <c r="J70" s="67"/>
      <c r="K70" s="66"/>
      <c r="L70" s="68"/>
      <c r="M70" s="66"/>
      <c r="N70" s="69"/>
      <c r="O70" s="67"/>
      <c r="P70" s="66"/>
      <c r="Q70" s="65"/>
      <c r="R70" s="68"/>
    </row>
    <row r="71" spans="1:18" ht="27" x14ac:dyDescent="0.4">
      <c r="A71" s="65"/>
      <c r="B71" s="66"/>
      <c r="C71" s="66"/>
      <c r="D71" s="67"/>
      <c r="E71" s="68"/>
      <c r="F71" s="68"/>
      <c r="G71" s="66"/>
      <c r="H71" s="67"/>
      <c r="I71" s="67"/>
      <c r="J71" s="67"/>
      <c r="K71" s="66"/>
      <c r="L71" s="68"/>
      <c r="M71" s="66"/>
      <c r="N71" s="69"/>
      <c r="O71" s="67"/>
      <c r="P71" s="66"/>
      <c r="Q71" s="65"/>
      <c r="R71" s="68"/>
    </row>
    <row r="72" spans="1:18" ht="27" x14ac:dyDescent="0.4">
      <c r="A72" s="65"/>
      <c r="B72" s="66"/>
      <c r="C72" s="66"/>
      <c r="D72" s="67"/>
      <c r="E72" s="68"/>
      <c r="F72" s="68"/>
      <c r="G72" s="66"/>
      <c r="H72" s="67"/>
      <c r="I72" s="67"/>
      <c r="J72" s="67"/>
      <c r="K72" s="66"/>
      <c r="L72" s="68"/>
      <c r="M72" s="66"/>
      <c r="N72" s="69"/>
      <c r="O72" s="67"/>
      <c r="P72" s="66"/>
      <c r="Q72" s="65"/>
      <c r="R72" s="68"/>
    </row>
    <row r="73" spans="1:18" ht="27" x14ac:dyDescent="0.4">
      <c r="A73" s="65"/>
      <c r="B73" s="66"/>
      <c r="C73" s="66"/>
      <c r="D73" s="67"/>
      <c r="E73" s="68"/>
      <c r="F73" s="68"/>
      <c r="G73" s="66"/>
      <c r="H73" s="67"/>
      <c r="I73" s="67"/>
      <c r="J73" s="67"/>
      <c r="K73" s="66"/>
      <c r="L73" s="68"/>
      <c r="M73" s="66"/>
      <c r="N73" s="69"/>
      <c r="O73" s="67"/>
      <c r="P73" s="66"/>
      <c r="Q73" s="65"/>
      <c r="R73" s="68"/>
    </row>
    <row r="74" spans="1:18" ht="27" x14ac:dyDescent="0.4">
      <c r="A74" s="65"/>
      <c r="B74" s="66"/>
      <c r="C74" s="66"/>
      <c r="D74" s="67"/>
      <c r="E74" s="68"/>
      <c r="F74" s="68"/>
      <c r="G74" s="66"/>
      <c r="H74" s="67"/>
      <c r="I74" s="67"/>
      <c r="J74" s="67"/>
      <c r="K74" s="66"/>
      <c r="L74" s="68"/>
      <c r="M74" s="66"/>
      <c r="N74" s="69"/>
      <c r="O74" s="67"/>
      <c r="P74" s="66"/>
      <c r="Q74" s="65"/>
      <c r="R74" s="68"/>
    </row>
    <row r="75" spans="1:18" ht="27" x14ac:dyDescent="0.4">
      <c r="A75" s="65"/>
      <c r="B75" s="66"/>
      <c r="C75" s="66"/>
      <c r="D75" s="67"/>
      <c r="E75" s="68"/>
      <c r="F75" s="68"/>
      <c r="G75" s="66"/>
      <c r="H75" s="67"/>
      <c r="I75" s="67"/>
      <c r="J75" s="67"/>
      <c r="K75" s="66"/>
      <c r="L75" s="68"/>
      <c r="M75" s="66"/>
      <c r="N75" s="69"/>
      <c r="O75" s="67"/>
      <c r="P75" s="66"/>
      <c r="Q75" s="65"/>
      <c r="R75" s="68"/>
    </row>
    <row r="76" spans="1:18" ht="27" x14ac:dyDescent="0.4">
      <c r="A76" s="65"/>
      <c r="B76" s="66"/>
      <c r="C76" s="66"/>
      <c r="D76" s="67"/>
      <c r="E76" s="68"/>
      <c r="F76" s="68"/>
      <c r="G76" s="66"/>
      <c r="H76" s="67"/>
      <c r="I76" s="67"/>
      <c r="J76" s="67"/>
      <c r="K76" s="66"/>
      <c r="L76" s="68"/>
      <c r="M76" s="66"/>
      <c r="N76" s="69"/>
      <c r="O76" s="67"/>
      <c r="P76" s="66"/>
      <c r="Q76" s="65"/>
      <c r="R76" s="68"/>
    </row>
    <row r="77" spans="1:18" ht="27" x14ac:dyDescent="0.4">
      <c r="A77" s="65"/>
      <c r="B77" s="66"/>
      <c r="C77" s="66"/>
      <c r="D77" s="67"/>
      <c r="E77" s="68"/>
      <c r="F77" s="68"/>
      <c r="G77" s="66"/>
      <c r="H77" s="67"/>
      <c r="I77" s="67"/>
      <c r="J77" s="67"/>
      <c r="K77" s="66"/>
      <c r="L77" s="68"/>
      <c r="M77" s="66"/>
      <c r="N77" s="69"/>
      <c r="O77" s="67"/>
      <c r="P77" s="66"/>
      <c r="Q77" s="65"/>
      <c r="R77" s="68"/>
    </row>
    <row r="78" spans="1:18" ht="27" x14ac:dyDescent="0.4">
      <c r="A78" s="65"/>
      <c r="B78" s="66"/>
      <c r="C78" s="66"/>
      <c r="D78" s="67"/>
      <c r="E78" s="68"/>
      <c r="F78" s="68"/>
      <c r="G78" s="66"/>
      <c r="H78" s="67"/>
      <c r="I78" s="67"/>
      <c r="J78" s="67"/>
      <c r="K78" s="66"/>
      <c r="L78" s="68"/>
      <c r="M78" s="66"/>
      <c r="N78" s="69"/>
      <c r="O78" s="67"/>
      <c r="P78" s="66"/>
      <c r="Q78" s="65"/>
      <c r="R78" s="68"/>
    </row>
    <row r="79" spans="1:18" ht="27" x14ac:dyDescent="0.4">
      <c r="A79" s="65"/>
      <c r="B79" s="66"/>
      <c r="C79" s="66"/>
      <c r="D79" s="67"/>
      <c r="E79" s="68"/>
      <c r="F79" s="68"/>
      <c r="G79" s="66"/>
      <c r="H79" s="67"/>
      <c r="I79" s="67"/>
      <c r="J79" s="67"/>
      <c r="K79" s="66"/>
      <c r="L79" s="68"/>
      <c r="M79" s="66"/>
      <c r="N79" s="69"/>
      <c r="O79" s="67"/>
      <c r="P79" s="66"/>
      <c r="Q79" s="65"/>
      <c r="R79" s="68"/>
    </row>
    <row r="80" spans="1:18" ht="27" x14ac:dyDescent="0.4">
      <c r="A80" s="65"/>
      <c r="B80" s="66"/>
      <c r="C80" s="66"/>
      <c r="D80" s="67"/>
      <c r="E80" s="68"/>
      <c r="F80" s="68"/>
      <c r="G80" s="66"/>
      <c r="H80" s="67"/>
      <c r="I80" s="67"/>
      <c r="J80" s="67"/>
      <c r="K80" s="66"/>
      <c r="L80" s="68"/>
      <c r="M80" s="66"/>
      <c r="N80" s="69"/>
      <c r="O80" s="67"/>
      <c r="P80" s="66"/>
      <c r="Q80" s="65"/>
      <c r="R80" s="65"/>
    </row>
    <row r="81" spans="1:18" ht="27" x14ac:dyDescent="0.4">
      <c r="A81" s="65"/>
      <c r="B81" s="66"/>
      <c r="C81" s="66"/>
      <c r="D81" s="67"/>
      <c r="E81" s="68"/>
      <c r="F81" s="68"/>
      <c r="G81" s="66"/>
      <c r="H81" s="67"/>
      <c r="I81" s="67"/>
      <c r="J81" s="67"/>
      <c r="K81" s="66"/>
      <c r="L81" s="68"/>
      <c r="M81" s="66"/>
      <c r="N81" s="69"/>
      <c r="O81" s="67"/>
      <c r="P81" s="66"/>
      <c r="Q81" s="65"/>
      <c r="R81" s="65"/>
    </row>
    <row r="82" spans="1:18" ht="27" x14ac:dyDescent="0.4">
      <c r="A82" s="65"/>
      <c r="B82" s="66"/>
      <c r="C82" s="66"/>
      <c r="D82" s="67"/>
      <c r="E82" s="68"/>
      <c r="F82" s="68"/>
      <c r="G82" s="66"/>
      <c r="H82" s="67"/>
      <c r="I82" s="67"/>
      <c r="J82" s="67"/>
      <c r="K82" s="66"/>
      <c r="L82" s="68"/>
      <c r="M82" s="66"/>
      <c r="N82" s="69"/>
      <c r="O82" s="67"/>
      <c r="P82" s="66"/>
      <c r="Q82" s="65"/>
      <c r="R82" s="65"/>
    </row>
    <row r="83" spans="1:18" ht="27" x14ac:dyDescent="0.4">
      <c r="A83" s="65"/>
      <c r="B83" s="66"/>
      <c r="C83" s="66"/>
      <c r="D83" s="67"/>
      <c r="E83" s="68"/>
      <c r="F83" s="68"/>
      <c r="G83" s="66"/>
      <c r="H83" s="67"/>
      <c r="I83" s="67"/>
      <c r="J83" s="67"/>
      <c r="K83" s="66"/>
      <c r="L83" s="68"/>
      <c r="M83" s="66"/>
      <c r="N83" s="69"/>
      <c r="O83" s="67"/>
      <c r="P83" s="66"/>
      <c r="Q83" s="65"/>
      <c r="R83" s="65"/>
    </row>
    <row r="84" spans="1:18" ht="27" x14ac:dyDescent="0.4">
      <c r="A84" s="65"/>
      <c r="B84" s="66"/>
      <c r="C84" s="66"/>
      <c r="D84" s="67"/>
      <c r="E84" s="68"/>
      <c r="F84" s="68"/>
      <c r="G84" s="66"/>
      <c r="H84" s="67"/>
      <c r="I84" s="67"/>
      <c r="J84" s="67"/>
      <c r="K84" s="66"/>
      <c r="L84" s="68"/>
      <c r="M84" s="66"/>
      <c r="N84" s="69"/>
      <c r="O84" s="67"/>
      <c r="P84" s="66"/>
      <c r="Q84" s="65"/>
      <c r="R84" s="70"/>
    </row>
    <row r="85" spans="1:18" ht="27" x14ac:dyDescent="0.4">
      <c r="A85" s="65"/>
      <c r="B85" s="66"/>
      <c r="C85" s="66"/>
      <c r="D85" s="67"/>
      <c r="E85" s="68"/>
      <c r="F85" s="68"/>
      <c r="G85" s="66"/>
      <c r="H85" s="67"/>
      <c r="I85" s="67"/>
      <c r="J85" s="67"/>
      <c r="K85" s="66"/>
      <c r="L85" s="68"/>
      <c r="M85" s="66"/>
      <c r="N85" s="69"/>
      <c r="O85" s="67"/>
      <c r="P85" s="66"/>
      <c r="Q85" s="65"/>
      <c r="R85" s="70"/>
    </row>
    <row r="86" spans="1:18" ht="27" x14ac:dyDescent="0.4">
      <c r="A86" s="65"/>
      <c r="B86" s="66"/>
      <c r="C86" s="66"/>
      <c r="D86" s="67"/>
      <c r="E86" s="68"/>
      <c r="F86" s="68"/>
      <c r="G86" s="66"/>
      <c r="H86" s="67"/>
      <c r="I86" s="67"/>
      <c r="J86" s="67"/>
      <c r="K86" s="66"/>
      <c r="L86" s="68"/>
      <c r="M86" s="66"/>
      <c r="N86" s="69"/>
      <c r="O86" s="67"/>
      <c r="P86" s="66"/>
      <c r="Q86" s="65"/>
      <c r="R86" s="70"/>
    </row>
    <row r="87" spans="1:18" ht="27" x14ac:dyDescent="0.4">
      <c r="A87" s="65"/>
      <c r="B87" s="66"/>
      <c r="C87" s="66"/>
      <c r="D87" s="67"/>
      <c r="E87" s="68"/>
      <c r="F87" s="68"/>
      <c r="G87" s="66"/>
      <c r="H87" s="67"/>
      <c r="I87" s="67"/>
      <c r="J87" s="67"/>
      <c r="K87" s="66"/>
      <c r="L87" s="68"/>
      <c r="M87" s="66"/>
      <c r="N87" s="69"/>
      <c r="O87" s="67"/>
      <c r="P87" s="66"/>
      <c r="Q87" s="65"/>
      <c r="R87" s="70"/>
    </row>
    <row r="88" spans="1:18" ht="27" x14ac:dyDescent="0.4">
      <c r="A88" s="65"/>
      <c r="B88" s="66"/>
      <c r="C88" s="66"/>
      <c r="D88" s="67"/>
      <c r="E88" s="68"/>
      <c r="F88" s="68"/>
      <c r="G88" s="66"/>
      <c r="H88" s="67"/>
      <c r="I88" s="67"/>
      <c r="J88" s="67"/>
      <c r="K88" s="66"/>
      <c r="L88" s="68"/>
      <c r="M88" s="66"/>
      <c r="N88" s="69"/>
      <c r="O88" s="67"/>
      <c r="P88" s="66"/>
      <c r="Q88" s="65"/>
      <c r="R88" s="70"/>
    </row>
    <row r="89" spans="1:18" ht="27" x14ac:dyDescent="0.4">
      <c r="A89" s="65"/>
      <c r="B89" s="66"/>
      <c r="C89" s="66"/>
      <c r="D89" s="67"/>
      <c r="E89" s="68"/>
      <c r="F89" s="68"/>
      <c r="G89" s="66"/>
      <c r="H89" s="67"/>
      <c r="I89" s="67"/>
      <c r="J89" s="67"/>
      <c r="K89" s="66"/>
      <c r="L89" s="68"/>
      <c r="M89" s="66"/>
      <c r="N89" s="69"/>
      <c r="O89" s="67"/>
      <c r="P89" s="66"/>
      <c r="Q89" s="65"/>
      <c r="R89" s="70"/>
    </row>
    <row r="90" spans="1:18" ht="27" x14ac:dyDescent="0.4">
      <c r="A90" s="65"/>
      <c r="B90" s="66"/>
      <c r="C90" s="66"/>
      <c r="D90" s="67"/>
      <c r="E90" s="68"/>
      <c r="F90" s="68"/>
      <c r="G90" s="66"/>
      <c r="H90" s="67"/>
      <c r="I90" s="67"/>
      <c r="J90" s="67"/>
      <c r="K90" s="66"/>
      <c r="L90" s="68"/>
      <c r="M90" s="66"/>
      <c r="N90" s="69"/>
      <c r="O90" s="67"/>
      <c r="P90" s="66"/>
      <c r="Q90" s="65"/>
      <c r="R90" s="70"/>
    </row>
    <row r="91" spans="1:18" ht="27" x14ac:dyDescent="0.4">
      <c r="A91" s="65"/>
      <c r="B91" s="66"/>
      <c r="C91" s="66"/>
      <c r="D91" s="67"/>
      <c r="E91" s="68"/>
      <c r="F91" s="68"/>
      <c r="G91" s="66"/>
      <c r="H91" s="67"/>
      <c r="I91" s="67"/>
      <c r="J91" s="67"/>
      <c r="K91" s="66"/>
      <c r="L91" s="68"/>
      <c r="M91" s="66"/>
      <c r="N91" s="69"/>
      <c r="O91" s="67"/>
      <c r="P91" s="66"/>
      <c r="Q91" s="65"/>
      <c r="R91" s="70"/>
    </row>
    <row r="92" spans="1:18" ht="27" x14ac:dyDescent="0.4">
      <c r="A92" s="65"/>
      <c r="B92" s="66"/>
      <c r="C92" s="66"/>
      <c r="D92" s="67"/>
      <c r="E92" s="68"/>
      <c r="F92" s="68"/>
      <c r="G92" s="66"/>
      <c r="H92" s="67"/>
      <c r="I92" s="67"/>
      <c r="J92" s="67"/>
      <c r="K92" s="66"/>
      <c r="L92" s="68"/>
      <c r="M92" s="66"/>
      <c r="N92" s="69"/>
      <c r="O92" s="67"/>
      <c r="P92" s="66"/>
      <c r="Q92" s="65"/>
      <c r="R92" s="70"/>
    </row>
    <row r="93" spans="1:18" ht="27" x14ac:dyDescent="0.4">
      <c r="A93" s="65"/>
      <c r="B93" s="66"/>
      <c r="C93" s="66"/>
      <c r="D93" s="67"/>
      <c r="E93" s="68"/>
      <c r="F93" s="68"/>
      <c r="G93" s="66"/>
      <c r="H93" s="67"/>
      <c r="I93" s="67"/>
      <c r="J93" s="67"/>
      <c r="K93" s="66"/>
      <c r="L93" s="68"/>
      <c r="M93" s="66"/>
      <c r="N93" s="69"/>
      <c r="O93" s="67"/>
      <c r="P93" s="66"/>
      <c r="Q93" s="65"/>
      <c r="R93" s="70"/>
    </row>
    <row r="94" spans="1:18" ht="27" x14ac:dyDescent="0.4">
      <c r="A94" s="65"/>
      <c r="B94" s="66"/>
      <c r="C94" s="66"/>
      <c r="D94" s="67"/>
      <c r="E94" s="68"/>
      <c r="F94" s="68"/>
      <c r="G94" s="66"/>
      <c r="H94" s="67"/>
      <c r="I94" s="67"/>
      <c r="J94" s="67"/>
      <c r="K94" s="66"/>
      <c r="L94" s="68"/>
      <c r="M94" s="66"/>
      <c r="N94" s="69"/>
      <c r="O94" s="67"/>
      <c r="P94" s="66"/>
      <c r="Q94" s="65"/>
      <c r="R94" s="70"/>
    </row>
    <row r="95" spans="1:18" ht="27" x14ac:dyDescent="0.4">
      <c r="A95" s="65"/>
      <c r="B95" s="66"/>
      <c r="C95" s="66"/>
      <c r="D95" s="67"/>
      <c r="E95" s="68"/>
      <c r="F95" s="68"/>
      <c r="G95" s="66"/>
      <c r="H95" s="67"/>
      <c r="I95" s="67"/>
      <c r="J95" s="67"/>
      <c r="K95" s="66"/>
      <c r="L95" s="68"/>
      <c r="M95" s="66"/>
      <c r="N95" s="69"/>
      <c r="O95" s="67"/>
      <c r="P95" s="66"/>
      <c r="Q95" s="65"/>
      <c r="R95" s="70"/>
    </row>
    <row r="96" spans="1:18" ht="27" x14ac:dyDescent="0.4">
      <c r="A96" s="65"/>
      <c r="B96" s="66"/>
      <c r="C96" s="66"/>
      <c r="D96" s="67"/>
      <c r="E96" s="68"/>
      <c r="F96" s="68"/>
      <c r="G96" s="66"/>
      <c r="H96" s="67"/>
      <c r="I96" s="67"/>
      <c r="J96" s="67"/>
      <c r="K96" s="66"/>
      <c r="L96" s="68"/>
      <c r="M96" s="66"/>
      <c r="N96" s="69"/>
      <c r="O96" s="67"/>
      <c r="P96" s="66"/>
      <c r="Q96" s="65"/>
      <c r="R96" s="70"/>
    </row>
    <row r="97" spans="1:18" ht="27" x14ac:dyDescent="0.4">
      <c r="A97" s="65"/>
      <c r="B97" s="66"/>
      <c r="C97" s="66"/>
      <c r="D97" s="67"/>
      <c r="E97" s="68"/>
      <c r="F97" s="68"/>
      <c r="G97" s="66"/>
      <c r="H97" s="67"/>
      <c r="I97" s="67"/>
      <c r="J97" s="67"/>
      <c r="K97" s="66"/>
      <c r="L97" s="68"/>
      <c r="M97" s="66"/>
      <c r="N97" s="69"/>
      <c r="O97" s="67"/>
      <c r="P97" s="66"/>
      <c r="Q97" s="65"/>
      <c r="R97" s="70"/>
    </row>
    <row r="98" spans="1:18" ht="27" x14ac:dyDescent="0.4">
      <c r="A98" s="65"/>
      <c r="B98" s="66"/>
      <c r="C98" s="66"/>
      <c r="D98" s="67"/>
      <c r="E98" s="68"/>
      <c r="F98" s="68"/>
      <c r="G98" s="66"/>
      <c r="H98" s="67"/>
      <c r="I98" s="67"/>
      <c r="J98" s="67"/>
      <c r="K98" s="66"/>
      <c r="L98" s="68"/>
      <c r="M98" s="66"/>
      <c r="N98" s="69"/>
      <c r="O98" s="67"/>
      <c r="P98" s="66"/>
      <c r="Q98" s="65"/>
      <c r="R98" s="70"/>
    </row>
    <row r="99" spans="1:18" ht="27" x14ac:dyDescent="0.4">
      <c r="A99" s="65"/>
      <c r="B99" s="66"/>
      <c r="C99" s="66"/>
      <c r="D99" s="67"/>
      <c r="E99" s="68"/>
      <c r="F99" s="68"/>
      <c r="G99" s="66"/>
      <c r="H99" s="67"/>
      <c r="I99" s="67"/>
      <c r="J99" s="67"/>
      <c r="K99" s="66"/>
      <c r="L99" s="68"/>
      <c r="M99" s="66"/>
      <c r="N99" s="69"/>
      <c r="O99" s="67"/>
      <c r="P99" s="66"/>
      <c r="Q99" s="65"/>
      <c r="R99" s="70"/>
    </row>
    <row r="100" spans="1:18" ht="27" x14ac:dyDescent="0.4">
      <c r="A100" s="65"/>
      <c r="B100" s="66"/>
      <c r="C100" s="66"/>
      <c r="D100" s="67"/>
      <c r="E100" s="68"/>
      <c r="F100" s="68"/>
      <c r="G100" s="66"/>
      <c r="H100" s="67"/>
      <c r="I100" s="67"/>
      <c r="J100" s="67"/>
      <c r="K100" s="66"/>
      <c r="L100" s="68"/>
      <c r="M100" s="66"/>
      <c r="N100" s="69"/>
      <c r="O100" s="67"/>
      <c r="P100" s="66"/>
      <c r="Q100" s="65"/>
      <c r="R100" s="70"/>
    </row>
    <row r="101" spans="1:18" ht="27" x14ac:dyDescent="0.4">
      <c r="A101" s="65"/>
      <c r="B101" s="66"/>
      <c r="C101" s="66"/>
      <c r="D101" s="67"/>
      <c r="E101" s="68"/>
      <c r="F101" s="68"/>
      <c r="G101" s="66"/>
      <c r="H101" s="67"/>
      <c r="I101" s="67"/>
      <c r="J101" s="67"/>
      <c r="K101" s="66"/>
      <c r="L101" s="68"/>
      <c r="M101" s="66"/>
      <c r="N101" s="69"/>
      <c r="O101" s="67"/>
      <c r="P101" s="66"/>
      <c r="Q101" s="65"/>
      <c r="R101" s="70"/>
    </row>
    <row r="102" spans="1:18" ht="27" x14ac:dyDescent="0.4">
      <c r="A102" s="65"/>
      <c r="B102" s="66"/>
      <c r="C102" s="66"/>
      <c r="D102" s="67"/>
      <c r="E102" s="68"/>
      <c r="F102" s="68"/>
      <c r="G102" s="66"/>
      <c r="H102" s="67"/>
      <c r="I102" s="67"/>
      <c r="J102" s="67"/>
      <c r="K102" s="66"/>
      <c r="L102" s="68"/>
      <c r="M102" s="66"/>
      <c r="N102" s="69"/>
      <c r="O102" s="67"/>
      <c r="P102" s="66"/>
      <c r="Q102" s="65"/>
      <c r="R102" s="70"/>
    </row>
    <row r="103" spans="1:18" ht="27" x14ac:dyDescent="0.4">
      <c r="A103" s="65"/>
      <c r="B103" s="66"/>
      <c r="C103" s="66"/>
      <c r="D103" s="67"/>
      <c r="E103" s="68"/>
      <c r="F103" s="68"/>
      <c r="G103" s="66"/>
      <c r="H103" s="67"/>
      <c r="I103" s="67"/>
      <c r="J103" s="67"/>
      <c r="K103" s="66"/>
      <c r="L103" s="68"/>
      <c r="M103" s="66"/>
      <c r="N103" s="69"/>
      <c r="O103" s="67"/>
      <c r="P103" s="66"/>
      <c r="Q103" s="65"/>
      <c r="R103" s="70"/>
    </row>
    <row r="104" spans="1:18" ht="27" x14ac:dyDescent="0.4">
      <c r="A104" s="65"/>
      <c r="B104" s="66"/>
      <c r="C104" s="66"/>
      <c r="D104" s="67"/>
      <c r="E104" s="68"/>
      <c r="F104" s="68"/>
      <c r="G104" s="66"/>
      <c r="H104" s="67"/>
      <c r="I104" s="67"/>
      <c r="J104" s="67"/>
      <c r="K104" s="66"/>
      <c r="L104" s="68"/>
      <c r="M104" s="66"/>
      <c r="N104" s="69"/>
      <c r="O104" s="67"/>
      <c r="P104" s="66"/>
      <c r="Q104" s="65"/>
      <c r="R104" s="70"/>
    </row>
    <row r="105" spans="1:18" ht="27" x14ac:dyDescent="0.4">
      <c r="A105" s="65"/>
      <c r="B105" s="66"/>
      <c r="C105" s="66"/>
      <c r="D105" s="67"/>
      <c r="E105" s="68"/>
      <c r="F105" s="68"/>
      <c r="G105" s="66"/>
      <c r="H105" s="67"/>
      <c r="I105" s="67"/>
      <c r="J105" s="67"/>
      <c r="K105" s="66"/>
      <c r="L105" s="68"/>
      <c r="M105" s="66"/>
      <c r="N105" s="69"/>
      <c r="O105" s="67"/>
      <c r="P105" s="66"/>
      <c r="Q105" s="65"/>
      <c r="R105" s="70"/>
    </row>
    <row r="106" spans="1:18" ht="27" x14ac:dyDescent="0.4">
      <c r="A106" s="65"/>
      <c r="B106" s="66"/>
      <c r="C106" s="66"/>
      <c r="D106" s="67"/>
      <c r="E106" s="68"/>
      <c r="F106" s="68"/>
      <c r="G106" s="66"/>
      <c r="H106" s="67"/>
      <c r="I106" s="67"/>
      <c r="J106" s="67"/>
      <c r="K106" s="66"/>
      <c r="L106" s="68"/>
      <c r="M106" s="66"/>
      <c r="N106" s="69"/>
      <c r="O106" s="67"/>
      <c r="P106" s="66"/>
      <c r="Q106" s="65"/>
      <c r="R106" s="70"/>
    </row>
    <row r="107" spans="1:18" ht="27" x14ac:dyDescent="0.4">
      <c r="A107" s="65"/>
      <c r="B107" s="66"/>
      <c r="C107" s="66"/>
      <c r="D107" s="67"/>
      <c r="E107" s="68"/>
      <c r="F107" s="68"/>
      <c r="G107" s="66"/>
      <c r="H107" s="67"/>
      <c r="I107" s="67"/>
      <c r="J107" s="67"/>
      <c r="K107" s="66"/>
      <c r="L107" s="68"/>
      <c r="M107" s="66"/>
      <c r="N107" s="69"/>
      <c r="O107" s="67"/>
      <c r="P107" s="66"/>
      <c r="Q107" s="65"/>
      <c r="R107" s="70"/>
    </row>
    <row r="108" spans="1:18" ht="27" x14ac:dyDescent="0.4">
      <c r="A108" s="65"/>
      <c r="B108" s="66"/>
      <c r="C108" s="66"/>
      <c r="D108" s="67"/>
      <c r="E108" s="68"/>
      <c r="F108" s="68"/>
      <c r="G108" s="66"/>
      <c r="H108" s="67"/>
      <c r="I108" s="67"/>
      <c r="J108" s="67"/>
      <c r="K108" s="66"/>
      <c r="L108" s="68"/>
      <c r="M108" s="66"/>
      <c r="N108" s="69"/>
      <c r="O108" s="67"/>
      <c r="P108" s="66"/>
      <c r="Q108" s="65"/>
      <c r="R108" s="70"/>
    </row>
    <row r="109" spans="1:18" ht="27" x14ac:dyDescent="0.4">
      <c r="A109" s="65"/>
      <c r="B109" s="66"/>
      <c r="C109" s="66"/>
      <c r="D109" s="67"/>
      <c r="E109" s="68"/>
      <c r="F109" s="68"/>
      <c r="G109" s="66"/>
      <c r="H109" s="67"/>
      <c r="I109" s="67"/>
      <c r="J109" s="67"/>
      <c r="K109" s="66"/>
      <c r="L109" s="68"/>
      <c r="M109" s="66"/>
      <c r="N109" s="69"/>
      <c r="O109" s="67"/>
      <c r="P109" s="66"/>
      <c r="Q109" s="65"/>
      <c r="R109" s="70"/>
    </row>
    <row r="110" spans="1:18" ht="27" x14ac:dyDescent="0.4">
      <c r="A110" s="65"/>
      <c r="B110" s="66"/>
      <c r="C110" s="66"/>
      <c r="D110" s="67"/>
      <c r="E110" s="68"/>
      <c r="F110" s="68"/>
      <c r="G110" s="66"/>
      <c r="H110" s="67"/>
      <c r="I110" s="67"/>
      <c r="J110" s="67"/>
      <c r="K110" s="66"/>
      <c r="L110" s="68"/>
      <c r="M110" s="66"/>
      <c r="N110" s="69"/>
      <c r="O110" s="67"/>
      <c r="P110" s="66"/>
      <c r="Q110" s="65"/>
      <c r="R110" s="70"/>
    </row>
    <row r="111" spans="1:18" ht="27" x14ac:dyDescent="0.4">
      <c r="A111" s="65"/>
      <c r="B111" s="66"/>
      <c r="C111" s="66"/>
      <c r="D111" s="67"/>
      <c r="E111" s="68"/>
      <c r="F111" s="68"/>
      <c r="G111" s="66"/>
      <c r="H111" s="67"/>
      <c r="I111" s="67"/>
      <c r="J111" s="67"/>
      <c r="K111" s="66"/>
      <c r="L111" s="68"/>
      <c r="M111" s="66"/>
      <c r="N111" s="69"/>
      <c r="O111" s="67"/>
      <c r="P111" s="66"/>
      <c r="Q111" s="65"/>
      <c r="R111" s="70"/>
    </row>
    <row r="112" spans="1:18" ht="27" x14ac:dyDescent="0.4">
      <c r="A112" s="65"/>
      <c r="B112" s="66"/>
      <c r="C112" s="66"/>
      <c r="D112" s="67"/>
      <c r="E112" s="68"/>
      <c r="F112" s="68"/>
      <c r="G112" s="66"/>
      <c r="H112" s="67"/>
      <c r="I112" s="67"/>
      <c r="J112" s="67"/>
      <c r="K112" s="66"/>
      <c r="L112" s="68"/>
      <c r="M112" s="66"/>
      <c r="N112" s="69"/>
      <c r="O112" s="67"/>
      <c r="P112" s="66"/>
      <c r="Q112" s="65"/>
      <c r="R112" s="70"/>
    </row>
    <row r="113" spans="1:18" ht="27" x14ac:dyDescent="0.4">
      <c r="A113" s="65"/>
      <c r="B113" s="66"/>
      <c r="C113" s="66"/>
      <c r="D113" s="67"/>
      <c r="E113" s="68"/>
      <c r="F113" s="68"/>
      <c r="G113" s="66"/>
      <c r="H113" s="67"/>
      <c r="I113" s="67"/>
      <c r="J113" s="67"/>
      <c r="K113" s="66"/>
      <c r="L113" s="68"/>
      <c r="M113" s="66"/>
      <c r="N113" s="69"/>
      <c r="O113" s="67"/>
      <c r="P113" s="66"/>
      <c r="Q113" s="65"/>
      <c r="R113" s="70"/>
    </row>
    <row r="114" spans="1:18" ht="27" x14ac:dyDescent="0.4">
      <c r="A114" s="65"/>
      <c r="B114" s="66"/>
      <c r="C114" s="66"/>
      <c r="D114" s="67"/>
      <c r="E114" s="68"/>
      <c r="F114" s="68"/>
      <c r="G114" s="66"/>
      <c r="H114" s="67"/>
      <c r="I114" s="67"/>
      <c r="J114" s="67"/>
      <c r="K114" s="66"/>
      <c r="L114" s="68"/>
      <c r="M114" s="66"/>
      <c r="N114" s="69"/>
      <c r="O114" s="67"/>
      <c r="P114" s="66"/>
      <c r="Q114" s="65"/>
      <c r="R114" s="70"/>
    </row>
    <row r="115" spans="1:18" ht="27" x14ac:dyDescent="0.4">
      <c r="A115" s="65"/>
      <c r="B115" s="66"/>
      <c r="C115" s="66"/>
      <c r="D115" s="67"/>
      <c r="E115" s="68"/>
      <c r="F115" s="68"/>
      <c r="G115" s="66"/>
      <c r="H115" s="67"/>
      <c r="I115" s="67"/>
      <c r="J115" s="67"/>
      <c r="K115" s="66"/>
      <c r="L115" s="68"/>
      <c r="M115" s="66"/>
      <c r="N115" s="69"/>
      <c r="O115" s="67"/>
      <c r="P115" s="66"/>
      <c r="Q115" s="65"/>
      <c r="R115" s="70"/>
    </row>
    <row r="116" spans="1:18" ht="27" x14ac:dyDescent="0.4">
      <c r="A116" s="65"/>
      <c r="B116" s="66"/>
      <c r="C116" s="66"/>
      <c r="D116" s="67"/>
      <c r="E116" s="68"/>
      <c r="F116" s="68"/>
      <c r="G116" s="66"/>
      <c r="H116" s="67"/>
      <c r="I116" s="67"/>
      <c r="J116" s="67"/>
      <c r="K116" s="66"/>
      <c r="L116" s="68"/>
      <c r="M116" s="66"/>
      <c r="N116" s="69"/>
      <c r="O116" s="67"/>
      <c r="P116" s="66"/>
      <c r="Q116" s="65"/>
      <c r="R116" s="70"/>
    </row>
    <row r="117" spans="1:18" ht="27" x14ac:dyDescent="0.4">
      <c r="A117" s="65"/>
      <c r="B117" s="66"/>
      <c r="C117" s="66"/>
      <c r="D117" s="67"/>
      <c r="E117" s="68"/>
      <c r="F117" s="68"/>
      <c r="G117" s="66"/>
      <c r="H117" s="67"/>
      <c r="I117" s="67"/>
      <c r="J117" s="67"/>
      <c r="K117" s="66"/>
      <c r="L117" s="68"/>
      <c r="M117" s="66"/>
      <c r="N117" s="69"/>
      <c r="O117" s="67"/>
      <c r="P117" s="66"/>
      <c r="Q117" s="65"/>
      <c r="R117" s="70"/>
    </row>
    <row r="118" spans="1:18" ht="27" x14ac:dyDescent="0.4">
      <c r="A118" s="65"/>
      <c r="B118" s="66"/>
      <c r="C118" s="66"/>
      <c r="D118" s="67"/>
      <c r="E118" s="68"/>
      <c r="F118" s="68"/>
      <c r="G118" s="66"/>
      <c r="H118" s="67"/>
      <c r="I118" s="67"/>
      <c r="J118" s="67"/>
      <c r="K118" s="66"/>
      <c r="L118" s="68"/>
      <c r="M118" s="66"/>
      <c r="N118" s="69"/>
      <c r="O118" s="67"/>
      <c r="P118" s="66"/>
      <c r="Q118" s="65"/>
      <c r="R118" s="70"/>
    </row>
    <row r="119" spans="1:18" ht="27" x14ac:dyDescent="0.4">
      <c r="A119" s="65"/>
      <c r="B119" s="66"/>
      <c r="C119" s="66"/>
      <c r="D119" s="67"/>
      <c r="E119" s="68"/>
      <c r="F119" s="68"/>
      <c r="G119" s="66"/>
      <c r="H119" s="67"/>
      <c r="I119" s="67"/>
      <c r="J119" s="67"/>
      <c r="K119" s="66"/>
      <c r="L119" s="68"/>
      <c r="M119" s="66"/>
      <c r="N119" s="69"/>
      <c r="O119" s="67"/>
      <c r="P119" s="66"/>
      <c r="Q119" s="65"/>
      <c r="R119" s="70"/>
    </row>
    <row r="120" spans="1:18" ht="27" x14ac:dyDescent="0.4">
      <c r="A120" s="65"/>
      <c r="B120" s="66"/>
      <c r="C120" s="66"/>
      <c r="D120" s="67"/>
      <c r="E120" s="68"/>
      <c r="F120" s="68"/>
      <c r="G120" s="66"/>
      <c r="H120" s="67"/>
      <c r="I120" s="67"/>
      <c r="J120" s="67"/>
      <c r="K120" s="66"/>
      <c r="L120" s="68"/>
      <c r="M120" s="66"/>
      <c r="N120" s="69"/>
      <c r="O120" s="67"/>
      <c r="P120" s="66"/>
      <c r="Q120" s="65"/>
      <c r="R120" s="70"/>
    </row>
    <row r="121" spans="1:18" ht="27" x14ac:dyDescent="0.4">
      <c r="A121" s="65"/>
      <c r="B121" s="66"/>
      <c r="C121" s="66"/>
      <c r="D121" s="67"/>
      <c r="E121" s="68"/>
      <c r="F121" s="68"/>
      <c r="G121" s="66"/>
      <c r="H121" s="67"/>
      <c r="I121" s="67"/>
      <c r="J121" s="67"/>
      <c r="K121" s="66"/>
      <c r="L121" s="68"/>
      <c r="M121" s="66"/>
      <c r="N121" s="69"/>
      <c r="O121" s="67"/>
      <c r="P121" s="66"/>
      <c r="Q121" s="65"/>
      <c r="R121" s="70"/>
    </row>
    <row r="122" spans="1:18" ht="27" x14ac:dyDescent="0.4">
      <c r="A122" s="65"/>
      <c r="B122" s="66"/>
      <c r="C122" s="66"/>
      <c r="D122" s="67"/>
      <c r="E122" s="68"/>
      <c r="F122" s="68"/>
      <c r="G122" s="66"/>
      <c r="H122" s="67"/>
      <c r="I122" s="67"/>
      <c r="J122" s="67"/>
      <c r="K122" s="66"/>
      <c r="L122" s="68"/>
      <c r="M122" s="66"/>
      <c r="N122" s="69"/>
      <c r="O122" s="67"/>
      <c r="P122" s="66"/>
      <c r="Q122" s="65"/>
      <c r="R122" s="70"/>
    </row>
    <row r="123" spans="1:18" ht="27" x14ac:dyDescent="0.4">
      <c r="A123" s="65"/>
      <c r="B123" s="66"/>
      <c r="C123" s="66"/>
      <c r="D123" s="67"/>
      <c r="E123" s="68"/>
      <c r="F123" s="68"/>
      <c r="G123" s="66"/>
      <c r="H123" s="67"/>
      <c r="I123" s="67"/>
      <c r="J123" s="67"/>
      <c r="K123" s="66"/>
      <c r="L123" s="68"/>
      <c r="M123" s="66"/>
      <c r="N123" s="69"/>
      <c r="O123" s="67"/>
      <c r="P123" s="66"/>
      <c r="Q123" s="65"/>
      <c r="R123" s="68"/>
    </row>
    <row r="124" spans="1:18" ht="27" x14ac:dyDescent="0.4">
      <c r="A124" s="65"/>
      <c r="B124" s="66"/>
      <c r="C124" s="66"/>
      <c r="D124" s="67"/>
      <c r="E124" s="68"/>
      <c r="F124" s="68"/>
      <c r="G124" s="66"/>
      <c r="H124" s="67"/>
      <c r="I124" s="67"/>
      <c r="J124" s="67"/>
      <c r="K124" s="66"/>
      <c r="L124" s="68"/>
      <c r="M124" s="66"/>
      <c r="N124" s="69"/>
      <c r="O124" s="67"/>
      <c r="P124" s="66"/>
      <c r="Q124" s="65"/>
      <c r="R124" s="70"/>
    </row>
    <row r="125" spans="1:18" ht="27" x14ac:dyDescent="0.4">
      <c r="A125" s="65"/>
      <c r="B125" s="66"/>
      <c r="C125" s="66"/>
      <c r="D125" s="67"/>
      <c r="E125" s="68"/>
      <c r="F125" s="68"/>
      <c r="G125" s="66"/>
      <c r="H125" s="67"/>
      <c r="I125" s="67"/>
      <c r="J125" s="67"/>
      <c r="K125" s="66"/>
      <c r="L125" s="68"/>
      <c r="M125" s="66"/>
      <c r="N125" s="69"/>
      <c r="O125" s="67"/>
      <c r="P125" s="66"/>
      <c r="Q125" s="65"/>
      <c r="R125" s="70"/>
    </row>
    <row r="126" spans="1:18" ht="27" x14ac:dyDescent="0.4">
      <c r="A126" s="65"/>
      <c r="B126" s="66"/>
      <c r="C126" s="66"/>
      <c r="D126" s="67"/>
      <c r="E126" s="68"/>
      <c r="F126" s="68"/>
      <c r="G126" s="66"/>
      <c r="H126" s="67"/>
      <c r="I126" s="67"/>
      <c r="J126" s="67"/>
      <c r="K126" s="66"/>
      <c r="L126" s="68"/>
      <c r="M126" s="66"/>
      <c r="N126" s="69"/>
      <c r="O126" s="67"/>
      <c r="P126" s="66"/>
      <c r="Q126" s="65"/>
      <c r="R126" s="70"/>
    </row>
    <row r="127" spans="1:18" ht="27" x14ac:dyDescent="0.4">
      <c r="A127" s="65"/>
      <c r="B127" s="66"/>
      <c r="C127" s="66"/>
      <c r="D127" s="67"/>
      <c r="E127" s="68"/>
      <c r="F127" s="68"/>
      <c r="G127" s="66"/>
      <c r="H127" s="67"/>
      <c r="I127" s="67"/>
      <c r="J127" s="67"/>
      <c r="K127" s="66"/>
      <c r="L127" s="68"/>
      <c r="M127" s="66"/>
      <c r="N127" s="69"/>
      <c r="O127" s="67"/>
      <c r="P127" s="66"/>
      <c r="Q127" s="65"/>
      <c r="R127" s="70"/>
    </row>
    <row r="128" spans="1:18" ht="27" x14ac:dyDescent="0.4">
      <c r="A128" s="65"/>
      <c r="B128" s="66"/>
      <c r="C128" s="66"/>
      <c r="D128" s="67"/>
      <c r="E128" s="68"/>
      <c r="F128" s="68"/>
      <c r="G128" s="66"/>
      <c r="H128" s="67"/>
      <c r="I128" s="67"/>
      <c r="J128" s="67"/>
      <c r="K128" s="66"/>
      <c r="L128" s="68"/>
      <c r="M128" s="66"/>
      <c r="N128" s="69"/>
      <c r="O128" s="67"/>
      <c r="P128" s="66"/>
      <c r="Q128" s="65"/>
      <c r="R128" s="68"/>
    </row>
    <row r="129" spans="1:18" ht="27" x14ac:dyDescent="0.4">
      <c r="A129" s="65"/>
      <c r="B129" s="66"/>
      <c r="C129" s="66"/>
      <c r="D129" s="67"/>
      <c r="E129" s="68"/>
      <c r="F129" s="68"/>
      <c r="G129" s="66"/>
      <c r="H129" s="67"/>
      <c r="I129" s="67"/>
      <c r="J129" s="67"/>
      <c r="K129" s="66"/>
      <c r="L129" s="68"/>
      <c r="M129" s="66"/>
      <c r="N129" s="69"/>
      <c r="O129" s="67"/>
      <c r="P129" s="66"/>
      <c r="Q129" s="65"/>
      <c r="R129" s="68"/>
    </row>
    <row r="130" spans="1:18" ht="27" x14ac:dyDescent="0.4">
      <c r="A130" s="65"/>
      <c r="B130" s="66"/>
      <c r="C130" s="66"/>
      <c r="D130" s="67"/>
      <c r="E130" s="68"/>
      <c r="F130" s="68"/>
      <c r="G130" s="66"/>
      <c r="H130" s="67"/>
      <c r="I130" s="67"/>
      <c r="J130" s="67"/>
      <c r="K130" s="66"/>
      <c r="L130" s="68"/>
      <c r="M130" s="66"/>
      <c r="N130" s="69"/>
      <c r="O130" s="67"/>
      <c r="P130" s="66"/>
      <c r="Q130" s="65"/>
      <c r="R130" s="68"/>
    </row>
    <row r="131" spans="1:18" ht="27" x14ac:dyDescent="0.4">
      <c r="A131" s="65"/>
      <c r="B131" s="66"/>
      <c r="C131" s="66"/>
      <c r="D131" s="67"/>
      <c r="E131" s="68"/>
      <c r="F131" s="68"/>
      <c r="G131" s="66"/>
      <c r="H131" s="67"/>
      <c r="I131" s="67"/>
      <c r="J131" s="67"/>
      <c r="K131" s="66"/>
      <c r="L131" s="68"/>
      <c r="M131" s="66"/>
      <c r="N131" s="69"/>
      <c r="O131" s="67"/>
      <c r="P131" s="66"/>
      <c r="Q131" s="65"/>
      <c r="R131" s="68"/>
    </row>
    <row r="132" spans="1:18" ht="27" x14ac:dyDescent="0.4">
      <c r="A132" s="65"/>
      <c r="B132" s="66"/>
      <c r="C132" s="66"/>
      <c r="D132" s="67"/>
      <c r="E132" s="68"/>
      <c r="F132" s="68"/>
      <c r="G132" s="66"/>
      <c r="H132" s="67"/>
      <c r="I132" s="67"/>
      <c r="J132" s="67"/>
      <c r="K132" s="66"/>
      <c r="L132" s="68"/>
      <c r="M132" s="66"/>
      <c r="N132" s="69"/>
      <c r="O132" s="67"/>
      <c r="P132" s="66"/>
      <c r="Q132" s="65"/>
      <c r="R132" s="68"/>
    </row>
    <row r="133" spans="1:18" ht="27" x14ac:dyDescent="0.4">
      <c r="A133" s="65"/>
      <c r="B133" s="66"/>
      <c r="C133" s="66"/>
      <c r="D133" s="67"/>
      <c r="E133" s="68"/>
      <c r="F133" s="68"/>
      <c r="G133" s="66"/>
      <c r="H133" s="67"/>
      <c r="I133" s="67"/>
      <c r="J133" s="67"/>
      <c r="K133" s="66"/>
      <c r="L133" s="68"/>
      <c r="M133" s="66"/>
      <c r="N133" s="69"/>
      <c r="O133" s="67"/>
      <c r="P133" s="66"/>
      <c r="Q133" s="65"/>
      <c r="R133" s="68"/>
    </row>
    <row r="134" spans="1:18" ht="27" x14ac:dyDescent="0.4">
      <c r="A134" s="65"/>
      <c r="B134" s="66"/>
      <c r="C134" s="66"/>
      <c r="D134" s="67"/>
      <c r="E134" s="68"/>
      <c r="F134" s="68"/>
      <c r="G134" s="66"/>
      <c r="H134" s="67"/>
      <c r="I134" s="67"/>
      <c r="J134" s="67"/>
      <c r="K134" s="66"/>
      <c r="L134" s="68"/>
      <c r="M134" s="66"/>
      <c r="N134" s="69"/>
      <c r="O134" s="67"/>
      <c r="P134" s="66"/>
      <c r="Q134" s="65"/>
      <c r="R134" s="68"/>
    </row>
    <row r="135" spans="1:18" ht="27" x14ac:dyDescent="0.4">
      <c r="A135" s="65"/>
      <c r="B135" s="66"/>
      <c r="C135" s="66"/>
      <c r="D135" s="67"/>
      <c r="E135" s="68"/>
      <c r="F135" s="68"/>
      <c r="G135" s="66"/>
      <c r="H135" s="67"/>
      <c r="I135" s="67"/>
      <c r="J135" s="67"/>
      <c r="K135" s="66"/>
      <c r="L135" s="68"/>
      <c r="M135" s="66"/>
      <c r="N135" s="69"/>
      <c r="O135" s="67"/>
      <c r="P135" s="66"/>
      <c r="Q135" s="65"/>
      <c r="R135" s="68"/>
    </row>
    <row r="136" spans="1:18" ht="27" x14ac:dyDescent="0.4">
      <c r="A136" s="65"/>
      <c r="B136" s="66"/>
      <c r="C136" s="66"/>
      <c r="D136" s="67"/>
      <c r="E136" s="68"/>
      <c r="F136" s="68"/>
      <c r="G136" s="66"/>
      <c r="H136" s="67"/>
      <c r="I136" s="67"/>
      <c r="J136" s="67"/>
      <c r="K136" s="66"/>
      <c r="L136" s="68"/>
      <c r="M136" s="66"/>
      <c r="N136" s="69"/>
      <c r="O136" s="67"/>
      <c r="P136" s="66"/>
      <c r="Q136" s="65"/>
      <c r="R136" s="68"/>
    </row>
    <row r="137" spans="1:18" ht="27" x14ac:dyDescent="0.4">
      <c r="A137" s="65"/>
      <c r="B137" s="66"/>
      <c r="C137" s="66"/>
      <c r="D137" s="67"/>
      <c r="E137" s="68"/>
      <c r="F137" s="68"/>
      <c r="G137" s="66"/>
      <c r="H137" s="67"/>
      <c r="I137" s="67"/>
      <c r="J137" s="67"/>
      <c r="K137" s="66"/>
      <c r="L137" s="68"/>
      <c r="M137" s="66"/>
      <c r="N137" s="69"/>
      <c r="O137" s="67"/>
      <c r="P137" s="66"/>
      <c r="Q137" s="65"/>
      <c r="R137" s="68"/>
    </row>
    <row r="138" spans="1:18" ht="27" x14ac:dyDescent="0.4">
      <c r="A138" s="65"/>
      <c r="B138" s="66"/>
      <c r="C138" s="66"/>
      <c r="D138" s="67"/>
      <c r="E138" s="68"/>
      <c r="F138" s="68"/>
      <c r="G138" s="66"/>
      <c r="H138" s="67"/>
      <c r="I138" s="67"/>
      <c r="J138" s="67"/>
      <c r="K138" s="66"/>
      <c r="L138" s="68"/>
      <c r="M138" s="66"/>
      <c r="N138" s="69"/>
      <c r="O138" s="67"/>
      <c r="P138" s="66"/>
      <c r="Q138" s="65"/>
      <c r="R138" s="68"/>
    </row>
    <row r="139" spans="1:18" ht="27" x14ac:dyDescent="0.4">
      <c r="A139" s="65"/>
      <c r="B139" s="66"/>
      <c r="C139" s="66"/>
      <c r="D139" s="67"/>
      <c r="E139" s="68"/>
      <c r="F139" s="68"/>
      <c r="G139" s="66"/>
      <c r="H139" s="67"/>
      <c r="I139" s="67"/>
      <c r="J139" s="67"/>
      <c r="K139" s="66"/>
      <c r="L139" s="68"/>
      <c r="M139" s="66"/>
      <c r="N139" s="69"/>
      <c r="O139" s="67"/>
      <c r="P139" s="66"/>
      <c r="Q139" s="65"/>
      <c r="R139" s="68"/>
    </row>
    <row r="140" spans="1:18" ht="27" x14ac:dyDescent="0.4">
      <c r="A140" s="65"/>
      <c r="B140" s="66"/>
      <c r="C140" s="66"/>
      <c r="D140" s="67"/>
      <c r="E140" s="68"/>
      <c r="F140" s="68"/>
      <c r="G140" s="66"/>
      <c r="H140" s="67"/>
      <c r="I140" s="67"/>
      <c r="J140" s="67"/>
      <c r="K140" s="66"/>
      <c r="L140" s="68"/>
      <c r="M140" s="66"/>
      <c r="N140" s="69"/>
      <c r="O140" s="67"/>
      <c r="P140" s="66"/>
      <c r="Q140" s="65"/>
      <c r="R140" s="68"/>
    </row>
    <row r="141" spans="1:18" ht="27" x14ac:dyDescent="0.4">
      <c r="A141" s="65"/>
      <c r="B141" s="66"/>
      <c r="C141" s="66"/>
      <c r="D141" s="67"/>
      <c r="E141" s="68"/>
      <c r="F141" s="68"/>
      <c r="G141" s="66"/>
      <c r="H141" s="67"/>
      <c r="I141" s="67"/>
      <c r="J141" s="67"/>
      <c r="K141" s="66"/>
      <c r="L141" s="68"/>
      <c r="M141" s="66"/>
      <c r="N141" s="69"/>
      <c r="O141" s="67"/>
      <c r="P141" s="66"/>
      <c r="Q141" s="65"/>
      <c r="R141" s="68"/>
    </row>
    <row r="142" spans="1:18" ht="27" x14ac:dyDescent="0.4">
      <c r="A142" s="65"/>
      <c r="B142" s="66"/>
      <c r="C142" s="66"/>
      <c r="D142" s="67"/>
      <c r="E142" s="68"/>
      <c r="F142" s="68"/>
      <c r="G142" s="66"/>
      <c r="H142" s="67"/>
      <c r="I142" s="67"/>
      <c r="J142" s="67"/>
      <c r="K142" s="66"/>
      <c r="L142" s="68"/>
      <c r="M142" s="66"/>
      <c r="N142" s="69"/>
      <c r="O142" s="67"/>
      <c r="P142" s="66"/>
      <c r="Q142" s="65"/>
      <c r="R142" s="70"/>
    </row>
    <row r="143" spans="1:18" ht="27" x14ac:dyDescent="0.4">
      <c r="A143" s="65"/>
      <c r="B143" s="66"/>
      <c r="C143" s="66"/>
      <c r="D143" s="67"/>
      <c r="E143" s="68"/>
      <c r="F143" s="68"/>
      <c r="G143" s="66"/>
      <c r="H143" s="67"/>
      <c r="I143" s="67"/>
      <c r="J143" s="67"/>
      <c r="K143" s="66"/>
      <c r="L143" s="68"/>
      <c r="M143" s="66"/>
      <c r="N143" s="69"/>
      <c r="O143" s="67"/>
      <c r="P143" s="66"/>
      <c r="Q143" s="65"/>
      <c r="R143" s="70"/>
    </row>
    <row r="144" spans="1:18" ht="27" x14ac:dyDescent="0.4">
      <c r="A144" s="65"/>
      <c r="B144" s="66"/>
      <c r="C144" s="66"/>
      <c r="D144" s="67"/>
      <c r="E144" s="68"/>
      <c r="F144" s="68"/>
      <c r="G144" s="66"/>
      <c r="H144" s="67"/>
      <c r="I144" s="67"/>
      <c r="J144" s="67"/>
      <c r="K144" s="66"/>
      <c r="L144" s="68"/>
      <c r="M144" s="66"/>
      <c r="N144" s="69"/>
      <c r="O144" s="67"/>
      <c r="P144" s="66"/>
      <c r="Q144" s="65"/>
      <c r="R144" s="68"/>
    </row>
    <row r="145" spans="1:18" ht="27" x14ac:dyDescent="0.4">
      <c r="A145" s="65"/>
      <c r="B145" s="66"/>
      <c r="C145" s="66"/>
      <c r="D145" s="67"/>
      <c r="E145" s="68"/>
      <c r="F145" s="68"/>
      <c r="G145" s="66"/>
      <c r="H145" s="67"/>
      <c r="I145" s="67"/>
      <c r="J145" s="67"/>
      <c r="K145" s="66"/>
      <c r="L145" s="68"/>
      <c r="M145" s="66"/>
      <c r="N145" s="69"/>
      <c r="O145" s="67"/>
      <c r="P145" s="66"/>
      <c r="Q145" s="65"/>
      <c r="R145" s="68"/>
    </row>
    <row r="146" spans="1:18" ht="27" x14ac:dyDescent="0.4">
      <c r="A146" s="65"/>
      <c r="B146" s="66"/>
      <c r="C146" s="66"/>
      <c r="D146" s="67"/>
      <c r="E146" s="68"/>
      <c r="F146" s="68"/>
      <c r="G146" s="66"/>
      <c r="H146" s="67"/>
      <c r="I146" s="67"/>
      <c r="J146" s="67"/>
      <c r="K146" s="66"/>
      <c r="L146" s="68"/>
      <c r="M146" s="66"/>
      <c r="N146" s="69"/>
      <c r="O146" s="67"/>
      <c r="P146" s="66"/>
      <c r="Q146" s="65"/>
      <c r="R146" s="68"/>
    </row>
    <row r="147" spans="1:18" ht="27" x14ac:dyDescent="0.4">
      <c r="A147" s="65"/>
      <c r="B147" s="66"/>
      <c r="C147" s="66"/>
      <c r="D147" s="67"/>
      <c r="E147" s="68"/>
      <c r="F147" s="68"/>
      <c r="G147" s="66"/>
      <c r="H147" s="67"/>
      <c r="I147" s="67"/>
      <c r="J147" s="67"/>
      <c r="K147" s="66"/>
      <c r="L147" s="68"/>
      <c r="M147" s="66"/>
      <c r="N147" s="69"/>
      <c r="O147" s="67"/>
      <c r="P147" s="66"/>
      <c r="Q147" s="65"/>
      <c r="R147" s="68"/>
    </row>
    <row r="148" spans="1:18" ht="27" x14ac:dyDescent="0.4">
      <c r="A148" s="65"/>
      <c r="B148" s="66"/>
      <c r="C148" s="66"/>
      <c r="D148" s="67"/>
      <c r="E148" s="68"/>
      <c r="F148" s="68"/>
      <c r="G148" s="66"/>
      <c r="H148" s="67"/>
      <c r="I148" s="67"/>
      <c r="J148" s="67"/>
      <c r="K148" s="66"/>
      <c r="L148" s="68"/>
      <c r="M148" s="66"/>
      <c r="N148" s="69"/>
      <c r="O148" s="67"/>
      <c r="P148" s="66"/>
      <c r="Q148" s="65"/>
      <c r="R148" s="68"/>
    </row>
    <row r="149" spans="1:18" ht="27" x14ac:dyDescent="0.4">
      <c r="A149" s="65"/>
      <c r="B149" s="66"/>
      <c r="C149" s="66"/>
      <c r="D149" s="67"/>
      <c r="E149" s="68"/>
      <c r="F149" s="68"/>
      <c r="G149" s="66"/>
      <c r="H149" s="67"/>
      <c r="I149" s="67"/>
      <c r="J149" s="67"/>
      <c r="K149" s="66"/>
      <c r="L149" s="68"/>
      <c r="M149" s="66"/>
      <c r="N149" s="69"/>
      <c r="O149" s="67"/>
      <c r="P149" s="66"/>
      <c r="Q149" s="65"/>
      <c r="R149" s="68"/>
    </row>
    <row r="150" spans="1:18" ht="27" x14ac:dyDescent="0.4">
      <c r="A150" s="65"/>
      <c r="B150" s="66"/>
      <c r="C150" s="66"/>
      <c r="D150" s="67"/>
      <c r="E150" s="68"/>
      <c r="F150" s="68"/>
      <c r="G150" s="66"/>
      <c r="H150" s="67"/>
      <c r="I150" s="67"/>
      <c r="J150" s="67"/>
      <c r="K150" s="66"/>
      <c r="L150" s="68"/>
      <c r="M150" s="66"/>
      <c r="N150" s="69"/>
      <c r="O150" s="67"/>
      <c r="P150" s="66"/>
      <c r="Q150" s="65"/>
      <c r="R150" s="68"/>
    </row>
    <row r="151" spans="1:18" ht="27" x14ac:dyDescent="0.4">
      <c r="A151" s="65"/>
      <c r="B151" s="66"/>
      <c r="C151" s="66"/>
      <c r="D151" s="67"/>
      <c r="E151" s="68"/>
      <c r="F151" s="68"/>
      <c r="G151" s="66"/>
      <c r="H151" s="67"/>
      <c r="I151" s="67"/>
      <c r="J151" s="67"/>
      <c r="K151" s="66"/>
      <c r="L151" s="68"/>
      <c r="M151" s="66"/>
      <c r="N151" s="69"/>
      <c r="O151" s="67"/>
      <c r="P151" s="66"/>
      <c r="Q151" s="65"/>
      <c r="R151" s="68"/>
    </row>
    <row r="152" spans="1:18" ht="27" x14ac:dyDescent="0.4">
      <c r="A152" s="65"/>
      <c r="B152" s="66"/>
      <c r="C152" s="66"/>
      <c r="D152" s="67"/>
      <c r="E152" s="68"/>
      <c r="F152" s="68"/>
      <c r="G152" s="66"/>
      <c r="H152" s="67"/>
      <c r="I152" s="67"/>
      <c r="J152" s="67"/>
      <c r="K152" s="66"/>
      <c r="L152" s="68"/>
      <c r="M152" s="66"/>
      <c r="N152" s="69"/>
      <c r="O152" s="67"/>
      <c r="P152" s="66"/>
      <c r="Q152" s="65"/>
      <c r="R152" s="68"/>
    </row>
    <row r="153" spans="1:18" ht="27" x14ac:dyDescent="0.4">
      <c r="A153" s="65"/>
      <c r="B153" s="66"/>
      <c r="C153" s="66"/>
      <c r="D153" s="67"/>
      <c r="E153" s="68"/>
      <c r="F153" s="68"/>
      <c r="G153" s="66"/>
      <c r="H153" s="67"/>
      <c r="I153" s="67"/>
      <c r="J153" s="67"/>
      <c r="K153" s="66"/>
      <c r="L153" s="68"/>
      <c r="M153" s="66"/>
      <c r="N153" s="69"/>
      <c r="O153" s="67"/>
      <c r="P153" s="66"/>
      <c r="Q153" s="65"/>
      <c r="R153" s="68"/>
    </row>
    <row r="154" spans="1:18" ht="27" x14ac:dyDescent="0.4">
      <c r="A154" s="65"/>
      <c r="B154" s="66"/>
      <c r="C154" s="66"/>
      <c r="D154" s="67"/>
      <c r="E154" s="68"/>
      <c r="F154" s="68"/>
      <c r="G154" s="66"/>
      <c r="H154" s="67"/>
      <c r="I154" s="67"/>
      <c r="J154" s="67"/>
      <c r="K154" s="66"/>
      <c r="L154" s="68"/>
      <c r="M154" s="66"/>
      <c r="N154" s="69"/>
      <c r="O154" s="67"/>
      <c r="P154" s="66"/>
      <c r="Q154" s="65"/>
      <c r="R154" s="68"/>
    </row>
    <row r="155" spans="1:18" ht="27" x14ac:dyDescent="0.4">
      <c r="A155" s="65"/>
      <c r="B155" s="66"/>
      <c r="C155" s="66"/>
      <c r="D155" s="67"/>
      <c r="E155" s="68"/>
      <c r="F155" s="68"/>
      <c r="G155" s="66"/>
      <c r="H155" s="67"/>
      <c r="I155" s="67"/>
      <c r="J155" s="67"/>
      <c r="K155" s="66"/>
      <c r="L155" s="68"/>
      <c r="M155" s="66"/>
      <c r="N155" s="69"/>
      <c r="O155" s="67"/>
      <c r="P155" s="66"/>
      <c r="Q155" s="65"/>
      <c r="R155" s="68"/>
    </row>
    <row r="156" spans="1:18" ht="27" x14ac:dyDescent="0.4">
      <c r="A156" s="65"/>
      <c r="B156" s="66"/>
      <c r="C156" s="66"/>
      <c r="D156" s="67"/>
      <c r="E156" s="68"/>
      <c r="F156" s="68"/>
      <c r="G156" s="66"/>
      <c r="H156" s="67"/>
      <c r="I156" s="67"/>
      <c r="J156" s="67"/>
      <c r="K156" s="66"/>
      <c r="L156" s="68"/>
      <c r="M156" s="66"/>
      <c r="N156" s="69"/>
      <c r="O156" s="67"/>
      <c r="P156" s="66"/>
      <c r="Q156" s="65"/>
      <c r="R156" s="68"/>
    </row>
    <row r="157" spans="1:18" ht="27" x14ac:dyDescent="0.4">
      <c r="A157" s="65"/>
      <c r="B157" s="66"/>
      <c r="C157" s="66"/>
      <c r="D157" s="67"/>
      <c r="E157" s="68"/>
      <c r="F157" s="68"/>
      <c r="G157" s="66"/>
      <c r="H157" s="67"/>
      <c r="I157" s="67"/>
      <c r="J157" s="67"/>
      <c r="K157" s="66"/>
      <c r="L157" s="68"/>
      <c r="M157" s="66"/>
      <c r="N157" s="69"/>
      <c r="O157" s="67"/>
      <c r="P157" s="66"/>
      <c r="Q157" s="65"/>
      <c r="R157" s="68"/>
    </row>
    <row r="158" spans="1:18" ht="27" x14ac:dyDescent="0.4">
      <c r="A158" s="65"/>
      <c r="B158" s="66"/>
      <c r="C158" s="66"/>
      <c r="D158" s="67"/>
      <c r="E158" s="68"/>
      <c r="F158" s="68"/>
      <c r="G158" s="66"/>
      <c r="H158" s="67"/>
      <c r="I158" s="67"/>
      <c r="J158" s="67"/>
      <c r="K158" s="66"/>
      <c r="L158" s="68"/>
      <c r="M158" s="66"/>
      <c r="N158" s="69"/>
      <c r="O158" s="67"/>
      <c r="P158" s="66"/>
      <c r="Q158" s="65"/>
      <c r="R158" s="68"/>
    </row>
    <row r="159" spans="1:18" ht="27" x14ac:dyDescent="0.4">
      <c r="A159" s="65"/>
      <c r="B159" s="66"/>
      <c r="C159" s="66"/>
      <c r="D159" s="67"/>
      <c r="E159" s="68"/>
      <c r="F159" s="68"/>
      <c r="G159" s="66"/>
      <c r="H159" s="67"/>
      <c r="I159" s="67"/>
      <c r="J159" s="67"/>
      <c r="K159" s="66"/>
      <c r="L159" s="68"/>
      <c r="M159" s="66"/>
      <c r="N159" s="69"/>
      <c r="O159" s="67"/>
      <c r="P159" s="66"/>
      <c r="Q159" s="65"/>
      <c r="R159" s="68"/>
    </row>
    <row r="160" spans="1:18" ht="27" x14ac:dyDescent="0.4">
      <c r="A160" s="65"/>
      <c r="B160" s="66"/>
      <c r="C160" s="66"/>
      <c r="D160" s="67"/>
      <c r="E160" s="68"/>
      <c r="F160" s="68"/>
      <c r="G160" s="66"/>
      <c r="H160" s="67"/>
      <c r="I160" s="67"/>
      <c r="J160" s="67"/>
      <c r="K160" s="66"/>
      <c r="L160" s="68"/>
      <c r="M160" s="66"/>
      <c r="N160" s="69"/>
      <c r="O160" s="67"/>
      <c r="P160" s="66"/>
      <c r="Q160" s="65"/>
      <c r="R160" s="68"/>
    </row>
    <row r="161" spans="1:18" ht="27" x14ac:dyDescent="0.4">
      <c r="A161" s="65"/>
      <c r="B161" s="66"/>
      <c r="C161" s="66"/>
      <c r="D161" s="67"/>
      <c r="E161" s="68"/>
      <c r="F161" s="68"/>
      <c r="G161" s="66"/>
      <c r="H161" s="67"/>
      <c r="I161" s="67"/>
      <c r="J161" s="67"/>
      <c r="K161" s="66"/>
      <c r="L161" s="68"/>
      <c r="M161" s="66"/>
      <c r="N161" s="69"/>
      <c r="O161" s="67"/>
      <c r="P161" s="66"/>
      <c r="Q161" s="65"/>
      <c r="R161" s="68"/>
    </row>
    <row r="162" spans="1:18" ht="27" x14ac:dyDescent="0.4">
      <c r="A162" s="65"/>
      <c r="B162" s="66"/>
      <c r="C162" s="66"/>
      <c r="D162" s="67"/>
      <c r="E162" s="68"/>
      <c r="F162" s="68"/>
      <c r="G162" s="66"/>
      <c r="H162" s="67"/>
      <c r="I162" s="67"/>
      <c r="J162" s="67"/>
      <c r="K162" s="66"/>
      <c r="L162" s="68"/>
      <c r="M162" s="66"/>
      <c r="N162" s="69"/>
      <c r="O162" s="67"/>
      <c r="P162" s="66"/>
      <c r="Q162" s="65"/>
      <c r="R162" s="68"/>
    </row>
    <row r="163" spans="1:18" ht="27" x14ac:dyDescent="0.4">
      <c r="A163" s="65"/>
      <c r="B163" s="66"/>
      <c r="C163" s="66"/>
      <c r="D163" s="67"/>
      <c r="E163" s="68"/>
      <c r="F163" s="68"/>
      <c r="G163" s="66"/>
      <c r="H163" s="67"/>
      <c r="I163" s="67"/>
      <c r="J163" s="67"/>
      <c r="K163" s="66"/>
      <c r="L163" s="68"/>
      <c r="M163" s="66"/>
      <c r="N163" s="69"/>
      <c r="O163" s="67"/>
      <c r="P163" s="66"/>
      <c r="Q163" s="65"/>
      <c r="R163" s="68"/>
    </row>
    <row r="164" spans="1:18" ht="27" x14ac:dyDescent="0.4">
      <c r="A164" s="65"/>
      <c r="B164" s="66"/>
      <c r="C164" s="66"/>
      <c r="D164" s="67"/>
      <c r="E164" s="68"/>
      <c r="F164" s="68"/>
      <c r="G164" s="66"/>
      <c r="H164" s="67"/>
      <c r="I164" s="67"/>
      <c r="J164" s="67"/>
      <c r="K164" s="66"/>
      <c r="L164" s="68"/>
      <c r="M164" s="66"/>
      <c r="N164" s="69"/>
      <c r="O164" s="67"/>
      <c r="P164" s="66"/>
      <c r="Q164" s="65"/>
      <c r="R164" s="68"/>
    </row>
    <row r="165" spans="1:18" ht="27" x14ac:dyDescent="0.4">
      <c r="A165" s="65"/>
      <c r="B165" s="66"/>
      <c r="C165" s="66"/>
      <c r="D165" s="67"/>
      <c r="E165" s="68"/>
      <c r="F165" s="68"/>
      <c r="G165" s="66"/>
      <c r="H165" s="67"/>
      <c r="I165" s="67"/>
      <c r="J165" s="67"/>
      <c r="K165" s="66"/>
      <c r="L165" s="68"/>
      <c r="M165" s="66"/>
      <c r="N165" s="69"/>
      <c r="O165" s="67"/>
      <c r="P165" s="66"/>
      <c r="Q165" s="65"/>
      <c r="R165" s="68"/>
    </row>
    <row r="166" spans="1:18" ht="27" x14ac:dyDescent="0.4">
      <c r="A166" s="65"/>
      <c r="B166" s="66"/>
      <c r="C166" s="66"/>
      <c r="D166" s="67"/>
      <c r="E166" s="68"/>
      <c r="F166" s="68"/>
      <c r="G166" s="66"/>
      <c r="H166" s="67"/>
      <c r="I166" s="67"/>
      <c r="J166" s="67"/>
      <c r="K166" s="66"/>
      <c r="L166" s="68"/>
      <c r="M166" s="66"/>
      <c r="N166" s="69"/>
      <c r="O166" s="67"/>
      <c r="P166" s="66"/>
      <c r="Q166" s="65"/>
      <c r="R166" s="68"/>
    </row>
    <row r="167" spans="1:18" ht="27" x14ac:dyDescent="0.4">
      <c r="A167" s="65"/>
      <c r="B167" s="66"/>
      <c r="C167" s="66"/>
      <c r="D167" s="67"/>
      <c r="E167" s="68"/>
      <c r="F167" s="68"/>
      <c r="G167" s="66"/>
      <c r="H167" s="67"/>
      <c r="I167" s="67"/>
      <c r="J167" s="67"/>
      <c r="K167" s="66"/>
      <c r="L167" s="68"/>
      <c r="M167" s="66"/>
      <c r="N167" s="69"/>
      <c r="O167" s="67"/>
      <c r="P167" s="66"/>
      <c r="Q167" s="65"/>
      <c r="R167" s="68"/>
    </row>
    <row r="168" spans="1:18" ht="27" x14ac:dyDescent="0.4">
      <c r="A168" s="65"/>
      <c r="B168" s="66"/>
      <c r="C168" s="66"/>
      <c r="D168" s="67"/>
      <c r="E168" s="68"/>
      <c r="F168" s="68"/>
      <c r="G168" s="66"/>
      <c r="H168" s="67"/>
      <c r="I168" s="67"/>
      <c r="J168" s="67"/>
      <c r="K168" s="66"/>
      <c r="L168" s="68"/>
      <c r="M168" s="66"/>
      <c r="N168" s="69"/>
      <c r="O168" s="67"/>
      <c r="P168" s="66"/>
      <c r="Q168" s="65"/>
      <c r="R168" s="70"/>
    </row>
    <row r="169" spans="1:18" ht="27" x14ac:dyDescent="0.4">
      <c r="A169" s="65"/>
      <c r="B169" s="66"/>
      <c r="C169" s="66"/>
      <c r="D169" s="67"/>
      <c r="E169" s="68"/>
      <c r="F169" s="68"/>
      <c r="G169" s="66"/>
      <c r="H169" s="67"/>
      <c r="I169" s="67"/>
      <c r="J169" s="67"/>
      <c r="K169" s="66"/>
      <c r="L169" s="68"/>
      <c r="M169" s="66"/>
      <c r="N169" s="69"/>
      <c r="O169" s="67"/>
      <c r="P169" s="66"/>
      <c r="Q169" s="65"/>
      <c r="R169" s="70"/>
    </row>
    <row r="170" spans="1:18" ht="27" x14ac:dyDescent="0.4">
      <c r="A170" s="65"/>
      <c r="B170" s="66"/>
      <c r="C170" s="66"/>
      <c r="D170" s="67"/>
      <c r="E170" s="68"/>
      <c r="F170" s="68"/>
      <c r="G170" s="66"/>
      <c r="H170" s="67"/>
      <c r="I170" s="67"/>
      <c r="J170" s="67"/>
      <c r="K170" s="66"/>
      <c r="L170" s="68"/>
      <c r="M170" s="66"/>
      <c r="N170" s="69"/>
      <c r="O170" s="67"/>
      <c r="P170" s="66"/>
      <c r="Q170" s="65"/>
      <c r="R170" s="70"/>
    </row>
    <row r="171" spans="1:18" ht="27" x14ac:dyDescent="0.4">
      <c r="A171" s="65"/>
      <c r="B171" s="66"/>
      <c r="C171" s="66"/>
      <c r="D171" s="67"/>
      <c r="E171" s="68"/>
      <c r="F171" s="68"/>
      <c r="G171" s="66"/>
      <c r="H171" s="67"/>
      <c r="I171" s="67"/>
      <c r="J171" s="67"/>
      <c r="K171" s="66"/>
      <c r="L171" s="68"/>
      <c r="M171" s="66"/>
      <c r="N171" s="69"/>
      <c r="O171" s="67"/>
      <c r="P171" s="66"/>
      <c r="Q171" s="65"/>
      <c r="R171" s="70"/>
    </row>
    <row r="172" spans="1:18" ht="27" x14ac:dyDescent="0.4">
      <c r="A172" s="65"/>
      <c r="B172" s="66"/>
      <c r="C172" s="66"/>
      <c r="D172" s="67"/>
      <c r="E172" s="68"/>
      <c r="F172" s="68"/>
      <c r="G172" s="66"/>
      <c r="H172" s="67"/>
      <c r="I172" s="67"/>
      <c r="J172" s="67"/>
      <c r="K172" s="66"/>
      <c r="L172" s="68"/>
      <c r="M172" s="66"/>
      <c r="N172" s="69"/>
      <c r="O172" s="67"/>
      <c r="P172" s="66"/>
      <c r="Q172" s="65"/>
      <c r="R172" s="70"/>
    </row>
    <row r="173" spans="1:18" ht="27" x14ac:dyDescent="0.4">
      <c r="A173" s="65"/>
      <c r="B173" s="66"/>
      <c r="C173" s="66"/>
      <c r="D173" s="67"/>
      <c r="E173" s="68"/>
      <c r="F173" s="68"/>
      <c r="G173" s="66"/>
      <c r="H173" s="67"/>
      <c r="I173" s="67"/>
      <c r="J173" s="67"/>
      <c r="K173" s="66"/>
      <c r="L173" s="68"/>
      <c r="M173" s="66"/>
      <c r="N173" s="69"/>
      <c r="O173" s="67"/>
      <c r="P173" s="66"/>
      <c r="Q173" s="65"/>
      <c r="R173" s="70"/>
    </row>
    <row r="174" spans="1:18" ht="27" x14ac:dyDescent="0.4">
      <c r="A174" s="65"/>
      <c r="B174" s="66"/>
      <c r="C174" s="66"/>
      <c r="D174" s="67"/>
      <c r="E174" s="68"/>
      <c r="F174" s="68"/>
      <c r="G174" s="66"/>
      <c r="H174" s="67"/>
      <c r="I174" s="67"/>
      <c r="J174" s="67"/>
      <c r="K174" s="66"/>
      <c r="L174" s="68"/>
      <c r="M174" s="66"/>
      <c r="N174" s="69"/>
      <c r="O174" s="67"/>
      <c r="P174" s="66"/>
      <c r="Q174" s="65"/>
      <c r="R174" s="70"/>
    </row>
    <row r="175" spans="1:18" ht="27" x14ac:dyDescent="0.4">
      <c r="A175" s="65"/>
      <c r="B175" s="66"/>
      <c r="C175" s="66"/>
      <c r="D175" s="67"/>
      <c r="E175" s="68"/>
      <c r="F175" s="68"/>
      <c r="G175" s="66"/>
      <c r="H175" s="67"/>
      <c r="I175" s="67"/>
      <c r="J175" s="67"/>
      <c r="K175" s="66"/>
      <c r="L175" s="68"/>
      <c r="M175" s="66"/>
      <c r="N175" s="69"/>
      <c r="O175" s="67"/>
      <c r="P175" s="66"/>
      <c r="Q175" s="65"/>
      <c r="R175" s="70"/>
    </row>
    <row r="176" spans="1:18" ht="27" x14ac:dyDescent="0.4">
      <c r="A176" s="65"/>
      <c r="B176" s="66"/>
      <c r="C176" s="66"/>
      <c r="D176" s="67"/>
      <c r="E176" s="68"/>
      <c r="F176" s="68"/>
      <c r="G176" s="66"/>
      <c r="H176" s="67"/>
      <c r="I176" s="67"/>
      <c r="J176" s="67"/>
      <c r="K176" s="66"/>
      <c r="L176" s="68"/>
      <c r="M176" s="66"/>
      <c r="N176" s="69"/>
      <c r="O176" s="67"/>
      <c r="P176" s="66"/>
      <c r="Q176" s="65"/>
      <c r="R176" s="70"/>
    </row>
    <row r="177" spans="1:18" ht="27" x14ac:dyDescent="0.4">
      <c r="A177" s="65"/>
      <c r="B177" s="66"/>
      <c r="C177" s="66"/>
      <c r="D177" s="67"/>
      <c r="E177" s="68"/>
      <c r="F177" s="68"/>
      <c r="G177" s="66"/>
      <c r="H177" s="67"/>
      <c r="I177" s="67"/>
      <c r="J177" s="67"/>
      <c r="K177" s="66"/>
      <c r="L177" s="68"/>
      <c r="M177" s="66"/>
      <c r="N177" s="69"/>
      <c r="O177" s="67"/>
      <c r="P177" s="66"/>
      <c r="Q177" s="65"/>
      <c r="R177" s="70"/>
    </row>
    <row r="178" spans="1:18" ht="27" x14ac:dyDescent="0.4">
      <c r="A178" s="65"/>
      <c r="B178" s="66"/>
      <c r="C178" s="66"/>
      <c r="D178" s="67"/>
      <c r="E178" s="68"/>
      <c r="F178" s="68"/>
      <c r="G178" s="66"/>
      <c r="H178" s="67"/>
      <c r="I178" s="67"/>
      <c r="J178" s="67"/>
      <c r="K178" s="66"/>
      <c r="L178" s="68"/>
      <c r="M178" s="66"/>
      <c r="N178" s="69"/>
      <c r="O178" s="67"/>
      <c r="P178" s="66"/>
      <c r="Q178" s="65"/>
      <c r="R178" s="70"/>
    </row>
    <row r="179" spans="1:18" ht="27" x14ac:dyDescent="0.4">
      <c r="A179" s="65"/>
      <c r="B179" s="66"/>
      <c r="C179" s="66"/>
      <c r="D179" s="67"/>
      <c r="E179" s="68"/>
      <c r="F179" s="68"/>
      <c r="G179" s="66"/>
      <c r="H179" s="67"/>
      <c r="I179" s="67"/>
      <c r="J179" s="67"/>
      <c r="K179" s="66"/>
      <c r="L179" s="68"/>
      <c r="M179" s="66"/>
      <c r="N179" s="69"/>
      <c r="O179" s="67"/>
      <c r="P179" s="66"/>
      <c r="Q179" s="65"/>
      <c r="R179" s="70"/>
    </row>
    <row r="180" spans="1:18" ht="27" x14ac:dyDescent="0.4">
      <c r="A180" s="65"/>
      <c r="B180" s="66"/>
      <c r="C180" s="66"/>
      <c r="D180" s="67"/>
      <c r="E180" s="68"/>
      <c r="F180" s="68"/>
      <c r="G180" s="66"/>
      <c r="H180" s="67"/>
      <c r="I180" s="67"/>
      <c r="J180" s="67"/>
      <c r="K180" s="66"/>
      <c r="L180" s="68"/>
      <c r="M180" s="66"/>
      <c r="N180" s="69"/>
      <c r="O180" s="67"/>
      <c r="P180" s="66"/>
      <c r="Q180" s="65"/>
      <c r="R180" s="70"/>
    </row>
    <row r="181" spans="1:18" ht="27" x14ac:dyDescent="0.4">
      <c r="A181" s="65"/>
      <c r="B181" s="66"/>
      <c r="C181" s="66"/>
      <c r="D181" s="67"/>
      <c r="E181" s="68"/>
      <c r="F181" s="68"/>
      <c r="G181" s="66"/>
      <c r="H181" s="67"/>
      <c r="I181" s="67"/>
      <c r="J181" s="67"/>
      <c r="K181" s="66"/>
      <c r="L181" s="68"/>
      <c r="M181" s="66"/>
      <c r="N181" s="69"/>
      <c r="O181" s="67"/>
      <c r="P181" s="66"/>
      <c r="Q181" s="65"/>
      <c r="R181" s="70"/>
    </row>
    <row r="182" spans="1:18" ht="27" x14ac:dyDescent="0.4">
      <c r="A182" s="65"/>
      <c r="B182" s="66"/>
      <c r="C182" s="66"/>
      <c r="D182" s="67"/>
      <c r="E182" s="68"/>
      <c r="F182" s="68"/>
      <c r="G182" s="66"/>
      <c r="H182" s="67"/>
      <c r="I182" s="67"/>
      <c r="J182" s="67"/>
      <c r="K182" s="66"/>
      <c r="L182" s="68"/>
      <c r="M182" s="66"/>
      <c r="N182" s="69"/>
      <c r="O182" s="67"/>
      <c r="P182" s="66"/>
      <c r="Q182" s="65"/>
      <c r="R182" s="68"/>
    </row>
    <row r="183" spans="1:18" ht="27" x14ac:dyDescent="0.4">
      <c r="A183" s="65"/>
      <c r="B183" s="66"/>
      <c r="C183" s="66"/>
      <c r="D183" s="67"/>
      <c r="E183" s="68"/>
      <c r="F183" s="68"/>
      <c r="G183" s="66"/>
      <c r="H183" s="67"/>
      <c r="I183" s="67"/>
      <c r="J183" s="67"/>
      <c r="K183" s="66"/>
      <c r="L183" s="68"/>
      <c r="M183" s="66"/>
      <c r="N183" s="69"/>
      <c r="O183" s="67"/>
      <c r="P183" s="66"/>
      <c r="Q183" s="65"/>
      <c r="R183" s="70"/>
    </row>
    <row r="184" spans="1:18" ht="27" x14ac:dyDescent="0.4">
      <c r="A184" s="65"/>
      <c r="B184" s="66"/>
      <c r="C184" s="66"/>
      <c r="D184" s="67"/>
      <c r="E184" s="68"/>
      <c r="F184" s="68"/>
      <c r="G184" s="66"/>
      <c r="H184" s="67"/>
      <c r="I184" s="67"/>
      <c r="J184" s="67"/>
      <c r="K184" s="66"/>
      <c r="L184" s="68"/>
      <c r="M184" s="66"/>
      <c r="N184" s="69"/>
      <c r="O184" s="67"/>
      <c r="P184" s="66"/>
      <c r="Q184" s="65"/>
      <c r="R184" s="70"/>
    </row>
    <row r="185" spans="1:18" ht="27" x14ac:dyDescent="0.4">
      <c r="A185" s="65"/>
      <c r="B185" s="66"/>
      <c r="C185" s="66"/>
      <c r="D185" s="67"/>
      <c r="E185" s="68"/>
      <c r="F185" s="68"/>
      <c r="G185" s="66"/>
      <c r="H185" s="67"/>
      <c r="I185" s="67"/>
      <c r="J185" s="67"/>
      <c r="K185" s="66"/>
      <c r="L185" s="68"/>
      <c r="M185" s="66"/>
      <c r="N185" s="69"/>
      <c r="O185" s="67"/>
      <c r="P185" s="66"/>
      <c r="Q185" s="65"/>
      <c r="R185" s="68"/>
    </row>
    <row r="186" spans="1:18" ht="27" x14ac:dyDescent="0.4">
      <c r="A186" s="65"/>
      <c r="B186" s="66"/>
      <c r="C186" s="66"/>
      <c r="D186" s="67"/>
      <c r="E186" s="68"/>
      <c r="F186" s="68"/>
      <c r="G186" s="66"/>
      <c r="H186" s="67"/>
      <c r="I186" s="67"/>
      <c r="J186" s="67"/>
      <c r="K186" s="66"/>
      <c r="L186" s="68"/>
      <c r="M186" s="66"/>
      <c r="N186" s="69"/>
      <c r="O186" s="67"/>
      <c r="P186" s="66"/>
      <c r="Q186" s="65"/>
      <c r="R186" s="68"/>
    </row>
    <row r="187" spans="1:18" ht="27" x14ac:dyDescent="0.4">
      <c r="A187" s="65"/>
      <c r="B187" s="66"/>
      <c r="C187" s="66"/>
      <c r="D187" s="67"/>
      <c r="E187" s="68"/>
      <c r="F187" s="68"/>
      <c r="G187" s="66"/>
      <c r="H187" s="67"/>
      <c r="I187" s="67"/>
      <c r="J187" s="67"/>
      <c r="K187" s="66"/>
      <c r="L187" s="68"/>
      <c r="M187" s="66"/>
      <c r="N187" s="69"/>
      <c r="O187" s="67"/>
      <c r="P187" s="66"/>
      <c r="Q187" s="65"/>
      <c r="R187" s="68"/>
    </row>
    <row r="188" spans="1:18" ht="27" x14ac:dyDescent="0.4">
      <c r="A188" s="65"/>
      <c r="B188" s="66"/>
      <c r="C188" s="66"/>
      <c r="D188" s="67"/>
      <c r="E188" s="68"/>
      <c r="F188" s="68"/>
      <c r="G188" s="66"/>
      <c r="H188" s="67"/>
      <c r="I188" s="67"/>
      <c r="J188" s="67"/>
      <c r="K188" s="66"/>
      <c r="L188" s="68"/>
      <c r="M188" s="66"/>
      <c r="N188" s="69"/>
      <c r="O188" s="67"/>
      <c r="P188" s="66"/>
      <c r="Q188" s="65"/>
      <c r="R188" s="68"/>
    </row>
    <row r="189" spans="1:18" ht="27" x14ac:dyDescent="0.4">
      <c r="A189" s="65"/>
      <c r="B189" s="66"/>
      <c r="C189" s="66"/>
      <c r="D189" s="67"/>
      <c r="E189" s="68"/>
      <c r="F189" s="68"/>
      <c r="G189" s="66"/>
      <c r="H189" s="67"/>
      <c r="I189" s="67"/>
      <c r="J189" s="67"/>
      <c r="K189" s="66"/>
      <c r="L189" s="68"/>
      <c r="M189" s="66"/>
      <c r="N189" s="69"/>
      <c r="O189" s="67"/>
      <c r="P189" s="66"/>
      <c r="Q189" s="65"/>
      <c r="R189" s="68"/>
    </row>
    <row r="190" spans="1:18" ht="27" x14ac:dyDescent="0.4">
      <c r="A190" s="65"/>
      <c r="B190" s="66"/>
      <c r="C190" s="66"/>
      <c r="D190" s="67"/>
      <c r="E190" s="68"/>
      <c r="F190" s="68"/>
      <c r="G190" s="66"/>
      <c r="H190" s="67"/>
      <c r="I190" s="67"/>
      <c r="J190" s="67"/>
      <c r="K190" s="66"/>
      <c r="L190" s="68"/>
      <c r="M190" s="66"/>
      <c r="N190" s="69"/>
      <c r="O190" s="67"/>
      <c r="P190" s="66"/>
      <c r="Q190" s="65"/>
      <c r="R190" s="68"/>
    </row>
    <row r="191" spans="1:18" ht="27" x14ac:dyDescent="0.4">
      <c r="A191" s="65"/>
      <c r="B191" s="66"/>
      <c r="C191" s="66"/>
      <c r="D191" s="67"/>
      <c r="E191" s="68"/>
      <c r="F191" s="68"/>
      <c r="G191" s="66"/>
      <c r="H191" s="67"/>
      <c r="I191" s="67"/>
      <c r="J191" s="67"/>
      <c r="K191" s="66"/>
      <c r="L191" s="68"/>
      <c r="M191" s="66"/>
      <c r="N191" s="69"/>
      <c r="O191" s="67"/>
      <c r="P191" s="66"/>
      <c r="Q191" s="65"/>
      <c r="R191" s="68"/>
    </row>
    <row r="192" spans="1:18" ht="27" x14ac:dyDescent="0.4">
      <c r="A192" s="65"/>
      <c r="B192" s="66"/>
      <c r="C192" s="66"/>
      <c r="D192" s="67"/>
      <c r="E192" s="68"/>
      <c r="F192" s="68"/>
      <c r="G192" s="66"/>
      <c r="H192" s="67"/>
      <c r="I192" s="67"/>
      <c r="J192" s="67"/>
      <c r="K192" s="66"/>
      <c r="L192" s="68"/>
      <c r="M192" s="66"/>
      <c r="N192" s="69"/>
      <c r="O192" s="67"/>
      <c r="P192" s="66"/>
      <c r="Q192" s="65"/>
      <c r="R192" s="68"/>
    </row>
    <row r="193" spans="1:18" ht="27" x14ac:dyDescent="0.4">
      <c r="A193" s="65"/>
      <c r="B193" s="66"/>
      <c r="C193" s="66"/>
      <c r="D193" s="67"/>
      <c r="E193" s="68"/>
      <c r="F193" s="68"/>
      <c r="G193" s="66"/>
      <c r="H193" s="67"/>
      <c r="I193" s="67"/>
      <c r="J193" s="67"/>
      <c r="K193" s="66"/>
      <c r="L193" s="68"/>
      <c r="M193" s="66"/>
      <c r="N193" s="69"/>
      <c r="O193" s="67"/>
      <c r="P193" s="66"/>
      <c r="Q193" s="65"/>
      <c r="R193" s="68"/>
    </row>
    <row r="194" spans="1:18" ht="27" x14ac:dyDescent="0.4">
      <c r="A194" s="65"/>
      <c r="B194" s="66"/>
      <c r="C194" s="66"/>
      <c r="D194" s="67"/>
      <c r="E194" s="68"/>
      <c r="F194" s="68"/>
      <c r="G194" s="66"/>
      <c r="H194" s="67"/>
      <c r="I194" s="67"/>
      <c r="J194" s="67"/>
      <c r="K194" s="66"/>
      <c r="L194" s="68"/>
      <c r="M194" s="66"/>
      <c r="N194" s="69"/>
      <c r="O194" s="67"/>
      <c r="P194" s="66"/>
      <c r="Q194" s="65"/>
      <c r="R194" s="68"/>
    </row>
    <row r="195" spans="1:18" ht="27" x14ac:dyDescent="0.4">
      <c r="A195" s="65"/>
      <c r="B195" s="66"/>
      <c r="C195" s="66"/>
      <c r="D195" s="67"/>
      <c r="E195" s="68"/>
      <c r="F195" s="68"/>
      <c r="G195" s="66"/>
      <c r="H195" s="67"/>
      <c r="I195" s="67"/>
      <c r="J195" s="67"/>
      <c r="K195" s="66"/>
      <c r="L195" s="68"/>
      <c r="M195" s="66"/>
      <c r="N195" s="69"/>
      <c r="O195" s="67"/>
      <c r="P195" s="66"/>
      <c r="Q195" s="65"/>
      <c r="R195" s="68"/>
    </row>
    <row r="196" spans="1:18" ht="27" x14ac:dyDescent="0.4">
      <c r="A196" s="65"/>
      <c r="B196" s="66"/>
      <c r="C196" s="66"/>
      <c r="D196" s="67"/>
      <c r="E196" s="68"/>
      <c r="F196" s="68"/>
      <c r="G196" s="66"/>
      <c r="H196" s="67"/>
      <c r="I196" s="67"/>
      <c r="J196" s="67"/>
      <c r="K196" s="66"/>
      <c r="L196" s="68"/>
      <c r="M196" s="66"/>
      <c r="N196" s="69"/>
      <c r="O196" s="67"/>
      <c r="P196" s="66"/>
      <c r="Q196" s="65"/>
      <c r="R196" s="68"/>
    </row>
    <row r="197" spans="1:18" ht="27" x14ac:dyDescent="0.4">
      <c r="A197" s="65"/>
      <c r="B197" s="66"/>
      <c r="C197" s="66"/>
      <c r="D197" s="67"/>
      <c r="E197" s="68"/>
      <c r="F197" s="68"/>
      <c r="G197" s="66"/>
      <c r="H197" s="67"/>
      <c r="I197" s="67"/>
      <c r="J197" s="67"/>
      <c r="K197" s="66"/>
      <c r="L197" s="68"/>
      <c r="M197" s="66"/>
      <c r="N197" s="69"/>
      <c r="O197" s="67"/>
      <c r="P197" s="66"/>
      <c r="Q197" s="65"/>
      <c r="R197" s="68"/>
    </row>
    <row r="198" spans="1:18" ht="27" x14ac:dyDescent="0.4">
      <c r="A198" s="65"/>
      <c r="B198" s="66"/>
      <c r="C198" s="66"/>
      <c r="D198" s="67"/>
      <c r="E198" s="68"/>
      <c r="F198" s="68"/>
      <c r="G198" s="66"/>
      <c r="H198" s="67"/>
      <c r="I198" s="67"/>
      <c r="J198" s="67"/>
      <c r="K198" s="66"/>
      <c r="L198" s="68"/>
      <c r="M198" s="66"/>
      <c r="N198" s="69"/>
      <c r="O198" s="67"/>
      <c r="P198" s="66"/>
      <c r="Q198" s="65"/>
      <c r="R198" s="68"/>
    </row>
    <row r="199" spans="1:18" ht="27" x14ac:dyDescent="0.4">
      <c r="A199" s="65"/>
      <c r="B199" s="66"/>
      <c r="C199" s="66"/>
      <c r="D199" s="67"/>
      <c r="E199" s="68"/>
      <c r="F199" s="68"/>
      <c r="G199" s="66"/>
      <c r="H199" s="67"/>
      <c r="I199" s="67"/>
      <c r="J199" s="67"/>
      <c r="K199" s="66"/>
      <c r="L199" s="68"/>
      <c r="M199" s="66"/>
      <c r="N199" s="69"/>
      <c r="O199" s="67"/>
      <c r="P199" s="66"/>
      <c r="Q199" s="65"/>
      <c r="R199" s="68"/>
    </row>
    <row r="200" spans="1:18" ht="27" x14ac:dyDescent="0.4">
      <c r="A200" s="65"/>
      <c r="B200" s="66"/>
      <c r="C200" s="66"/>
      <c r="D200" s="67"/>
      <c r="E200" s="68"/>
      <c r="F200" s="68"/>
      <c r="G200" s="66"/>
      <c r="H200" s="67"/>
      <c r="I200" s="67"/>
      <c r="J200" s="67"/>
      <c r="K200" s="66"/>
      <c r="L200" s="68"/>
      <c r="M200" s="66"/>
      <c r="N200" s="69"/>
      <c r="O200" s="67"/>
      <c r="P200" s="66"/>
      <c r="Q200" s="65"/>
      <c r="R200" s="68"/>
    </row>
    <row r="201" spans="1:18" ht="27" x14ac:dyDescent="0.4">
      <c r="A201" s="65"/>
      <c r="B201" s="66"/>
      <c r="C201" s="66"/>
      <c r="D201" s="67"/>
      <c r="E201" s="68"/>
      <c r="F201" s="68"/>
      <c r="G201" s="66"/>
      <c r="H201" s="67"/>
      <c r="I201" s="67"/>
      <c r="J201" s="67"/>
      <c r="K201" s="66"/>
      <c r="L201" s="68"/>
      <c r="M201" s="66"/>
      <c r="N201" s="69"/>
      <c r="O201" s="67"/>
      <c r="P201" s="66"/>
      <c r="Q201" s="65"/>
      <c r="R201" s="68"/>
    </row>
    <row r="202" spans="1:18" ht="27" x14ac:dyDescent="0.4">
      <c r="A202" s="65"/>
      <c r="B202" s="66"/>
      <c r="C202" s="66"/>
      <c r="D202" s="67"/>
      <c r="E202" s="68"/>
      <c r="F202" s="68"/>
      <c r="G202" s="66"/>
      <c r="H202" s="67"/>
      <c r="I202" s="67"/>
      <c r="J202" s="67"/>
      <c r="K202" s="66"/>
      <c r="L202" s="68"/>
      <c r="M202" s="66"/>
      <c r="N202" s="69"/>
      <c r="O202" s="67"/>
      <c r="P202" s="66"/>
      <c r="Q202" s="65"/>
      <c r="R202" s="68"/>
    </row>
    <row r="203" spans="1:18" ht="27" x14ac:dyDescent="0.4">
      <c r="A203" s="65"/>
      <c r="B203" s="66"/>
      <c r="C203" s="66"/>
      <c r="D203" s="67"/>
      <c r="E203" s="68"/>
      <c r="F203" s="68"/>
      <c r="G203" s="66"/>
      <c r="H203" s="67"/>
      <c r="I203" s="67"/>
      <c r="J203" s="67"/>
      <c r="K203" s="66"/>
      <c r="L203" s="68"/>
      <c r="M203" s="66"/>
      <c r="N203" s="69"/>
      <c r="O203" s="67"/>
      <c r="P203" s="66"/>
      <c r="Q203" s="65"/>
      <c r="R203" s="68"/>
    </row>
    <row r="204" spans="1:18" ht="27" x14ac:dyDescent="0.4">
      <c r="A204" s="65"/>
      <c r="B204" s="66"/>
      <c r="C204" s="66"/>
      <c r="D204" s="67"/>
      <c r="E204" s="68"/>
      <c r="F204" s="68"/>
      <c r="G204" s="66"/>
      <c r="H204" s="67"/>
      <c r="I204" s="67"/>
      <c r="J204" s="67"/>
      <c r="K204" s="66"/>
      <c r="L204" s="68"/>
      <c r="M204" s="66"/>
      <c r="N204" s="69"/>
      <c r="O204" s="67"/>
      <c r="P204" s="66"/>
      <c r="Q204" s="65"/>
      <c r="R204" s="68"/>
    </row>
    <row r="205" spans="1:18" ht="27" x14ac:dyDescent="0.4">
      <c r="A205" s="65"/>
      <c r="B205" s="66"/>
      <c r="C205" s="66"/>
      <c r="D205" s="67"/>
      <c r="E205" s="68"/>
      <c r="F205" s="68"/>
      <c r="G205" s="66"/>
      <c r="H205" s="67"/>
      <c r="I205" s="67"/>
      <c r="J205" s="67"/>
      <c r="K205" s="66"/>
      <c r="L205" s="68"/>
      <c r="M205" s="66"/>
      <c r="N205" s="69"/>
      <c r="O205" s="67"/>
      <c r="P205" s="66"/>
      <c r="Q205" s="65"/>
      <c r="R205" s="68"/>
    </row>
    <row r="206" spans="1:18" ht="27" x14ac:dyDescent="0.4">
      <c r="A206" s="65"/>
      <c r="B206" s="66"/>
      <c r="C206" s="66"/>
      <c r="D206" s="67"/>
      <c r="E206" s="68"/>
      <c r="F206" s="68"/>
      <c r="G206" s="66"/>
      <c r="H206" s="67"/>
      <c r="I206" s="67"/>
      <c r="J206" s="67"/>
      <c r="K206" s="66"/>
      <c r="L206" s="68"/>
      <c r="M206" s="66"/>
      <c r="N206" s="69"/>
      <c r="O206" s="67"/>
      <c r="P206" s="66"/>
      <c r="Q206" s="65"/>
      <c r="R206" s="68"/>
    </row>
    <row r="207" spans="1:18" ht="27" x14ac:dyDescent="0.4">
      <c r="A207" s="65"/>
      <c r="B207" s="66"/>
      <c r="C207" s="66"/>
      <c r="D207" s="67"/>
      <c r="E207" s="68"/>
      <c r="F207" s="68"/>
      <c r="G207" s="66"/>
      <c r="H207" s="67"/>
      <c r="I207" s="67"/>
      <c r="J207" s="67"/>
      <c r="K207" s="66"/>
      <c r="L207" s="68"/>
      <c r="M207" s="66"/>
      <c r="N207" s="69"/>
      <c r="O207" s="67"/>
      <c r="P207" s="66"/>
      <c r="Q207" s="65"/>
      <c r="R207" s="68"/>
    </row>
    <row r="208" spans="1:18" ht="27" x14ac:dyDescent="0.4">
      <c r="A208" s="65"/>
      <c r="B208" s="66"/>
      <c r="C208" s="66"/>
      <c r="D208" s="67"/>
      <c r="E208" s="68"/>
      <c r="F208" s="68"/>
      <c r="G208" s="66"/>
      <c r="H208" s="67"/>
      <c r="I208" s="67"/>
      <c r="J208" s="67"/>
      <c r="K208" s="66"/>
      <c r="L208" s="68"/>
      <c r="M208" s="66"/>
      <c r="N208" s="69"/>
      <c r="O208" s="67"/>
      <c r="P208" s="66"/>
      <c r="Q208" s="65"/>
      <c r="R208" s="68"/>
    </row>
    <row r="209" spans="1:18" ht="27" x14ac:dyDescent="0.4">
      <c r="A209" s="65"/>
      <c r="B209" s="66"/>
      <c r="C209" s="66"/>
      <c r="D209" s="67"/>
      <c r="E209" s="68"/>
      <c r="F209" s="68"/>
      <c r="G209" s="66"/>
      <c r="H209" s="67"/>
      <c r="I209" s="67"/>
      <c r="J209" s="67"/>
      <c r="K209" s="66"/>
      <c r="L209" s="68"/>
      <c r="M209" s="66"/>
      <c r="N209" s="69"/>
      <c r="O209" s="67"/>
      <c r="P209" s="66"/>
      <c r="Q209" s="65"/>
      <c r="R209" s="68"/>
    </row>
    <row r="210" spans="1:18" ht="27" x14ac:dyDescent="0.4">
      <c r="A210" s="65"/>
      <c r="B210" s="66"/>
      <c r="C210" s="66"/>
      <c r="D210" s="67"/>
      <c r="E210" s="68"/>
      <c r="F210" s="68"/>
      <c r="G210" s="66"/>
      <c r="H210" s="67"/>
      <c r="I210" s="67"/>
      <c r="J210" s="67"/>
      <c r="K210" s="66"/>
      <c r="L210" s="68"/>
      <c r="M210" s="66"/>
      <c r="N210" s="69"/>
      <c r="O210" s="67"/>
      <c r="P210" s="66"/>
      <c r="Q210" s="65"/>
      <c r="R210" s="68"/>
    </row>
    <row r="211" spans="1:18" ht="27" x14ac:dyDescent="0.4">
      <c r="A211" s="65"/>
      <c r="B211" s="133"/>
      <c r="C211" s="133"/>
      <c r="D211" s="134"/>
      <c r="E211" s="135"/>
      <c r="F211" s="135"/>
      <c r="G211" s="133"/>
      <c r="H211" s="134"/>
      <c r="I211" s="134"/>
      <c r="J211" s="134"/>
      <c r="K211" s="133"/>
      <c r="L211" s="135"/>
      <c r="M211" s="133"/>
      <c r="N211" s="136"/>
      <c r="O211" s="134"/>
      <c r="P211" s="133"/>
      <c r="Q211" s="65"/>
      <c r="R211" s="68"/>
    </row>
    <row r="212" spans="1:18" ht="27" x14ac:dyDescent="0.4">
      <c r="A212" s="65"/>
      <c r="B212" s="133"/>
      <c r="C212" s="133"/>
      <c r="D212" s="134"/>
      <c r="E212" s="135"/>
      <c r="F212" s="135"/>
      <c r="G212" s="133"/>
      <c r="H212" s="134"/>
      <c r="I212" s="134"/>
      <c r="J212" s="134"/>
      <c r="K212" s="133"/>
      <c r="L212" s="135"/>
      <c r="M212" s="133"/>
      <c r="N212" s="136"/>
      <c r="O212" s="134"/>
      <c r="P212" s="133"/>
      <c r="Q212" s="65"/>
      <c r="R212" s="68"/>
    </row>
    <row r="213" spans="1:18" ht="27" x14ac:dyDescent="0.4">
      <c r="A213" s="65"/>
      <c r="B213" s="133"/>
      <c r="C213" s="133"/>
      <c r="D213" s="134"/>
      <c r="E213" s="135"/>
      <c r="F213" s="135"/>
      <c r="G213" s="133"/>
      <c r="H213" s="134"/>
      <c r="I213" s="134"/>
      <c r="J213" s="134"/>
      <c r="K213" s="133"/>
      <c r="L213" s="135"/>
      <c r="M213" s="133"/>
      <c r="N213" s="136"/>
      <c r="O213" s="134"/>
      <c r="P213" s="133"/>
      <c r="Q213" s="65"/>
      <c r="R213" s="68"/>
    </row>
    <row r="214" spans="1:18" ht="27" x14ac:dyDescent="0.4">
      <c r="A214" s="65"/>
      <c r="B214" s="133"/>
      <c r="C214" s="133"/>
      <c r="D214" s="134"/>
      <c r="E214" s="135"/>
      <c r="F214" s="135"/>
      <c r="G214" s="133"/>
      <c r="H214" s="134"/>
      <c r="I214" s="134"/>
      <c r="J214" s="134"/>
      <c r="K214" s="133"/>
      <c r="L214" s="135"/>
      <c r="M214" s="133"/>
      <c r="N214" s="136"/>
      <c r="O214" s="134"/>
      <c r="P214" s="133"/>
      <c r="Q214" s="65"/>
      <c r="R214" s="68"/>
    </row>
    <row r="215" spans="1:18" ht="27" x14ac:dyDescent="0.4">
      <c r="A215" s="65"/>
      <c r="B215" s="133"/>
      <c r="C215" s="133"/>
      <c r="D215" s="134"/>
      <c r="E215" s="135"/>
      <c r="F215" s="135"/>
      <c r="G215" s="133"/>
      <c r="H215" s="134"/>
      <c r="I215" s="134"/>
      <c r="J215" s="134"/>
      <c r="K215" s="133"/>
      <c r="L215" s="135"/>
      <c r="M215" s="133"/>
      <c r="N215" s="136"/>
      <c r="O215" s="134"/>
      <c r="P215" s="133"/>
      <c r="Q215" s="65"/>
      <c r="R215" s="68"/>
    </row>
    <row r="216" spans="1:18" ht="27" x14ac:dyDescent="0.4">
      <c r="A216" s="65"/>
      <c r="B216" s="133"/>
      <c r="C216" s="133"/>
      <c r="D216" s="134"/>
      <c r="E216" s="135"/>
      <c r="F216" s="135"/>
      <c r="G216" s="133"/>
      <c r="H216" s="134"/>
      <c r="I216" s="134"/>
      <c r="J216" s="134"/>
      <c r="K216" s="133"/>
      <c r="L216" s="135"/>
      <c r="M216" s="133"/>
      <c r="N216" s="136"/>
      <c r="O216" s="134"/>
      <c r="P216" s="133"/>
      <c r="Q216" s="65"/>
      <c r="R216" s="68"/>
    </row>
    <row r="217" spans="1:18" ht="27" x14ac:dyDescent="0.4">
      <c r="A217" s="65"/>
      <c r="B217" s="133"/>
      <c r="C217" s="133"/>
      <c r="D217" s="134"/>
      <c r="E217" s="135"/>
      <c r="F217" s="135"/>
      <c r="G217" s="133"/>
      <c r="H217" s="134"/>
      <c r="I217" s="134"/>
      <c r="J217" s="134"/>
      <c r="K217" s="133"/>
      <c r="L217" s="135"/>
      <c r="M217" s="133"/>
      <c r="N217" s="136"/>
      <c r="O217" s="134"/>
      <c r="P217" s="133"/>
      <c r="Q217" s="65"/>
      <c r="R217" s="68"/>
    </row>
    <row r="218" spans="1:18" ht="27" x14ac:dyDescent="0.4">
      <c r="A218" s="65"/>
      <c r="B218" s="133"/>
      <c r="C218" s="133"/>
      <c r="D218" s="134"/>
      <c r="E218" s="135"/>
      <c r="F218" s="135"/>
      <c r="G218" s="133"/>
      <c r="H218" s="134"/>
      <c r="I218" s="134"/>
      <c r="J218" s="134"/>
      <c r="K218" s="133"/>
      <c r="L218" s="135"/>
      <c r="M218" s="133"/>
      <c r="N218" s="136"/>
      <c r="O218" s="134"/>
      <c r="P218" s="133"/>
      <c r="Q218" s="65"/>
      <c r="R218" s="68"/>
    </row>
    <row r="219" spans="1:18" ht="27" x14ac:dyDescent="0.4">
      <c r="A219" s="65"/>
      <c r="B219" s="66"/>
      <c r="C219" s="65"/>
      <c r="D219" s="67"/>
      <c r="E219" s="68"/>
      <c r="F219" s="68"/>
      <c r="G219" s="66"/>
      <c r="H219" s="67"/>
      <c r="I219" s="67"/>
      <c r="J219" s="67"/>
      <c r="K219" s="66"/>
      <c r="L219" s="68"/>
      <c r="M219" s="66"/>
      <c r="N219" s="69"/>
      <c r="O219" s="67"/>
      <c r="P219" s="66"/>
      <c r="Q219" s="65"/>
      <c r="R219" s="68"/>
    </row>
    <row r="220" spans="1:18" ht="27" x14ac:dyDescent="0.4">
      <c r="A220" s="65"/>
      <c r="B220" s="66"/>
      <c r="C220" s="66"/>
      <c r="D220" s="67"/>
      <c r="E220" s="68"/>
      <c r="F220" s="68"/>
      <c r="G220" s="66"/>
      <c r="H220" s="67"/>
      <c r="I220" s="67"/>
      <c r="J220" s="67"/>
      <c r="K220" s="66"/>
      <c r="L220" s="68"/>
      <c r="M220" s="66"/>
      <c r="N220" s="69"/>
      <c r="O220" s="67"/>
      <c r="P220" s="66"/>
      <c r="Q220" s="65"/>
      <c r="R220" s="68"/>
    </row>
    <row r="221" spans="1:18" ht="27" x14ac:dyDescent="0.4">
      <c r="A221" s="65"/>
      <c r="B221" s="66"/>
      <c r="C221" s="66"/>
      <c r="D221" s="67"/>
      <c r="E221" s="68"/>
      <c r="F221" s="68"/>
      <c r="G221" s="66"/>
      <c r="H221" s="67"/>
      <c r="I221" s="67"/>
      <c r="J221" s="67"/>
      <c r="K221" s="66"/>
      <c r="L221" s="68"/>
      <c r="M221" s="66"/>
      <c r="N221" s="69"/>
      <c r="O221" s="67"/>
      <c r="P221" s="66"/>
      <c r="Q221" s="65"/>
      <c r="R221" s="65"/>
    </row>
    <row r="222" spans="1:18" ht="27" x14ac:dyDescent="0.4">
      <c r="A222" s="65"/>
      <c r="B222" s="66"/>
      <c r="C222" s="66"/>
      <c r="D222" s="67"/>
      <c r="E222" s="68"/>
      <c r="F222" s="68"/>
      <c r="G222" s="66"/>
      <c r="H222" s="67"/>
      <c r="I222" s="67"/>
      <c r="J222" s="67"/>
      <c r="K222" s="66"/>
      <c r="L222" s="68"/>
      <c r="M222" s="66"/>
      <c r="N222" s="69"/>
      <c r="O222" s="67"/>
      <c r="P222" s="66"/>
      <c r="Q222" s="65"/>
      <c r="R222" s="65"/>
    </row>
    <row r="223" spans="1:18" ht="27" x14ac:dyDescent="0.4">
      <c r="A223" s="65"/>
      <c r="B223" s="66"/>
      <c r="C223" s="66"/>
      <c r="D223" s="67"/>
      <c r="E223" s="68"/>
      <c r="F223" s="68"/>
      <c r="G223" s="66"/>
      <c r="H223" s="67"/>
      <c r="I223" s="67"/>
      <c r="J223" s="67"/>
      <c r="K223" s="66"/>
      <c r="L223" s="68"/>
      <c r="M223" s="66"/>
      <c r="N223" s="69"/>
      <c r="O223" s="67"/>
      <c r="P223" s="66"/>
      <c r="Q223" s="65"/>
      <c r="R223" s="65"/>
    </row>
    <row r="224" spans="1:18" ht="27" x14ac:dyDescent="0.4">
      <c r="A224" s="65"/>
      <c r="B224" s="66"/>
      <c r="C224" s="66"/>
      <c r="D224" s="67"/>
      <c r="E224" s="68"/>
      <c r="F224" s="68"/>
      <c r="G224" s="66"/>
      <c r="H224" s="67"/>
      <c r="I224" s="67"/>
      <c r="J224" s="67"/>
      <c r="K224" s="66"/>
      <c r="L224" s="68"/>
      <c r="M224" s="66"/>
      <c r="N224" s="69"/>
      <c r="O224" s="67"/>
      <c r="P224" s="66"/>
      <c r="Q224" s="65"/>
      <c r="R224" s="65"/>
    </row>
    <row r="225" spans="1:18" ht="27" x14ac:dyDescent="0.4">
      <c r="A225" s="65"/>
      <c r="B225" s="66"/>
      <c r="C225" s="66"/>
      <c r="D225" s="67"/>
      <c r="E225" s="68"/>
      <c r="F225" s="68"/>
      <c r="G225" s="66"/>
      <c r="H225" s="67"/>
      <c r="I225" s="67"/>
      <c r="J225" s="67"/>
      <c r="K225" s="66"/>
      <c r="L225" s="68"/>
      <c r="M225" s="66"/>
      <c r="N225" s="69"/>
      <c r="O225" s="67"/>
      <c r="P225" s="66"/>
      <c r="Q225" s="65"/>
      <c r="R225" s="65"/>
    </row>
    <row r="226" spans="1:18" ht="27" x14ac:dyDescent="0.4">
      <c r="A226" s="65"/>
      <c r="B226" s="66"/>
      <c r="C226" s="66"/>
      <c r="D226" s="67"/>
      <c r="E226" s="68"/>
      <c r="F226" s="68"/>
      <c r="G226" s="66"/>
      <c r="H226" s="67"/>
      <c r="I226" s="67"/>
      <c r="J226" s="67"/>
      <c r="K226" s="66"/>
      <c r="L226" s="68"/>
      <c r="M226" s="66"/>
      <c r="N226" s="69"/>
      <c r="O226" s="67"/>
      <c r="P226" s="66"/>
      <c r="Q226" s="65"/>
      <c r="R226" s="70"/>
    </row>
    <row r="227" spans="1:18" ht="27" x14ac:dyDescent="0.4">
      <c r="A227" s="65"/>
      <c r="B227" s="66"/>
      <c r="C227" s="66"/>
      <c r="D227" s="67"/>
      <c r="E227" s="68"/>
      <c r="F227" s="68"/>
      <c r="G227" s="66"/>
      <c r="H227" s="67"/>
      <c r="I227" s="67"/>
      <c r="J227" s="67"/>
      <c r="K227" s="66"/>
      <c r="L227" s="68"/>
      <c r="M227" s="66"/>
      <c r="N227" s="69"/>
      <c r="O227" s="67"/>
      <c r="P227" s="66"/>
      <c r="Q227" s="65"/>
      <c r="R227" s="65"/>
    </row>
    <row r="228" spans="1:18" ht="27" x14ac:dyDescent="0.4">
      <c r="A228" s="65"/>
      <c r="B228" s="66"/>
      <c r="C228" s="66"/>
      <c r="D228" s="67"/>
      <c r="E228" s="68"/>
      <c r="F228" s="68"/>
      <c r="G228" s="66"/>
      <c r="H228" s="67"/>
      <c r="I228" s="67"/>
      <c r="J228" s="67"/>
      <c r="K228" s="66"/>
      <c r="L228" s="68"/>
      <c r="M228" s="66"/>
      <c r="N228" s="69"/>
      <c r="O228" s="67"/>
      <c r="P228" s="66"/>
      <c r="Q228" s="65"/>
      <c r="R228" s="68"/>
    </row>
    <row r="229" spans="1:18" ht="27" x14ac:dyDescent="0.4">
      <c r="A229" s="65"/>
      <c r="B229" s="66"/>
      <c r="C229" s="66"/>
      <c r="D229" s="67"/>
      <c r="E229" s="68"/>
      <c r="F229" s="68"/>
      <c r="G229" s="66"/>
      <c r="H229" s="67"/>
      <c r="I229" s="67"/>
      <c r="J229" s="67"/>
      <c r="K229" s="66"/>
      <c r="L229" s="68"/>
      <c r="M229" s="66"/>
      <c r="N229" s="69"/>
      <c r="O229" s="67"/>
      <c r="P229" s="66"/>
      <c r="Q229" s="65"/>
      <c r="R229" s="68"/>
    </row>
    <row r="230" spans="1:18" ht="27" x14ac:dyDescent="0.4">
      <c r="A230" s="65"/>
      <c r="B230" s="66"/>
      <c r="C230" s="66"/>
      <c r="D230" s="67"/>
      <c r="E230" s="68"/>
      <c r="F230" s="68"/>
      <c r="G230" s="66"/>
      <c r="H230" s="67"/>
      <c r="I230" s="67"/>
      <c r="J230" s="67"/>
      <c r="K230" s="66"/>
      <c r="L230" s="68"/>
      <c r="M230" s="66"/>
      <c r="N230" s="69"/>
      <c r="O230" s="67"/>
      <c r="P230" s="66"/>
      <c r="Q230" s="65"/>
      <c r="R230" s="68"/>
    </row>
    <row r="231" spans="1:18" ht="27" x14ac:dyDescent="0.4">
      <c r="A231" s="65"/>
      <c r="B231" s="66"/>
      <c r="C231" s="66"/>
      <c r="D231" s="67"/>
      <c r="E231" s="68"/>
      <c r="F231" s="68"/>
      <c r="G231" s="66"/>
      <c r="H231" s="67"/>
      <c r="I231" s="67"/>
      <c r="J231" s="67"/>
      <c r="K231" s="66"/>
      <c r="L231" s="68"/>
      <c r="M231" s="66"/>
      <c r="N231" s="69"/>
      <c r="O231" s="67"/>
      <c r="P231" s="66"/>
      <c r="Q231" s="65"/>
      <c r="R231" s="68"/>
    </row>
    <row r="232" spans="1:18" ht="27" x14ac:dyDescent="0.4">
      <c r="A232" s="65"/>
      <c r="B232" s="66"/>
      <c r="C232" s="66"/>
      <c r="D232" s="67"/>
      <c r="E232" s="68"/>
      <c r="F232" s="68"/>
      <c r="G232" s="66"/>
      <c r="H232" s="67"/>
      <c r="I232" s="67"/>
      <c r="J232" s="67"/>
      <c r="K232" s="66"/>
      <c r="L232" s="68"/>
      <c r="M232" s="66"/>
      <c r="N232" s="69"/>
      <c r="O232" s="67"/>
      <c r="P232" s="66"/>
      <c r="Q232" s="65"/>
      <c r="R232" s="68"/>
    </row>
    <row r="233" spans="1:18" ht="27" x14ac:dyDescent="0.4">
      <c r="A233" s="65"/>
      <c r="B233" s="66"/>
      <c r="C233" s="66"/>
      <c r="D233" s="67"/>
      <c r="E233" s="68"/>
      <c r="F233" s="68"/>
      <c r="G233" s="66"/>
      <c r="H233" s="67"/>
      <c r="I233" s="67"/>
      <c r="J233" s="67"/>
      <c r="K233" s="66"/>
      <c r="L233" s="68"/>
      <c r="M233" s="66"/>
      <c r="N233" s="69"/>
      <c r="O233" s="67"/>
      <c r="P233" s="66"/>
      <c r="Q233" s="65"/>
      <c r="R233" s="68"/>
    </row>
    <row r="234" spans="1:18" ht="27" x14ac:dyDescent="0.4">
      <c r="A234" s="65"/>
      <c r="B234" s="66"/>
      <c r="C234" s="66"/>
      <c r="D234" s="67"/>
      <c r="E234" s="68"/>
      <c r="F234" s="68"/>
      <c r="G234" s="66"/>
      <c r="H234" s="67"/>
      <c r="I234" s="67"/>
      <c r="J234" s="67"/>
      <c r="K234" s="66"/>
      <c r="L234" s="68"/>
      <c r="M234" s="66"/>
      <c r="N234" s="69"/>
      <c r="O234" s="67"/>
      <c r="P234" s="66"/>
      <c r="Q234" s="65"/>
      <c r="R234" s="68"/>
    </row>
    <row r="235" spans="1:18" ht="27" x14ac:dyDescent="0.4">
      <c r="A235" s="65"/>
      <c r="B235" s="66"/>
      <c r="C235" s="66"/>
      <c r="D235" s="67"/>
      <c r="E235" s="68"/>
      <c r="F235" s="68"/>
      <c r="G235" s="66"/>
      <c r="H235" s="67"/>
      <c r="I235" s="67"/>
      <c r="J235" s="67"/>
      <c r="K235" s="66"/>
      <c r="L235" s="68"/>
      <c r="M235" s="66"/>
      <c r="N235" s="69"/>
      <c r="O235" s="67"/>
      <c r="P235" s="66"/>
      <c r="Q235" s="65"/>
      <c r="R235" s="68"/>
    </row>
    <row r="236" spans="1:18" ht="27" x14ac:dyDescent="0.4">
      <c r="A236" s="65"/>
      <c r="B236" s="66"/>
      <c r="C236" s="66"/>
      <c r="D236" s="67"/>
      <c r="E236" s="68"/>
      <c r="F236" s="68"/>
      <c r="G236" s="66"/>
      <c r="H236" s="67"/>
      <c r="I236" s="67"/>
      <c r="J236" s="67"/>
      <c r="K236" s="66"/>
      <c r="L236" s="68"/>
      <c r="M236" s="66"/>
      <c r="N236" s="69"/>
      <c r="O236" s="67"/>
      <c r="P236" s="66"/>
      <c r="Q236" s="65"/>
      <c r="R236" s="68"/>
    </row>
    <row r="237" spans="1:18" ht="27" x14ac:dyDescent="0.4">
      <c r="A237" s="65"/>
      <c r="B237" s="66"/>
      <c r="C237" s="66"/>
      <c r="D237" s="67"/>
      <c r="E237" s="68"/>
      <c r="F237" s="68"/>
      <c r="G237" s="66"/>
      <c r="H237" s="67"/>
      <c r="I237" s="67"/>
      <c r="J237" s="67"/>
      <c r="K237" s="66"/>
      <c r="L237" s="68"/>
      <c r="M237" s="66"/>
      <c r="N237" s="69"/>
      <c r="O237" s="67"/>
      <c r="P237" s="66"/>
      <c r="Q237" s="65"/>
      <c r="R237" s="68"/>
    </row>
    <row r="238" spans="1:18" ht="27" x14ac:dyDescent="0.4">
      <c r="A238" s="65"/>
      <c r="B238" s="66"/>
      <c r="C238" s="66"/>
      <c r="D238" s="67"/>
      <c r="E238" s="68"/>
      <c r="F238" s="68"/>
      <c r="G238" s="66"/>
      <c r="H238" s="67"/>
      <c r="I238" s="67"/>
      <c r="J238" s="67"/>
      <c r="K238" s="66"/>
      <c r="L238" s="68"/>
      <c r="M238" s="66"/>
      <c r="N238" s="69"/>
      <c r="O238" s="67"/>
      <c r="P238" s="66"/>
      <c r="Q238" s="65"/>
      <c r="R238" s="68"/>
    </row>
    <row r="239" spans="1:18" ht="27" x14ac:dyDescent="0.4">
      <c r="A239" s="65"/>
      <c r="B239" s="66"/>
      <c r="C239" s="66"/>
      <c r="D239" s="67"/>
      <c r="E239" s="68"/>
      <c r="F239" s="68"/>
      <c r="G239" s="66"/>
      <c r="H239" s="67"/>
      <c r="I239" s="67"/>
      <c r="J239" s="67"/>
      <c r="K239" s="66"/>
      <c r="L239" s="68"/>
      <c r="M239" s="66"/>
      <c r="N239" s="69"/>
      <c r="O239" s="67"/>
      <c r="P239" s="66"/>
      <c r="Q239" s="65"/>
      <c r="R239" s="68"/>
    </row>
    <row r="240" spans="1:18" ht="27" x14ac:dyDescent="0.4">
      <c r="A240" s="65"/>
      <c r="B240" s="66"/>
      <c r="C240" s="66"/>
      <c r="D240" s="67"/>
      <c r="E240" s="68"/>
      <c r="F240" s="68"/>
      <c r="G240" s="66"/>
      <c r="H240" s="67"/>
      <c r="I240" s="67"/>
      <c r="J240" s="67"/>
      <c r="K240" s="66"/>
      <c r="L240" s="68"/>
      <c r="M240" s="66"/>
      <c r="N240" s="69"/>
      <c r="O240" s="67"/>
      <c r="P240" s="66"/>
      <c r="Q240" s="65"/>
      <c r="R240" s="68"/>
    </row>
    <row r="241" spans="1:18" ht="27" x14ac:dyDescent="0.4">
      <c r="A241" s="65"/>
      <c r="B241" s="66"/>
      <c r="C241" s="66"/>
      <c r="D241" s="67"/>
      <c r="E241" s="68"/>
      <c r="F241" s="68"/>
      <c r="G241" s="66"/>
      <c r="H241" s="67"/>
      <c r="I241" s="67"/>
      <c r="J241" s="67"/>
      <c r="K241" s="66"/>
      <c r="L241" s="68"/>
      <c r="M241" s="66"/>
      <c r="N241" s="69"/>
      <c r="O241" s="67"/>
      <c r="P241" s="66"/>
      <c r="Q241" s="65"/>
      <c r="R241" s="68"/>
    </row>
    <row r="242" spans="1:18" ht="27" x14ac:dyDescent="0.4">
      <c r="A242" s="65"/>
      <c r="B242" s="66"/>
      <c r="C242" s="66"/>
      <c r="D242" s="67"/>
      <c r="E242" s="68"/>
      <c r="F242" s="68"/>
      <c r="G242" s="66"/>
      <c r="H242" s="67"/>
      <c r="I242" s="67"/>
      <c r="J242" s="67"/>
      <c r="K242" s="66"/>
      <c r="L242" s="68"/>
      <c r="M242" s="66"/>
      <c r="N242" s="69"/>
      <c r="O242" s="67"/>
      <c r="P242" s="66"/>
      <c r="Q242" s="65"/>
      <c r="R242" s="68"/>
    </row>
    <row r="243" spans="1:18" ht="27" x14ac:dyDescent="0.4">
      <c r="A243" s="65"/>
      <c r="B243" s="66"/>
      <c r="C243" s="66"/>
      <c r="D243" s="67"/>
      <c r="E243" s="68"/>
      <c r="F243" s="68"/>
      <c r="G243" s="66"/>
      <c r="H243" s="67"/>
      <c r="I243" s="67"/>
      <c r="J243" s="67"/>
      <c r="K243" s="66"/>
      <c r="L243" s="68"/>
      <c r="M243" s="66"/>
      <c r="N243" s="69"/>
      <c r="O243" s="67"/>
      <c r="P243" s="66"/>
      <c r="Q243" s="65"/>
      <c r="R243" s="68"/>
    </row>
    <row r="244" spans="1:18" ht="27" x14ac:dyDescent="0.4">
      <c r="A244" s="65"/>
      <c r="B244" s="66"/>
      <c r="C244" s="66"/>
      <c r="D244" s="67"/>
      <c r="E244" s="68"/>
      <c r="F244" s="68"/>
      <c r="G244" s="66"/>
      <c r="H244" s="67"/>
      <c r="I244" s="67"/>
      <c r="J244" s="67"/>
      <c r="K244" s="66"/>
      <c r="L244" s="68"/>
      <c r="M244" s="66"/>
      <c r="N244" s="69"/>
      <c r="O244" s="67"/>
      <c r="P244" s="66"/>
      <c r="Q244" s="65"/>
      <c r="R244" s="68"/>
    </row>
    <row r="245" spans="1:18" ht="27" x14ac:dyDescent="0.4">
      <c r="A245" s="65"/>
      <c r="B245" s="66"/>
      <c r="C245" s="66"/>
      <c r="D245" s="67"/>
      <c r="E245" s="68"/>
      <c r="F245" s="68"/>
      <c r="G245" s="66"/>
      <c r="H245" s="67"/>
      <c r="I245" s="67"/>
      <c r="J245" s="67"/>
      <c r="K245" s="66"/>
      <c r="L245" s="68"/>
      <c r="M245" s="66"/>
      <c r="N245" s="69"/>
      <c r="O245" s="67"/>
      <c r="P245" s="66"/>
      <c r="Q245" s="65"/>
      <c r="R245" s="68"/>
    </row>
    <row r="246" spans="1:18" ht="27" x14ac:dyDescent="0.4">
      <c r="A246" s="65"/>
      <c r="B246" s="66"/>
      <c r="C246" s="66"/>
      <c r="D246" s="67"/>
      <c r="E246" s="68"/>
      <c r="F246" s="68"/>
      <c r="G246" s="66"/>
      <c r="H246" s="67"/>
      <c r="I246" s="67"/>
      <c r="J246" s="67"/>
      <c r="K246" s="66"/>
      <c r="L246" s="68"/>
      <c r="M246" s="66"/>
      <c r="N246" s="69"/>
      <c r="O246" s="67"/>
      <c r="P246" s="66"/>
      <c r="Q246" s="65"/>
      <c r="R246" s="68"/>
    </row>
    <row r="247" spans="1:18" ht="27" x14ac:dyDescent="0.4">
      <c r="A247" s="65"/>
      <c r="B247" s="66"/>
      <c r="C247" s="66"/>
      <c r="D247" s="67"/>
      <c r="E247" s="68"/>
      <c r="F247" s="68"/>
      <c r="G247" s="66"/>
      <c r="H247" s="67"/>
      <c r="I247" s="67"/>
      <c r="J247" s="67"/>
      <c r="K247" s="66"/>
      <c r="L247" s="68"/>
      <c r="M247" s="66"/>
      <c r="N247" s="69"/>
      <c r="O247" s="67"/>
      <c r="P247" s="66"/>
      <c r="Q247" s="65"/>
      <c r="R247" s="68"/>
    </row>
    <row r="248" spans="1:18" ht="27" x14ac:dyDescent="0.4">
      <c r="A248" s="65"/>
      <c r="B248" s="66"/>
      <c r="C248" s="66"/>
      <c r="D248" s="67"/>
      <c r="E248" s="68"/>
      <c r="F248" s="68"/>
      <c r="G248" s="66"/>
      <c r="H248" s="67"/>
      <c r="I248" s="67"/>
      <c r="J248" s="67"/>
      <c r="K248" s="66"/>
      <c r="L248" s="68"/>
      <c r="M248" s="66"/>
      <c r="N248" s="69"/>
      <c r="O248" s="67"/>
      <c r="P248" s="66"/>
      <c r="Q248" s="65"/>
      <c r="R248" s="68"/>
    </row>
    <row r="249" spans="1:18" ht="27" x14ac:dyDescent="0.4">
      <c r="A249" s="65"/>
      <c r="B249" s="66"/>
      <c r="C249" s="66"/>
      <c r="D249" s="67"/>
      <c r="E249" s="68"/>
      <c r="F249" s="68"/>
      <c r="G249" s="66"/>
      <c r="H249" s="67"/>
      <c r="I249" s="67"/>
      <c r="J249" s="67"/>
      <c r="K249" s="66"/>
      <c r="L249" s="68"/>
      <c r="M249" s="66"/>
      <c r="N249" s="69"/>
      <c r="O249" s="67"/>
      <c r="P249" s="66"/>
      <c r="Q249" s="65"/>
      <c r="R249" s="68"/>
    </row>
    <row r="250" spans="1:18" ht="27" x14ac:dyDescent="0.4">
      <c r="A250" s="65"/>
      <c r="B250" s="66"/>
      <c r="C250" s="66"/>
      <c r="D250" s="67"/>
      <c r="E250" s="68"/>
      <c r="F250" s="68"/>
      <c r="G250" s="66"/>
      <c r="H250" s="67"/>
      <c r="I250" s="67"/>
      <c r="J250" s="67"/>
      <c r="K250" s="66"/>
      <c r="L250" s="68"/>
      <c r="M250" s="66"/>
      <c r="N250" s="69"/>
      <c r="O250" s="67"/>
      <c r="P250" s="66"/>
      <c r="Q250" s="65"/>
      <c r="R250" s="68"/>
    </row>
    <row r="251" spans="1:18" ht="27" x14ac:dyDescent="0.4">
      <c r="A251" s="65"/>
      <c r="B251" s="66"/>
      <c r="C251" s="66"/>
      <c r="D251" s="67"/>
      <c r="E251" s="68"/>
      <c r="F251" s="68"/>
      <c r="G251" s="66"/>
      <c r="H251" s="67"/>
      <c r="I251" s="67"/>
      <c r="J251" s="67"/>
      <c r="K251" s="66"/>
      <c r="L251" s="68"/>
      <c r="M251" s="66"/>
      <c r="N251" s="69"/>
      <c r="O251" s="67"/>
      <c r="P251" s="66"/>
      <c r="Q251" s="65"/>
      <c r="R251" s="68"/>
    </row>
    <row r="252" spans="1:18" ht="27" x14ac:dyDescent="0.4">
      <c r="A252" s="65"/>
      <c r="B252" s="66"/>
      <c r="C252" s="66"/>
      <c r="D252" s="67"/>
      <c r="E252" s="68"/>
      <c r="F252" s="68"/>
      <c r="G252" s="66"/>
      <c r="H252" s="67"/>
      <c r="I252" s="67"/>
      <c r="J252" s="67"/>
      <c r="K252" s="66"/>
      <c r="L252" s="68"/>
      <c r="M252" s="66"/>
      <c r="N252" s="69"/>
      <c r="O252" s="67"/>
      <c r="P252" s="66"/>
      <c r="Q252" s="65"/>
      <c r="R252" s="68"/>
    </row>
    <row r="253" spans="1:18" ht="27" x14ac:dyDescent="0.4">
      <c r="A253" s="65"/>
      <c r="B253" s="66"/>
      <c r="C253" s="66"/>
      <c r="D253" s="67"/>
      <c r="E253" s="68"/>
      <c r="F253" s="68"/>
      <c r="G253" s="66"/>
      <c r="H253" s="67"/>
      <c r="I253" s="67"/>
      <c r="J253" s="67"/>
      <c r="K253" s="66"/>
      <c r="L253" s="68"/>
      <c r="M253" s="66"/>
      <c r="N253" s="69"/>
      <c r="O253" s="67"/>
      <c r="P253" s="66"/>
      <c r="Q253" s="65"/>
      <c r="R253" s="70"/>
    </row>
    <row r="254" spans="1:18" ht="27" x14ac:dyDescent="0.4">
      <c r="A254" s="65"/>
      <c r="B254" s="66"/>
      <c r="C254" s="66"/>
      <c r="D254" s="67"/>
      <c r="E254" s="68"/>
      <c r="F254" s="68"/>
      <c r="G254" s="66"/>
      <c r="H254" s="67"/>
      <c r="I254" s="67"/>
      <c r="J254" s="67"/>
      <c r="K254" s="66"/>
      <c r="L254" s="68"/>
      <c r="M254" s="66"/>
      <c r="N254" s="69"/>
      <c r="O254" s="67"/>
      <c r="P254" s="66"/>
      <c r="Q254" s="65"/>
      <c r="R254" s="68"/>
    </row>
    <row r="255" spans="1:18" ht="27" x14ac:dyDescent="0.4">
      <c r="A255" s="65"/>
      <c r="B255" s="66"/>
      <c r="C255" s="66"/>
      <c r="D255" s="67"/>
      <c r="E255" s="68"/>
      <c r="F255" s="68"/>
      <c r="G255" s="66"/>
      <c r="H255" s="67"/>
      <c r="I255" s="67"/>
      <c r="J255" s="67"/>
      <c r="K255" s="66"/>
      <c r="L255" s="68"/>
      <c r="M255" s="66"/>
      <c r="N255" s="69"/>
      <c r="O255" s="67"/>
      <c r="P255" s="66"/>
      <c r="Q255" s="65"/>
      <c r="R255" s="68"/>
    </row>
    <row r="256" spans="1:18" ht="27" x14ac:dyDescent="0.4">
      <c r="A256" s="65"/>
      <c r="B256" s="66"/>
      <c r="C256" s="66"/>
      <c r="D256" s="67"/>
      <c r="E256" s="68"/>
      <c r="F256" s="68"/>
      <c r="G256" s="66"/>
      <c r="H256" s="67"/>
      <c r="I256" s="67"/>
      <c r="J256" s="67"/>
      <c r="K256" s="66"/>
      <c r="L256" s="68"/>
      <c r="M256" s="66"/>
      <c r="N256" s="69"/>
      <c r="O256" s="67"/>
      <c r="P256" s="66"/>
      <c r="Q256" s="65"/>
      <c r="R256" s="68"/>
    </row>
    <row r="257" spans="1:18" ht="27" x14ac:dyDescent="0.4">
      <c r="A257" s="65"/>
      <c r="B257" s="66"/>
      <c r="C257" s="66"/>
      <c r="D257" s="67"/>
      <c r="E257" s="68"/>
      <c r="F257" s="68"/>
      <c r="G257" s="66"/>
      <c r="H257" s="67"/>
      <c r="I257" s="67"/>
      <c r="J257" s="67"/>
      <c r="K257" s="66"/>
      <c r="L257" s="68"/>
      <c r="M257" s="66"/>
      <c r="N257" s="69"/>
      <c r="O257" s="67"/>
      <c r="P257" s="66"/>
      <c r="Q257" s="65"/>
      <c r="R257" s="68"/>
    </row>
    <row r="258" spans="1:18" ht="27" x14ac:dyDescent="0.4">
      <c r="A258" s="65"/>
      <c r="B258" s="66"/>
      <c r="C258" s="66"/>
      <c r="D258" s="67"/>
      <c r="E258" s="68"/>
      <c r="F258" s="68"/>
      <c r="G258" s="66"/>
      <c r="H258" s="67"/>
      <c r="I258" s="67"/>
      <c r="J258" s="67"/>
      <c r="K258" s="66"/>
      <c r="L258" s="68"/>
      <c r="M258" s="66"/>
      <c r="N258" s="69"/>
      <c r="O258" s="67"/>
      <c r="P258" s="66"/>
      <c r="Q258" s="65"/>
      <c r="R258" s="68"/>
    </row>
    <row r="259" spans="1:18" ht="27" x14ac:dyDescent="0.4">
      <c r="A259" s="65"/>
      <c r="B259" s="66"/>
      <c r="C259" s="66"/>
      <c r="D259" s="67"/>
      <c r="E259" s="68"/>
      <c r="F259" s="68"/>
      <c r="G259" s="66"/>
      <c r="H259" s="67"/>
      <c r="I259" s="67"/>
      <c r="J259" s="67"/>
      <c r="K259" s="66"/>
      <c r="L259" s="68"/>
      <c r="M259" s="66"/>
      <c r="N259" s="69"/>
      <c r="O259" s="67"/>
      <c r="P259" s="66"/>
      <c r="Q259" s="65"/>
      <c r="R259" s="68"/>
    </row>
    <row r="260" spans="1:18" ht="27" x14ac:dyDescent="0.4">
      <c r="A260" s="65"/>
      <c r="B260" s="66"/>
      <c r="C260" s="66"/>
      <c r="D260" s="67"/>
      <c r="E260" s="68"/>
      <c r="F260" s="68"/>
      <c r="G260" s="66"/>
      <c r="H260" s="67"/>
      <c r="I260" s="67"/>
      <c r="J260" s="67"/>
      <c r="K260" s="66"/>
      <c r="L260" s="68"/>
      <c r="M260" s="66"/>
      <c r="N260" s="69"/>
      <c r="O260" s="67"/>
      <c r="P260" s="66"/>
      <c r="Q260" s="65"/>
      <c r="R260" s="68"/>
    </row>
    <row r="261" spans="1:18" ht="27" x14ac:dyDescent="0.4">
      <c r="A261" s="65"/>
      <c r="B261" s="66"/>
      <c r="C261" s="66"/>
      <c r="D261" s="67"/>
      <c r="E261" s="68"/>
      <c r="F261" s="68"/>
      <c r="G261" s="66"/>
      <c r="H261" s="67"/>
      <c r="I261" s="67"/>
      <c r="J261" s="67"/>
      <c r="K261" s="66"/>
      <c r="L261" s="68"/>
      <c r="M261" s="66"/>
      <c r="N261" s="69"/>
      <c r="O261" s="67"/>
      <c r="P261" s="66"/>
      <c r="Q261" s="65"/>
      <c r="R261" s="68"/>
    </row>
    <row r="262" spans="1:18" ht="27" x14ac:dyDescent="0.4">
      <c r="A262" s="65"/>
      <c r="B262" s="66"/>
      <c r="C262" s="66"/>
      <c r="D262" s="67"/>
      <c r="E262" s="68"/>
      <c r="F262" s="68"/>
      <c r="G262" s="66"/>
      <c r="H262" s="67"/>
      <c r="I262" s="67"/>
      <c r="J262" s="67"/>
      <c r="K262" s="66"/>
      <c r="L262" s="68"/>
      <c r="M262" s="66"/>
      <c r="N262" s="69"/>
      <c r="O262" s="67"/>
      <c r="P262" s="66"/>
      <c r="Q262" s="65"/>
      <c r="R262" s="68"/>
    </row>
    <row r="263" spans="1:18" ht="27" x14ac:dyDescent="0.4">
      <c r="A263" s="65"/>
      <c r="B263" s="66"/>
      <c r="C263" s="66"/>
      <c r="D263" s="67"/>
      <c r="E263" s="68"/>
      <c r="F263" s="68"/>
      <c r="G263" s="66"/>
      <c r="H263" s="67"/>
      <c r="I263" s="67"/>
      <c r="J263" s="67"/>
      <c r="K263" s="66"/>
      <c r="L263" s="68"/>
      <c r="M263" s="66"/>
      <c r="N263" s="69"/>
      <c r="O263" s="67"/>
      <c r="P263" s="66"/>
      <c r="Q263" s="65"/>
      <c r="R263" s="70"/>
    </row>
    <row r="264" spans="1:18" ht="27" x14ac:dyDescent="0.4">
      <c r="A264" s="65"/>
      <c r="B264" s="66"/>
      <c r="C264" s="66"/>
      <c r="D264" s="67"/>
      <c r="E264" s="68"/>
      <c r="F264" s="68"/>
      <c r="G264" s="66"/>
      <c r="H264" s="67"/>
      <c r="I264" s="67"/>
      <c r="J264" s="67"/>
      <c r="K264" s="66"/>
      <c r="L264" s="68"/>
      <c r="M264" s="66"/>
      <c r="N264" s="69"/>
      <c r="O264" s="67"/>
      <c r="P264" s="66"/>
      <c r="Q264" s="65"/>
      <c r="R264" s="70"/>
    </row>
    <row r="265" spans="1:18" ht="27" x14ac:dyDescent="0.4">
      <c r="A265" s="65"/>
      <c r="B265" s="66"/>
      <c r="C265" s="121"/>
      <c r="D265" s="67"/>
      <c r="E265" s="68"/>
      <c r="F265" s="68"/>
      <c r="G265" s="66"/>
      <c r="H265" s="67"/>
      <c r="I265" s="67"/>
      <c r="J265" s="67"/>
      <c r="K265" s="66"/>
      <c r="L265" s="68"/>
      <c r="M265" s="66"/>
      <c r="N265" s="69"/>
      <c r="O265" s="67"/>
      <c r="P265" s="66"/>
      <c r="Q265" s="65"/>
      <c r="R265" s="70"/>
    </row>
    <row r="266" spans="1:18" ht="27" x14ac:dyDescent="0.4">
      <c r="A266" s="65"/>
      <c r="B266" s="66"/>
      <c r="C266" s="66"/>
      <c r="D266" s="67"/>
      <c r="E266" s="68"/>
      <c r="F266" s="68"/>
      <c r="G266" s="66"/>
      <c r="H266" s="67"/>
      <c r="I266" s="67"/>
      <c r="J266" s="67"/>
      <c r="K266" s="66"/>
      <c r="L266" s="68"/>
      <c r="M266" s="66"/>
      <c r="N266" s="69"/>
      <c r="O266" s="67"/>
      <c r="P266" s="66"/>
      <c r="Q266" s="65"/>
      <c r="R266" s="70"/>
    </row>
    <row r="267" spans="1:18" ht="27" x14ac:dyDescent="0.4">
      <c r="A267" s="65"/>
      <c r="B267" s="66"/>
      <c r="C267" s="66"/>
      <c r="D267" s="67"/>
      <c r="E267" s="68"/>
      <c r="F267" s="68"/>
      <c r="G267" s="66"/>
      <c r="H267" s="67"/>
      <c r="I267" s="67"/>
      <c r="J267" s="67"/>
      <c r="K267" s="66"/>
      <c r="L267" s="68"/>
      <c r="M267" s="66"/>
      <c r="N267" s="69"/>
      <c r="O267" s="67"/>
      <c r="P267" s="66"/>
      <c r="Q267" s="65"/>
      <c r="R267" s="70"/>
    </row>
    <row r="268" spans="1:18" ht="27" x14ac:dyDescent="0.4">
      <c r="A268" s="65"/>
      <c r="B268" s="66"/>
      <c r="C268" s="66"/>
      <c r="D268" s="67"/>
      <c r="E268" s="68"/>
      <c r="F268" s="68"/>
      <c r="G268" s="66"/>
      <c r="H268" s="67"/>
      <c r="I268" s="67"/>
      <c r="J268" s="67"/>
      <c r="K268" s="66"/>
      <c r="L268" s="68"/>
      <c r="M268" s="66"/>
      <c r="N268" s="69"/>
      <c r="O268" s="67"/>
      <c r="P268" s="66"/>
      <c r="Q268" s="65"/>
      <c r="R268" s="70"/>
    </row>
    <row r="269" spans="1:18" ht="27" x14ac:dyDescent="0.4">
      <c r="A269" s="65"/>
      <c r="B269" s="66"/>
      <c r="C269" s="66"/>
      <c r="D269" s="67"/>
      <c r="E269" s="68"/>
      <c r="F269" s="68"/>
      <c r="G269" s="66"/>
      <c r="H269" s="67"/>
      <c r="I269" s="67"/>
      <c r="J269" s="67"/>
      <c r="K269" s="66"/>
      <c r="L269" s="68"/>
      <c r="M269" s="66"/>
      <c r="N269" s="69"/>
      <c r="O269" s="67"/>
      <c r="P269" s="66"/>
      <c r="Q269" s="65"/>
      <c r="R269" s="70"/>
    </row>
    <row r="270" spans="1:18" ht="27" x14ac:dyDescent="0.4">
      <c r="A270" s="65"/>
      <c r="B270" s="66"/>
      <c r="C270" s="66"/>
      <c r="D270" s="67"/>
      <c r="E270" s="68"/>
      <c r="F270" s="68"/>
      <c r="G270" s="66"/>
      <c r="H270" s="67"/>
      <c r="I270" s="67"/>
      <c r="J270" s="67"/>
      <c r="K270" s="66"/>
      <c r="L270" s="68"/>
      <c r="M270" s="66"/>
      <c r="N270" s="69"/>
      <c r="O270" s="67"/>
      <c r="P270" s="66"/>
      <c r="Q270" s="65"/>
      <c r="R270" s="68"/>
    </row>
    <row r="271" spans="1:18" ht="27" x14ac:dyDescent="0.4">
      <c r="A271" s="65"/>
      <c r="B271" s="66"/>
      <c r="C271" s="66"/>
      <c r="D271" s="67"/>
      <c r="E271" s="68"/>
      <c r="F271" s="68"/>
      <c r="G271" s="66"/>
      <c r="H271" s="67"/>
      <c r="I271" s="67"/>
      <c r="J271" s="67"/>
      <c r="K271" s="66"/>
      <c r="L271" s="68"/>
      <c r="M271" s="66"/>
      <c r="N271" s="69"/>
      <c r="O271" s="67"/>
      <c r="P271" s="66"/>
      <c r="Q271" s="65"/>
      <c r="R271" s="68"/>
    </row>
    <row r="272" spans="1:18" ht="27" x14ac:dyDescent="0.4">
      <c r="A272" s="65"/>
      <c r="B272" s="66"/>
      <c r="C272" s="66"/>
      <c r="D272" s="67"/>
      <c r="E272" s="68"/>
      <c r="F272" s="68"/>
      <c r="G272" s="66"/>
      <c r="H272" s="67"/>
      <c r="I272" s="67"/>
      <c r="J272" s="67"/>
      <c r="K272" s="66"/>
      <c r="L272" s="68"/>
      <c r="M272" s="66"/>
      <c r="N272" s="69"/>
      <c r="O272" s="67"/>
      <c r="P272" s="66"/>
      <c r="Q272" s="65"/>
      <c r="R272" s="68"/>
    </row>
    <row r="273" spans="1:27" ht="27" x14ac:dyDescent="0.4">
      <c r="A273" s="65"/>
      <c r="B273" s="66"/>
      <c r="C273" s="66"/>
      <c r="D273" s="67"/>
      <c r="E273" s="68"/>
      <c r="F273" s="68"/>
      <c r="G273" s="66"/>
      <c r="H273" s="67"/>
      <c r="I273" s="67"/>
      <c r="J273" s="67"/>
      <c r="K273" s="66"/>
      <c r="L273" s="68"/>
      <c r="M273" s="66"/>
      <c r="N273" s="69"/>
      <c r="O273" s="67"/>
      <c r="P273" s="66"/>
      <c r="Q273" s="65"/>
      <c r="R273" s="68"/>
    </row>
    <row r="274" spans="1:27" ht="27" x14ac:dyDescent="0.4">
      <c r="A274" s="65"/>
      <c r="B274" s="66"/>
      <c r="C274" s="66"/>
      <c r="D274" s="67"/>
      <c r="E274" s="68"/>
      <c r="F274" s="68"/>
      <c r="G274" s="66"/>
      <c r="H274" s="67"/>
      <c r="I274" s="67"/>
      <c r="J274" s="67"/>
      <c r="K274" s="66"/>
      <c r="L274" s="68"/>
      <c r="M274" s="66"/>
      <c r="N274" s="69"/>
      <c r="O274" s="67"/>
      <c r="P274" s="66"/>
      <c r="Q274" s="65"/>
      <c r="R274" s="68"/>
    </row>
    <row r="275" spans="1:27" ht="27" x14ac:dyDescent="0.4">
      <c r="A275" s="65"/>
      <c r="B275" s="66"/>
      <c r="C275" s="66"/>
      <c r="D275" s="67"/>
      <c r="E275" s="68"/>
      <c r="F275" s="68"/>
      <c r="G275" s="66"/>
      <c r="H275" s="67"/>
      <c r="I275" s="67"/>
      <c r="J275" s="67"/>
      <c r="K275" s="66"/>
      <c r="L275" s="68"/>
      <c r="M275" s="66"/>
      <c r="N275" s="69"/>
      <c r="O275" s="67"/>
      <c r="P275" s="66"/>
      <c r="Q275" s="65"/>
      <c r="R275" s="68"/>
    </row>
    <row r="276" spans="1:27" ht="27" x14ac:dyDescent="0.4">
      <c r="A276" s="65"/>
      <c r="B276" s="66"/>
      <c r="C276" s="66"/>
      <c r="D276" s="67"/>
      <c r="E276" s="68"/>
      <c r="F276" s="68"/>
      <c r="G276" s="66"/>
      <c r="H276" s="67"/>
      <c r="I276" s="67"/>
      <c r="J276" s="67"/>
      <c r="K276" s="66"/>
      <c r="L276" s="68"/>
      <c r="M276" s="66"/>
      <c r="N276" s="69"/>
      <c r="O276" s="67"/>
      <c r="P276" s="66"/>
      <c r="Q276" s="65"/>
      <c r="R276" s="68"/>
      <c r="T276" s="129"/>
      <c r="U276" s="129"/>
      <c r="V276" s="129"/>
      <c r="W276" s="129"/>
      <c r="X276" s="129"/>
      <c r="Y276" s="129"/>
      <c r="Z276" s="129"/>
      <c r="AA276" s="129"/>
    </row>
    <row r="277" spans="1:27" ht="27" x14ac:dyDescent="0.4">
      <c r="A277" s="65"/>
      <c r="B277" s="66"/>
      <c r="C277" s="66"/>
      <c r="D277" s="67"/>
      <c r="E277" s="68"/>
      <c r="F277" s="68"/>
      <c r="G277" s="66"/>
      <c r="H277" s="67"/>
      <c r="I277" s="67"/>
      <c r="J277" s="67"/>
      <c r="K277" s="66"/>
      <c r="L277" s="68"/>
      <c r="M277" s="66"/>
      <c r="N277" s="69"/>
      <c r="O277" s="67"/>
      <c r="P277" s="66"/>
      <c r="Q277" s="65"/>
      <c r="R277" s="68"/>
      <c r="T277" s="129"/>
      <c r="U277" s="129"/>
      <c r="V277" s="129"/>
      <c r="W277" s="129"/>
      <c r="X277" s="129"/>
      <c r="Y277" s="129"/>
      <c r="Z277" s="129"/>
      <c r="AA277" s="129"/>
    </row>
    <row r="278" spans="1:27" ht="33" x14ac:dyDescent="0.4">
      <c r="A278" s="65"/>
      <c r="B278" s="66"/>
      <c r="C278" s="66"/>
      <c r="D278" s="67"/>
      <c r="E278" s="68"/>
      <c r="F278" s="68"/>
      <c r="G278" s="66"/>
      <c r="H278" s="67"/>
      <c r="I278" s="67"/>
      <c r="J278" s="67"/>
      <c r="K278" s="66"/>
      <c r="L278" s="68"/>
      <c r="M278" s="66"/>
      <c r="N278" s="69"/>
      <c r="O278" s="67"/>
      <c r="P278" s="66"/>
      <c r="Q278" s="65"/>
      <c r="R278" s="68"/>
      <c r="T278" s="129"/>
      <c r="U278" s="130"/>
      <c r="V278" s="130"/>
      <c r="W278" s="131"/>
      <c r="X278" s="131"/>
      <c r="Y278" s="55"/>
      <c r="Z278" s="129"/>
      <c r="AA278" s="129"/>
    </row>
    <row r="279" spans="1:27" ht="33" x14ac:dyDescent="0.4">
      <c r="A279" s="65"/>
      <c r="B279" s="66"/>
      <c r="C279" s="66"/>
      <c r="D279" s="67"/>
      <c r="E279" s="68"/>
      <c r="F279" s="68"/>
      <c r="G279" s="66"/>
      <c r="H279" s="67"/>
      <c r="I279" s="67"/>
      <c r="J279" s="67"/>
      <c r="K279" s="66"/>
      <c r="L279" s="68"/>
      <c r="M279" s="66"/>
      <c r="N279" s="69"/>
      <c r="O279" s="67"/>
      <c r="P279" s="66"/>
      <c r="Q279" s="65"/>
      <c r="R279" s="68"/>
      <c r="T279" s="129"/>
      <c r="U279" s="130"/>
      <c r="V279" s="130"/>
      <c r="W279" s="131"/>
      <c r="X279" s="131"/>
      <c r="Y279" s="55"/>
      <c r="Z279" s="129"/>
      <c r="AA279" s="129"/>
    </row>
    <row r="280" spans="1:27" ht="33" x14ac:dyDescent="0.4">
      <c r="A280" s="65"/>
      <c r="B280" s="66"/>
      <c r="C280" s="66"/>
      <c r="D280" s="67"/>
      <c r="E280" s="68"/>
      <c r="F280" s="68"/>
      <c r="G280" s="66"/>
      <c r="H280" s="67"/>
      <c r="I280" s="67"/>
      <c r="J280" s="67"/>
      <c r="K280" s="66"/>
      <c r="L280" s="68"/>
      <c r="M280" s="66"/>
      <c r="N280" s="69"/>
      <c r="O280" s="67"/>
      <c r="P280" s="66"/>
      <c r="Q280" s="65"/>
      <c r="R280" s="68"/>
      <c r="T280" s="129"/>
      <c r="U280" s="130"/>
      <c r="V280" s="130"/>
      <c r="W280" s="131"/>
      <c r="X280" s="131"/>
      <c r="Y280" s="55"/>
      <c r="Z280" s="129"/>
      <c r="AA280" s="129"/>
    </row>
    <row r="281" spans="1:27" ht="33" x14ac:dyDescent="0.4">
      <c r="A281" s="65"/>
      <c r="B281" s="66"/>
      <c r="C281" s="66"/>
      <c r="D281" s="67"/>
      <c r="E281" s="68"/>
      <c r="F281" s="68"/>
      <c r="G281" s="66"/>
      <c r="H281" s="67"/>
      <c r="I281" s="67"/>
      <c r="J281" s="67"/>
      <c r="K281" s="66"/>
      <c r="L281" s="68"/>
      <c r="M281" s="66"/>
      <c r="N281" s="69"/>
      <c r="O281" s="67"/>
      <c r="P281" s="66"/>
      <c r="Q281" s="65"/>
      <c r="R281" s="68"/>
      <c r="T281" s="129"/>
      <c r="U281" s="130"/>
      <c r="V281" s="130"/>
      <c r="W281" s="131"/>
      <c r="X281" s="131"/>
      <c r="Y281" s="55"/>
      <c r="Z281" s="129"/>
      <c r="AA281" s="129"/>
    </row>
    <row r="282" spans="1:27" ht="33" x14ac:dyDescent="0.4">
      <c r="A282" s="65"/>
      <c r="B282" s="66"/>
      <c r="C282" s="66"/>
      <c r="D282" s="67"/>
      <c r="E282" s="68"/>
      <c r="F282" s="68"/>
      <c r="G282" s="66"/>
      <c r="H282" s="67"/>
      <c r="I282" s="67"/>
      <c r="J282" s="67"/>
      <c r="K282" s="66"/>
      <c r="L282" s="68"/>
      <c r="M282" s="66"/>
      <c r="N282" s="69"/>
      <c r="O282" s="67"/>
      <c r="P282" s="66"/>
      <c r="Q282" s="65"/>
      <c r="R282" s="68"/>
      <c r="T282" s="129"/>
      <c r="U282" s="130"/>
      <c r="V282" s="130"/>
      <c r="W282" s="131"/>
      <c r="X282" s="131"/>
      <c r="Y282" s="55"/>
      <c r="Z282" s="129"/>
      <c r="AA282" s="129"/>
    </row>
    <row r="283" spans="1:27" ht="30.75" x14ac:dyDescent="0.4">
      <c r="A283" s="65"/>
      <c r="B283" s="66"/>
      <c r="C283" s="66"/>
      <c r="D283" s="67"/>
      <c r="E283" s="68"/>
      <c r="F283" s="68"/>
      <c r="G283" s="66"/>
      <c r="H283" s="67"/>
      <c r="I283" s="67"/>
      <c r="J283" s="67"/>
      <c r="K283" s="66"/>
      <c r="L283" s="68"/>
      <c r="M283" s="66"/>
      <c r="N283" s="69"/>
      <c r="O283" s="67"/>
      <c r="P283" s="66"/>
      <c r="Q283" s="65"/>
      <c r="R283" s="68"/>
      <c r="T283" s="129"/>
      <c r="U283" s="132"/>
      <c r="V283" s="132"/>
      <c r="W283" s="131"/>
      <c r="X283" s="131"/>
      <c r="Y283" s="55"/>
      <c r="Z283" s="129"/>
      <c r="AA283" s="129"/>
    </row>
    <row r="284" spans="1:27" ht="27" x14ac:dyDescent="0.4">
      <c r="A284" s="65"/>
      <c r="B284" s="66"/>
      <c r="C284" s="66"/>
      <c r="D284" s="67"/>
      <c r="E284" s="68"/>
      <c r="F284" s="68"/>
      <c r="G284" s="66"/>
      <c r="H284" s="67"/>
      <c r="I284" s="67"/>
      <c r="J284" s="67"/>
      <c r="K284" s="66"/>
      <c r="L284" s="68"/>
      <c r="M284" s="66"/>
      <c r="N284" s="69"/>
      <c r="O284" s="67"/>
      <c r="P284" s="66"/>
      <c r="Q284" s="65"/>
      <c r="R284" s="68"/>
      <c r="T284" s="129"/>
      <c r="U284" s="129"/>
      <c r="V284" s="129"/>
      <c r="W284" s="129"/>
      <c r="X284" s="129"/>
      <c r="Y284" s="129"/>
      <c r="Z284" s="129"/>
      <c r="AA284" s="129"/>
    </row>
    <row r="285" spans="1:27" ht="27" x14ac:dyDescent="0.4">
      <c r="A285" s="65"/>
      <c r="B285" s="66"/>
      <c r="C285" s="66"/>
      <c r="D285" s="67"/>
      <c r="E285" s="68"/>
      <c r="F285" s="68"/>
      <c r="G285" s="66"/>
      <c r="H285" s="67"/>
      <c r="I285" s="67"/>
      <c r="J285" s="67"/>
      <c r="K285" s="66"/>
      <c r="L285" s="68"/>
      <c r="M285" s="66"/>
      <c r="N285" s="69"/>
      <c r="O285" s="67"/>
      <c r="P285" s="66"/>
      <c r="Q285" s="65"/>
      <c r="R285" s="68"/>
      <c r="T285" s="129"/>
      <c r="U285" s="129"/>
      <c r="V285" s="129"/>
      <c r="W285" s="129"/>
      <c r="X285" s="129"/>
      <c r="Y285" s="129"/>
      <c r="Z285" s="129"/>
      <c r="AA285" s="129"/>
    </row>
    <row r="286" spans="1:27" ht="27" x14ac:dyDescent="0.4">
      <c r="A286" s="65"/>
      <c r="B286" s="66"/>
      <c r="C286" s="66"/>
      <c r="D286" s="67"/>
      <c r="E286" s="68"/>
      <c r="F286" s="68"/>
      <c r="G286" s="66"/>
      <c r="H286" s="67"/>
      <c r="I286" s="67"/>
      <c r="J286" s="67"/>
      <c r="K286" s="66"/>
      <c r="L286" s="68"/>
      <c r="M286" s="66"/>
      <c r="N286" s="69"/>
      <c r="O286" s="67"/>
      <c r="P286" s="66"/>
      <c r="Q286" s="65"/>
      <c r="R286" s="68"/>
      <c r="T286" s="129"/>
      <c r="U286" s="129"/>
      <c r="V286" s="129"/>
      <c r="W286" s="129"/>
      <c r="X286" s="129"/>
      <c r="Y286" s="129"/>
      <c r="Z286" s="129"/>
      <c r="AA286" s="129"/>
    </row>
    <row r="287" spans="1:27" ht="27" x14ac:dyDescent="0.4">
      <c r="A287" s="65"/>
      <c r="B287" s="66"/>
      <c r="C287" s="66"/>
      <c r="D287" s="67"/>
      <c r="E287" s="68"/>
      <c r="F287" s="68"/>
      <c r="G287" s="66"/>
      <c r="H287" s="67"/>
      <c r="I287" s="67"/>
      <c r="J287" s="67"/>
      <c r="K287" s="66"/>
      <c r="L287" s="68"/>
      <c r="M287" s="66"/>
      <c r="N287" s="69"/>
      <c r="O287" s="67"/>
      <c r="P287" s="66"/>
      <c r="Q287" s="65"/>
      <c r="R287" s="68"/>
      <c r="T287" s="129"/>
      <c r="U287" s="129"/>
      <c r="V287" s="129"/>
      <c r="W287" s="129"/>
      <c r="X287" s="129"/>
      <c r="Y287" s="129"/>
      <c r="Z287" s="129"/>
      <c r="AA287" s="129"/>
    </row>
    <row r="288" spans="1:27" ht="27" x14ac:dyDescent="0.4">
      <c r="A288" s="65"/>
      <c r="B288" s="66"/>
      <c r="C288" s="66"/>
      <c r="D288" s="67"/>
      <c r="E288" s="68"/>
      <c r="F288" s="68"/>
      <c r="G288" s="66"/>
      <c r="H288" s="67"/>
      <c r="I288" s="67"/>
      <c r="J288" s="67"/>
      <c r="K288" s="66"/>
      <c r="L288" s="68"/>
      <c r="M288" s="66"/>
      <c r="N288" s="69"/>
      <c r="O288" s="67"/>
      <c r="P288" s="66"/>
      <c r="Q288" s="65"/>
      <c r="R288" s="68"/>
      <c r="T288" s="129"/>
      <c r="U288" s="129"/>
      <c r="V288" s="129"/>
      <c r="W288" s="129"/>
      <c r="X288" s="129"/>
      <c r="Y288" s="129"/>
      <c r="Z288" s="129"/>
      <c r="AA288" s="129"/>
    </row>
    <row r="289" spans="1:27" ht="27" x14ac:dyDescent="0.4">
      <c r="A289" s="65"/>
      <c r="B289" s="66"/>
      <c r="C289" s="65"/>
      <c r="D289" s="67"/>
      <c r="E289" s="68"/>
      <c r="F289" s="68"/>
      <c r="G289" s="66"/>
      <c r="H289" s="67"/>
      <c r="I289" s="67"/>
      <c r="J289" s="67"/>
      <c r="K289" s="66"/>
      <c r="L289" s="68"/>
      <c r="M289" s="66"/>
      <c r="N289" s="69"/>
      <c r="O289" s="67"/>
      <c r="P289" s="66"/>
      <c r="Q289" s="65"/>
      <c r="R289" s="68"/>
      <c r="T289" s="129"/>
      <c r="U289" s="129"/>
      <c r="V289" s="129"/>
      <c r="W289" s="129"/>
      <c r="X289" s="129"/>
      <c r="Y289" s="129"/>
      <c r="Z289" s="129"/>
      <c r="AA289" s="129"/>
    </row>
    <row r="290" spans="1:27" ht="27" x14ac:dyDescent="0.4">
      <c r="A290" s="65"/>
      <c r="B290" s="66"/>
      <c r="C290" s="66"/>
      <c r="D290" s="67"/>
      <c r="E290" s="68"/>
      <c r="F290" s="68"/>
      <c r="G290" s="66"/>
      <c r="H290" s="67"/>
      <c r="I290" s="67"/>
      <c r="J290" s="67"/>
      <c r="K290" s="66"/>
      <c r="L290" s="68"/>
      <c r="M290" s="66"/>
      <c r="N290" s="69"/>
      <c r="O290" s="67"/>
      <c r="P290" s="66"/>
      <c r="Q290" s="65"/>
      <c r="R290" s="68"/>
      <c r="T290" s="129"/>
      <c r="U290" s="129"/>
      <c r="V290" s="129"/>
      <c r="W290" s="129"/>
      <c r="X290" s="129"/>
      <c r="Y290" s="129"/>
      <c r="Z290" s="129"/>
      <c r="AA290" s="129"/>
    </row>
    <row r="291" spans="1:27" ht="27" x14ac:dyDescent="0.4">
      <c r="A291" s="65"/>
      <c r="B291" s="66"/>
      <c r="C291" s="66"/>
      <c r="D291" s="67"/>
      <c r="E291" s="68"/>
      <c r="F291" s="68"/>
      <c r="G291" s="66"/>
      <c r="H291" s="67"/>
      <c r="I291" s="67"/>
      <c r="J291" s="67"/>
      <c r="K291" s="66"/>
      <c r="L291" s="68"/>
      <c r="M291" s="66"/>
      <c r="N291" s="69"/>
      <c r="O291" s="67"/>
      <c r="P291" s="66"/>
      <c r="Q291" s="65"/>
      <c r="R291" s="68"/>
      <c r="T291" s="129"/>
      <c r="U291" s="129"/>
      <c r="V291" s="129"/>
      <c r="W291" s="129"/>
      <c r="X291" s="129"/>
      <c r="Y291" s="129"/>
      <c r="Z291" s="129"/>
      <c r="AA291" s="129"/>
    </row>
    <row r="292" spans="1:27" ht="27" x14ac:dyDescent="0.4">
      <c r="A292" s="65"/>
      <c r="B292" s="66"/>
      <c r="C292" s="66"/>
      <c r="D292" s="67"/>
      <c r="E292" s="68"/>
      <c r="F292" s="68"/>
      <c r="G292" s="66"/>
      <c r="H292" s="67"/>
      <c r="I292" s="67"/>
      <c r="J292" s="67"/>
      <c r="K292" s="66"/>
      <c r="L292" s="68"/>
      <c r="M292" s="66"/>
      <c r="N292" s="69"/>
      <c r="O292" s="67"/>
      <c r="P292" s="66"/>
      <c r="Q292" s="65"/>
      <c r="R292" s="68"/>
      <c r="T292" s="129"/>
      <c r="U292" s="129"/>
      <c r="V292" s="129"/>
      <c r="W292" s="129"/>
      <c r="X292" s="129"/>
      <c r="Y292" s="129"/>
      <c r="Z292" s="129"/>
      <c r="AA292" s="129"/>
    </row>
    <row r="293" spans="1:27" ht="27" x14ac:dyDescent="0.4">
      <c r="A293" s="65"/>
      <c r="B293" s="66"/>
      <c r="C293" s="66"/>
      <c r="D293" s="67"/>
      <c r="E293" s="68"/>
      <c r="F293" s="68"/>
      <c r="G293" s="66"/>
      <c r="H293" s="67"/>
      <c r="I293" s="67"/>
      <c r="J293" s="67"/>
      <c r="K293" s="66"/>
      <c r="L293" s="68"/>
      <c r="M293" s="66"/>
      <c r="N293" s="69"/>
      <c r="O293" s="67"/>
      <c r="P293" s="66"/>
      <c r="Q293" s="65"/>
      <c r="R293" s="68"/>
      <c r="T293" s="129"/>
      <c r="U293" s="129"/>
      <c r="V293" s="129"/>
      <c r="W293" s="129"/>
      <c r="X293" s="129"/>
      <c r="Y293" s="129"/>
      <c r="Z293" s="129"/>
      <c r="AA293" s="129"/>
    </row>
    <row r="294" spans="1:27" ht="27" x14ac:dyDescent="0.4">
      <c r="A294" s="65"/>
      <c r="B294" s="66"/>
      <c r="C294" s="66"/>
      <c r="D294" s="67"/>
      <c r="E294" s="68"/>
      <c r="F294" s="68"/>
      <c r="G294" s="66"/>
      <c r="H294" s="67"/>
      <c r="I294" s="67"/>
      <c r="J294" s="67"/>
      <c r="K294" s="66"/>
      <c r="L294" s="68"/>
      <c r="M294" s="66"/>
      <c r="N294" s="69"/>
      <c r="O294" s="67"/>
      <c r="P294" s="66"/>
      <c r="Q294" s="65"/>
      <c r="R294" s="68"/>
      <c r="T294" s="129"/>
      <c r="U294" s="129"/>
      <c r="V294" s="129"/>
      <c r="W294" s="129"/>
      <c r="X294" s="129"/>
      <c r="Y294" s="129"/>
      <c r="Z294" s="129"/>
      <c r="AA294" s="129"/>
    </row>
    <row r="295" spans="1:27" ht="27" x14ac:dyDescent="0.4">
      <c r="A295" s="65"/>
      <c r="B295" s="66"/>
      <c r="C295" s="66"/>
      <c r="D295" s="67"/>
      <c r="E295" s="68"/>
      <c r="F295" s="68"/>
      <c r="G295" s="66"/>
      <c r="H295" s="67"/>
      <c r="I295" s="67"/>
      <c r="J295" s="67"/>
      <c r="K295" s="66"/>
      <c r="L295" s="68"/>
      <c r="M295" s="66"/>
      <c r="N295" s="69"/>
      <c r="O295" s="67"/>
      <c r="P295" s="66"/>
      <c r="Q295" s="65"/>
      <c r="R295" s="68"/>
      <c r="T295" s="129"/>
      <c r="U295" s="129"/>
      <c r="V295" s="129"/>
      <c r="W295" s="129"/>
      <c r="X295" s="129"/>
      <c r="Y295" s="129"/>
      <c r="Z295" s="129"/>
      <c r="AA295" s="129"/>
    </row>
    <row r="296" spans="1:27" ht="27" x14ac:dyDescent="0.4">
      <c r="A296" s="65"/>
      <c r="B296" s="66"/>
      <c r="C296" s="66"/>
      <c r="D296" s="67"/>
      <c r="E296" s="68"/>
      <c r="F296" s="68"/>
      <c r="G296" s="66"/>
      <c r="H296" s="67"/>
      <c r="I296" s="67"/>
      <c r="J296" s="67"/>
      <c r="K296" s="66"/>
      <c r="L296" s="68"/>
      <c r="M296" s="66"/>
      <c r="N296" s="69"/>
      <c r="O296" s="67"/>
      <c r="P296" s="66"/>
      <c r="Q296" s="65"/>
      <c r="R296" s="68"/>
      <c r="T296" s="129"/>
      <c r="U296" s="129"/>
      <c r="V296" s="129"/>
      <c r="W296" s="129"/>
      <c r="X296" s="129"/>
      <c r="Y296" s="129"/>
      <c r="Z296" s="129"/>
      <c r="AA296" s="129"/>
    </row>
    <row r="297" spans="1:27" ht="27" x14ac:dyDescent="0.4">
      <c r="A297" s="65"/>
      <c r="B297" s="66"/>
      <c r="C297" s="66"/>
      <c r="D297" s="67"/>
      <c r="E297" s="68"/>
      <c r="F297" s="68"/>
      <c r="G297" s="66"/>
      <c r="H297" s="67"/>
      <c r="I297" s="67"/>
      <c r="J297" s="67"/>
      <c r="K297" s="66"/>
      <c r="L297" s="68"/>
      <c r="M297" s="66"/>
      <c r="N297" s="69"/>
      <c r="O297" s="67"/>
      <c r="P297" s="66"/>
      <c r="Q297" s="65"/>
      <c r="R297" s="68"/>
      <c r="T297" s="129"/>
      <c r="U297" s="129"/>
      <c r="V297" s="129"/>
      <c r="W297" s="129"/>
      <c r="X297" s="129"/>
      <c r="Y297" s="129"/>
      <c r="Z297" s="129"/>
      <c r="AA297" s="129"/>
    </row>
    <row r="298" spans="1:27" ht="27" x14ac:dyDescent="0.4">
      <c r="A298" s="65"/>
      <c r="B298" s="66"/>
      <c r="C298" s="66"/>
      <c r="D298" s="67"/>
      <c r="E298" s="68"/>
      <c r="F298" s="68"/>
      <c r="G298" s="66"/>
      <c r="H298" s="67"/>
      <c r="I298" s="67"/>
      <c r="J298" s="67"/>
      <c r="K298" s="66"/>
      <c r="L298" s="68"/>
      <c r="M298" s="66"/>
      <c r="N298" s="69"/>
      <c r="O298" s="67"/>
      <c r="P298" s="66"/>
      <c r="Q298" s="65"/>
      <c r="R298" s="68"/>
      <c r="T298" s="129"/>
      <c r="U298" s="129"/>
      <c r="V298" s="129"/>
      <c r="W298" s="129"/>
      <c r="X298" s="129"/>
      <c r="Y298" s="129"/>
      <c r="Z298" s="129"/>
      <c r="AA298" s="129"/>
    </row>
    <row r="299" spans="1:27" ht="27" x14ac:dyDescent="0.4">
      <c r="A299" s="65"/>
      <c r="B299" s="66"/>
      <c r="C299" s="66"/>
      <c r="D299" s="67"/>
      <c r="E299" s="68"/>
      <c r="F299" s="68"/>
      <c r="G299" s="66"/>
      <c r="H299" s="67"/>
      <c r="I299" s="67"/>
      <c r="J299" s="67"/>
      <c r="K299" s="66"/>
      <c r="L299" s="68"/>
      <c r="M299" s="66"/>
      <c r="N299" s="69"/>
      <c r="O299" s="67"/>
      <c r="P299" s="66"/>
      <c r="Q299" s="65"/>
      <c r="R299" s="68"/>
      <c r="T299" s="129"/>
      <c r="U299" s="129"/>
      <c r="V299" s="129"/>
      <c r="W299" s="129"/>
      <c r="X299" s="129"/>
      <c r="Y299" s="129"/>
      <c r="Z299" s="129"/>
      <c r="AA299" s="129"/>
    </row>
    <row r="300" spans="1:27" ht="27" x14ac:dyDescent="0.4">
      <c r="A300" s="65"/>
      <c r="B300" s="66"/>
      <c r="C300" s="66"/>
      <c r="D300" s="67"/>
      <c r="E300" s="68"/>
      <c r="F300" s="68"/>
      <c r="G300" s="66"/>
      <c r="H300" s="67"/>
      <c r="I300" s="67"/>
      <c r="J300" s="67"/>
      <c r="K300" s="66"/>
      <c r="L300" s="68"/>
      <c r="M300" s="66"/>
      <c r="N300" s="69"/>
      <c r="O300" s="67"/>
      <c r="P300" s="66"/>
      <c r="Q300" s="65"/>
      <c r="R300" s="68"/>
      <c r="T300" s="129"/>
      <c r="U300" s="129"/>
      <c r="V300" s="129"/>
      <c r="W300" s="129"/>
      <c r="X300" s="129"/>
      <c r="Y300" s="129"/>
      <c r="Z300" s="129"/>
      <c r="AA300" s="129"/>
    </row>
    <row r="301" spans="1:27" ht="27" x14ac:dyDescent="0.4">
      <c r="A301" s="65"/>
      <c r="B301" s="66"/>
      <c r="C301" s="66"/>
      <c r="D301" s="67"/>
      <c r="E301" s="68"/>
      <c r="F301" s="68"/>
      <c r="G301" s="66"/>
      <c r="H301" s="67"/>
      <c r="I301" s="67"/>
      <c r="J301" s="67"/>
      <c r="K301" s="66"/>
      <c r="L301" s="68"/>
      <c r="M301" s="66"/>
      <c r="N301" s="69"/>
      <c r="O301" s="67"/>
      <c r="P301" s="66"/>
      <c r="Q301" s="65"/>
      <c r="R301" s="68"/>
      <c r="T301" s="129"/>
      <c r="U301" s="129"/>
      <c r="V301" s="129"/>
      <c r="W301" s="129"/>
      <c r="X301" s="129"/>
      <c r="Y301" s="129"/>
      <c r="Z301" s="129"/>
      <c r="AA301" s="129"/>
    </row>
    <row r="302" spans="1:27" ht="27" x14ac:dyDescent="0.4">
      <c r="A302" s="65"/>
      <c r="B302" s="66"/>
      <c r="C302" s="66"/>
      <c r="D302" s="67"/>
      <c r="E302" s="68"/>
      <c r="F302" s="68"/>
      <c r="G302" s="66"/>
      <c r="H302" s="67"/>
      <c r="I302" s="67"/>
      <c r="J302" s="67"/>
      <c r="K302" s="66"/>
      <c r="L302" s="68"/>
      <c r="M302" s="66"/>
      <c r="N302" s="69"/>
      <c r="O302" s="67"/>
      <c r="P302" s="66"/>
      <c r="Q302" s="65"/>
      <c r="R302" s="68"/>
      <c r="T302" s="129"/>
      <c r="U302" s="129"/>
      <c r="V302" s="129"/>
      <c r="W302" s="129"/>
      <c r="X302" s="129"/>
      <c r="Y302" s="129"/>
      <c r="Z302" s="129"/>
      <c r="AA302" s="129"/>
    </row>
    <row r="303" spans="1:27" ht="27" x14ac:dyDescent="0.4">
      <c r="A303" s="65"/>
      <c r="B303" s="66"/>
      <c r="C303" s="66"/>
      <c r="D303" s="67"/>
      <c r="E303" s="68"/>
      <c r="F303" s="68"/>
      <c r="G303" s="66"/>
      <c r="H303" s="67"/>
      <c r="I303" s="67"/>
      <c r="J303" s="67"/>
      <c r="K303" s="66"/>
      <c r="L303" s="68"/>
      <c r="M303" s="66"/>
      <c r="N303" s="69"/>
      <c r="O303" s="67"/>
      <c r="P303" s="66"/>
      <c r="Q303" s="65"/>
      <c r="R303" s="68"/>
      <c r="T303" s="129"/>
      <c r="U303" s="129"/>
      <c r="V303" s="129"/>
      <c r="W303" s="129"/>
      <c r="X303" s="129"/>
      <c r="Y303" s="129"/>
      <c r="Z303" s="129"/>
      <c r="AA303" s="129"/>
    </row>
    <row r="304" spans="1:27" ht="27" x14ac:dyDescent="0.4">
      <c r="A304" s="65"/>
      <c r="B304" s="66"/>
      <c r="C304" s="66"/>
      <c r="D304" s="67"/>
      <c r="E304" s="68"/>
      <c r="F304" s="68"/>
      <c r="G304" s="66"/>
      <c r="H304" s="67"/>
      <c r="I304" s="67"/>
      <c r="J304" s="67"/>
      <c r="K304" s="66"/>
      <c r="L304" s="68"/>
      <c r="M304" s="66"/>
      <c r="N304" s="69"/>
      <c r="O304" s="67"/>
      <c r="P304" s="66"/>
      <c r="Q304" s="65"/>
      <c r="R304" s="68"/>
      <c r="T304" s="129"/>
      <c r="U304" s="129"/>
      <c r="V304" s="129"/>
      <c r="W304" s="129"/>
      <c r="X304" s="129"/>
      <c r="Y304" s="129"/>
      <c r="Z304" s="129"/>
      <c r="AA304" s="129"/>
    </row>
    <row r="305" spans="1:32" ht="27" x14ac:dyDescent="0.4">
      <c r="A305" s="65"/>
      <c r="B305" s="66"/>
      <c r="C305" s="66"/>
      <c r="D305" s="67"/>
      <c r="E305" s="68"/>
      <c r="F305" s="68"/>
      <c r="G305" s="66"/>
      <c r="H305" s="67"/>
      <c r="I305" s="67"/>
      <c r="J305" s="67"/>
      <c r="K305" s="66"/>
      <c r="L305" s="68"/>
      <c r="M305" s="66"/>
      <c r="N305" s="69"/>
      <c r="O305" s="67"/>
      <c r="P305" s="66"/>
      <c r="Q305" s="65"/>
      <c r="R305" s="68"/>
      <c r="T305" s="129"/>
      <c r="U305" s="129"/>
      <c r="V305" s="129"/>
      <c r="W305" s="129"/>
      <c r="X305" s="129"/>
      <c r="Y305" s="129"/>
      <c r="Z305" s="129"/>
      <c r="AA305" s="129"/>
    </row>
    <row r="306" spans="1:32" ht="27" x14ac:dyDescent="0.4">
      <c r="A306" s="65"/>
      <c r="B306" s="66"/>
      <c r="C306" s="66"/>
      <c r="D306" s="67"/>
      <c r="E306" s="68"/>
      <c r="F306" s="68"/>
      <c r="G306" s="66"/>
      <c r="H306" s="67"/>
      <c r="I306" s="67"/>
      <c r="J306" s="67"/>
      <c r="K306" s="66"/>
      <c r="L306" s="68"/>
      <c r="M306" s="66"/>
      <c r="N306" s="69"/>
      <c r="O306" s="67"/>
      <c r="P306" s="66"/>
      <c r="Q306" s="65"/>
      <c r="R306" s="68"/>
      <c r="T306" s="129"/>
      <c r="U306" s="129"/>
      <c r="V306" s="129"/>
      <c r="W306" s="129"/>
      <c r="X306" s="129"/>
      <c r="Y306" s="129"/>
      <c r="Z306" s="129"/>
      <c r="AA306" s="129"/>
    </row>
    <row r="307" spans="1:32" ht="27" x14ac:dyDescent="0.4">
      <c r="A307" s="65"/>
      <c r="B307" s="66"/>
      <c r="C307" s="66"/>
      <c r="D307" s="67"/>
      <c r="E307" s="68"/>
      <c r="F307" s="68"/>
      <c r="G307" s="66"/>
      <c r="H307" s="67"/>
      <c r="I307" s="67"/>
      <c r="J307" s="67"/>
      <c r="K307" s="66"/>
      <c r="L307" s="68"/>
      <c r="M307" s="66"/>
      <c r="N307" s="69"/>
      <c r="O307" s="67"/>
      <c r="P307" s="66"/>
      <c r="Q307" s="65"/>
      <c r="R307" s="68"/>
    </row>
    <row r="308" spans="1:32" ht="27" x14ac:dyDescent="0.4">
      <c r="A308" s="65"/>
      <c r="B308" s="66"/>
      <c r="C308" s="66"/>
      <c r="D308" s="67"/>
      <c r="E308" s="68"/>
      <c r="F308" s="68"/>
      <c r="G308" s="66"/>
      <c r="H308" s="67"/>
      <c r="I308" s="67"/>
      <c r="J308" s="67"/>
      <c r="K308" s="66"/>
      <c r="L308" s="68"/>
      <c r="M308" s="66"/>
      <c r="N308" s="69"/>
      <c r="O308" s="67"/>
      <c r="P308" s="66"/>
      <c r="Q308" s="65"/>
      <c r="R308" s="68"/>
    </row>
    <row r="309" spans="1:32" ht="27" x14ac:dyDescent="0.4">
      <c r="A309" s="65"/>
      <c r="B309" s="66"/>
      <c r="C309" s="66"/>
      <c r="D309" s="67"/>
      <c r="E309" s="68"/>
      <c r="F309" s="68"/>
      <c r="G309" s="66"/>
      <c r="H309" s="67"/>
      <c r="I309" s="67"/>
      <c r="J309" s="67"/>
      <c r="K309" s="66"/>
      <c r="L309" s="68"/>
      <c r="M309" s="66"/>
      <c r="N309" s="69"/>
      <c r="O309" s="67"/>
      <c r="P309" s="66"/>
      <c r="Q309" s="65"/>
      <c r="R309" s="68"/>
    </row>
    <row r="310" spans="1:32" ht="27" x14ac:dyDescent="0.4">
      <c r="A310" s="65"/>
      <c r="B310" s="66"/>
      <c r="C310" s="66"/>
      <c r="D310" s="67"/>
      <c r="E310" s="68"/>
      <c r="F310" s="68"/>
      <c r="G310" s="66"/>
      <c r="H310" s="67"/>
      <c r="I310" s="67"/>
      <c r="J310" s="67"/>
      <c r="K310" s="66"/>
      <c r="L310" s="68"/>
      <c r="M310" s="66"/>
      <c r="N310" s="69"/>
      <c r="O310" s="67"/>
      <c r="P310" s="66"/>
      <c r="Q310" s="65"/>
      <c r="R310" s="68"/>
    </row>
    <row r="311" spans="1:32" ht="27" x14ac:dyDescent="0.4">
      <c r="A311" s="65"/>
      <c r="B311" s="66"/>
      <c r="C311" s="66"/>
      <c r="D311" s="67"/>
      <c r="E311" s="68"/>
      <c r="F311" s="68"/>
      <c r="G311" s="66"/>
      <c r="H311" s="67"/>
      <c r="I311" s="67"/>
      <c r="J311" s="67"/>
      <c r="K311" s="66"/>
      <c r="L311" s="68"/>
      <c r="M311" s="66"/>
      <c r="N311" s="69"/>
      <c r="O311" s="67"/>
      <c r="P311" s="66"/>
      <c r="Q311" s="65"/>
      <c r="R311" s="68"/>
    </row>
    <row r="312" spans="1:32" ht="27" x14ac:dyDescent="0.4">
      <c r="A312" s="65"/>
      <c r="B312" s="66"/>
      <c r="C312" s="66"/>
      <c r="D312" s="67"/>
      <c r="E312" s="68"/>
      <c r="F312" s="68"/>
      <c r="G312" s="66"/>
      <c r="H312" s="67"/>
      <c r="I312" s="67"/>
      <c r="J312" s="67"/>
      <c r="K312" s="66"/>
      <c r="L312" s="68"/>
      <c r="M312" s="66"/>
      <c r="N312" s="69"/>
      <c r="O312" s="67"/>
      <c r="P312" s="66"/>
      <c r="Q312" s="65"/>
      <c r="R312" s="68"/>
    </row>
    <row r="313" spans="1:32" ht="27" x14ac:dyDescent="0.4">
      <c r="A313" s="65"/>
      <c r="B313" s="66"/>
      <c r="C313" s="66"/>
      <c r="D313" s="67"/>
      <c r="E313" s="68"/>
      <c r="F313" s="68"/>
      <c r="G313" s="66"/>
      <c r="H313" s="67"/>
      <c r="I313" s="67"/>
      <c r="J313" s="67"/>
      <c r="K313" s="66"/>
      <c r="L313" s="68"/>
      <c r="M313" s="66"/>
      <c r="N313" s="69"/>
      <c r="O313" s="67"/>
      <c r="P313" s="66"/>
      <c r="Q313" s="65"/>
      <c r="R313" s="68"/>
    </row>
    <row r="314" spans="1:32" ht="27" x14ac:dyDescent="0.4">
      <c r="A314" s="65"/>
      <c r="B314" s="66"/>
      <c r="C314" s="66"/>
      <c r="D314" s="67"/>
      <c r="E314" s="68"/>
      <c r="F314" s="68"/>
      <c r="G314" s="66"/>
      <c r="H314" s="67"/>
      <c r="I314" s="67"/>
      <c r="J314" s="67"/>
      <c r="K314" s="66"/>
      <c r="L314" s="68"/>
      <c r="M314" s="66"/>
      <c r="N314" s="69"/>
      <c r="O314" s="67"/>
      <c r="P314" s="66"/>
      <c r="Q314" s="65"/>
      <c r="R314" s="68"/>
    </row>
    <row r="315" spans="1:32" ht="27" x14ac:dyDescent="0.4">
      <c r="A315" s="65"/>
      <c r="B315" s="66"/>
      <c r="C315" s="66"/>
      <c r="D315" s="67"/>
      <c r="E315" s="68"/>
      <c r="F315" s="68"/>
      <c r="G315" s="66"/>
      <c r="H315" s="67"/>
      <c r="I315" s="67"/>
      <c r="J315" s="67"/>
      <c r="K315" s="66"/>
      <c r="L315" s="68"/>
      <c r="M315" s="66"/>
      <c r="N315" s="69"/>
      <c r="O315" s="67"/>
      <c r="P315" s="66"/>
      <c r="Q315" s="65"/>
      <c r="R315" s="68"/>
    </row>
    <row r="316" spans="1:32" ht="27" x14ac:dyDescent="0.4">
      <c r="A316" s="65"/>
      <c r="B316" s="66"/>
      <c r="C316" s="66"/>
      <c r="D316" s="67"/>
      <c r="E316" s="68"/>
      <c r="F316" s="68"/>
      <c r="G316" s="66"/>
      <c r="H316" s="67"/>
      <c r="I316" s="67"/>
      <c r="J316" s="67"/>
      <c r="K316" s="66"/>
      <c r="L316" s="68"/>
      <c r="M316" s="66"/>
      <c r="N316" s="69"/>
      <c r="O316" s="67"/>
      <c r="P316" s="66"/>
      <c r="Q316" s="65"/>
      <c r="R316" s="68"/>
    </row>
    <row r="317" spans="1:32" ht="27" x14ac:dyDescent="0.4">
      <c r="A317" s="65"/>
      <c r="B317" s="66"/>
      <c r="C317" s="66"/>
      <c r="D317" s="67"/>
      <c r="E317" s="68"/>
      <c r="F317" s="68"/>
      <c r="G317" s="66"/>
      <c r="H317" s="67"/>
      <c r="I317" s="67"/>
      <c r="J317" s="67"/>
      <c r="K317" s="66"/>
      <c r="L317" s="68"/>
      <c r="M317" s="66"/>
      <c r="N317" s="69"/>
      <c r="O317" s="67"/>
      <c r="P317" s="66"/>
      <c r="Q317" s="65"/>
      <c r="R317" s="68"/>
      <c r="U317" s="129"/>
      <c r="V317" s="129"/>
      <c r="W317" s="129"/>
      <c r="X317" s="129"/>
      <c r="Y317" s="129"/>
      <c r="Z317" s="129"/>
      <c r="AA317" s="129"/>
      <c r="AB317" s="129"/>
      <c r="AC317" s="129"/>
      <c r="AD317" s="129"/>
      <c r="AE317" s="129"/>
      <c r="AF317" s="129"/>
    </row>
    <row r="318" spans="1:32" ht="27" x14ac:dyDescent="0.4">
      <c r="A318" s="65"/>
      <c r="B318" s="66"/>
      <c r="C318" s="66"/>
      <c r="D318" s="67"/>
      <c r="E318" s="68"/>
      <c r="F318" s="68"/>
      <c r="G318" s="66"/>
      <c r="H318" s="67"/>
      <c r="I318" s="67"/>
      <c r="J318" s="67"/>
      <c r="K318" s="66"/>
      <c r="L318" s="68"/>
      <c r="M318" s="66"/>
      <c r="N318" s="69"/>
      <c r="O318" s="67"/>
      <c r="P318" s="66"/>
      <c r="Q318" s="65"/>
      <c r="R318" s="68"/>
      <c r="U318" s="129"/>
      <c r="V318" s="129"/>
      <c r="W318" s="129"/>
      <c r="X318" s="129"/>
      <c r="Y318" s="129"/>
      <c r="Z318" s="129"/>
      <c r="AA318" s="129"/>
      <c r="AB318" s="129"/>
      <c r="AC318" s="129"/>
      <c r="AD318" s="129"/>
      <c r="AE318" s="129"/>
      <c r="AF318" s="129"/>
    </row>
    <row r="319" spans="1:32" ht="27" x14ac:dyDescent="0.4">
      <c r="A319" s="65"/>
      <c r="B319" s="66"/>
      <c r="C319" s="66"/>
      <c r="D319" s="67"/>
      <c r="E319" s="68"/>
      <c r="F319" s="68"/>
      <c r="G319" s="66"/>
      <c r="H319" s="67"/>
      <c r="I319" s="67"/>
      <c r="J319" s="67"/>
      <c r="K319" s="66"/>
      <c r="L319" s="68"/>
      <c r="M319" s="66"/>
      <c r="N319" s="69"/>
      <c r="O319" s="67"/>
      <c r="P319" s="66"/>
      <c r="Q319" s="65"/>
      <c r="R319" s="68"/>
      <c r="U319" s="129"/>
      <c r="V319" s="129"/>
      <c r="W319" s="129"/>
      <c r="X319" s="129"/>
      <c r="Y319" s="129"/>
      <c r="Z319" s="129"/>
      <c r="AA319" s="129"/>
      <c r="AB319" s="129"/>
      <c r="AC319" s="129"/>
      <c r="AD319" s="129"/>
      <c r="AE319" s="129"/>
      <c r="AF319" s="129"/>
    </row>
    <row r="320" spans="1:32" ht="27" x14ac:dyDescent="0.4">
      <c r="A320" s="65"/>
      <c r="B320" s="66"/>
      <c r="C320" s="66"/>
      <c r="D320" s="67"/>
      <c r="E320" s="68"/>
      <c r="F320" s="68"/>
      <c r="G320" s="66"/>
      <c r="H320" s="67"/>
      <c r="I320" s="67"/>
      <c r="J320" s="67"/>
      <c r="K320" s="66"/>
      <c r="L320" s="68"/>
      <c r="M320" s="66"/>
      <c r="N320" s="69"/>
      <c r="O320" s="67"/>
      <c r="P320" s="66"/>
      <c r="Q320" s="65"/>
      <c r="R320" s="68"/>
      <c r="U320" s="129"/>
      <c r="V320" s="129"/>
      <c r="W320" s="129"/>
      <c r="X320" s="129"/>
      <c r="Y320" s="129"/>
      <c r="Z320" s="129"/>
      <c r="AA320" s="129"/>
      <c r="AB320" s="129"/>
      <c r="AC320" s="129"/>
      <c r="AD320" s="129"/>
      <c r="AE320" s="129"/>
      <c r="AF320" s="129"/>
    </row>
    <row r="321" spans="1:32" ht="27" x14ac:dyDescent="0.4">
      <c r="A321" s="65"/>
      <c r="B321" s="66"/>
      <c r="C321" s="66"/>
      <c r="D321" s="67"/>
      <c r="E321" s="68"/>
      <c r="F321" s="68"/>
      <c r="G321" s="66"/>
      <c r="H321" s="67"/>
      <c r="I321" s="67"/>
      <c r="J321" s="67"/>
      <c r="K321" s="66"/>
      <c r="L321" s="68"/>
      <c r="M321" s="66"/>
      <c r="N321" s="69"/>
      <c r="O321" s="67"/>
      <c r="P321" s="66"/>
      <c r="Q321" s="65"/>
      <c r="R321" s="68"/>
      <c r="U321" s="129"/>
      <c r="V321" s="129"/>
      <c r="W321" s="129"/>
      <c r="X321" s="129"/>
      <c r="Y321" s="129"/>
      <c r="Z321" s="129"/>
      <c r="AA321" s="129"/>
      <c r="AB321" s="129"/>
      <c r="AC321" s="129"/>
      <c r="AD321" s="129"/>
      <c r="AE321" s="129"/>
      <c r="AF321" s="129"/>
    </row>
    <row r="322" spans="1:32" ht="33" x14ac:dyDescent="0.4">
      <c r="P322" s="17"/>
      <c r="Q322" s="17"/>
      <c r="U322" s="130"/>
      <c r="V322" s="130"/>
      <c r="W322" s="131"/>
      <c r="X322" s="131"/>
      <c r="Y322" s="55"/>
      <c r="Z322" s="129"/>
      <c r="AA322" s="129"/>
      <c r="AB322" s="130"/>
      <c r="AC322" s="130"/>
      <c r="AD322" s="131"/>
      <c r="AE322" s="131"/>
      <c r="AF322" s="55"/>
    </row>
    <row r="323" spans="1:32" ht="33" x14ac:dyDescent="0.4">
      <c r="K323" s="17"/>
      <c r="P323" s="17"/>
      <c r="Q323" s="17"/>
      <c r="U323" s="130"/>
      <c r="V323" s="130"/>
      <c r="W323" s="131"/>
      <c r="X323" s="131"/>
      <c r="Y323" s="55"/>
      <c r="Z323" s="129"/>
      <c r="AA323" s="129"/>
      <c r="AB323" s="130"/>
      <c r="AC323" s="130"/>
      <c r="AD323" s="131"/>
      <c r="AE323" s="131"/>
      <c r="AF323" s="55"/>
    </row>
    <row r="324" spans="1:32" ht="33" x14ac:dyDescent="0.4">
      <c r="U324" s="130"/>
      <c r="V324" s="130"/>
      <c r="W324" s="131"/>
      <c r="X324" s="131"/>
      <c r="Y324" s="55"/>
      <c r="Z324" s="129"/>
      <c r="AA324" s="129"/>
      <c r="AB324" s="130"/>
      <c r="AC324" s="130"/>
      <c r="AD324" s="131"/>
      <c r="AE324" s="131"/>
      <c r="AF324" s="55"/>
    </row>
    <row r="325" spans="1:32" ht="33" x14ac:dyDescent="0.4">
      <c r="U325" s="130"/>
      <c r="V325" s="130"/>
      <c r="W325" s="131"/>
      <c r="X325" s="131"/>
      <c r="Y325" s="55"/>
      <c r="Z325" s="129"/>
      <c r="AA325" s="129"/>
      <c r="AB325" s="130"/>
      <c r="AC325" s="130"/>
      <c r="AD325" s="131"/>
      <c r="AE325" s="131"/>
      <c r="AF325" s="55"/>
    </row>
    <row r="326" spans="1:32" ht="33" x14ac:dyDescent="0.4">
      <c r="U326" s="130"/>
      <c r="V326" s="130"/>
      <c r="W326" s="131"/>
      <c r="X326" s="131"/>
      <c r="Y326" s="55"/>
      <c r="Z326" s="129"/>
      <c r="AA326" s="129"/>
      <c r="AB326" s="130"/>
      <c r="AC326" s="130"/>
      <c r="AD326" s="131"/>
      <c r="AE326" s="131"/>
      <c r="AF326" s="55"/>
    </row>
    <row r="327" spans="1:32" ht="30.75" x14ac:dyDescent="0.4">
      <c r="U327" s="132"/>
      <c r="V327" s="132"/>
      <c r="W327" s="131"/>
      <c r="X327" s="131"/>
      <c r="Y327" s="55"/>
      <c r="Z327" s="129"/>
      <c r="AA327" s="129"/>
      <c r="AB327" s="132"/>
      <c r="AC327" s="132"/>
      <c r="AD327" s="131"/>
      <c r="AE327" s="131"/>
      <c r="AF327" s="55"/>
    </row>
    <row r="328" spans="1:32" x14ac:dyDescent="0.4">
      <c r="U328" s="129"/>
      <c r="V328" s="129"/>
      <c r="W328" s="129"/>
      <c r="X328" s="129"/>
      <c r="Y328" s="129"/>
      <c r="Z328" s="129"/>
      <c r="AA328" s="129"/>
      <c r="AB328" s="129"/>
      <c r="AC328" s="129"/>
      <c r="AD328" s="129"/>
      <c r="AE328" s="129"/>
      <c r="AF328" s="129"/>
    </row>
    <row r="329" spans="1:32" x14ac:dyDescent="0.4">
      <c r="U329" s="129"/>
      <c r="V329" s="129"/>
      <c r="W329" s="129"/>
      <c r="X329" s="129"/>
      <c r="Y329" s="129"/>
      <c r="Z329" s="129"/>
      <c r="AA329" s="129"/>
      <c r="AB329" s="129"/>
      <c r="AC329" s="129"/>
      <c r="AD329" s="129"/>
      <c r="AE329" s="129"/>
      <c r="AF329" s="129"/>
    </row>
    <row r="330" spans="1:32" x14ac:dyDescent="0.4">
      <c r="U330" s="129"/>
      <c r="V330" s="129"/>
      <c r="W330" s="129"/>
      <c r="X330" s="129"/>
      <c r="Y330" s="129"/>
      <c r="Z330" s="129"/>
      <c r="AA330" s="129"/>
      <c r="AB330" s="129"/>
      <c r="AC330" s="129"/>
      <c r="AD330" s="129"/>
      <c r="AE330" s="129"/>
      <c r="AF330" s="129"/>
    </row>
  </sheetData>
  <mergeCells count="10">
    <mergeCell ref="A1:A2"/>
    <mergeCell ref="B1:B2"/>
    <mergeCell ref="C1:C2"/>
    <mergeCell ref="D1:D2"/>
    <mergeCell ref="E1:E2"/>
    <mergeCell ref="F1:F2"/>
    <mergeCell ref="G1:K1"/>
    <mergeCell ref="L1:L2"/>
    <mergeCell ref="M1:Q1"/>
    <mergeCell ref="R1:R2"/>
  </mergeCells>
  <dataValidations count="1">
    <dataValidation type="list" allowBlank="1" showInputMessage="1" showErrorMessage="1" sqref="M3:M321" xr:uid="{AC22F6C1-D0A1-4B8A-9FAF-5BC2910CDA32}">
      <formula1>INDIRECT(S3)</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99A89-A006-487E-8AFA-986DAF50624F}">
  <dimension ref="A1:Z321"/>
  <sheetViews>
    <sheetView topLeftCell="I1" zoomScale="66" zoomScaleNormal="66" workbookViewId="0">
      <selection activeCell="R17" sqref="R17"/>
    </sheetView>
  </sheetViews>
  <sheetFormatPr defaultRowHeight="17.25" x14ac:dyDescent="0.4"/>
  <cols>
    <col min="1" max="1" width="5.28515625" style="1" customWidth="1"/>
    <col min="2" max="2" width="10" style="1" bestFit="1" customWidth="1"/>
    <col min="3" max="3" width="14.7109375" style="1" customWidth="1"/>
    <col min="4" max="4" width="9.28515625" style="1" bestFit="1" customWidth="1"/>
    <col min="5" max="5" width="23" style="1" customWidth="1"/>
    <col min="6" max="6" width="32.28515625" style="1" customWidth="1"/>
    <col min="7" max="7" width="9.140625" style="1"/>
    <col min="8" max="11" width="9.28515625" style="1" bestFit="1" customWidth="1"/>
    <col min="12" max="12" width="30.140625" style="1" customWidth="1"/>
    <col min="13" max="13" width="9.140625" style="1"/>
    <col min="14" max="17" width="9.28515625" style="1" bestFit="1" customWidth="1"/>
    <col min="18" max="18" width="32" style="1" customWidth="1"/>
    <col min="19" max="19" width="30.140625" style="1" customWidth="1"/>
    <col min="20" max="20" width="9.28515625" style="1" bestFit="1" customWidth="1"/>
    <col min="21" max="21" width="9.140625" style="1"/>
    <col min="22" max="22" width="10.7109375" style="1" customWidth="1"/>
    <col min="23" max="23" width="16.28515625" style="1" customWidth="1"/>
    <col min="24" max="24" width="14.5703125" style="1" customWidth="1"/>
    <col min="25" max="16384" width="9.140625" style="1"/>
  </cols>
  <sheetData>
    <row r="1" spans="1:18" ht="27" x14ac:dyDescent="0.4">
      <c r="A1" s="173" t="s">
        <v>0</v>
      </c>
      <c r="B1" s="171" t="s">
        <v>1</v>
      </c>
      <c r="C1" s="171" t="s">
        <v>2</v>
      </c>
      <c r="D1" s="172" t="s">
        <v>3</v>
      </c>
      <c r="E1" s="172" t="s">
        <v>4</v>
      </c>
      <c r="F1" s="163" t="s">
        <v>5</v>
      </c>
      <c r="G1" s="163" t="s">
        <v>6</v>
      </c>
      <c r="H1" s="163"/>
      <c r="I1" s="163"/>
      <c r="J1" s="163"/>
      <c r="K1" s="163"/>
      <c r="L1" s="169" t="s">
        <v>7</v>
      </c>
      <c r="M1" s="169" t="s">
        <v>8</v>
      </c>
      <c r="N1" s="169"/>
      <c r="O1" s="169"/>
      <c r="P1" s="169"/>
      <c r="Q1" s="169"/>
      <c r="R1" s="170" t="s">
        <v>9</v>
      </c>
    </row>
    <row r="2" spans="1:18" ht="108" x14ac:dyDescent="0.4">
      <c r="A2" s="173"/>
      <c r="B2" s="171"/>
      <c r="C2" s="171"/>
      <c r="D2" s="172"/>
      <c r="E2" s="172"/>
      <c r="F2" s="163"/>
      <c r="G2" s="63" t="s">
        <v>10</v>
      </c>
      <c r="H2" s="63" t="s">
        <v>11</v>
      </c>
      <c r="I2" s="63" t="s">
        <v>12</v>
      </c>
      <c r="J2" s="63" t="s">
        <v>13</v>
      </c>
      <c r="K2" s="63" t="s">
        <v>14</v>
      </c>
      <c r="L2" s="169"/>
      <c r="M2" s="64" t="s">
        <v>10</v>
      </c>
      <c r="N2" s="64" t="s">
        <v>11</v>
      </c>
      <c r="O2" s="64" t="s">
        <v>15</v>
      </c>
      <c r="P2" s="64" t="s">
        <v>16</v>
      </c>
      <c r="Q2" s="64" t="s">
        <v>17</v>
      </c>
      <c r="R2" s="170"/>
    </row>
    <row r="3" spans="1:18" ht="27" x14ac:dyDescent="0.4">
      <c r="A3" s="65"/>
      <c r="B3" s="66"/>
      <c r="C3" s="66"/>
      <c r="D3" s="67"/>
      <c r="E3" s="68"/>
      <c r="F3" s="68"/>
      <c r="G3" s="66"/>
      <c r="H3" s="67"/>
      <c r="I3" s="67"/>
      <c r="J3" s="67"/>
      <c r="K3" s="66"/>
      <c r="L3" s="68"/>
      <c r="M3" s="66"/>
      <c r="N3" s="69"/>
      <c r="O3" s="67"/>
      <c r="P3" s="69"/>
      <c r="Q3" s="69"/>
      <c r="R3" s="70"/>
    </row>
    <row r="4" spans="1:18" ht="27" x14ac:dyDescent="0.4">
      <c r="A4" s="65"/>
      <c r="B4" s="66"/>
      <c r="C4" s="66"/>
      <c r="D4" s="67"/>
      <c r="E4" s="68"/>
      <c r="F4" s="68"/>
      <c r="G4" s="66"/>
      <c r="H4" s="67"/>
      <c r="I4" s="67"/>
      <c r="J4" s="67"/>
      <c r="K4" s="66"/>
      <c r="L4" s="68"/>
      <c r="M4" s="66"/>
      <c r="N4" s="69"/>
      <c r="O4" s="67"/>
      <c r="P4" s="69"/>
      <c r="Q4" s="69"/>
      <c r="R4" s="70"/>
    </row>
    <row r="5" spans="1:18" ht="27" x14ac:dyDescent="0.4">
      <c r="A5" s="65"/>
      <c r="B5" s="66"/>
      <c r="C5" s="66"/>
      <c r="D5" s="67"/>
      <c r="E5" s="68"/>
      <c r="F5" s="68"/>
      <c r="G5" s="66"/>
      <c r="H5" s="67"/>
      <c r="I5" s="67"/>
      <c r="J5" s="67"/>
      <c r="K5" s="66"/>
      <c r="L5" s="68"/>
      <c r="M5" s="66"/>
      <c r="N5" s="69"/>
      <c r="O5" s="67"/>
      <c r="P5" s="69"/>
      <c r="Q5" s="69"/>
      <c r="R5" s="68"/>
    </row>
    <row r="6" spans="1:18" ht="27" x14ac:dyDescent="0.4">
      <c r="A6" s="65"/>
      <c r="B6" s="66"/>
      <c r="C6" s="66"/>
      <c r="D6" s="67"/>
      <c r="E6" s="68"/>
      <c r="F6" s="68"/>
      <c r="G6" s="66"/>
      <c r="H6" s="67"/>
      <c r="I6" s="67"/>
      <c r="J6" s="67"/>
      <c r="K6" s="66"/>
      <c r="L6" s="68"/>
      <c r="M6" s="66"/>
      <c r="N6" s="69"/>
      <c r="O6" s="67"/>
      <c r="P6" s="69"/>
      <c r="Q6" s="69"/>
      <c r="R6" s="70"/>
    </row>
    <row r="7" spans="1:18" ht="27" x14ac:dyDescent="0.4">
      <c r="A7" s="65"/>
      <c r="B7" s="66"/>
      <c r="C7" s="66"/>
      <c r="D7" s="67"/>
      <c r="E7" s="68"/>
      <c r="F7" s="68"/>
      <c r="G7" s="66"/>
      <c r="H7" s="67"/>
      <c r="I7" s="67"/>
      <c r="J7" s="67"/>
      <c r="K7" s="66"/>
      <c r="L7" s="68"/>
      <c r="M7" s="66"/>
      <c r="N7" s="69"/>
      <c r="O7" s="67"/>
      <c r="P7" s="69"/>
      <c r="Q7" s="69"/>
      <c r="R7" s="70"/>
    </row>
    <row r="8" spans="1:18" ht="27" x14ac:dyDescent="0.4">
      <c r="A8" s="65"/>
      <c r="B8" s="66"/>
      <c r="C8" s="66"/>
      <c r="D8" s="67"/>
      <c r="E8" s="68"/>
      <c r="F8" s="68"/>
      <c r="G8" s="66"/>
      <c r="H8" s="67"/>
      <c r="I8" s="67"/>
      <c r="J8" s="67"/>
      <c r="K8" s="66"/>
      <c r="L8" s="68"/>
      <c r="M8" s="66"/>
      <c r="N8" s="69"/>
      <c r="O8" s="67"/>
      <c r="P8" s="69"/>
      <c r="Q8" s="69"/>
      <c r="R8" s="70"/>
    </row>
    <row r="9" spans="1:18" ht="27" x14ac:dyDescent="0.4">
      <c r="A9" s="65"/>
      <c r="B9" s="66"/>
      <c r="C9" s="66"/>
      <c r="D9" s="67"/>
      <c r="E9" s="68"/>
      <c r="F9" s="68"/>
      <c r="G9" s="66"/>
      <c r="H9" s="67"/>
      <c r="I9" s="67"/>
      <c r="J9" s="67"/>
      <c r="K9" s="66"/>
      <c r="L9" s="68"/>
      <c r="M9" s="66"/>
      <c r="N9" s="69"/>
      <c r="O9" s="67"/>
      <c r="P9" s="69"/>
      <c r="Q9" s="69"/>
      <c r="R9" s="70"/>
    </row>
    <row r="10" spans="1:18" ht="27" x14ac:dyDescent="0.4">
      <c r="A10" s="65"/>
      <c r="B10" s="66"/>
      <c r="C10" s="66"/>
      <c r="D10" s="67"/>
      <c r="E10" s="68"/>
      <c r="F10" s="68"/>
      <c r="G10" s="66"/>
      <c r="H10" s="67"/>
      <c r="I10" s="67"/>
      <c r="J10" s="67"/>
      <c r="K10" s="66"/>
      <c r="L10" s="68"/>
      <c r="M10" s="66"/>
      <c r="N10" s="69"/>
      <c r="O10" s="67"/>
      <c r="P10" s="69"/>
      <c r="Q10" s="69"/>
      <c r="R10" s="70"/>
    </row>
    <row r="11" spans="1:18" ht="27" x14ac:dyDescent="0.4">
      <c r="A11" s="65"/>
      <c r="B11" s="66"/>
      <c r="C11" s="66"/>
      <c r="D11" s="67"/>
      <c r="E11" s="68"/>
      <c r="F11" s="68"/>
      <c r="G11" s="66"/>
      <c r="H11" s="67"/>
      <c r="I11" s="67"/>
      <c r="J11" s="67"/>
      <c r="K11" s="66"/>
      <c r="L11" s="68"/>
      <c r="M11" s="66"/>
      <c r="N11" s="69"/>
      <c r="O11" s="67"/>
      <c r="P11" s="69"/>
      <c r="Q11" s="69"/>
      <c r="R11" s="70"/>
    </row>
    <row r="12" spans="1:18" ht="27" x14ac:dyDescent="0.4">
      <c r="A12" s="65"/>
      <c r="B12" s="66"/>
      <c r="C12" s="66"/>
      <c r="D12" s="67"/>
      <c r="E12" s="68"/>
      <c r="F12" s="68"/>
      <c r="G12" s="66"/>
      <c r="H12" s="67"/>
      <c r="I12" s="67"/>
      <c r="J12" s="67"/>
      <c r="K12" s="66"/>
      <c r="L12" s="68"/>
      <c r="M12" s="66"/>
      <c r="N12" s="69"/>
      <c r="O12" s="67"/>
      <c r="P12" s="69"/>
      <c r="Q12" s="69"/>
      <c r="R12" s="68"/>
    </row>
    <row r="13" spans="1:18" ht="27" x14ac:dyDescent="0.4">
      <c r="A13" s="65"/>
      <c r="B13" s="66"/>
      <c r="C13" s="66"/>
      <c r="D13" s="67"/>
      <c r="E13" s="68"/>
      <c r="F13" s="68"/>
      <c r="G13" s="66"/>
      <c r="H13" s="67"/>
      <c r="I13" s="67"/>
      <c r="J13" s="67"/>
      <c r="K13" s="66"/>
      <c r="L13" s="68"/>
      <c r="M13" s="66"/>
      <c r="N13" s="69"/>
      <c r="O13" s="67"/>
      <c r="P13" s="69"/>
      <c r="Q13" s="69"/>
      <c r="R13" s="68"/>
    </row>
    <row r="14" spans="1:18" ht="27" x14ac:dyDescent="0.4">
      <c r="A14" s="65"/>
      <c r="B14" s="66"/>
      <c r="C14" s="66"/>
      <c r="D14" s="67"/>
      <c r="E14" s="68"/>
      <c r="F14" s="68"/>
      <c r="G14" s="66"/>
      <c r="H14" s="67"/>
      <c r="I14" s="67"/>
      <c r="J14" s="67"/>
      <c r="K14" s="66"/>
      <c r="L14" s="68"/>
      <c r="M14" s="66"/>
      <c r="N14" s="69"/>
      <c r="O14" s="67"/>
      <c r="P14" s="69"/>
      <c r="Q14" s="69"/>
      <c r="R14" s="68"/>
    </row>
    <row r="15" spans="1:18" ht="27" x14ac:dyDescent="0.4">
      <c r="A15" s="65"/>
      <c r="B15" s="66"/>
      <c r="C15" s="66"/>
      <c r="D15" s="67"/>
      <c r="E15" s="68"/>
      <c r="F15" s="68"/>
      <c r="G15" s="66"/>
      <c r="H15" s="67"/>
      <c r="I15" s="67"/>
      <c r="J15" s="67"/>
      <c r="K15" s="66"/>
      <c r="L15" s="68"/>
      <c r="M15" s="66"/>
      <c r="N15" s="69"/>
      <c r="O15" s="67"/>
      <c r="P15" s="69"/>
      <c r="Q15" s="69"/>
      <c r="R15" s="65"/>
    </row>
    <row r="16" spans="1:18" ht="27" x14ac:dyDescent="0.4">
      <c r="A16" s="65"/>
      <c r="B16" s="66"/>
      <c r="C16" s="66"/>
      <c r="D16" s="67"/>
      <c r="E16" s="68"/>
      <c r="F16" s="68"/>
      <c r="G16" s="66"/>
      <c r="H16" s="67"/>
      <c r="I16" s="67"/>
      <c r="J16" s="67"/>
      <c r="K16" s="66"/>
      <c r="L16" s="68"/>
      <c r="M16" s="66"/>
      <c r="N16" s="69"/>
      <c r="O16" s="67"/>
      <c r="P16" s="69"/>
      <c r="Q16" s="69"/>
      <c r="R16" s="120"/>
    </row>
    <row r="17" spans="1:18" ht="27" x14ac:dyDescent="0.4">
      <c r="A17" s="65"/>
      <c r="B17" s="66"/>
      <c r="C17" s="66"/>
      <c r="D17" s="67"/>
      <c r="E17" s="68"/>
      <c r="F17" s="68"/>
      <c r="G17" s="66"/>
      <c r="H17" s="67"/>
      <c r="I17" s="67"/>
      <c r="J17" s="67"/>
      <c r="K17" s="66"/>
      <c r="L17" s="68"/>
      <c r="M17" s="66"/>
      <c r="N17" s="69"/>
      <c r="O17" s="67"/>
      <c r="P17" s="69"/>
      <c r="Q17" s="69"/>
      <c r="R17" s="65"/>
    </row>
    <row r="18" spans="1:18" ht="27" x14ac:dyDescent="0.4">
      <c r="A18" s="65"/>
      <c r="B18" s="66"/>
      <c r="C18" s="66"/>
      <c r="D18" s="67"/>
      <c r="E18" s="68"/>
      <c r="F18" s="68"/>
      <c r="G18" s="66"/>
      <c r="H18" s="67"/>
      <c r="I18" s="67"/>
      <c r="J18" s="67"/>
      <c r="K18" s="66"/>
      <c r="L18" s="68"/>
      <c r="M18" s="66"/>
      <c r="N18" s="69"/>
      <c r="O18" s="67"/>
      <c r="P18" s="69"/>
      <c r="Q18" s="69"/>
      <c r="R18" s="70"/>
    </row>
    <row r="19" spans="1:18" ht="27" x14ac:dyDescent="0.4">
      <c r="A19" s="65"/>
      <c r="B19" s="66"/>
      <c r="C19" s="66"/>
      <c r="D19" s="67"/>
      <c r="E19" s="68"/>
      <c r="F19" s="68"/>
      <c r="G19" s="66"/>
      <c r="H19" s="67"/>
      <c r="I19" s="67"/>
      <c r="J19" s="67"/>
      <c r="K19" s="66"/>
      <c r="L19" s="68"/>
      <c r="M19" s="66"/>
      <c r="N19" s="69"/>
      <c r="O19" s="67"/>
      <c r="P19" s="69"/>
      <c r="Q19" s="69"/>
      <c r="R19" s="68"/>
    </row>
    <row r="20" spans="1:18" ht="27" x14ac:dyDescent="0.4">
      <c r="A20" s="65"/>
      <c r="B20" s="66"/>
      <c r="C20" s="66"/>
      <c r="D20" s="67"/>
      <c r="E20" s="68"/>
      <c r="F20" s="68"/>
      <c r="G20" s="66"/>
      <c r="H20" s="67"/>
      <c r="I20" s="67"/>
      <c r="J20" s="67"/>
      <c r="K20" s="66"/>
      <c r="L20" s="68"/>
      <c r="M20" s="66"/>
      <c r="N20" s="69"/>
      <c r="O20" s="67"/>
      <c r="P20" s="69"/>
      <c r="Q20" s="69"/>
      <c r="R20" s="68"/>
    </row>
    <row r="21" spans="1:18" ht="27" x14ac:dyDescent="0.4">
      <c r="A21" s="65"/>
      <c r="B21" s="66"/>
      <c r="C21" s="66"/>
      <c r="D21" s="67"/>
      <c r="E21" s="68"/>
      <c r="F21" s="68"/>
      <c r="G21" s="66"/>
      <c r="H21" s="67"/>
      <c r="I21" s="67"/>
      <c r="J21" s="67"/>
      <c r="K21" s="66"/>
      <c r="L21" s="68"/>
      <c r="M21" s="66"/>
      <c r="N21" s="69"/>
      <c r="O21" s="67"/>
      <c r="P21" s="69"/>
      <c r="Q21" s="69"/>
      <c r="R21" s="68"/>
    </row>
    <row r="22" spans="1:18" ht="27" x14ac:dyDescent="0.4">
      <c r="A22" s="65"/>
      <c r="B22" s="66"/>
      <c r="C22" s="66"/>
      <c r="D22" s="67"/>
      <c r="E22" s="68"/>
      <c r="F22" s="68"/>
      <c r="G22" s="66"/>
      <c r="H22" s="67"/>
      <c r="I22" s="67"/>
      <c r="J22" s="67"/>
      <c r="K22" s="66"/>
      <c r="L22" s="68"/>
      <c r="M22" s="66"/>
      <c r="N22" s="69"/>
      <c r="O22" s="67"/>
      <c r="P22" s="69"/>
      <c r="Q22" s="69"/>
      <c r="R22" s="68"/>
    </row>
    <row r="23" spans="1:18" ht="27" x14ac:dyDescent="0.4">
      <c r="A23" s="65"/>
      <c r="B23" s="66"/>
      <c r="C23" s="66"/>
      <c r="D23" s="67"/>
      <c r="E23" s="68"/>
      <c r="F23" s="68"/>
      <c r="G23" s="66"/>
      <c r="H23" s="67"/>
      <c r="I23" s="67"/>
      <c r="J23" s="67"/>
      <c r="K23" s="66"/>
      <c r="L23" s="68"/>
      <c r="M23" s="66"/>
      <c r="N23" s="69"/>
      <c r="O23" s="67"/>
      <c r="P23" s="69"/>
      <c r="Q23" s="69"/>
      <c r="R23" s="68"/>
    </row>
    <row r="24" spans="1:18" ht="27" x14ac:dyDescent="0.4">
      <c r="A24" s="65"/>
      <c r="B24" s="66"/>
      <c r="C24" s="66"/>
      <c r="D24" s="67"/>
      <c r="E24" s="68"/>
      <c r="F24" s="68"/>
      <c r="G24" s="66"/>
      <c r="H24" s="67"/>
      <c r="I24" s="67"/>
      <c r="J24" s="67"/>
      <c r="K24" s="66"/>
      <c r="L24" s="68"/>
      <c r="M24" s="66"/>
      <c r="N24" s="69"/>
      <c r="O24" s="67"/>
      <c r="P24" s="69"/>
      <c r="Q24" s="69"/>
      <c r="R24" s="68"/>
    </row>
    <row r="25" spans="1:18" ht="27" x14ac:dyDescent="0.4">
      <c r="A25" s="65"/>
      <c r="B25" s="66"/>
      <c r="C25" s="66"/>
      <c r="D25" s="67"/>
      <c r="E25" s="68"/>
      <c r="F25" s="68"/>
      <c r="G25" s="66"/>
      <c r="H25" s="67"/>
      <c r="I25" s="67"/>
      <c r="J25" s="67"/>
      <c r="K25" s="66"/>
      <c r="L25" s="68"/>
      <c r="M25" s="66"/>
      <c r="N25" s="69"/>
      <c r="O25" s="67"/>
      <c r="P25" s="69"/>
      <c r="Q25" s="69"/>
      <c r="R25" s="68"/>
    </row>
    <row r="26" spans="1:18" ht="27" x14ac:dyDescent="0.4">
      <c r="A26" s="65"/>
      <c r="B26" s="66"/>
      <c r="C26" s="66"/>
      <c r="D26" s="67"/>
      <c r="E26" s="68"/>
      <c r="F26" s="68"/>
      <c r="G26" s="66"/>
      <c r="H26" s="67"/>
      <c r="I26" s="67"/>
      <c r="J26" s="67"/>
      <c r="K26" s="66"/>
      <c r="L26" s="68"/>
      <c r="M26" s="66"/>
      <c r="N26" s="69"/>
      <c r="O26" s="67"/>
      <c r="P26" s="69"/>
      <c r="Q26" s="69"/>
      <c r="R26" s="68"/>
    </row>
    <row r="27" spans="1:18" ht="27" x14ac:dyDescent="0.4">
      <c r="A27" s="65"/>
      <c r="B27" s="66"/>
      <c r="C27" s="66"/>
      <c r="D27" s="67"/>
      <c r="E27" s="68"/>
      <c r="F27" s="68"/>
      <c r="G27" s="66"/>
      <c r="H27" s="67"/>
      <c r="I27" s="67"/>
      <c r="J27" s="67"/>
      <c r="K27" s="66"/>
      <c r="L27" s="68"/>
      <c r="M27" s="66"/>
      <c r="N27" s="69"/>
      <c r="O27" s="67"/>
      <c r="P27" s="69"/>
      <c r="Q27" s="69"/>
      <c r="R27" s="68"/>
    </row>
    <row r="28" spans="1:18" ht="27" x14ac:dyDescent="0.4">
      <c r="A28" s="65"/>
      <c r="B28" s="66"/>
      <c r="C28" s="66"/>
      <c r="D28" s="67"/>
      <c r="E28" s="68"/>
      <c r="F28" s="68"/>
      <c r="G28" s="66"/>
      <c r="H28" s="67"/>
      <c r="I28" s="67"/>
      <c r="J28" s="67"/>
      <c r="K28" s="66"/>
      <c r="L28" s="68"/>
      <c r="M28" s="66"/>
      <c r="N28" s="69"/>
      <c r="O28" s="67"/>
      <c r="P28" s="69"/>
      <c r="Q28" s="69"/>
      <c r="R28" s="68"/>
    </row>
    <row r="29" spans="1:18" ht="27" x14ac:dyDescent="0.4">
      <c r="A29" s="65"/>
      <c r="B29" s="66"/>
      <c r="C29" s="66"/>
      <c r="D29" s="67"/>
      <c r="E29" s="68"/>
      <c r="F29" s="68"/>
      <c r="G29" s="66"/>
      <c r="H29" s="67"/>
      <c r="I29" s="67"/>
      <c r="J29" s="67"/>
      <c r="K29" s="71"/>
      <c r="L29" s="68"/>
      <c r="M29" s="66"/>
      <c r="N29" s="69"/>
      <c r="O29" s="67"/>
      <c r="P29" s="69"/>
      <c r="Q29" s="69"/>
      <c r="R29" s="68"/>
    </row>
    <row r="30" spans="1:18" ht="27" x14ac:dyDescent="0.4">
      <c r="A30" s="65"/>
      <c r="B30" s="66"/>
      <c r="C30" s="66"/>
      <c r="D30" s="67"/>
      <c r="E30" s="68"/>
      <c r="F30" s="68"/>
      <c r="G30" s="66"/>
      <c r="H30" s="67"/>
      <c r="I30" s="67"/>
      <c r="J30" s="67"/>
      <c r="K30" s="71"/>
      <c r="L30" s="68"/>
      <c r="M30" s="66"/>
      <c r="N30" s="69"/>
      <c r="O30" s="67"/>
      <c r="P30" s="69"/>
      <c r="Q30" s="69"/>
      <c r="R30" s="68"/>
    </row>
    <row r="31" spans="1:18" ht="27" x14ac:dyDescent="0.4">
      <c r="A31" s="65"/>
      <c r="B31" s="66"/>
      <c r="C31" s="66"/>
      <c r="D31" s="67"/>
      <c r="E31" s="68"/>
      <c r="F31" s="68"/>
      <c r="G31" s="66"/>
      <c r="H31" s="67"/>
      <c r="I31" s="67"/>
      <c r="J31" s="67"/>
      <c r="K31" s="71"/>
      <c r="L31" s="68"/>
      <c r="M31" s="66"/>
      <c r="N31" s="69"/>
      <c r="O31" s="67"/>
      <c r="P31" s="69"/>
      <c r="Q31" s="69"/>
      <c r="R31" s="68"/>
    </row>
    <row r="32" spans="1:18" ht="27" x14ac:dyDescent="0.4">
      <c r="A32" s="65"/>
      <c r="B32" s="66"/>
      <c r="C32" s="66"/>
      <c r="D32" s="67"/>
      <c r="E32" s="68"/>
      <c r="F32" s="68"/>
      <c r="G32" s="66"/>
      <c r="H32" s="67"/>
      <c r="I32" s="67"/>
      <c r="J32" s="67"/>
      <c r="K32" s="66"/>
      <c r="L32" s="68"/>
      <c r="M32" s="66"/>
      <c r="N32" s="69"/>
      <c r="O32" s="67"/>
      <c r="P32" s="69"/>
      <c r="Q32" s="69"/>
      <c r="R32" s="68"/>
    </row>
    <row r="33" spans="1:18" ht="27" x14ac:dyDescent="0.4">
      <c r="A33" s="65"/>
      <c r="B33" s="66"/>
      <c r="C33" s="66"/>
      <c r="D33" s="67"/>
      <c r="E33" s="68"/>
      <c r="F33" s="68"/>
      <c r="G33" s="66"/>
      <c r="H33" s="67"/>
      <c r="I33" s="67"/>
      <c r="J33" s="67"/>
      <c r="K33" s="66"/>
      <c r="L33" s="68"/>
      <c r="M33" s="66"/>
      <c r="N33" s="69"/>
      <c r="O33" s="67"/>
      <c r="P33" s="69"/>
      <c r="Q33" s="69"/>
      <c r="R33" s="68"/>
    </row>
    <row r="34" spans="1:18" ht="27" x14ac:dyDescent="0.4">
      <c r="A34" s="65"/>
      <c r="B34" s="66"/>
      <c r="C34" s="66"/>
      <c r="D34" s="67"/>
      <c r="E34" s="68"/>
      <c r="F34" s="68"/>
      <c r="G34" s="66"/>
      <c r="H34" s="67"/>
      <c r="I34" s="67"/>
      <c r="J34" s="67"/>
      <c r="K34" s="66"/>
      <c r="L34" s="68"/>
      <c r="M34" s="66"/>
      <c r="N34" s="69"/>
      <c r="O34" s="67"/>
      <c r="P34" s="69"/>
      <c r="Q34" s="69"/>
      <c r="R34" s="68"/>
    </row>
    <row r="35" spans="1:18" ht="27" x14ac:dyDescent="0.4">
      <c r="A35" s="65"/>
      <c r="B35" s="66"/>
      <c r="C35" s="66"/>
      <c r="D35" s="67"/>
      <c r="E35" s="68"/>
      <c r="F35" s="68"/>
      <c r="G35" s="66"/>
      <c r="H35" s="67"/>
      <c r="I35" s="67"/>
      <c r="J35" s="67"/>
      <c r="K35" s="66"/>
      <c r="L35" s="68"/>
      <c r="M35" s="66"/>
      <c r="N35" s="69"/>
      <c r="O35" s="67"/>
      <c r="P35" s="69"/>
      <c r="Q35" s="69"/>
      <c r="R35" s="68"/>
    </row>
    <row r="36" spans="1:18" ht="27" x14ac:dyDescent="0.4">
      <c r="A36" s="65"/>
      <c r="B36" s="66"/>
      <c r="C36" s="66"/>
      <c r="D36" s="67"/>
      <c r="E36" s="68"/>
      <c r="F36" s="68"/>
      <c r="G36" s="66"/>
      <c r="H36" s="67"/>
      <c r="I36" s="67"/>
      <c r="J36" s="67"/>
      <c r="K36" s="66"/>
      <c r="L36" s="68"/>
      <c r="M36" s="66"/>
      <c r="N36" s="69"/>
      <c r="O36" s="67"/>
      <c r="P36" s="69"/>
      <c r="Q36" s="69"/>
      <c r="R36" s="68"/>
    </row>
    <row r="37" spans="1:18" ht="27" x14ac:dyDescent="0.4">
      <c r="A37" s="65"/>
      <c r="B37" s="66"/>
      <c r="C37" s="66"/>
      <c r="D37" s="67"/>
      <c r="E37" s="68"/>
      <c r="F37" s="68"/>
      <c r="G37" s="66"/>
      <c r="H37" s="67"/>
      <c r="I37" s="67"/>
      <c r="J37" s="67"/>
      <c r="K37" s="66"/>
      <c r="L37" s="68"/>
      <c r="M37" s="66"/>
      <c r="N37" s="69"/>
      <c r="O37" s="67"/>
      <c r="P37" s="69"/>
      <c r="Q37" s="69"/>
      <c r="R37" s="68"/>
    </row>
    <row r="38" spans="1:18" ht="27" x14ac:dyDescent="0.4">
      <c r="A38" s="65"/>
      <c r="B38" s="66"/>
      <c r="C38" s="66"/>
      <c r="D38" s="67"/>
      <c r="E38" s="68"/>
      <c r="F38" s="68"/>
      <c r="G38" s="66"/>
      <c r="H38" s="67"/>
      <c r="I38" s="67"/>
      <c r="J38" s="67"/>
      <c r="K38" s="66"/>
      <c r="L38" s="68"/>
      <c r="M38" s="66"/>
      <c r="N38" s="69"/>
      <c r="O38" s="67"/>
      <c r="P38" s="69"/>
      <c r="Q38" s="69"/>
      <c r="R38" s="68"/>
    </row>
    <row r="39" spans="1:18" ht="27" x14ac:dyDescent="0.4">
      <c r="A39" s="65"/>
      <c r="B39" s="66"/>
      <c r="C39" s="66"/>
      <c r="D39" s="67"/>
      <c r="E39" s="68"/>
      <c r="F39" s="68"/>
      <c r="G39" s="66"/>
      <c r="H39" s="67"/>
      <c r="I39" s="67"/>
      <c r="J39" s="67"/>
      <c r="K39" s="66"/>
      <c r="L39" s="68"/>
      <c r="M39" s="66"/>
      <c r="N39" s="69"/>
      <c r="O39" s="67"/>
      <c r="P39" s="69"/>
      <c r="Q39" s="69"/>
      <c r="R39" s="68"/>
    </row>
    <row r="40" spans="1:18" ht="27" x14ac:dyDescent="0.4">
      <c r="A40" s="65"/>
      <c r="B40" s="66"/>
      <c r="C40" s="66"/>
      <c r="D40" s="67"/>
      <c r="E40" s="68"/>
      <c r="F40" s="68"/>
      <c r="G40" s="66"/>
      <c r="H40" s="67"/>
      <c r="I40" s="67"/>
      <c r="J40" s="67"/>
      <c r="K40" s="66"/>
      <c r="L40" s="68"/>
      <c r="M40" s="66"/>
      <c r="N40" s="69"/>
      <c r="O40" s="67"/>
      <c r="P40" s="69"/>
      <c r="Q40" s="69"/>
      <c r="R40" s="68"/>
    </row>
    <row r="41" spans="1:18" ht="27" x14ac:dyDescent="0.4">
      <c r="A41" s="65"/>
      <c r="B41" s="66"/>
      <c r="C41" s="66"/>
      <c r="D41" s="67"/>
      <c r="E41" s="73"/>
      <c r="F41" s="68"/>
      <c r="G41" s="66"/>
      <c r="H41" s="67"/>
      <c r="I41" s="67"/>
      <c r="J41" s="67"/>
      <c r="K41" s="66"/>
      <c r="L41" s="68"/>
      <c r="M41" s="66"/>
      <c r="N41" s="69"/>
      <c r="O41" s="67"/>
      <c r="P41" s="69"/>
      <c r="Q41" s="69"/>
      <c r="R41" s="68"/>
    </row>
    <row r="42" spans="1:18" ht="27" x14ac:dyDescent="0.4">
      <c r="A42" s="65"/>
      <c r="B42" s="66"/>
      <c r="C42" s="66"/>
      <c r="D42" s="67"/>
      <c r="E42" s="68"/>
      <c r="F42" s="68"/>
      <c r="G42" s="66"/>
      <c r="H42" s="67"/>
      <c r="I42" s="67"/>
      <c r="J42" s="67"/>
      <c r="K42" s="66"/>
      <c r="L42" s="68"/>
      <c r="M42" s="66"/>
      <c r="N42" s="69"/>
      <c r="O42" s="67"/>
      <c r="P42" s="69"/>
      <c r="Q42" s="69"/>
      <c r="R42" s="68"/>
    </row>
    <row r="43" spans="1:18" ht="27" x14ac:dyDescent="0.4">
      <c r="A43" s="65"/>
      <c r="B43" s="66"/>
      <c r="C43" s="66"/>
      <c r="D43" s="67"/>
      <c r="E43" s="68"/>
      <c r="F43" s="68"/>
      <c r="G43" s="66"/>
      <c r="H43" s="67"/>
      <c r="I43" s="67"/>
      <c r="J43" s="67"/>
      <c r="K43" s="66"/>
      <c r="L43" s="68"/>
      <c r="M43" s="66"/>
      <c r="N43" s="69"/>
      <c r="O43" s="67"/>
      <c r="P43" s="69"/>
      <c r="Q43" s="69"/>
      <c r="R43" s="68"/>
    </row>
    <row r="44" spans="1:18" ht="27" x14ac:dyDescent="0.4">
      <c r="A44" s="65"/>
      <c r="B44" s="66"/>
      <c r="C44" s="66"/>
      <c r="D44" s="67"/>
      <c r="E44" s="68"/>
      <c r="F44" s="68"/>
      <c r="G44" s="66"/>
      <c r="H44" s="67"/>
      <c r="I44" s="67"/>
      <c r="J44" s="67"/>
      <c r="K44" s="66"/>
      <c r="L44" s="68"/>
      <c r="M44" s="66"/>
      <c r="N44" s="69"/>
      <c r="O44" s="67"/>
      <c r="P44" s="69"/>
      <c r="Q44" s="69"/>
      <c r="R44" s="68"/>
    </row>
    <row r="45" spans="1:18" ht="27" x14ac:dyDescent="0.4">
      <c r="A45" s="65"/>
      <c r="B45" s="66"/>
      <c r="C45" s="66"/>
      <c r="D45" s="67"/>
      <c r="E45" s="68"/>
      <c r="F45" s="68"/>
      <c r="G45" s="66"/>
      <c r="H45" s="67"/>
      <c r="I45" s="67"/>
      <c r="J45" s="67"/>
      <c r="K45" s="66"/>
      <c r="L45" s="68"/>
      <c r="M45" s="66"/>
      <c r="N45" s="69"/>
      <c r="O45" s="67"/>
      <c r="P45" s="69"/>
      <c r="Q45" s="69"/>
      <c r="R45" s="68"/>
    </row>
    <row r="46" spans="1:18" ht="27" x14ac:dyDescent="0.4">
      <c r="A46" s="65"/>
      <c r="B46" s="66"/>
      <c r="C46" s="66"/>
      <c r="D46" s="67"/>
      <c r="E46" s="68"/>
      <c r="F46" s="68"/>
      <c r="G46" s="66"/>
      <c r="H46" s="67"/>
      <c r="I46" s="67"/>
      <c r="J46" s="67"/>
      <c r="K46" s="66"/>
      <c r="L46" s="68"/>
      <c r="M46" s="66"/>
      <c r="N46" s="69"/>
      <c r="O46" s="67"/>
      <c r="P46" s="69"/>
      <c r="Q46" s="69"/>
      <c r="R46" s="68"/>
    </row>
    <row r="47" spans="1:18" ht="27" x14ac:dyDescent="0.4">
      <c r="A47" s="65"/>
      <c r="B47" s="66"/>
      <c r="C47" s="66"/>
      <c r="D47" s="67"/>
      <c r="E47" s="68"/>
      <c r="F47" s="68"/>
      <c r="G47" s="66"/>
      <c r="H47" s="67"/>
      <c r="I47" s="67"/>
      <c r="J47" s="67"/>
      <c r="K47" s="66"/>
      <c r="L47" s="68"/>
      <c r="M47" s="66"/>
      <c r="N47" s="69"/>
      <c r="O47" s="67"/>
      <c r="P47" s="69"/>
      <c r="Q47" s="69"/>
      <c r="R47" s="68"/>
    </row>
    <row r="48" spans="1:18" ht="27" x14ac:dyDescent="0.4">
      <c r="A48" s="65"/>
      <c r="B48" s="66"/>
      <c r="C48" s="66"/>
      <c r="D48" s="67"/>
      <c r="E48" s="68"/>
      <c r="F48" s="68"/>
      <c r="G48" s="66"/>
      <c r="H48" s="67"/>
      <c r="I48" s="67"/>
      <c r="J48" s="67"/>
      <c r="K48" s="66"/>
      <c r="L48" s="72"/>
      <c r="M48" s="66"/>
      <c r="N48" s="69"/>
      <c r="O48" s="67"/>
      <c r="P48" s="69"/>
      <c r="Q48" s="69"/>
      <c r="R48" s="68"/>
    </row>
    <row r="49" spans="1:19" ht="27" x14ac:dyDescent="0.4">
      <c r="A49" s="65"/>
      <c r="B49" s="66"/>
      <c r="C49" s="66"/>
      <c r="D49" s="67"/>
      <c r="E49" s="68"/>
      <c r="F49" s="68"/>
      <c r="G49" s="66"/>
      <c r="H49" s="67"/>
      <c r="I49" s="67"/>
      <c r="J49" s="67"/>
      <c r="K49" s="66"/>
      <c r="L49" s="68"/>
      <c r="M49" s="66"/>
      <c r="N49" s="69"/>
      <c r="O49" s="67"/>
      <c r="P49" s="69"/>
      <c r="Q49" s="69"/>
      <c r="R49" s="68"/>
    </row>
    <row r="50" spans="1:19" ht="27" x14ac:dyDescent="0.4">
      <c r="A50" s="65"/>
      <c r="B50" s="66"/>
      <c r="C50" s="66"/>
      <c r="D50" s="67"/>
      <c r="E50" s="68"/>
      <c r="F50" s="68"/>
      <c r="G50" s="66"/>
      <c r="H50" s="67"/>
      <c r="I50" s="67"/>
      <c r="J50" s="67"/>
      <c r="K50" s="66"/>
      <c r="L50" s="68"/>
      <c r="M50" s="66"/>
      <c r="N50" s="69"/>
      <c r="O50" s="67"/>
      <c r="P50" s="69"/>
      <c r="Q50" s="69"/>
      <c r="R50" s="68"/>
    </row>
    <row r="51" spans="1:19" ht="27" x14ac:dyDescent="0.4">
      <c r="A51" s="65"/>
      <c r="B51" s="66"/>
      <c r="C51" s="66"/>
      <c r="D51" s="67"/>
      <c r="E51" s="68"/>
      <c r="F51" s="68"/>
      <c r="G51" s="66"/>
      <c r="H51" s="67"/>
      <c r="I51" s="67"/>
      <c r="J51" s="67"/>
      <c r="K51" s="66"/>
      <c r="L51" s="68"/>
      <c r="M51" s="66"/>
      <c r="N51" s="69"/>
      <c r="O51" s="67"/>
      <c r="P51" s="69"/>
      <c r="Q51" s="69"/>
      <c r="R51" s="68"/>
      <c r="S51" s="17"/>
    </row>
    <row r="52" spans="1:19" ht="27" x14ac:dyDescent="0.4">
      <c r="A52" s="65"/>
      <c r="B52" s="66"/>
      <c r="C52" s="66"/>
      <c r="D52" s="67"/>
      <c r="E52" s="68"/>
      <c r="F52" s="68"/>
      <c r="G52" s="66"/>
      <c r="H52" s="67"/>
      <c r="I52" s="67"/>
      <c r="J52" s="67"/>
      <c r="K52" s="66"/>
      <c r="L52" s="68"/>
      <c r="M52" s="66"/>
      <c r="N52" s="69"/>
      <c r="O52" s="67"/>
      <c r="P52" s="69"/>
      <c r="Q52" s="69"/>
      <c r="R52" s="68"/>
    </row>
    <row r="53" spans="1:19" ht="27" x14ac:dyDescent="0.4">
      <c r="A53" s="65"/>
      <c r="B53" s="66"/>
      <c r="C53" s="66"/>
      <c r="D53" s="67"/>
      <c r="E53" s="68"/>
      <c r="F53" s="68"/>
      <c r="G53" s="66"/>
      <c r="H53" s="67"/>
      <c r="I53" s="67"/>
      <c r="J53" s="67"/>
      <c r="K53" s="66"/>
      <c r="L53" s="72"/>
      <c r="M53" s="66"/>
      <c r="N53" s="69"/>
      <c r="O53" s="67"/>
      <c r="P53" s="69"/>
      <c r="Q53" s="69"/>
      <c r="R53" s="68"/>
    </row>
    <row r="54" spans="1:19" ht="27" x14ac:dyDescent="0.4">
      <c r="A54" s="65"/>
      <c r="B54" s="66"/>
      <c r="C54" s="66"/>
      <c r="D54" s="67"/>
      <c r="E54" s="68"/>
      <c r="F54" s="68"/>
      <c r="G54" s="66"/>
      <c r="H54" s="67"/>
      <c r="I54" s="67"/>
      <c r="J54" s="67"/>
      <c r="K54" s="66"/>
      <c r="L54" s="68"/>
      <c r="M54" s="66"/>
      <c r="N54" s="69"/>
      <c r="O54" s="67"/>
      <c r="P54" s="69"/>
      <c r="Q54" s="69"/>
      <c r="R54" s="68"/>
    </row>
    <row r="55" spans="1:19" ht="27" x14ac:dyDescent="0.4">
      <c r="A55" s="65"/>
      <c r="B55" s="66"/>
      <c r="C55" s="66"/>
      <c r="D55" s="67"/>
      <c r="E55" s="68"/>
      <c r="F55" s="68"/>
      <c r="G55" s="66"/>
      <c r="H55" s="67"/>
      <c r="I55" s="67"/>
      <c r="J55" s="67"/>
      <c r="K55" s="66"/>
      <c r="L55" s="68"/>
      <c r="M55" s="66"/>
      <c r="N55" s="69"/>
      <c r="O55" s="67"/>
      <c r="P55" s="69"/>
      <c r="Q55" s="69"/>
      <c r="R55" s="68"/>
    </row>
    <row r="56" spans="1:19" ht="27" x14ac:dyDescent="0.4">
      <c r="A56" s="65"/>
      <c r="B56" s="66"/>
      <c r="C56" s="66"/>
      <c r="D56" s="67"/>
      <c r="E56" s="68"/>
      <c r="F56" s="68"/>
      <c r="G56" s="66"/>
      <c r="H56" s="67"/>
      <c r="I56" s="67"/>
      <c r="J56" s="67"/>
      <c r="K56" s="66"/>
      <c r="L56" s="68"/>
      <c r="M56" s="66"/>
      <c r="N56" s="69"/>
      <c r="O56" s="67"/>
      <c r="P56" s="69"/>
      <c r="Q56" s="69"/>
      <c r="R56" s="68"/>
    </row>
    <row r="57" spans="1:19" ht="27" x14ac:dyDescent="0.4">
      <c r="A57" s="65"/>
      <c r="B57" s="66"/>
      <c r="C57" s="66"/>
      <c r="D57" s="67"/>
      <c r="E57" s="68"/>
      <c r="F57" s="73"/>
      <c r="G57" s="66"/>
      <c r="H57" s="67"/>
      <c r="I57" s="67"/>
      <c r="J57" s="67"/>
      <c r="K57" s="66"/>
      <c r="L57" s="68"/>
      <c r="M57" s="66"/>
      <c r="N57" s="69"/>
      <c r="O57" s="67"/>
      <c r="P57" s="69"/>
      <c r="Q57" s="69"/>
      <c r="R57" s="68"/>
    </row>
    <row r="58" spans="1:19" ht="27" x14ac:dyDescent="0.4">
      <c r="A58" s="65"/>
      <c r="B58" s="66"/>
      <c r="C58" s="66"/>
      <c r="D58" s="67"/>
      <c r="E58" s="68"/>
      <c r="F58" s="68"/>
      <c r="G58" s="66"/>
      <c r="H58" s="67"/>
      <c r="I58" s="67"/>
      <c r="J58" s="67"/>
      <c r="K58" s="66"/>
      <c r="L58" s="68"/>
      <c r="M58" s="66"/>
      <c r="N58" s="69"/>
      <c r="O58" s="67"/>
      <c r="P58" s="69"/>
      <c r="Q58" s="69"/>
      <c r="R58" s="68"/>
    </row>
    <row r="59" spans="1:19" ht="27" x14ac:dyDescent="0.4">
      <c r="A59" s="65"/>
      <c r="B59" s="66"/>
      <c r="C59" s="66"/>
      <c r="D59" s="67"/>
      <c r="E59" s="68"/>
      <c r="F59" s="68"/>
      <c r="G59" s="66"/>
      <c r="H59" s="67"/>
      <c r="I59" s="67"/>
      <c r="J59" s="67"/>
      <c r="K59" s="66"/>
      <c r="L59" s="68"/>
      <c r="M59" s="66"/>
      <c r="N59" s="69"/>
      <c r="O59" s="67"/>
      <c r="P59" s="69"/>
      <c r="Q59" s="69"/>
      <c r="R59" s="68"/>
    </row>
    <row r="60" spans="1:19" ht="27" x14ac:dyDescent="0.4">
      <c r="A60" s="65"/>
      <c r="B60" s="66"/>
      <c r="C60" s="66"/>
      <c r="D60" s="67"/>
      <c r="E60" s="68"/>
      <c r="F60" s="68"/>
      <c r="G60" s="66"/>
      <c r="H60" s="67"/>
      <c r="I60" s="67"/>
      <c r="J60" s="67"/>
      <c r="K60" s="66"/>
      <c r="L60" s="68"/>
      <c r="M60" s="66"/>
      <c r="N60" s="69"/>
      <c r="O60" s="67"/>
      <c r="P60" s="69"/>
      <c r="Q60" s="69"/>
      <c r="R60" s="68"/>
    </row>
    <row r="61" spans="1:19" ht="27" x14ac:dyDescent="0.4">
      <c r="A61" s="65"/>
      <c r="B61" s="66"/>
      <c r="C61" s="66"/>
      <c r="D61" s="67"/>
      <c r="E61" s="68"/>
      <c r="F61" s="68"/>
      <c r="G61" s="66"/>
      <c r="H61" s="67"/>
      <c r="I61" s="67"/>
      <c r="J61" s="67"/>
      <c r="K61" s="66"/>
      <c r="L61" s="68"/>
      <c r="M61" s="66"/>
      <c r="N61" s="69"/>
      <c r="O61" s="67"/>
      <c r="P61" s="69"/>
      <c r="Q61" s="69"/>
      <c r="R61" s="68"/>
    </row>
    <row r="62" spans="1:19" ht="27" x14ac:dyDescent="0.4">
      <c r="A62" s="65"/>
      <c r="B62" s="66"/>
      <c r="C62" s="66"/>
      <c r="D62" s="67"/>
      <c r="E62" s="68"/>
      <c r="F62" s="68"/>
      <c r="G62" s="66"/>
      <c r="H62" s="67"/>
      <c r="I62" s="67"/>
      <c r="J62" s="67"/>
      <c r="K62" s="66"/>
      <c r="L62" s="68"/>
      <c r="M62" s="66"/>
      <c r="N62" s="69"/>
      <c r="O62" s="67"/>
      <c r="P62" s="69"/>
      <c r="Q62" s="69"/>
      <c r="R62" s="68"/>
    </row>
    <row r="63" spans="1:19" ht="27" x14ac:dyDescent="0.4">
      <c r="A63" s="65"/>
      <c r="B63" s="66"/>
      <c r="C63" s="66"/>
      <c r="D63" s="67"/>
      <c r="E63" s="68"/>
      <c r="F63" s="68"/>
      <c r="G63" s="66"/>
      <c r="H63" s="67"/>
      <c r="I63" s="67"/>
      <c r="J63" s="67"/>
      <c r="K63" s="66"/>
      <c r="L63" s="68"/>
      <c r="M63" s="66"/>
      <c r="N63" s="69"/>
      <c r="O63" s="67"/>
      <c r="P63" s="69"/>
      <c r="Q63" s="69"/>
      <c r="R63" s="68"/>
    </row>
    <row r="64" spans="1:19" ht="27" x14ac:dyDescent="0.4">
      <c r="A64" s="65"/>
      <c r="B64" s="66"/>
      <c r="C64" s="66"/>
      <c r="D64" s="67"/>
      <c r="E64" s="68"/>
      <c r="F64" s="68"/>
      <c r="G64" s="66"/>
      <c r="H64" s="67"/>
      <c r="I64" s="67"/>
      <c r="J64" s="67"/>
      <c r="K64" s="66"/>
      <c r="L64" s="68"/>
      <c r="M64" s="66"/>
      <c r="N64" s="69"/>
      <c r="O64" s="67"/>
      <c r="P64" s="69"/>
      <c r="Q64" s="69"/>
      <c r="R64" s="68"/>
    </row>
    <row r="65" spans="1:18" ht="27" x14ac:dyDescent="0.4">
      <c r="A65" s="65"/>
      <c r="B65" s="66"/>
      <c r="C65" s="66"/>
      <c r="D65" s="67"/>
      <c r="E65" s="68"/>
      <c r="F65" s="68"/>
      <c r="G65" s="66"/>
      <c r="H65" s="67"/>
      <c r="I65" s="67"/>
      <c r="J65" s="67"/>
      <c r="K65" s="66"/>
      <c r="L65" s="68"/>
      <c r="M65" s="66"/>
      <c r="N65" s="69"/>
      <c r="O65" s="67"/>
      <c r="P65" s="69"/>
      <c r="Q65" s="69"/>
      <c r="R65" s="68"/>
    </row>
    <row r="66" spans="1:18" ht="27" x14ac:dyDescent="0.4">
      <c r="A66" s="65"/>
      <c r="B66" s="66"/>
      <c r="C66" s="66"/>
      <c r="D66" s="67"/>
      <c r="E66" s="68"/>
      <c r="F66" s="68"/>
      <c r="G66" s="66"/>
      <c r="H66" s="67"/>
      <c r="I66" s="67"/>
      <c r="J66" s="67"/>
      <c r="K66" s="66"/>
      <c r="L66" s="68"/>
      <c r="M66" s="66"/>
      <c r="N66" s="69"/>
      <c r="O66" s="67"/>
      <c r="P66" s="69"/>
      <c r="Q66" s="69"/>
      <c r="R66" s="68"/>
    </row>
    <row r="67" spans="1:18" ht="27" x14ac:dyDescent="0.4">
      <c r="A67" s="65"/>
      <c r="B67" s="66"/>
      <c r="C67" s="66"/>
      <c r="D67" s="67"/>
      <c r="E67" s="68"/>
      <c r="F67" s="68"/>
      <c r="G67" s="66"/>
      <c r="H67" s="67"/>
      <c r="I67" s="67"/>
      <c r="J67" s="67"/>
      <c r="K67" s="66"/>
      <c r="L67" s="68"/>
      <c r="M67" s="66"/>
      <c r="N67" s="69"/>
      <c r="O67" s="67"/>
      <c r="P67" s="69"/>
      <c r="Q67" s="69"/>
      <c r="R67" s="68"/>
    </row>
    <row r="68" spans="1:18" ht="27" x14ac:dyDescent="0.4">
      <c r="A68" s="65"/>
      <c r="B68" s="66"/>
      <c r="C68" s="66"/>
      <c r="D68" s="67"/>
      <c r="E68" s="68"/>
      <c r="F68" s="68"/>
      <c r="G68" s="66"/>
      <c r="H68" s="67"/>
      <c r="I68" s="67"/>
      <c r="J68" s="67"/>
      <c r="K68" s="66"/>
      <c r="L68" s="68"/>
      <c r="M68" s="66"/>
      <c r="N68" s="69"/>
      <c r="O68" s="67"/>
      <c r="P68" s="69"/>
      <c r="Q68" s="69"/>
      <c r="R68" s="68"/>
    </row>
    <row r="69" spans="1:18" ht="27" x14ac:dyDescent="0.4">
      <c r="A69" s="65"/>
      <c r="B69" s="66"/>
      <c r="C69" s="66"/>
      <c r="D69" s="67"/>
      <c r="E69" s="68"/>
      <c r="F69" s="68"/>
      <c r="G69" s="66"/>
      <c r="H69" s="67"/>
      <c r="I69" s="67"/>
      <c r="J69" s="67"/>
      <c r="K69" s="66"/>
      <c r="L69" s="68"/>
      <c r="M69" s="66"/>
      <c r="N69" s="69"/>
      <c r="O69" s="67"/>
      <c r="P69" s="69"/>
      <c r="Q69" s="69"/>
      <c r="R69" s="68"/>
    </row>
    <row r="70" spans="1:18" ht="27" x14ac:dyDescent="0.4">
      <c r="A70" s="65"/>
      <c r="B70" s="66"/>
      <c r="C70" s="66"/>
      <c r="D70" s="67"/>
      <c r="E70" s="68"/>
      <c r="F70" s="68"/>
      <c r="G70" s="66"/>
      <c r="H70" s="67"/>
      <c r="I70" s="67"/>
      <c r="J70" s="67"/>
      <c r="K70" s="66"/>
      <c r="L70" s="68"/>
      <c r="M70" s="66"/>
      <c r="N70" s="69"/>
      <c r="O70" s="67"/>
      <c r="P70" s="69"/>
      <c r="Q70" s="69"/>
      <c r="R70" s="68"/>
    </row>
    <row r="71" spans="1:18" ht="27" x14ac:dyDescent="0.4">
      <c r="A71" s="65"/>
      <c r="B71" s="66"/>
      <c r="C71" s="66"/>
      <c r="D71" s="67"/>
      <c r="E71" s="68"/>
      <c r="F71" s="68"/>
      <c r="G71" s="66"/>
      <c r="H71" s="67"/>
      <c r="I71" s="67"/>
      <c r="J71" s="67"/>
      <c r="K71" s="66"/>
      <c r="L71" s="68"/>
      <c r="M71" s="66"/>
      <c r="N71" s="69"/>
      <c r="O71" s="67"/>
      <c r="P71" s="69"/>
      <c r="Q71" s="69"/>
      <c r="R71" s="68"/>
    </row>
    <row r="72" spans="1:18" ht="27" x14ac:dyDescent="0.4">
      <c r="A72" s="65"/>
      <c r="B72" s="66"/>
      <c r="C72" s="66"/>
      <c r="D72" s="67"/>
      <c r="E72" s="68"/>
      <c r="F72" s="68"/>
      <c r="G72" s="66"/>
      <c r="H72" s="67"/>
      <c r="I72" s="67"/>
      <c r="J72" s="67"/>
      <c r="K72" s="66"/>
      <c r="L72" s="68"/>
      <c r="M72" s="66"/>
      <c r="N72" s="69"/>
      <c r="O72" s="67"/>
      <c r="P72" s="69"/>
      <c r="Q72" s="69"/>
      <c r="R72" s="68"/>
    </row>
    <row r="73" spans="1:18" ht="27" x14ac:dyDescent="0.4">
      <c r="A73" s="65"/>
      <c r="B73" s="66"/>
      <c r="C73" s="66"/>
      <c r="D73" s="67"/>
      <c r="E73" s="68"/>
      <c r="F73" s="68"/>
      <c r="G73" s="66"/>
      <c r="H73" s="67"/>
      <c r="I73" s="67"/>
      <c r="J73" s="67"/>
      <c r="K73" s="66"/>
      <c r="L73" s="68"/>
      <c r="M73" s="66"/>
      <c r="N73" s="69"/>
      <c r="O73" s="67"/>
      <c r="P73" s="69"/>
      <c r="Q73" s="69"/>
      <c r="R73" s="68"/>
    </row>
    <row r="74" spans="1:18" ht="27" x14ac:dyDescent="0.4">
      <c r="A74" s="65"/>
      <c r="B74" s="66"/>
      <c r="C74" s="66"/>
      <c r="D74" s="67"/>
      <c r="E74" s="68"/>
      <c r="F74" s="68"/>
      <c r="G74" s="66"/>
      <c r="H74" s="67"/>
      <c r="I74" s="67"/>
      <c r="J74" s="67"/>
      <c r="K74" s="66"/>
      <c r="L74" s="68"/>
      <c r="M74" s="66"/>
      <c r="N74" s="69"/>
      <c r="O74" s="67"/>
      <c r="P74" s="69"/>
      <c r="Q74" s="69"/>
      <c r="R74" s="68"/>
    </row>
    <row r="75" spans="1:18" ht="27" x14ac:dyDescent="0.4">
      <c r="A75" s="65"/>
      <c r="B75" s="66"/>
      <c r="C75" s="66"/>
      <c r="D75" s="67"/>
      <c r="E75" s="68"/>
      <c r="F75" s="68"/>
      <c r="G75" s="66"/>
      <c r="H75" s="67"/>
      <c r="I75" s="67"/>
      <c r="J75" s="67"/>
      <c r="K75" s="66"/>
      <c r="L75" s="68"/>
      <c r="M75" s="66"/>
      <c r="N75" s="69"/>
      <c r="O75" s="67"/>
      <c r="P75" s="69"/>
      <c r="Q75" s="69"/>
      <c r="R75" s="68"/>
    </row>
    <row r="76" spans="1:18" ht="27" x14ac:dyDescent="0.4">
      <c r="A76" s="65"/>
      <c r="B76" s="66"/>
      <c r="C76" s="66"/>
      <c r="D76" s="67"/>
      <c r="E76" s="68"/>
      <c r="F76" s="68"/>
      <c r="G76" s="66"/>
      <c r="H76" s="67"/>
      <c r="I76" s="67"/>
      <c r="J76" s="67"/>
      <c r="K76" s="66"/>
      <c r="L76" s="68"/>
      <c r="M76" s="66"/>
      <c r="N76" s="69"/>
      <c r="O76" s="67"/>
      <c r="P76" s="69"/>
      <c r="Q76" s="69"/>
      <c r="R76" s="68"/>
    </row>
    <row r="77" spans="1:18" ht="27" x14ac:dyDescent="0.4">
      <c r="A77" s="65"/>
      <c r="B77" s="66"/>
      <c r="C77" s="66"/>
      <c r="D77" s="67"/>
      <c r="E77" s="68"/>
      <c r="F77" s="68"/>
      <c r="G77" s="66"/>
      <c r="H77" s="67"/>
      <c r="I77" s="67"/>
      <c r="J77" s="67"/>
      <c r="K77" s="66"/>
      <c r="L77" s="68"/>
      <c r="M77" s="66"/>
      <c r="N77" s="69"/>
      <c r="O77" s="67"/>
      <c r="P77" s="69"/>
      <c r="Q77" s="69"/>
      <c r="R77" s="68"/>
    </row>
    <row r="78" spans="1:18" ht="27" x14ac:dyDescent="0.4">
      <c r="A78" s="65"/>
      <c r="B78" s="66"/>
      <c r="C78" s="66"/>
      <c r="D78" s="67"/>
      <c r="E78" s="68"/>
      <c r="F78" s="68"/>
      <c r="G78" s="66"/>
      <c r="H78" s="67"/>
      <c r="I78" s="67"/>
      <c r="J78" s="67"/>
      <c r="K78" s="66"/>
      <c r="L78" s="68"/>
      <c r="M78" s="66"/>
      <c r="N78" s="69"/>
      <c r="O78" s="67"/>
      <c r="P78" s="69"/>
      <c r="Q78" s="69"/>
      <c r="R78" s="68"/>
    </row>
    <row r="79" spans="1:18" ht="27" x14ac:dyDescent="0.4">
      <c r="A79" s="65"/>
      <c r="B79" s="66"/>
      <c r="C79" s="66"/>
      <c r="D79" s="67"/>
      <c r="E79" s="68"/>
      <c r="F79" s="68"/>
      <c r="G79" s="66"/>
      <c r="H79" s="67"/>
      <c r="I79" s="67"/>
      <c r="J79" s="67"/>
      <c r="K79" s="66"/>
      <c r="L79" s="68"/>
      <c r="M79" s="66"/>
      <c r="N79" s="69"/>
      <c r="O79" s="67"/>
      <c r="P79" s="69"/>
      <c r="Q79" s="69"/>
      <c r="R79" s="68"/>
    </row>
    <row r="80" spans="1:18" ht="27" x14ac:dyDescent="0.4">
      <c r="A80" s="65"/>
      <c r="B80" s="66"/>
      <c r="C80" s="66"/>
      <c r="D80" s="67"/>
      <c r="E80" s="68"/>
      <c r="F80" s="68"/>
      <c r="G80" s="66"/>
      <c r="H80" s="67"/>
      <c r="I80" s="67"/>
      <c r="J80" s="67"/>
      <c r="K80" s="66"/>
      <c r="L80" s="68"/>
      <c r="M80" s="66"/>
      <c r="N80" s="69"/>
      <c r="O80" s="67"/>
      <c r="P80" s="69"/>
      <c r="Q80" s="69"/>
      <c r="R80" s="65"/>
    </row>
    <row r="81" spans="1:19" ht="27" x14ac:dyDescent="0.4">
      <c r="A81" s="65"/>
      <c r="B81" s="66"/>
      <c r="C81" s="66"/>
      <c r="D81" s="67"/>
      <c r="E81" s="68"/>
      <c r="F81" s="68"/>
      <c r="G81" s="66"/>
      <c r="H81" s="67"/>
      <c r="I81" s="67"/>
      <c r="J81" s="67"/>
      <c r="K81" s="66"/>
      <c r="L81" s="68"/>
      <c r="M81" s="66"/>
      <c r="N81" s="69"/>
      <c r="O81" s="67"/>
      <c r="P81" s="69"/>
      <c r="Q81" s="69"/>
      <c r="R81" s="65"/>
    </row>
    <row r="82" spans="1:19" ht="27" x14ac:dyDescent="0.4">
      <c r="A82" s="65"/>
      <c r="B82" s="66"/>
      <c r="C82" s="66"/>
      <c r="D82" s="67"/>
      <c r="E82" s="68"/>
      <c r="F82" s="68"/>
      <c r="G82" s="66"/>
      <c r="H82" s="67"/>
      <c r="I82" s="67"/>
      <c r="J82" s="67"/>
      <c r="K82" s="66"/>
      <c r="L82" s="68"/>
      <c r="M82" s="66"/>
      <c r="N82" s="69"/>
      <c r="O82" s="67"/>
      <c r="P82" s="69"/>
      <c r="Q82" s="69"/>
      <c r="R82" s="65"/>
    </row>
    <row r="83" spans="1:19" ht="27" x14ac:dyDescent="0.4">
      <c r="A83" s="65"/>
      <c r="B83" s="66"/>
      <c r="C83" s="66"/>
      <c r="D83" s="67"/>
      <c r="E83" s="68"/>
      <c r="F83" s="68"/>
      <c r="G83" s="66"/>
      <c r="H83" s="67"/>
      <c r="I83" s="67"/>
      <c r="J83" s="67"/>
      <c r="K83" s="66"/>
      <c r="L83" s="68"/>
      <c r="M83" s="66"/>
      <c r="N83" s="69"/>
      <c r="O83" s="67"/>
      <c r="P83" s="69"/>
      <c r="Q83" s="69"/>
      <c r="R83" s="65"/>
    </row>
    <row r="84" spans="1:19" ht="27" x14ac:dyDescent="0.4">
      <c r="A84" s="65"/>
      <c r="B84" s="66"/>
      <c r="C84" s="66"/>
      <c r="D84" s="67"/>
      <c r="E84" s="68"/>
      <c r="F84" s="68"/>
      <c r="G84" s="66"/>
      <c r="H84" s="67"/>
      <c r="I84" s="67"/>
      <c r="J84" s="67"/>
      <c r="K84" s="66"/>
      <c r="L84" s="68"/>
      <c r="M84" s="66"/>
      <c r="N84" s="69"/>
      <c r="O84" s="67"/>
      <c r="P84" s="69"/>
      <c r="Q84" s="69"/>
      <c r="R84" s="70"/>
    </row>
    <row r="85" spans="1:19" ht="27" x14ac:dyDescent="0.4">
      <c r="A85" s="65"/>
      <c r="B85" s="66"/>
      <c r="C85" s="66"/>
      <c r="D85" s="67"/>
      <c r="E85" s="68"/>
      <c r="F85" s="68"/>
      <c r="G85" s="66"/>
      <c r="H85" s="67"/>
      <c r="I85" s="67"/>
      <c r="J85" s="67"/>
      <c r="K85" s="66"/>
      <c r="L85" s="68"/>
      <c r="M85" s="66"/>
      <c r="N85" s="69"/>
      <c r="O85" s="67"/>
      <c r="P85" s="69"/>
      <c r="Q85" s="69"/>
      <c r="R85" s="70"/>
    </row>
    <row r="86" spans="1:19" ht="27" x14ac:dyDescent="0.4">
      <c r="A86" s="65"/>
      <c r="B86" s="66"/>
      <c r="C86" s="66"/>
      <c r="D86" s="67"/>
      <c r="E86" s="68"/>
      <c r="F86" s="68"/>
      <c r="G86" s="66"/>
      <c r="H86" s="67"/>
      <c r="I86" s="67"/>
      <c r="J86" s="67"/>
      <c r="K86" s="66"/>
      <c r="L86" s="68"/>
      <c r="M86" s="66"/>
      <c r="N86" s="69"/>
      <c r="O86" s="67"/>
      <c r="P86" s="69"/>
      <c r="Q86" s="69"/>
      <c r="R86" s="70"/>
    </row>
    <row r="87" spans="1:19" ht="27" x14ac:dyDescent="0.4">
      <c r="A87" s="65"/>
      <c r="B87" s="66"/>
      <c r="C87" s="66"/>
      <c r="D87" s="67"/>
      <c r="E87" s="68"/>
      <c r="F87" s="68"/>
      <c r="G87" s="66"/>
      <c r="H87" s="67"/>
      <c r="I87" s="67"/>
      <c r="J87" s="67"/>
      <c r="K87" s="66"/>
      <c r="L87" s="68"/>
      <c r="M87" s="66"/>
      <c r="N87" s="69"/>
      <c r="O87" s="67"/>
      <c r="P87" s="69"/>
      <c r="Q87" s="69"/>
      <c r="R87" s="70"/>
    </row>
    <row r="88" spans="1:19" ht="27" x14ac:dyDescent="0.4">
      <c r="A88" s="65"/>
      <c r="B88" s="66"/>
      <c r="C88" s="66"/>
      <c r="D88" s="67"/>
      <c r="E88" s="68"/>
      <c r="F88" s="68"/>
      <c r="G88" s="66"/>
      <c r="H88" s="67"/>
      <c r="I88" s="67"/>
      <c r="J88" s="67"/>
      <c r="K88" s="66"/>
      <c r="L88" s="68"/>
      <c r="M88" s="66"/>
      <c r="N88" s="69"/>
      <c r="O88" s="67"/>
      <c r="P88" s="69"/>
      <c r="Q88" s="69"/>
      <c r="R88" s="70"/>
      <c r="S88" s="17"/>
    </row>
    <row r="89" spans="1:19" ht="27" x14ac:dyDescent="0.4">
      <c r="A89" s="65"/>
      <c r="B89" s="66"/>
      <c r="C89" s="66"/>
      <c r="D89" s="67"/>
      <c r="E89" s="68"/>
      <c r="F89" s="68"/>
      <c r="G89" s="66"/>
      <c r="H89" s="67"/>
      <c r="I89" s="67"/>
      <c r="J89" s="67"/>
      <c r="K89" s="66"/>
      <c r="L89" s="68"/>
      <c r="M89" s="66"/>
      <c r="N89" s="69"/>
      <c r="O89" s="67"/>
      <c r="P89" s="69"/>
      <c r="Q89" s="69"/>
      <c r="R89" s="70"/>
    </row>
    <row r="90" spans="1:19" ht="27" x14ac:dyDescent="0.4">
      <c r="A90" s="65"/>
      <c r="B90" s="66"/>
      <c r="C90" s="66"/>
      <c r="D90" s="67"/>
      <c r="E90" s="68"/>
      <c r="F90" s="68"/>
      <c r="G90" s="66"/>
      <c r="H90" s="67"/>
      <c r="I90" s="67"/>
      <c r="J90" s="67"/>
      <c r="K90" s="66"/>
      <c r="L90" s="68"/>
      <c r="M90" s="66"/>
      <c r="N90" s="69"/>
      <c r="O90" s="67"/>
      <c r="P90" s="69"/>
      <c r="Q90" s="69"/>
      <c r="R90" s="70"/>
    </row>
    <row r="91" spans="1:19" ht="27" x14ac:dyDescent="0.4">
      <c r="A91" s="65"/>
      <c r="B91" s="66"/>
      <c r="C91" s="66"/>
      <c r="D91" s="67"/>
      <c r="E91" s="68"/>
      <c r="F91" s="68"/>
      <c r="G91" s="66"/>
      <c r="H91" s="67"/>
      <c r="I91" s="67"/>
      <c r="J91" s="67"/>
      <c r="K91" s="66"/>
      <c r="L91" s="68"/>
      <c r="M91" s="66"/>
      <c r="N91" s="69"/>
      <c r="O91" s="67"/>
      <c r="P91" s="69"/>
      <c r="Q91" s="69"/>
      <c r="R91" s="70"/>
    </row>
    <row r="92" spans="1:19" ht="27" x14ac:dyDescent="0.4">
      <c r="A92" s="65"/>
      <c r="B92" s="66"/>
      <c r="C92" s="66"/>
      <c r="D92" s="67"/>
      <c r="E92" s="68"/>
      <c r="F92" s="68"/>
      <c r="G92" s="66"/>
      <c r="H92" s="67"/>
      <c r="I92" s="67"/>
      <c r="J92" s="67"/>
      <c r="K92" s="66"/>
      <c r="L92" s="68"/>
      <c r="M92" s="66"/>
      <c r="N92" s="69"/>
      <c r="O92" s="67"/>
      <c r="P92" s="69"/>
      <c r="Q92" s="69"/>
      <c r="R92" s="70"/>
    </row>
    <row r="93" spans="1:19" ht="27" x14ac:dyDescent="0.4">
      <c r="A93" s="65"/>
      <c r="B93" s="66"/>
      <c r="C93" s="66"/>
      <c r="D93" s="67"/>
      <c r="E93" s="68"/>
      <c r="F93" s="68"/>
      <c r="G93" s="66"/>
      <c r="H93" s="67"/>
      <c r="I93" s="67"/>
      <c r="J93" s="67"/>
      <c r="K93" s="66"/>
      <c r="L93" s="68"/>
      <c r="M93" s="66"/>
      <c r="N93" s="69"/>
      <c r="O93" s="67"/>
      <c r="P93" s="69"/>
      <c r="Q93" s="69"/>
      <c r="R93" s="70"/>
    </row>
    <row r="94" spans="1:19" ht="27" x14ac:dyDescent="0.4">
      <c r="A94" s="65"/>
      <c r="B94" s="66"/>
      <c r="C94" s="66"/>
      <c r="D94" s="67"/>
      <c r="E94" s="68"/>
      <c r="F94" s="68"/>
      <c r="G94" s="66"/>
      <c r="H94" s="67"/>
      <c r="I94" s="67"/>
      <c r="J94" s="67"/>
      <c r="K94" s="66"/>
      <c r="L94" s="68"/>
      <c r="M94" s="66"/>
      <c r="N94" s="69"/>
      <c r="O94" s="67"/>
      <c r="P94" s="69"/>
      <c r="Q94" s="69"/>
      <c r="R94" s="70"/>
    </row>
    <row r="95" spans="1:19" ht="27" x14ac:dyDescent="0.4">
      <c r="A95" s="65"/>
      <c r="B95" s="66"/>
      <c r="C95" s="66"/>
      <c r="D95" s="67"/>
      <c r="E95" s="68"/>
      <c r="F95" s="68"/>
      <c r="G95" s="66"/>
      <c r="H95" s="67"/>
      <c r="I95" s="67"/>
      <c r="J95" s="67"/>
      <c r="K95" s="66"/>
      <c r="L95" s="68"/>
      <c r="M95" s="66"/>
      <c r="N95" s="69"/>
      <c r="O95" s="67"/>
      <c r="P95" s="69"/>
      <c r="Q95" s="69"/>
      <c r="R95" s="70"/>
    </row>
    <row r="96" spans="1:19" ht="27" x14ac:dyDescent="0.4">
      <c r="A96" s="65"/>
      <c r="B96" s="66"/>
      <c r="C96" s="66"/>
      <c r="D96" s="67"/>
      <c r="E96" s="68"/>
      <c r="F96" s="68"/>
      <c r="G96" s="66"/>
      <c r="H96" s="67"/>
      <c r="I96" s="67"/>
      <c r="J96" s="67"/>
      <c r="K96" s="66"/>
      <c r="L96" s="68"/>
      <c r="M96" s="66"/>
      <c r="N96" s="69"/>
      <c r="O96" s="67"/>
      <c r="P96" s="69"/>
      <c r="Q96" s="69"/>
      <c r="R96" s="70"/>
    </row>
    <row r="97" spans="1:18" ht="27" x14ac:dyDescent="0.4">
      <c r="A97" s="65"/>
      <c r="B97" s="66"/>
      <c r="C97" s="66"/>
      <c r="D97" s="67"/>
      <c r="E97" s="68"/>
      <c r="F97" s="68"/>
      <c r="G97" s="66"/>
      <c r="H97" s="67"/>
      <c r="I97" s="67"/>
      <c r="J97" s="67"/>
      <c r="K97" s="66"/>
      <c r="L97" s="68"/>
      <c r="M97" s="66"/>
      <c r="N97" s="69"/>
      <c r="O97" s="67"/>
      <c r="P97" s="69"/>
      <c r="Q97" s="69"/>
      <c r="R97" s="70"/>
    </row>
    <row r="98" spans="1:18" ht="27" x14ac:dyDescent="0.4">
      <c r="A98" s="65"/>
      <c r="B98" s="66"/>
      <c r="C98" s="66"/>
      <c r="D98" s="67"/>
      <c r="E98" s="68"/>
      <c r="F98" s="68"/>
      <c r="G98" s="66"/>
      <c r="H98" s="67"/>
      <c r="I98" s="67"/>
      <c r="J98" s="67"/>
      <c r="K98" s="66"/>
      <c r="L98" s="68"/>
      <c r="M98" s="66"/>
      <c r="N98" s="69"/>
      <c r="O98" s="67"/>
      <c r="P98" s="69"/>
      <c r="Q98" s="69"/>
      <c r="R98" s="70"/>
    </row>
    <row r="99" spans="1:18" ht="27" x14ac:dyDescent="0.4">
      <c r="A99" s="65"/>
      <c r="B99" s="66"/>
      <c r="C99" s="66"/>
      <c r="D99" s="67"/>
      <c r="E99" s="68"/>
      <c r="F99" s="68"/>
      <c r="G99" s="66"/>
      <c r="H99" s="67"/>
      <c r="I99" s="67"/>
      <c r="J99" s="67"/>
      <c r="K99" s="66"/>
      <c r="L99" s="68"/>
      <c r="M99" s="66"/>
      <c r="N99" s="69"/>
      <c r="O99" s="67"/>
      <c r="P99" s="69"/>
      <c r="Q99" s="69"/>
      <c r="R99" s="70"/>
    </row>
    <row r="100" spans="1:18" ht="27" x14ac:dyDescent="0.4">
      <c r="A100" s="65"/>
      <c r="B100" s="66"/>
      <c r="C100" s="66"/>
      <c r="D100" s="67"/>
      <c r="E100" s="68"/>
      <c r="F100" s="68"/>
      <c r="G100" s="66"/>
      <c r="H100" s="67"/>
      <c r="I100" s="67"/>
      <c r="J100" s="67"/>
      <c r="K100" s="66"/>
      <c r="L100" s="68"/>
      <c r="M100" s="66"/>
      <c r="N100" s="69"/>
      <c r="O100" s="67"/>
      <c r="P100" s="69"/>
      <c r="Q100" s="69"/>
      <c r="R100" s="70"/>
    </row>
    <row r="101" spans="1:18" ht="27" x14ac:dyDescent="0.4">
      <c r="A101" s="65"/>
      <c r="B101" s="66"/>
      <c r="C101" s="66"/>
      <c r="D101" s="67"/>
      <c r="E101" s="68"/>
      <c r="F101" s="68"/>
      <c r="G101" s="66"/>
      <c r="H101" s="67"/>
      <c r="I101" s="67"/>
      <c r="J101" s="67"/>
      <c r="K101" s="66"/>
      <c r="L101" s="68"/>
      <c r="M101" s="66"/>
      <c r="N101" s="69"/>
      <c r="O101" s="67"/>
      <c r="P101" s="69"/>
      <c r="Q101" s="69"/>
      <c r="R101" s="70"/>
    </row>
    <row r="102" spans="1:18" ht="27" x14ac:dyDescent="0.4">
      <c r="A102" s="65"/>
      <c r="B102" s="66"/>
      <c r="C102" s="66"/>
      <c r="D102" s="67"/>
      <c r="E102" s="68"/>
      <c r="F102" s="68"/>
      <c r="G102" s="66"/>
      <c r="H102" s="67"/>
      <c r="I102" s="67"/>
      <c r="J102" s="67"/>
      <c r="K102" s="66"/>
      <c r="L102" s="68"/>
      <c r="M102" s="66"/>
      <c r="N102" s="69"/>
      <c r="O102" s="67"/>
      <c r="P102" s="69"/>
      <c r="Q102" s="69"/>
      <c r="R102" s="70"/>
    </row>
    <row r="103" spans="1:18" ht="27" x14ac:dyDescent="0.4">
      <c r="A103" s="65"/>
      <c r="B103" s="66"/>
      <c r="C103" s="66"/>
      <c r="D103" s="67"/>
      <c r="E103" s="68"/>
      <c r="F103" s="68"/>
      <c r="G103" s="66"/>
      <c r="H103" s="67"/>
      <c r="I103" s="67"/>
      <c r="J103" s="67"/>
      <c r="K103" s="66"/>
      <c r="L103" s="68"/>
      <c r="M103" s="66"/>
      <c r="N103" s="69"/>
      <c r="O103" s="67"/>
      <c r="P103" s="69"/>
      <c r="Q103" s="69"/>
      <c r="R103" s="70"/>
    </row>
    <row r="104" spans="1:18" ht="27" x14ac:dyDescent="0.4">
      <c r="A104" s="65"/>
      <c r="B104" s="66"/>
      <c r="C104" s="66"/>
      <c r="D104" s="67"/>
      <c r="E104" s="68"/>
      <c r="F104" s="68"/>
      <c r="G104" s="66"/>
      <c r="H104" s="67"/>
      <c r="I104" s="67"/>
      <c r="J104" s="67"/>
      <c r="K104" s="66"/>
      <c r="L104" s="68"/>
      <c r="M104" s="66"/>
      <c r="N104" s="69"/>
      <c r="O104" s="67"/>
      <c r="P104" s="69"/>
      <c r="Q104" s="69"/>
      <c r="R104" s="70"/>
    </row>
    <row r="105" spans="1:18" ht="27" x14ac:dyDescent="0.4">
      <c r="A105" s="65"/>
      <c r="B105" s="66"/>
      <c r="C105" s="66"/>
      <c r="D105" s="67"/>
      <c r="E105" s="68"/>
      <c r="F105" s="68"/>
      <c r="G105" s="66"/>
      <c r="H105" s="67"/>
      <c r="I105" s="67"/>
      <c r="J105" s="67"/>
      <c r="K105" s="66"/>
      <c r="L105" s="68"/>
      <c r="M105" s="66"/>
      <c r="N105" s="69"/>
      <c r="O105" s="67"/>
      <c r="P105" s="69"/>
      <c r="Q105" s="69"/>
      <c r="R105" s="70"/>
    </row>
    <row r="106" spans="1:18" ht="27" x14ac:dyDescent="0.4">
      <c r="A106" s="65"/>
      <c r="B106" s="66"/>
      <c r="C106" s="66"/>
      <c r="D106" s="67"/>
      <c r="E106" s="68"/>
      <c r="F106" s="68"/>
      <c r="G106" s="66"/>
      <c r="H106" s="67"/>
      <c r="I106" s="67"/>
      <c r="J106" s="67"/>
      <c r="K106" s="66"/>
      <c r="L106" s="68"/>
      <c r="M106" s="66"/>
      <c r="N106" s="69"/>
      <c r="O106" s="67"/>
      <c r="P106" s="69"/>
      <c r="Q106" s="69"/>
      <c r="R106" s="70"/>
    </row>
    <row r="107" spans="1:18" ht="27" x14ac:dyDescent="0.4">
      <c r="A107" s="65"/>
      <c r="B107" s="66"/>
      <c r="C107" s="66"/>
      <c r="D107" s="67"/>
      <c r="E107" s="68"/>
      <c r="F107" s="68"/>
      <c r="G107" s="66"/>
      <c r="H107" s="67"/>
      <c r="I107" s="67"/>
      <c r="J107" s="67"/>
      <c r="K107" s="66"/>
      <c r="L107" s="68"/>
      <c r="M107" s="66"/>
      <c r="N107" s="69"/>
      <c r="O107" s="67"/>
      <c r="P107" s="69"/>
      <c r="Q107" s="69"/>
      <c r="R107" s="70"/>
    </row>
    <row r="108" spans="1:18" ht="27" x14ac:dyDescent="0.4">
      <c r="A108" s="65"/>
      <c r="B108" s="66"/>
      <c r="C108" s="66"/>
      <c r="D108" s="67"/>
      <c r="E108" s="68"/>
      <c r="F108" s="68"/>
      <c r="G108" s="66"/>
      <c r="H108" s="67"/>
      <c r="I108" s="67"/>
      <c r="J108" s="67"/>
      <c r="K108" s="66"/>
      <c r="L108" s="68"/>
      <c r="M108" s="66"/>
      <c r="N108" s="69"/>
      <c r="O108" s="67"/>
      <c r="P108" s="69"/>
      <c r="Q108" s="69"/>
      <c r="R108" s="70"/>
    </row>
    <row r="109" spans="1:18" ht="27" x14ac:dyDescent="0.4">
      <c r="A109" s="65"/>
      <c r="B109" s="66"/>
      <c r="C109" s="66"/>
      <c r="D109" s="67"/>
      <c r="E109" s="68"/>
      <c r="F109" s="68"/>
      <c r="G109" s="66"/>
      <c r="H109" s="67"/>
      <c r="I109" s="67"/>
      <c r="J109" s="67"/>
      <c r="K109" s="66"/>
      <c r="L109" s="68"/>
      <c r="M109" s="66"/>
      <c r="N109" s="69"/>
      <c r="O109" s="67"/>
      <c r="P109" s="69"/>
      <c r="Q109" s="69"/>
      <c r="R109" s="70"/>
    </row>
    <row r="110" spans="1:18" ht="27" x14ac:dyDescent="0.4">
      <c r="A110" s="65"/>
      <c r="B110" s="66"/>
      <c r="C110" s="66"/>
      <c r="D110" s="67"/>
      <c r="E110" s="68"/>
      <c r="F110" s="68"/>
      <c r="G110" s="66"/>
      <c r="H110" s="67"/>
      <c r="I110" s="67"/>
      <c r="J110" s="67"/>
      <c r="K110" s="66"/>
      <c r="L110" s="68"/>
      <c r="M110" s="66"/>
      <c r="N110" s="69"/>
      <c r="O110" s="67"/>
      <c r="P110" s="69"/>
      <c r="Q110" s="69"/>
      <c r="R110" s="70"/>
    </row>
    <row r="111" spans="1:18" ht="27" x14ac:dyDescent="0.4">
      <c r="A111" s="65"/>
      <c r="B111" s="66"/>
      <c r="C111" s="66"/>
      <c r="D111" s="67"/>
      <c r="E111" s="68"/>
      <c r="F111" s="68"/>
      <c r="G111" s="66"/>
      <c r="H111" s="67"/>
      <c r="I111" s="67"/>
      <c r="J111" s="67"/>
      <c r="K111" s="66"/>
      <c r="L111" s="68"/>
      <c r="M111" s="66"/>
      <c r="N111" s="69"/>
      <c r="O111" s="67"/>
      <c r="P111" s="69"/>
      <c r="Q111" s="69"/>
      <c r="R111" s="70"/>
    </row>
    <row r="112" spans="1:18" ht="27" x14ac:dyDescent="0.4">
      <c r="A112" s="65"/>
      <c r="B112" s="66"/>
      <c r="C112" s="66"/>
      <c r="D112" s="67"/>
      <c r="E112" s="68"/>
      <c r="F112" s="68"/>
      <c r="G112" s="66"/>
      <c r="H112" s="67"/>
      <c r="I112" s="67"/>
      <c r="J112" s="67"/>
      <c r="K112" s="66"/>
      <c r="L112" s="68"/>
      <c r="M112" s="66"/>
      <c r="N112" s="69"/>
      <c r="O112" s="67"/>
      <c r="P112" s="69"/>
      <c r="Q112" s="69"/>
      <c r="R112" s="70"/>
    </row>
    <row r="113" spans="1:18" ht="27" x14ac:dyDescent="0.4">
      <c r="A113" s="65"/>
      <c r="B113" s="66"/>
      <c r="C113" s="66"/>
      <c r="D113" s="67"/>
      <c r="E113" s="68"/>
      <c r="F113" s="68"/>
      <c r="G113" s="66"/>
      <c r="H113" s="67"/>
      <c r="I113" s="67"/>
      <c r="J113" s="67"/>
      <c r="K113" s="66"/>
      <c r="L113" s="68"/>
      <c r="M113" s="66"/>
      <c r="N113" s="69"/>
      <c r="O113" s="67"/>
      <c r="P113" s="69"/>
      <c r="Q113" s="69"/>
      <c r="R113" s="70"/>
    </row>
    <row r="114" spans="1:18" ht="27" x14ac:dyDescent="0.4">
      <c r="A114" s="65"/>
      <c r="B114" s="66"/>
      <c r="C114" s="66"/>
      <c r="D114" s="67"/>
      <c r="E114" s="68"/>
      <c r="F114" s="68"/>
      <c r="G114" s="66"/>
      <c r="H114" s="67"/>
      <c r="I114" s="67"/>
      <c r="J114" s="67"/>
      <c r="K114" s="66"/>
      <c r="L114" s="68"/>
      <c r="M114" s="66"/>
      <c r="N114" s="69"/>
      <c r="O114" s="67"/>
      <c r="P114" s="69"/>
      <c r="Q114" s="69"/>
      <c r="R114" s="70"/>
    </row>
    <row r="115" spans="1:18" ht="27" x14ac:dyDescent="0.4">
      <c r="A115" s="65"/>
      <c r="B115" s="66"/>
      <c r="C115" s="66"/>
      <c r="D115" s="67"/>
      <c r="E115" s="68"/>
      <c r="F115" s="68"/>
      <c r="G115" s="66"/>
      <c r="H115" s="67"/>
      <c r="I115" s="67"/>
      <c r="J115" s="67"/>
      <c r="K115" s="66"/>
      <c r="L115" s="68"/>
      <c r="M115" s="66"/>
      <c r="N115" s="69"/>
      <c r="O115" s="67"/>
      <c r="P115" s="69"/>
      <c r="Q115" s="69"/>
      <c r="R115" s="70"/>
    </row>
    <row r="116" spans="1:18" ht="27" x14ac:dyDescent="0.4">
      <c r="A116" s="65"/>
      <c r="B116" s="66"/>
      <c r="C116" s="66"/>
      <c r="D116" s="67"/>
      <c r="E116" s="68"/>
      <c r="F116" s="68"/>
      <c r="G116" s="66"/>
      <c r="H116" s="67"/>
      <c r="I116" s="67"/>
      <c r="J116" s="67"/>
      <c r="K116" s="66"/>
      <c r="L116" s="68"/>
      <c r="M116" s="66"/>
      <c r="N116" s="69"/>
      <c r="O116" s="67"/>
      <c r="P116" s="69"/>
      <c r="Q116" s="69"/>
      <c r="R116" s="70"/>
    </row>
    <row r="117" spans="1:18" ht="27" x14ac:dyDescent="0.4">
      <c r="A117" s="65"/>
      <c r="B117" s="66"/>
      <c r="C117" s="66"/>
      <c r="D117" s="67"/>
      <c r="E117" s="68"/>
      <c r="F117" s="68"/>
      <c r="G117" s="66"/>
      <c r="H117" s="67"/>
      <c r="I117" s="67"/>
      <c r="J117" s="67"/>
      <c r="K117" s="66"/>
      <c r="L117" s="68"/>
      <c r="M117" s="66"/>
      <c r="N117" s="69"/>
      <c r="O117" s="67"/>
      <c r="P117" s="69"/>
      <c r="Q117" s="69"/>
      <c r="R117" s="70"/>
    </row>
    <row r="118" spans="1:18" ht="27" x14ac:dyDescent="0.4">
      <c r="A118" s="65"/>
      <c r="B118" s="66"/>
      <c r="C118" s="66"/>
      <c r="D118" s="67"/>
      <c r="E118" s="68"/>
      <c r="F118" s="68"/>
      <c r="G118" s="66"/>
      <c r="H118" s="67"/>
      <c r="I118" s="67"/>
      <c r="J118" s="67"/>
      <c r="K118" s="66"/>
      <c r="L118" s="68"/>
      <c r="M118" s="66"/>
      <c r="N118" s="69"/>
      <c r="O118" s="67"/>
      <c r="P118" s="69"/>
      <c r="Q118" s="69"/>
      <c r="R118" s="70"/>
    </row>
    <row r="119" spans="1:18" ht="27" x14ac:dyDescent="0.4">
      <c r="A119" s="65"/>
      <c r="B119" s="66"/>
      <c r="C119" s="66"/>
      <c r="D119" s="67"/>
      <c r="E119" s="68"/>
      <c r="F119" s="68"/>
      <c r="G119" s="66"/>
      <c r="H119" s="67"/>
      <c r="I119" s="67"/>
      <c r="J119" s="67"/>
      <c r="K119" s="66"/>
      <c r="L119" s="68"/>
      <c r="M119" s="66"/>
      <c r="N119" s="69"/>
      <c r="O119" s="67"/>
      <c r="P119" s="69"/>
      <c r="Q119" s="69"/>
      <c r="R119" s="70"/>
    </row>
    <row r="120" spans="1:18" ht="27" x14ac:dyDescent="0.4">
      <c r="A120" s="65"/>
      <c r="B120" s="66"/>
      <c r="C120" s="66"/>
      <c r="D120" s="67"/>
      <c r="E120" s="68"/>
      <c r="F120" s="68"/>
      <c r="G120" s="66"/>
      <c r="H120" s="67"/>
      <c r="I120" s="67"/>
      <c r="J120" s="67"/>
      <c r="K120" s="66"/>
      <c r="L120" s="68"/>
      <c r="M120" s="66"/>
      <c r="N120" s="69"/>
      <c r="O120" s="67"/>
      <c r="P120" s="69"/>
      <c r="Q120" s="69"/>
      <c r="R120" s="70"/>
    </row>
    <row r="121" spans="1:18" ht="27" x14ac:dyDescent="0.4">
      <c r="A121" s="65"/>
      <c r="B121" s="66"/>
      <c r="C121" s="66"/>
      <c r="D121" s="67"/>
      <c r="E121" s="68"/>
      <c r="F121" s="68"/>
      <c r="G121" s="66"/>
      <c r="H121" s="67"/>
      <c r="I121" s="67"/>
      <c r="J121" s="67"/>
      <c r="K121" s="66"/>
      <c r="L121" s="68"/>
      <c r="M121" s="66"/>
      <c r="N121" s="69"/>
      <c r="O121" s="67"/>
      <c r="P121" s="69"/>
      <c r="Q121" s="69"/>
      <c r="R121" s="70"/>
    </row>
    <row r="122" spans="1:18" ht="27" x14ac:dyDescent="0.4">
      <c r="A122" s="65"/>
      <c r="B122" s="66"/>
      <c r="C122" s="66"/>
      <c r="D122" s="67"/>
      <c r="E122" s="68"/>
      <c r="F122" s="68"/>
      <c r="G122" s="66"/>
      <c r="H122" s="67"/>
      <c r="I122" s="67"/>
      <c r="J122" s="67"/>
      <c r="K122" s="66"/>
      <c r="L122" s="68"/>
      <c r="M122" s="66"/>
      <c r="N122" s="69"/>
      <c r="O122" s="67"/>
      <c r="P122" s="69"/>
      <c r="Q122" s="69"/>
      <c r="R122" s="70"/>
    </row>
    <row r="123" spans="1:18" ht="27" x14ac:dyDescent="0.4">
      <c r="A123" s="65"/>
      <c r="B123" s="66"/>
      <c r="C123" s="66"/>
      <c r="D123" s="67"/>
      <c r="E123" s="68"/>
      <c r="F123" s="68"/>
      <c r="G123" s="66"/>
      <c r="H123" s="67"/>
      <c r="I123" s="67"/>
      <c r="J123" s="67"/>
      <c r="K123" s="66"/>
      <c r="L123" s="68"/>
      <c r="M123" s="66"/>
      <c r="N123" s="69"/>
      <c r="O123" s="67"/>
      <c r="P123" s="69"/>
      <c r="Q123" s="69"/>
      <c r="R123" s="68"/>
    </row>
    <row r="124" spans="1:18" ht="27" x14ac:dyDescent="0.4">
      <c r="A124" s="65"/>
      <c r="B124" s="66"/>
      <c r="C124" s="66"/>
      <c r="D124" s="67"/>
      <c r="E124" s="68"/>
      <c r="F124" s="68"/>
      <c r="G124" s="66"/>
      <c r="H124" s="67"/>
      <c r="I124" s="67"/>
      <c r="J124" s="67"/>
      <c r="K124" s="66"/>
      <c r="L124" s="68"/>
      <c r="M124" s="66"/>
      <c r="N124" s="69"/>
      <c r="O124" s="67"/>
      <c r="P124" s="69"/>
      <c r="Q124" s="69"/>
      <c r="R124" s="70"/>
    </row>
    <row r="125" spans="1:18" ht="27" x14ac:dyDescent="0.4">
      <c r="A125" s="65"/>
      <c r="B125" s="66"/>
      <c r="C125" s="66"/>
      <c r="D125" s="67"/>
      <c r="E125" s="68"/>
      <c r="F125" s="68"/>
      <c r="G125" s="66"/>
      <c r="H125" s="67"/>
      <c r="I125" s="67"/>
      <c r="J125" s="67"/>
      <c r="K125" s="66"/>
      <c r="L125" s="68"/>
      <c r="M125" s="66"/>
      <c r="N125" s="69"/>
      <c r="O125" s="67"/>
      <c r="P125" s="69"/>
      <c r="Q125" s="69"/>
      <c r="R125" s="70"/>
    </row>
    <row r="126" spans="1:18" ht="27" x14ac:dyDescent="0.4">
      <c r="A126" s="65"/>
      <c r="B126" s="66"/>
      <c r="C126" s="66"/>
      <c r="D126" s="67"/>
      <c r="E126" s="68"/>
      <c r="F126" s="68"/>
      <c r="G126" s="66"/>
      <c r="H126" s="67"/>
      <c r="I126" s="67"/>
      <c r="J126" s="67"/>
      <c r="K126" s="66"/>
      <c r="L126" s="68"/>
      <c r="M126" s="66"/>
      <c r="N126" s="69"/>
      <c r="O126" s="67"/>
      <c r="P126" s="69"/>
      <c r="Q126" s="69"/>
      <c r="R126" s="70"/>
    </row>
    <row r="127" spans="1:18" ht="27" x14ac:dyDescent="0.4">
      <c r="A127" s="65"/>
      <c r="B127" s="66"/>
      <c r="C127" s="66"/>
      <c r="D127" s="67"/>
      <c r="E127" s="68"/>
      <c r="F127" s="68"/>
      <c r="G127" s="66"/>
      <c r="H127" s="67"/>
      <c r="I127" s="67"/>
      <c r="J127" s="67"/>
      <c r="K127" s="66"/>
      <c r="L127" s="68"/>
      <c r="M127" s="66"/>
      <c r="N127" s="69"/>
      <c r="O127" s="67"/>
      <c r="P127" s="69"/>
      <c r="Q127" s="69"/>
      <c r="R127" s="70"/>
    </row>
    <row r="128" spans="1:18" ht="27" x14ac:dyDescent="0.4">
      <c r="A128" s="65"/>
      <c r="B128" s="66"/>
      <c r="C128" s="66"/>
      <c r="D128" s="67"/>
      <c r="E128" s="68"/>
      <c r="F128" s="68"/>
      <c r="G128" s="66"/>
      <c r="H128" s="67"/>
      <c r="I128" s="67"/>
      <c r="J128" s="67"/>
      <c r="K128" s="66"/>
      <c r="L128" s="68"/>
      <c r="M128" s="66"/>
      <c r="N128" s="69"/>
      <c r="O128" s="67"/>
      <c r="P128" s="69"/>
      <c r="Q128" s="69"/>
      <c r="R128" s="68"/>
    </row>
    <row r="129" spans="1:18" ht="27" x14ac:dyDescent="0.4">
      <c r="A129" s="65"/>
      <c r="B129" s="66"/>
      <c r="C129" s="66"/>
      <c r="D129" s="67"/>
      <c r="E129" s="68"/>
      <c r="F129" s="68"/>
      <c r="G129" s="66"/>
      <c r="H129" s="67"/>
      <c r="I129" s="67"/>
      <c r="J129" s="67"/>
      <c r="K129" s="66"/>
      <c r="L129" s="68"/>
      <c r="M129" s="66"/>
      <c r="N129" s="69"/>
      <c r="O129" s="67"/>
      <c r="P129" s="69"/>
      <c r="Q129" s="69"/>
      <c r="R129" s="68"/>
    </row>
    <row r="130" spans="1:18" ht="27" x14ac:dyDescent="0.4">
      <c r="A130" s="65"/>
      <c r="B130" s="66"/>
      <c r="C130" s="66"/>
      <c r="D130" s="67"/>
      <c r="E130" s="68"/>
      <c r="F130" s="68"/>
      <c r="G130" s="66"/>
      <c r="H130" s="67"/>
      <c r="I130" s="67"/>
      <c r="J130" s="67"/>
      <c r="K130" s="66"/>
      <c r="L130" s="68"/>
      <c r="M130" s="66"/>
      <c r="N130" s="69"/>
      <c r="O130" s="67"/>
      <c r="P130" s="69"/>
      <c r="Q130" s="69"/>
      <c r="R130" s="68"/>
    </row>
    <row r="131" spans="1:18" ht="27" x14ac:dyDescent="0.4">
      <c r="A131" s="65"/>
      <c r="B131" s="66"/>
      <c r="C131" s="66"/>
      <c r="D131" s="67"/>
      <c r="E131" s="68"/>
      <c r="F131" s="68"/>
      <c r="G131" s="66"/>
      <c r="H131" s="67"/>
      <c r="I131" s="67"/>
      <c r="J131" s="67"/>
      <c r="K131" s="66"/>
      <c r="L131" s="68"/>
      <c r="M131" s="66"/>
      <c r="N131" s="69"/>
      <c r="O131" s="67"/>
      <c r="P131" s="69"/>
      <c r="Q131" s="69"/>
      <c r="R131" s="68"/>
    </row>
    <row r="132" spans="1:18" ht="27" x14ac:dyDescent="0.4">
      <c r="A132" s="65"/>
      <c r="B132" s="66"/>
      <c r="C132" s="66"/>
      <c r="D132" s="67"/>
      <c r="E132" s="68"/>
      <c r="F132" s="68"/>
      <c r="G132" s="66"/>
      <c r="H132" s="67"/>
      <c r="I132" s="67"/>
      <c r="J132" s="67"/>
      <c r="K132" s="66"/>
      <c r="L132" s="68"/>
      <c r="M132" s="66"/>
      <c r="N132" s="69"/>
      <c r="O132" s="67"/>
      <c r="P132" s="69"/>
      <c r="Q132" s="69"/>
      <c r="R132" s="68"/>
    </row>
    <row r="133" spans="1:18" ht="27" x14ac:dyDescent="0.4">
      <c r="A133" s="65"/>
      <c r="B133" s="66"/>
      <c r="C133" s="66"/>
      <c r="D133" s="67"/>
      <c r="E133" s="68"/>
      <c r="F133" s="68"/>
      <c r="G133" s="66"/>
      <c r="H133" s="67"/>
      <c r="I133" s="67"/>
      <c r="J133" s="67"/>
      <c r="K133" s="66"/>
      <c r="L133" s="68"/>
      <c r="M133" s="66"/>
      <c r="N133" s="69"/>
      <c r="O133" s="67"/>
      <c r="P133" s="69"/>
      <c r="Q133" s="69"/>
      <c r="R133" s="68"/>
    </row>
    <row r="134" spans="1:18" ht="27" x14ac:dyDescent="0.4">
      <c r="A134" s="65"/>
      <c r="B134" s="66"/>
      <c r="C134" s="66"/>
      <c r="D134" s="67"/>
      <c r="E134" s="68"/>
      <c r="F134" s="68"/>
      <c r="G134" s="66"/>
      <c r="H134" s="67"/>
      <c r="I134" s="67"/>
      <c r="J134" s="67"/>
      <c r="K134" s="66"/>
      <c r="L134" s="68"/>
      <c r="M134" s="66"/>
      <c r="N134" s="69"/>
      <c r="O134" s="67"/>
      <c r="P134" s="69"/>
      <c r="Q134" s="69"/>
      <c r="R134" s="68"/>
    </row>
    <row r="135" spans="1:18" ht="27" x14ac:dyDescent="0.4">
      <c r="A135" s="65"/>
      <c r="B135" s="66"/>
      <c r="C135" s="66"/>
      <c r="D135" s="67"/>
      <c r="E135" s="68"/>
      <c r="F135" s="68"/>
      <c r="G135" s="66"/>
      <c r="H135" s="67"/>
      <c r="I135" s="67"/>
      <c r="J135" s="67"/>
      <c r="K135" s="66"/>
      <c r="L135" s="68"/>
      <c r="M135" s="66"/>
      <c r="N135" s="69"/>
      <c r="O135" s="67"/>
      <c r="P135" s="69"/>
      <c r="Q135" s="69"/>
      <c r="R135" s="68"/>
    </row>
    <row r="136" spans="1:18" ht="27" x14ac:dyDescent="0.4">
      <c r="A136" s="65"/>
      <c r="B136" s="66"/>
      <c r="C136" s="66"/>
      <c r="D136" s="67"/>
      <c r="E136" s="68"/>
      <c r="F136" s="68"/>
      <c r="G136" s="66"/>
      <c r="H136" s="67"/>
      <c r="I136" s="67"/>
      <c r="J136" s="67"/>
      <c r="K136" s="66"/>
      <c r="L136" s="68"/>
      <c r="M136" s="66"/>
      <c r="N136" s="69"/>
      <c r="O136" s="67"/>
      <c r="P136" s="69"/>
      <c r="Q136" s="69"/>
      <c r="R136" s="68"/>
    </row>
    <row r="137" spans="1:18" ht="27" x14ac:dyDescent="0.4">
      <c r="A137" s="65"/>
      <c r="B137" s="66"/>
      <c r="C137" s="66"/>
      <c r="D137" s="67"/>
      <c r="E137" s="68"/>
      <c r="F137" s="68"/>
      <c r="G137" s="66"/>
      <c r="H137" s="67"/>
      <c r="I137" s="67"/>
      <c r="J137" s="67"/>
      <c r="K137" s="66"/>
      <c r="L137" s="68"/>
      <c r="M137" s="66"/>
      <c r="N137" s="69"/>
      <c r="O137" s="67"/>
      <c r="P137" s="69"/>
      <c r="Q137" s="69"/>
      <c r="R137" s="68"/>
    </row>
    <row r="138" spans="1:18" ht="27" x14ac:dyDescent="0.4">
      <c r="A138" s="65"/>
      <c r="B138" s="66"/>
      <c r="C138" s="66"/>
      <c r="D138" s="67"/>
      <c r="E138" s="68"/>
      <c r="F138" s="68"/>
      <c r="G138" s="66"/>
      <c r="H138" s="67"/>
      <c r="I138" s="67"/>
      <c r="J138" s="67"/>
      <c r="K138" s="66"/>
      <c r="L138" s="68"/>
      <c r="M138" s="66"/>
      <c r="N138" s="69"/>
      <c r="O138" s="67"/>
      <c r="P138" s="69"/>
      <c r="Q138" s="69"/>
      <c r="R138" s="68"/>
    </row>
    <row r="139" spans="1:18" ht="27" x14ac:dyDescent="0.4">
      <c r="A139" s="65"/>
      <c r="B139" s="66"/>
      <c r="C139" s="66"/>
      <c r="D139" s="67"/>
      <c r="E139" s="68"/>
      <c r="F139" s="68"/>
      <c r="G139" s="66"/>
      <c r="H139" s="67"/>
      <c r="I139" s="67"/>
      <c r="J139" s="67"/>
      <c r="K139" s="66"/>
      <c r="L139" s="68"/>
      <c r="M139" s="66"/>
      <c r="N139" s="69"/>
      <c r="O139" s="67"/>
      <c r="P139" s="69"/>
      <c r="Q139" s="69"/>
      <c r="R139" s="68"/>
    </row>
    <row r="140" spans="1:18" ht="27" x14ac:dyDescent="0.4">
      <c r="A140" s="65"/>
      <c r="B140" s="66"/>
      <c r="C140" s="66"/>
      <c r="D140" s="67"/>
      <c r="E140" s="68"/>
      <c r="F140" s="68"/>
      <c r="G140" s="66"/>
      <c r="H140" s="67"/>
      <c r="I140" s="67"/>
      <c r="J140" s="67"/>
      <c r="K140" s="66"/>
      <c r="L140" s="68"/>
      <c r="M140" s="66"/>
      <c r="N140" s="69"/>
      <c r="O140" s="67"/>
      <c r="P140" s="69"/>
      <c r="Q140" s="69"/>
      <c r="R140" s="68"/>
    </row>
    <row r="141" spans="1:18" ht="27" x14ac:dyDescent="0.4">
      <c r="A141" s="65"/>
      <c r="B141" s="66"/>
      <c r="C141" s="66"/>
      <c r="D141" s="67"/>
      <c r="E141" s="68"/>
      <c r="F141" s="68"/>
      <c r="G141" s="66"/>
      <c r="H141" s="67"/>
      <c r="I141" s="67"/>
      <c r="J141" s="67"/>
      <c r="K141" s="66"/>
      <c r="L141" s="68"/>
      <c r="M141" s="66"/>
      <c r="N141" s="69"/>
      <c r="O141" s="67"/>
      <c r="P141" s="69"/>
      <c r="Q141" s="69"/>
      <c r="R141" s="68"/>
    </row>
    <row r="142" spans="1:18" ht="27" x14ac:dyDescent="0.4">
      <c r="A142" s="65"/>
      <c r="B142" s="66"/>
      <c r="C142" s="66"/>
      <c r="D142" s="67"/>
      <c r="E142" s="68"/>
      <c r="F142" s="68"/>
      <c r="G142" s="66"/>
      <c r="H142" s="67"/>
      <c r="I142" s="67"/>
      <c r="J142" s="67"/>
      <c r="K142" s="66"/>
      <c r="L142" s="68"/>
      <c r="M142" s="66"/>
      <c r="N142" s="69"/>
      <c r="O142" s="67"/>
      <c r="P142" s="69"/>
      <c r="Q142" s="69"/>
      <c r="R142" s="70"/>
    </row>
    <row r="143" spans="1:18" ht="27" x14ac:dyDescent="0.4">
      <c r="A143" s="65"/>
      <c r="B143" s="66"/>
      <c r="C143" s="66"/>
      <c r="D143" s="67"/>
      <c r="E143" s="68"/>
      <c r="F143" s="68"/>
      <c r="G143" s="66"/>
      <c r="H143" s="67"/>
      <c r="I143" s="67"/>
      <c r="J143" s="67"/>
      <c r="K143" s="66"/>
      <c r="L143" s="68"/>
      <c r="M143" s="66"/>
      <c r="N143" s="69"/>
      <c r="O143" s="67"/>
      <c r="P143" s="69"/>
      <c r="Q143" s="69"/>
      <c r="R143" s="70"/>
    </row>
    <row r="144" spans="1:18" ht="27" x14ac:dyDescent="0.4">
      <c r="A144" s="65"/>
      <c r="B144" s="66"/>
      <c r="C144" s="66"/>
      <c r="D144" s="67"/>
      <c r="E144" s="68"/>
      <c r="F144" s="68"/>
      <c r="G144" s="66"/>
      <c r="H144" s="67"/>
      <c r="I144" s="67"/>
      <c r="J144" s="67"/>
      <c r="K144" s="66"/>
      <c r="L144" s="68"/>
      <c r="M144" s="66"/>
      <c r="N144" s="69"/>
      <c r="O144" s="67"/>
      <c r="P144" s="69"/>
      <c r="Q144" s="69"/>
      <c r="R144" s="68"/>
    </row>
    <row r="145" spans="1:18" ht="27" x14ac:dyDescent="0.4">
      <c r="A145" s="65"/>
      <c r="B145" s="66"/>
      <c r="C145" s="66"/>
      <c r="D145" s="67"/>
      <c r="E145" s="68"/>
      <c r="F145" s="68"/>
      <c r="G145" s="66"/>
      <c r="H145" s="67"/>
      <c r="I145" s="67"/>
      <c r="J145" s="67"/>
      <c r="K145" s="66"/>
      <c r="L145" s="68"/>
      <c r="M145" s="66"/>
      <c r="N145" s="69"/>
      <c r="O145" s="67"/>
      <c r="P145" s="69"/>
      <c r="Q145" s="69"/>
      <c r="R145" s="68"/>
    </row>
    <row r="146" spans="1:18" ht="27" x14ac:dyDescent="0.4">
      <c r="A146" s="65"/>
      <c r="B146" s="66"/>
      <c r="C146" s="66"/>
      <c r="D146" s="67"/>
      <c r="E146" s="68"/>
      <c r="F146" s="68"/>
      <c r="G146" s="66"/>
      <c r="H146" s="67"/>
      <c r="I146" s="67"/>
      <c r="J146" s="67"/>
      <c r="K146" s="66"/>
      <c r="L146" s="68"/>
      <c r="M146" s="66"/>
      <c r="N146" s="69"/>
      <c r="O146" s="67"/>
      <c r="P146" s="69"/>
      <c r="Q146" s="69"/>
      <c r="R146" s="68"/>
    </row>
    <row r="147" spans="1:18" ht="27" x14ac:dyDescent="0.4">
      <c r="A147" s="65"/>
      <c r="B147" s="66"/>
      <c r="C147" s="66"/>
      <c r="D147" s="67"/>
      <c r="E147" s="68"/>
      <c r="F147" s="68"/>
      <c r="G147" s="66"/>
      <c r="H147" s="67"/>
      <c r="I147" s="67"/>
      <c r="J147" s="67"/>
      <c r="K147" s="66"/>
      <c r="L147" s="68"/>
      <c r="M147" s="66"/>
      <c r="N147" s="69"/>
      <c r="O147" s="67"/>
      <c r="P147" s="69"/>
      <c r="Q147" s="69"/>
      <c r="R147" s="68"/>
    </row>
    <row r="148" spans="1:18" ht="27" x14ac:dyDescent="0.4">
      <c r="A148" s="65"/>
      <c r="B148" s="66"/>
      <c r="C148" s="66"/>
      <c r="D148" s="67"/>
      <c r="E148" s="68"/>
      <c r="F148" s="68"/>
      <c r="G148" s="66"/>
      <c r="H148" s="67"/>
      <c r="I148" s="67"/>
      <c r="J148" s="67"/>
      <c r="K148" s="66"/>
      <c r="L148" s="68"/>
      <c r="M148" s="66"/>
      <c r="N148" s="69"/>
      <c r="O148" s="67"/>
      <c r="P148" s="69"/>
      <c r="Q148" s="69"/>
      <c r="R148" s="68"/>
    </row>
    <row r="149" spans="1:18" ht="27" x14ac:dyDescent="0.4">
      <c r="A149" s="65"/>
      <c r="B149" s="66"/>
      <c r="C149" s="66"/>
      <c r="D149" s="67"/>
      <c r="E149" s="68"/>
      <c r="F149" s="68"/>
      <c r="G149" s="66"/>
      <c r="H149" s="67"/>
      <c r="I149" s="67"/>
      <c r="J149" s="67"/>
      <c r="K149" s="66"/>
      <c r="L149" s="68"/>
      <c r="M149" s="66"/>
      <c r="N149" s="69"/>
      <c r="O149" s="67"/>
      <c r="P149" s="69"/>
      <c r="Q149" s="69"/>
      <c r="R149" s="68"/>
    </row>
    <row r="150" spans="1:18" ht="27" x14ac:dyDescent="0.4">
      <c r="A150" s="65"/>
      <c r="B150" s="66"/>
      <c r="C150" s="66"/>
      <c r="D150" s="67"/>
      <c r="E150" s="68"/>
      <c r="F150" s="68"/>
      <c r="G150" s="66"/>
      <c r="H150" s="67"/>
      <c r="I150" s="67"/>
      <c r="J150" s="67"/>
      <c r="K150" s="66"/>
      <c r="L150" s="68"/>
      <c r="M150" s="66"/>
      <c r="N150" s="69"/>
      <c r="O150" s="67"/>
      <c r="P150" s="69"/>
      <c r="Q150" s="69"/>
      <c r="R150" s="68"/>
    </row>
    <row r="151" spans="1:18" ht="27" x14ac:dyDescent="0.4">
      <c r="A151" s="65"/>
      <c r="B151" s="66"/>
      <c r="C151" s="66"/>
      <c r="D151" s="67"/>
      <c r="E151" s="68"/>
      <c r="F151" s="68"/>
      <c r="G151" s="66"/>
      <c r="H151" s="67"/>
      <c r="I151" s="67"/>
      <c r="J151" s="67"/>
      <c r="K151" s="66"/>
      <c r="L151" s="68"/>
      <c r="M151" s="66"/>
      <c r="N151" s="69"/>
      <c r="O151" s="67"/>
      <c r="P151" s="69"/>
      <c r="Q151" s="69"/>
      <c r="R151" s="68"/>
    </row>
    <row r="152" spans="1:18" ht="27" x14ac:dyDescent="0.4">
      <c r="A152" s="65"/>
      <c r="B152" s="66"/>
      <c r="C152" s="66"/>
      <c r="D152" s="67"/>
      <c r="E152" s="68"/>
      <c r="F152" s="68"/>
      <c r="G152" s="66"/>
      <c r="H152" s="67"/>
      <c r="I152" s="67"/>
      <c r="J152" s="67"/>
      <c r="K152" s="66"/>
      <c r="L152" s="68"/>
      <c r="M152" s="66"/>
      <c r="N152" s="69"/>
      <c r="O152" s="67"/>
      <c r="P152" s="69"/>
      <c r="Q152" s="69"/>
      <c r="R152" s="68"/>
    </row>
    <row r="153" spans="1:18" ht="27" x14ac:dyDescent="0.4">
      <c r="A153" s="65"/>
      <c r="B153" s="66"/>
      <c r="C153" s="66"/>
      <c r="D153" s="67"/>
      <c r="E153" s="68"/>
      <c r="F153" s="68"/>
      <c r="G153" s="66"/>
      <c r="H153" s="67"/>
      <c r="I153" s="67"/>
      <c r="J153" s="67"/>
      <c r="K153" s="66"/>
      <c r="L153" s="68"/>
      <c r="M153" s="66"/>
      <c r="N153" s="69"/>
      <c r="O153" s="67"/>
      <c r="P153" s="69"/>
      <c r="Q153" s="69"/>
      <c r="R153" s="68"/>
    </row>
    <row r="154" spans="1:18" ht="27" x14ac:dyDescent="0.4">
      <c r="A154" s="65"/>
      <c r="B154" s="66"/>
      <c r="C154" s="66"/>
      <c r="D154" s="67"/>
      <c r="E154" s="68"/>
      <c r="F154" s="68"/>
      <c r="G154" s="66"/>
      <c r="H154" s="67"/>
      <c r="I154" s="67"/>
      <c r="J154" s="67"/>
      <c r="K154" s="66"/>
      <c r="L154" s="68"/>
      <c r="M154" s="66"/>
      <c r="N154" s="69"/>
      <c r="O154" s="67"/>
      <c r="P154" s="69"/>
      <c r="Q154" s="69"/>
      <c r="R154" s="68"/>
    </row>
    <row r="155" spans="1:18" ht="27" x14ac:dyDescent="0.4">
      <c r="A155" s="65"/>
      <c r="B155" s="66"/>
      <c r="C155" s="66"/>
      <c r="D155" s="67"/>
      <c r="E155" s="68"/>
      <c r="F155" s="68"/>
      <c r="G155" s="66"/>
      <c r="H155" s="67"/>
      <c r="I155" s="67"/>
      <c r="J155" s="67"/>
      <c r="K155" s="66"/>
      <c r="L155" s="68"/>
      <c r="M155" s="66"/>
      <c r="N155" s="69"/>
      <c r="O155" s="67"/>
      <c r="P155" s="69"/>
      <c r="Q155" s="69"/>
      <c r="R155" s="68"/>
    </row>
    <row r="156" spans="1:18" ht="27" x14ac:dyDescent="0.4">
      <c r="A156" s="65"/>
      <c r="B156" s="66"/>
      <c r="C156" s="66"/>
      <c r="D156" s="67"/>
      <c r="E156" s="68"/>
      <c r="F156" s="68"/>
      <c r="G156" s="66"/>
      <c r="H156" s="67"/>
      <c r="I156" s="67"/>
      <c r="J156" s="67"/>
      <c r="K156" s="66"/>
      <c r="L156" s="68"/>
      <c r="M156" s="66"/>
      <c r="N156" s="69"/>
      <c r="O156" s="67"/>
      <c r="P156" s="69"/>
      <c r="Q156" s="69"/>
      <c r="R156" s="68"/>
    </row>
    <row r="157" spans="1:18" ht="27" x14ac:dyDescent="0.4">
      <c r="A157" s="65"/>
      <c r="B157" s="66"/>
      <c r="C157" s="66"/>
      <c r="D157" s="67"/>
      <c r="E157" s="68"/>
      <c r="F157" s="68"/>
      <c r="G157" s="66"/>
      <c r="H157" s="67"/>
      <c r="I157" s="67"/>
      <c r="J157" s="67"/>
      <c r="K157" s="66"/>
      <c r="L157" s="68"/>
      <c r="M157" s="66"/>
      <c r="N157" s="69"/>
      <c r="O157" s="67"/>
      <c r="P157" s="69"/>
      <c r="Q157" s="69"/>
      <c r="R157" s="68"/>
    </row>
    <row r="158" spans="1:18" ht="27" x14ac:dyDescent="0.4">
      <c r="A158" s="65"/>
      <c r="B158" s="66"/>
      <c r="C158" s="66"/>
      <c r="D158" s="67"/>
      <c r="E158" s="68"/>
      <c r="F158" s="68"/>
      <c r="G158" s="66"/>
      <c r="H158" s="67"/>
      <c r="I158" s="67"/>
      <c r="J158" s="67"/>
      <c r="K158" s="66"/>
      <c r="L158" s="68"/>
      <c r="M158" s="66"/>
      <c r="N158" s="69"/>
      <c r="O158" s="67"/>
      <c r="P158" s="69"/>
      <c r="Q158" s="69"/>
      <c r="R158" s="68"/>
    </row>
    <row r="159" spans="1:18" ht="27" x14ac:dyDescent="0.4">
      <c r="A159" s="65"/>
      <c r="B159" s="66"/>
      <c r="C159" s="66"/>
      <c r="D159" s="67"/>
      <c r="E159" s="68"/>
      <c r="F159" s="68"/>
      <c r="G159" s="66"/>
      <c r="H159" s="67"/>
      <c r="I159" s="67"/>
      <c r="J159" s="67"/>
      <c r="K159" s="66"/>
      <c r="L159" s="68"/>
      <c r="M159" s="66"/>
      <c r="N159" s="69"/>
      <c r="O159" s="67"/>
      <c r="P159" s="69"/>
      <c r="Q159" s="69"/>
      <c r="R159" s="68"/>
    </row>
    <row r="160" spans="1:18" ht="27" x14ac:dyDescent="0.4">
      <c r="A160" s="65"/>
      <c r="B160" s="66"/>
      <c r="C160" s="66"/>
      <c r="D160" s="67"/>
      <c r="E160" s="68"/>
      <c r="F160" s="68"/>
      <c r="G160" s="66"/>
      <c r="H160" s="67"/>
      <c r="I160" s="67"/>
      <c r="J160" s="67"/>
      <c r="K160" s="66"/>
      <c r="L160" s="68"/>
      <c r="M160" s="66"/>
      <c r="N160" s="69"/>
      <c r="O160" s="67"/>
      <c r="P160" s="69"/>
      <c r="Q160" s="69"/>
      <c r="R160" s="68"/>
    </row>
    <row r="161" spans="1:18" ht="27" x14ac:dyDescent="0.4">
      <c r="A161" s="65"/>
      <c r="B161" s="66"/>
      <c r="C161" s="66"/>
      <c r="D161" s="67"/>
      <c r="E161" s="68"/>
      <c r="F161" s="68"/>
      <c r="G161" s="66"/>
      <c r="H161" s="67"/>
      <c r="I161" s="67"/>
      <c r="J161" s="67"/>
      <c r="K161" s="66"/>
      <c r="L161" s="68"/>
      <c r="M161" s="66"/>
      <c r="N161" s="69"/>
      <c r="O161" s="67"/>
      <c r="P161" s="69"/>
      <c r="Q161" s="69"/>
      <c r="R161" s="68"/>
    </row>
    <row r="162" spans="1:18" ht="27" x14ac:dyDescent="0.4">
      <c r="A162" s="65"/>
      <c r="B162" s="66"/>
      <c r="C162" s="66"/>
      <c r="D162" s="67"/>
      <c r="E162" s="68"/>
      <c r="F162" s="68"/>
      <c r="G162" s="66"/>
      <c r="H162" s="67"/>
      <c r="I162" s="67"/>
      <c r="J162" s="67"/>
      <c r="K162" s="66"/>
      <c r="L162" s="68"/>
      <c r="M162" s="66"/>
      <c r="N162" s="69"/>
      <c r="O162" s="67"/>
      <c r="P162" s="69"/>
      <c r="Q162" s="69"/>
      <c r="R162" s="68"/>
    </row>
    <row r="163" spans="1:18" ht="27" x14ac:dyDescent="0.4">
      <c r="A163" s="65"/>
      <c r="B163" s="66"/>
      <c r="C163" s="66"/>
      <c r="D163" s="67"/>
      <c r="E163" s="68"/>
      <c r="F163" s="68"/>
      <c r="G163" s="66"/>
      <c r="H163" s="67"/>
      <c r="I163" s="67"/>
      <c r="J163" s="67"/>
      <c r="K163" s="66"/>
      <c r="L163" s="68"/>
      <c r="M163" s="66"/>
      <c r="N163" s="69"/>
      <c r="O163" s="67"/>
      <c r="P163" s="69"/>
      <c r="Q163" s="69"/>
      <c r="R163" s="68"/>
    </row>
    <row r="164" spans="1:18" ht="27" x14ac:dyDescent="0.4">
      <c r="A164" s="65"/>
      <c r="B164" s="66"/>
      <c r="C164" s="66"/>
      <c r="D164" s="67"/>
      <c r="E164" s="68"/>
      <c r="F164" s="68"/>
      <c r="G164" s="66"/>
      <c r="H164" s="67"/>
      <c r="I164" s="67"/>
      <c r="J164" s="67"/>
      <c r="K164" s="66"/>
      <c r="L164" s="68"/>
      <c r="M164" s="66"/>
      <c r="N164" s="69"/>
      <c r="O164" s="67"/>
      <c r="P164" s="69"/>
      <c r="Q164" s="69"/>
      <c r="R164" s="68"/>
    </row>
    <row r="165" spans="1:18" ht="27" x14ac:dyDescent="0.4">
      <c r="A165" s="65"/>
      <c r="B165" s="66"/>
      <c r="C165" s="66"/>
      <c r="D165" s="67"/>
      <c r="E165" s="68"/>
      <c r="F165" s="68"/>
      <c r="G165" s="66"/>
      <c r="H165" s="67"/>
      <c r="I165" s="67"/>
      <c r="J165" s="67"/>
      <c r="K165" s="66"/>
      <c r="L165" s="68"/>
      <c r="M165" s="66"/>
      <c r="N165" s="69"/>
      <c r="O165" s="67"/>
      <c r="P165" s="69"/>
      <c r="Q165" s="69"/>
      <c r="R165" s="68"/>
    </row>
    <row r="166" spans="1:18" ht="27" x14ac:dyDescent="0.4">
      <c r="A166" s="65"/>
      <c r="B166" s="66"/>
      <c r="C166" s="66"/>
      <c r="D166" s="67"/>
      <c r="E166" s="68"/>
      <c r="F166" s="68"/>
      <c r="G166" s="66"/>
      <c r="H166" s="67"/>
      <c r="I166" s="67"/>
      <c r="J166" s="67"/>
      <c r="K166" s="66"/>
      <c r="L166" s="68"/>
      <c r="M166" s="66"/>
      <c r="N166" s="69"/>
      <c r="O166" s="67"/>
      <c r="P166" s="69"/>
      <c r="Q166" s="69"/>
      <c r="R166" s="68"/>
    </row>
    <row r="167" spans="1:18" ht="27" x14ac:dyDescent="0.4">
      <c r="A167" s="65"/>
      <c r="B167" s="66"/>
      <c r="C167" s="66"/>
      <c r="D167" s="67"/>
      <c r="E167" s="68"/>
      <c r="F167" s="68"/>
      <c r="G167" s="66"/>
      <c r="H167" s="67"/>
      <c r="I167" s="67"/>
      <c r="J167" s="67"/>
      <c r="K167" s="66"/>
      <c r="L167" s="68"/>
      <c r="M167" s="66"/>
      <c r="N167" s="69"/>
      <c r="O167" s="67"/>
      <c r="P167" s="69"/>
      <c r="Q167" s="69"/>
      <c r="R167" s="68"/>
    </row>
    <row r="168" spans="1:18" ht="27" x14ac:dyDescent="0.4">
      <c r="A168" s="65"/>
      <c r="B168" s="66"/>
      <c r="C168" s="66"/>
      <c r="D168" s="67"/>
      <c r="E168" s="68"/>
      <c r="F168" s="68"/>
      <c r="G168" s="66"/>
      <c r="H168" s="67"/>
      <c r="I168" s="67"/>
      <c r="J168" s="67"/>
      <c r="K168" s="66"/>
      <c r="L168" s="68"/>
      <c r="M168" s="66"/>
      <c r="N168" s="69"/>
      <c r="O168" s="67"/>
      <c r="P168" s="69"/>
      <c r="Q168" s="69"/>
      <c r="R168" s="70"/>
    </row>
    <row r="169" spans="1:18" ht="27" x14ac:dyDescent="0.4">
      <c r="A169" s="65"/>
      <c r="B169" s="66"/>
      <c r="C169" s="66"/>
      <c r="D169" s="67"/>
      <c r="E169" s="68"/>
      <c r="F169" s="68"/>
      <c r="G169" s="66"/>
      <c r="H169" s="67"/>
      <c r="I169" s="67"/>
      <c r="J169" s="67"/>
      <c r="K169" s="66"/>
      <c r="L169" s="68"/>
      <c r="M169" s="66"/>
      <c r="N169" s="69"/>
      <c r="O169" s="67"/>
      <c r="P169" s="69"/>
      <c r="Q169" s="69"/>
      <c r="R169" s="70"/>
    </row>
    <row r="170" spans="1:18" ht="27" x14ac:dyDescent="0.4">
      <c r="A170" s="65"/>
      <c r="B170" s="66"/>
      <c r="C170" s="66"/>
      <c r="D170" s="67"/>
      <c r="E170" s="68"/>
      <c r="F170" s="68"/>
      <c r="G170" s="66"/>
      <c r="H170" s="67"/>
      <c r="I170" s="67"/>
      <c r="J170" s="67"/>
      <c r="K170" s="66"/>
      <c r="L170" s="68"/>
      <c r="M170" s="66"/>
      <c r="N170" s="69"/>
      <c r="O170" s="67"/>
      <c r="P170" s="69"/>
      <c r="Q170" s="69"/>
      <c r="R170" s="70"/>
    </row>
    <row r="171" spans="1:18" ht="27" x14ac:dyDescent="0.4">
      <c r="A171" s="65"/>
      <c r="B171" s="66"/>
      <c r="C171" s="66"/>
      <c r="D171" s="67"/>
      <c r="E171" s="68"/>
      <c r="F171" s="68"/>
      <c r="G171" s="66"/>
      <c r="H171" s="67"/>
      <c r="I171" s="67"/>
      <c r="J171" s="67"/>
      <c r="K171" s="66"/>
      <c r="L171" s="68"/>
      <c r="M171" s="66"/>
      <c r="N171" s="69"/>
      <c r="O171" s="67"/>
      <c r="P171" s="69"/>
      <c r="Q171" s="69"/>
      <c r="R171" s="70"/>
    </row>
    <row r="172" spans="1:18" ht="27" x14ac:dyDescent="0.4">
      <c r="A172" s="65"/>
      <c r="B172" s="66"/>
      <c r="C172" s="66"/>
      <c r="D172" s="67"/>
      <c r="E172" s="68"/>
      <c r="F172" s="68"/>
      <c r="G172" s="66"/>
      <c r="H172" s="67"/>
      <c r="I172" s="67"/>
      <c r="J172" s="67"/>
      <c r="K172" s="66"/>
      <c r="L172" s="68"/>
      <c r="M172" s="66"/>
      <c r="N172" s="69"/>
      <c r="O172" s="67"/>
      <c r="P172" s="69"/>
      <c r="Q172" s="69"/>
      <c r="R172" s="70"/>
    </row>
    <row r="173" spans="1:18" ht="27" x14ac:dyDescent="0.4">
      <c r="A173" s="65"/>
      <c r="B173" s="66"/>
      <c r="C173" s="66"/>
      <c r="D173" s="67"/>
      <c r="E173" s="68"/>
      <c r="F173" s="68"/>
      <c r="G173" s="66"/>
      <c r="H173" s="67"/>
      <c r="I173" s="67"/>
      <c r="J173" s="67"/>
      <c r="K173" s="66"/>
      <c r="L173" s="68"/>
      <c r="M173" s="66"/>
      <c r="N173" s="69"/>
      <c r="O173" s="67"/>
      <c r="P173" s="69"/>
      <c r="Q173" s="69"/>
      <c r="R173" s="70"/>
    </row>
    <row r="174" spans="1:18" ht="27" x14ac:dyDescent="0.4">
      <c r="A174" s="65"/>
      <c r="B174" s="66"/>
      <c r="C174" s="66"/>
      <c r="D174" s="67"/>
      <c r="E174" s="68"/>
      <c r="F174" s="68"/>
      <c r="G174" s="66"/>
      <c r="H174" s="67"/>
      <c r="I174" s="67"/>
      <c r="J174" s="67"/>
      <c r="K174" s="66"/>
      <c r="L174" s="68"/>
      <c r="M174" s="66"/>
      <c r="N174" s="69"/>
      <c r="O174" s="67"/>
      <c r="P174" s="69"/>
      <c r="Q174" s="69"/>
      <c r="R174" s="70"/>
    </row>
    <row r="175" spans="1:18" ht="27" x14ac:dyDescent="0.4">
      <c r="A175" s="65"/>
      <c r="B175" s="66"/>
      <c r="C175" s="66"/>
      <c r="D175" s="67"/>
      <c r="E175" s="68"/>
      <c r="F175" s="68"/>
      <c r="G175" s="66"/>
      <c r="H175" s="67"/>
      <c r="I175" s="67"/>
      <c r="J175" s="67"/>
      <c r="K175" s="66"/>
      <c r="L175" s="68"/>
      <c r="M175" s="66"/>
      <c r="N175" s="69"/>
      <c r="O175" s="67"/>
      <c r="P175" s="69"/>
      <c r="Q175" s="69"/>
      <c r="R175" s="70"/>
    </row>
    <row r="176" spans="1:18" ht="27" x14ac:dyDescent="0.4">
      <c r="A176" s="65"/>
      <c r="B176" s="66"/>
      <c r="C176" s="66"/>
      <c r="D176" s="67"/>
      <c r="E176" s="68"/>
      <c r="F176" s="68"/>
      <c r="G176" s="66"/>
      <c r="H176" s="67"/>
      <c r="I176" s="67"/>
      <c r="J176" s="67"/>
      <c r="K176" s="66"/>
      <c r="L176" s="68"/>
      <c r="M176" s="66"/>
      <c r="N176" s="69"/>
      <c r="O176" s="67"/>
      <c r="P176" s="69"/>
      <c r="Q176" s="69"/>
      <c r="R176" s="70"/>
    </row>
    <row r="177" spans="1:24" ht="27" x14ac:dyDescent="0.4">
      <c r="A177" s="65"/>
      <c r="B177" s="66"/>
      <c r="C177" s="66"/>
      <c r="D177" s="67"/>
      <c r="E177" s="68"/>
      <c r="F177" s="68"/>
      <c r="G177" s="66"/>
      <c r="H177" s="67"/>
      <c r="I177" s="67"/>
      <c r="J177" s="67"/>
      <c r="K177" s="66"/>
      <c r="L177" s="68"/>
      <c r="M177" s="66"/>
      <c r="N177" s="69"/>
      <c r="O177" s="67"/>
      <c r="P177" s="69"/>
      <c r="Q177" s="69"/>
      <c r="R177" s="70"/>
    </row>
    <row r="178" spans="1:24" ht="27" x14ac:dyDescent="0.4">
      <c r="A178" s="65"/>
      <c r="B178" s="66"/>
      <c r="C178" s="66"/>
      <c r="D178" s="67"/>
      <c r="E178" s="68"/>
      <c r="F178" s="68"/>
      <c r="G178" s="66"/>
      <c r="H178" s="67"/>
      <c r="I178" s="67"/>
      <c r="J178" s="67"/>
      <c r="K178" s="66"/>
      <c r="L178" s="68"/>
      <c r="M178" s="66"/>
      <c r="N178" s="69"/>
      <c r="O178" s="67"/>
      <c r="P178" s="69"/>
      <c r="Q178" s="69"/>
      <c r="R178" s="70"/>
    </row>
    <row r="179" spans="1:24" ht="27" x14ac:dyDescent="0.4">
      <c r="A179" s="65"/>
      <c r="B179" s="66"/>
      <c r="C179" s="66"/>
      <c r="D179" s="67"/>
      <c r="E179" s="68"/>
      <c r="F179" s="68"/>
      <c r="G179" s="66"/>
      <c r="H179" s="67"/>
      <c r="I179" s="67"/>
      <c r="J179" s="67"/>
      <c r="K179" s="66"/>
      <c r="L179" s="68"/>
      <c r="M179" s="66"/>
      <c r="N179" s="69"/>
      <c r="O179" s="67"/>
      <c r="P179" s="69"/>
      <c r="Q179" s="69"/>
      <c r="R179" s="70"/>
    </row>
    <row r="180" spans="1:24" ht="33" x14ac:dyDescent="0.4">
      <c r="A180" s="65"/>
      <c r="B180" s="66"/>
      <c r="C180" s="66"/>
      <c r="D180" s="67"/>
      <c r="E180" s="68"/>
      <c r="F180" s="68"/>
      <c r="G180" s="66"/>
      <c r="H180" s="67"/>
      <c r="I180" s="67"/>
      <c r="J180" s="67"/>
      <c r="K180" s="66"/>
      <c r="L180" s="68"/>
      <c r="M180" s="66"/>
      <c r="N180" s="69"/>
      <c r="O180" s="67"/>
      <c r="P180" s="69"/>
      <c r="Q180" s="69"/>
      <c r="R180" s="70"/>
      <c r="T180" s="53"/>
      <c r="U180" s="53"/>
      <c r="V180" s="54"/>
      <c r="W180" s="54"/>
      <c r="X180" s="55"/>
    </row>
    <row r="181" spans="1:24" ht="33" x14ac:dyDescent="0.4">
      <c r="A181" s="65"/>
      <c r="B181" s="66"/>
      <c r="C181" s="66"/>
      <c r="D181" s="67"/>
      <c r="E181" s="68"/>
      <c r="F181" s="68"/>
      <c r="G181" s="66"/>
      <c r="H181" s="67"/>
      <c r="I181" s="67"/>
      <c r="J181" s="67"/>
      <c r="K181" s="66"/>
      <c r="L181" s="68"/>
      <c r="M181" s="66"/>
      <c r="N181" s="69"/>
      <c r="O181" s="67"/>
      <c r="P181" s="69"/>
      <c r="Q181" s="69"/>
      <c r="R181" s="70"/>
      <c r="T181" s="53"/>
      <c r="U181" s="53"/>
      <c r="V181" s="54"/>
      <c r="W181" s="54"/>
      <c r="X181" s="55"/>
    </row>
    <row r="182" spans="1:24" ht="33" x14ac:dyDescent="0.4">
      <c r="A182" s="65"/>
      <c r="B182" s="66"/>
      <c r="C182" s="66"/>
      <c r="D182" s="67"/>
      <c r="E182" s="68"/>
      <c r="F182" s="68"/>
      <c r="G182" s="66"/>
      <c r="H182" s="67"/>
      <c r="I182" s="67"/>
      <c r="J182" s="67"/>
      <c r="K182" s="66"/>
      <c r="L182" s="68"/>
      <c r="M182" s="66"/>
      <c r="N182" s="69"/>
      <c r="O182" s="67"/>
      <c r="P182" s="69"/>
      <c r="Q182" s="69"/>
      <c r="R182" s="68"/>
      <c r="T182" s="53"/>
      <c r="U182" s="53"/>
      <c r="V182" s="54"/>
      <c r="W182" s="54"/>
      <c r="X182" s="55"/>
    </row>
    <row r="183" spans="1:24" ht="33" x14ac:dyDescent="0.4">
      <c r="A183" s="65"/>
      <c r="B183" s="66"/>
      <c r="C183" s="66"/>
      <c r="D183" s="67"/>
      <c r="E183" s="68"/>
      <c r="F183" s="68"/>
      <c r="G183" s="66"/>
      <c r="H183" s="67"/>
      <c r="I183" s="67"/>
      <c r="J183" s="67"/>
      <c r="K183" s="66"/>
      <c r="L183" s="68"/>
      <c r="M183" s="66"/>
      <c r="N183" s="69"/>
      <c r="O183" s="67"/>
      <c r="P183" s="69"/>
      <c r="Q183" s="69"/>
      <c r="R183" s="70"/>
      <c r="T183" s="53"/>
      <c r="U183" s="53"/>
      <c r="V183" s="54"/>
      <c r="W183" s="54"/>
      <c r="X183" s="55"/>
    </row>
    <row r="184" spans="1:24" ht="33" x14ac:dyDescent="0.4">
      <c r="A184" s="65"/>
      <c r="B184" s="66"/>
      <c r="C184" s="66"/>
      <c r="D184" s="67"/>
      <c r="E184" s="68"/>
      <c r="F184" s="68"/>
      <c r="G184" s="66"/>
      <c r="H184" s="67"/>
      <c r="I184" s="67"/>
      <c r="J184" s="67"/>
      <c r="K184" s="66"/>
      <c r="L184" s="68"/>
      <c r="M184" s="66"/>
      <c r="N184" s="69"/>
      <c r="O184" s="67"/>
      <c r="P184" s="69"/>
      <c r="Q184" s="69"/>
      <c r="R184" s="70"/>
      <c r="T184" s="53"/>
      <c r="U184" s="53"/>
      <c r="V184" s="54"/>
      <c r="W184" s="54"/>
      <c r="X184" s="55"/>
    </row>
    <row r="185" spans="1:24" ht="30.75" x14ac:dyDescent="0.4">
      <c r="A185" s="65"/>
      <c r="B185" s="66"/>
      <c r="C185" s="66"/>
      <c r="D185" s="67"/>
      <c r="E185" s="68"/>
      <c r="F185" s="68"/>
      <c r="G185" s="66"/>
      <c r="H185" s="67"/>
      <c r="I185" s="67"/>
      <c r="J185" s="67"/>
      <c r="K185" s="66"/>
      <c r="L185" s="68"/>
      <c r="M185" s="66"/>
      <c r="N185" s="69"/>
      <c r="O185" s="67"/>
      <c r="P185" s="69"/>
      <c r="Q185" s="69"/>
      <c r="R185" s="68"/>
      <c r="T185" s="56"/>
      <c r="U185" s="56"/>
      <c r="V185" s="54"/>
      <c r="W185" s="54"/>
      <c r="X185" s="55"/>
    </row>
    <row r="186" spans="1:24" ht="27" x14ac:dyDescent="0.4">
      <c r="A186" s="65"/>
      <c r="B186" s="66"/>
      <c r="C186" s="66"/>
      <c r="D186" s="67"/>
      <c r="E186" s="68"/>
      <c r="F186" s="68"/>
      <c r="G186" s="66"/>
      <c r="H186" s="67"/>
      <c r="I186" s="67"/>
      <c r="J186" s="67"/>
      <c r="K186" s="66"/>
      <c r="L186" s="68"/>
      <c r="M186" s="66"/>
      <c r="N186" s="69"/>
      <c r="O186" s="67"/>
      <c r="P186" s="69"/>
      <c r="Q186" s="69"/>
      <c r="R186" s="68"/>
    </row>
    <row r="187" spans="1:24" ht="27" x14ac:dyDescent="0.4">
      <c r="A187" s="65"/>
      <c r="B187" s="66"/>
      <c r="C187" s="66"/>
      <c r="D187" s="67"/>
      <c r="E187" s="68"/>
      <c r="F187" s="68"/>
      <c r="G187" s="66"/>
      <c r="H187" s="67"/>
      <c r="I187" s="67"/>
      <c r="J187" s="67"/>
      <c r="K187" s="66"/>
      <c r="L187" s="68"/>
      <c r="M187" s="66"/>
      <c r="N187" s="69"/>
      <c r="O187" s="67"/>
      <c r="P187" s="69"/>
      <c r="Q187" s="69"/>
      <c r="R187" s="68"/>
    </row>
    <row r="188" spans="1:24" ht="27" x14ac:dyDescent="0.4">
      <c r="A188" s="65"/>
      <c r="B188" s="66"/>
      <c r="C188" s="66"/>
      <c r="D188" s="67"/>
      <c r="E188" s="68"/>
      <c r="F188" s="68"/>
      <c r="G188" s="66"/>
      <c r="H188" s="67"/>
      <c r="I188" s="67"/>
      <c r="J188" s="67"/>
      <c r="K188" s="66"/>
      <c r="L188" s="68"/>
      <c r="M188" s="66"/>
      <c r="N188" s="69"/>
      <c r="O188" s="67"/>
      <c r="P188" s="69"/>
      <c r="Q188" s="69"/>
      <c r="R188" s="68"/>
    </row>
    <row r="189" spans="1:24" ht="27" x14ac:dyDescent="0.4">
      <c r="A189" s="65"/>
      <c r="B189" s="66"/>
      <c r="C189" s="66"/>
      <c r="D189" s="67"/>
      <c r="E189" s="68"/>
      <c r="F189" s="68"/>
      <c r="G189" s="66"/>
      <c r="H189" s="67"/>
      <c r="I189" s="67"/>
      <c r="J189" s="67"/>
      <c r="K189" s="66"/>
      <c r="L189" s="68"/>
      <c r="M189" s="66"/>
      <c r="N189" s="69"/>
      <c r="O189" s="67"/>
      <c r="P189" s="69"/>
      <c r="Q189" s="69"/>
      <c r="R189" s="68"/>
    </row>
    <row r="190" spans="1:24" ht="27" x14ac:dyDescent="0.4">
      <c r="A190" s="65"/>
      <c r="B190" s="66"/>
      <c r="C190" s="66"/>
      <c r="D190" s="67"/>
      <c r="E190" s="68"/>
      <c r="F190" s="68"/>
      <c r="G190" s="66"/>
      <c r="H190" s="67"/>
      <c r="I190" s="67"/>
      <c r="J190" s="67"/>
      <c r="K190" s="66"/>
      <c r="L190" s="68"/>
      <c r="M190" s="66"/>
      <c r="N190" s="69"/>
      <c r="O190" s="67"/>
      <c r="P190" s="69"/>
      <c r="Q190" s="69"/>
      <c r="R190" s="68"/>
    </row>
    <row r="191" spans="1:24" ht="27" x14ac:dyDescent="0.4">
      <c r="A191" s="65"/>
      <c r="B191" s="66"/>
      <c r="C191" s="66"/>
      <c r="D191" s="67"/>
      <c r="E191" s="68"/>
      <c r="F191" s="68"/>
      <c r="G191" s="66"/>
      <c r="H191" s="67"/>
      <c r="I191" s="67"/>
      <c r="J191" s="67"/>
      <c r="K191" s="66"/>
      <c r="L191" s="68"/>
      <c r="M191" s="66"/>
      <c r="N191" s="69"/>
      <c r="O191" s="67"/>
      <c r="P191" s="69"/>
      <c r="Q191" s="69"/>
      <c r="R191" s="68"/>
    </row>
    <row r="192" spans="1:24" ht="27" x14ac:dyDescent="0.4">
      <c r="A192" s="65"/>
      <c r="B192" s="66"/>
      <c r="C192" s="66"/>
      <c r="D192" s="67"/>
      <c r="E192" s="68"/>
      <c r="F192" s="68"/>
      <c r="G192" s="66"/>
      <c r="H192" s="67"/>
      <c r="I192" s="67"/>
      <c r="J192" s="67"/>
      <c r="K192" s="66"/>
      <c r="L192" s="68"/>
      <c r="M192" s="66"/>
      <c r="N192" s="69"/>
      <c r="O192" s="67"/>
      <c r="P192" s="69"/>
      <c r="Q192" s="69"/>
      <c r="R192" s="68"/>
    </row>
    <row r="193" spans="1:19" ht="27" x14ac:dyDescent="0.4">
      <c r="A193" s="65"/>
      <c r="B193" s="66"/>
      <c r="C193" s="66"/>
      <c r="D193" s="67"/>
      <c r="E193" s="68"/>
      <c r="F193" s="68"/>
      <c r="G193" s="66"/>
      <c r="H193" s="67"/>
      <c r="I193" s="67"/>
      <c r="J193" s="67"/>
      <c r="K193" s="66"/>
      <c r="L193" s="68"/>
      <c r="M193" s="66"/>
      <c r="N193" s="69"/>
      <c r="O193" s="67"/>
      <c r="P193" s="69"/>
      <c r="Q193" s="69"/>
      <c r="R193" s="68"/>
    </row>
    <row r="194" spans="1:19" ht="27" x14ac:dyDescent="0.4">
      <c r="A194" s="65"/>
      <c r="B194" s="66"/>
      <c r="C194" s="66"/>
      <c r="D194" s="67"/>
      <c r="E194" s="68"/>
      <c r="F194" s="68"/>
      <c r="G194" s="66"/>
      <c r="H194" s="67"/>
      <c r="I194" s="67"/>
      <c r="J194" s="67"/>
      <c r="K194" s="66"/>
      <c r="L194" s="68"/>
      <c r="M194" s="66"/>
      <c r="N194" s="69"/>
      <c r="O194" s="67"/>
      <c r="P194" s="69"/>
      <c r="Q194" s="69"/>
      <c r="R194" s="68"/>
      <c r="S194" s="16"/>
    </row>
    <row r="195" spans="1:19" ht="27" x14ac:dyDescent="0.4">
      <c r="A195" s="65"/>
      <c r="B195" s="66"/>
      <c r="C195" s="66"/>
      <c r="D195" s="67"/>
      <c r="E195" s="68"/>
      <c r="F195" s="68"/>
      <c r="G195" s="66"/>
      <c r="H195" s="67"/>
      <c r="I195" s="67"/>
      <c r="J195" s="67"/>
      <c r="K195" s="66"/>
      <c r="L195" s="68"/>
      <c r="M195" s="66"/>
      <c r="N195" s="69"/>
      <c r="O195" s="67"/>
      <c r="P195" s="69"/>
      <c r="Q195" s="69"/>
      <c r="R195" s="68"/>
    </row>
    <row r="196" spans="1:19" ht="27" x14ac:dyDescent="0.4">
      <c r="A196" s="65"/>
      <c r="B196" s="66"/>
      <c r="C196" s="66"/>
      <c r="D196" s="67"/>
      <c r="E196" s="68"/>
      <c r="F196" s="68"/>
      <c r="G196" s="66"/>
      <c r="H196" s="67"/>
      <c r="I196" s="67"/>
      <c r="J196" s="67"/>
      <c r="K196" s="66"/>
      <c r="L196" s="68"/>
      <c r="M196" s="66"/>
      <c r="N196" s="69"/>
      <c r="O196" s="67"/>
      <c r="P196" s="69"/>
      <c r="Q196" s="69"/>
      <c r="R196" s="68"/>
    </row>
    <row r="197" spans="1:19" ht="27" x14ac:dyDescent="0.4">
      <c r="A197" s="65"/>
      <c r="B197" s="66"/>
      <c r="C197" s="66"/>
      <c r="D197" s="67"/>
      <c r="E197" s="68"/>
      <c r="F197" s="68"/>
      <c r="G197" s="66"/>
      <c r="H197" s="67"/>
      <c r="I197" s="67"/>
      <c r="J197" s="67"/>
      <c r="K197" s="66"/>
      <c r="L197" s="68"/>
      <c r="M197" s="66"/>
      <c r="N197" s="69"/>
      <c r="O197" s="67"/>
      <c r="P197" s="69"/>
      <c r="Q197" s="69"/>
      <c r="R197" s="68"/>
    </row>
    <row r="198" spans="1:19" ht="27" x14ac:dyDescent="0.4">
      <c r="A198" s="65"/>
      <c r="B198" s="66"/>
      <c r="C198" s="66"/>
      <c r="D198" s="67"/>
      <c r="E198" s="68"/>
      <c r="F198" s="68"/>
      <c r="G198" s="66"/>
      <c r="H198" s="67"/>
      <c r="I198" s="67"/>
      <c r="J198" s="67"/>
      <c r="K198" s="66"/>
      <c r="L198" s="68"/>
      <c r="M198" s="66"/>
      <c r="N198" s="69"/>
      <c r="O198" s="67"/>
      <c r="P198" s="69"/>
      <c r="Q198" s="69"/>
      <c r="R198" s="68"/>
    </row>
    <row r="199" spans="1:19" ht="27" x14ac:dyDescent="0.4">
      <c r="A199" s="65"/>
      <c r="B199" s="66"/>
      <c r="C199" s="66"/>
      <c r="D199" s="67"/>
      <c r="E199" s="68"/>
      <c r="F199" s="68"/>
      <c r="G199" s="66"/>
      <c r="H199" s="67"/>
      <c r="I199" s="67"/>
      <c r="J199" s="67"/>
      <c r="K199" s="66"/>
      <c r="L199" s="68"/>
      <c r="M199" s="66"/>
      <c r="N199" s="69"/>
      <c r="O199" s="67"/>
      <c r="P199" s="69"/>
      <c r="Q199" s="69"/>
      <c r="R199" s="68"/>
    </row>
    <row r="200" spans="1:19" ht="27" x14ac:dyDescent="0.4">
      <c r="A200" s="65"/>
      <c r="B200" s="66"/>
      <c r="C200" s="66"/>
      <c r="D200" s="67"/>
      <c r="E200" s="68"/>
      <c r="F200" s="68"/>
      <c r="G200" s="66"/>
      <c r="H200" s="67"/>
      <c r="I200" s="67"/>
      <c r="J200" s="67"/>
      <c r="K200" s="66"/>
      <c r="L200" s="68"/>
      <c r="M200" s="66"/>
      <c r="N200" s="69"/>
      <c r="O200" s="67"/>
      <c r="P200" s="69"/>
      <c r="Q200" s="69"/>
      <c r="R200" s="68"/>
    </row>
    <row r="201" spans="1:19" ht="27" x14ac:dyDescent="0.4">
      <c r="A201" s="65"/>
      <c r="B201" s="66"/>
      <c r="C201" s="66"/>
      <c r="D201" s="67"/>
      <c r="E201" s="68"/>
      <c r="F201" s="68"/>
      <c r="G201" s="66"/>
      <c r="H201" s="67"/>
      <c r="I201" s="67"/>
      <c r="J201" s="67"/>
      <c r="K201" s="66"/>
      <c r="L201" s="68"/>
      <c r="M201" s="66"/>
      <c r="N201" s="69"/>
      <c r="O201" s="67"/>
      <c r="P201" s="69"/>
      <c r="Q201" s="69"/>
      <c r="R201" s="68"/>
    </row>
    <row r="202" spans="1:19" ht="27" x14ac:dyDescent="0.4">
      <c r="A202" s="65"/>
      <c r="B202" s="66"/>
      <c r="C202" s="66"/>
      <c r="D202" s="67"/>
      <c r="E202" s="68"/>
      <c r="F202" s="68"/>
      <c r="G202" s="66"/>
      <c r="H202" s="67"/>
      <c r="I202" s="67"/>
      <c r="J202" s="67"/>
      <c r="K202" s="66"/>
      <c r="L202" s="68"/>
      <c r="M202" s="66"/>
      <c r="N202" s="69"/>
      <c r="O202" s="67"/>
      <c r="P202" s="69"/>
      <c r="Q202" s="69"/>
      <c r="R202" s="68"/>
    </row>
    <row r="203" spans="1:19" ht="27" x14ac:dyDescent="0.4">
      <c r="A203" s="65"/>
      <c r="B203" s="66"/>
      <c r="C203" s="66"/>
      <c r="D203" s="67"/>
      <c r="E203" s="68"/>
      <c r="F203" s="68"/>
      <c r="G203" s="66"/>
      <c r="H203" s="67"/>
      <c r="I203" s="67"/>
      <c r="J203" s="67"/>
      <c r="K203" s="66"/>
      <c r="L203" s="68"/>
      <c r="M203" s="66"/>
      <c r="N203" s="69"/>
      <c r="O203" s="67"/>
      <c r="P203" s="69"/>
      <c r="Q203" s="69"/>
      <c r="R203" s="68"/>
    </row>
    <row r="204" spans="1:19" ht="27" x14ac:dyDescent="0.4">
      <c r="A204" s="65"/>
      <c r="B204" s="66"/>
      <c r="C204" s="66"/>
      <c r="D204" s="67"/>
      <c r="E204" s="68"/>
      <c r="F204" s="68"/>
      <c r="G204" s="66"/>
      <c r="H204" s="67"/>
      <c r="I204" s="67"/>
      <c r="J204" s="67"/>
      <c r="K204" s="66"/>
      <c r="L204" s="68"/>
      <c r="M204" s="66"/>
      <c r="N204" s="69"/>
      <c r="O204" s="67"/>
      <c r="P204" s="69"/>
      <c r="Q204" s="69"/>
      <c r="R204" s="68"/>
    </row>
    <row r="205" spans="1:19" ht="27" x14ac:dyDescent="0.4">
      <c r="A205" s="65"/>
      <c r="B205" s="66"/>
      <c r="C205" s="66"/>
      <c r="D205" s="67"/>
      <c r="E205" s="68"/>
      <c r="F205" s="68"/>
      <c r="G205" s="66"/>
      <c r="H205" s="67"/>
      <c r="I205" s="67"/>
      <c r="J205" s="67"/>
      <c r="K205" s="66"/>
      <c r="L205" s="68"/>
      <c r="M205" s="66"/>
      <c r="N205" s="69"/>
      <c r="O205" s="67"/>
      <c r="P205" s="69"/>
      <c r="Q205" s="69"/>
      <c r="R205" s="68"/>
    </row>
    <row r="206" spans="1:19" ht="27" x14ac:dyDescent="0.4">
      <c r="A206" s="65"/>
      <c r="B206" s="66"/>
      <c r="C206" s="66"/>
      <c r="D206" s="67"/>
      <c r="E206" s="68"/>
      <c r="F206" s="68"/>
      <c r="G206" s="66"/>
      <c r="H206" s="67"/>
      <c r="I206" s="67"/>
      <c r="J206" s="67"/>
      <c r="K206" s="66"/>
      <c r="L206" s="68"/>
      <c r="M206" s="66"/>
      <c r="N206" s="69"/>
      <c r="O206" s="67"/>
      <c r="P206" s="69"/>
      <c r="Q206" s="69"/>
      <c r="R206" s="68"/>
    </row>
    <row r="207" spans="1:19" ht="27" x14ac:dyDescent="0.4">
      <c r="A207" s="65"/>
      <c r="B207" s="66"/>
      <c r="C207" s="66"/>
      <c r="D207" s="67"/>
      <c r="E207" s="68"/>
      <c r="F207" s="68"/>
      <c r="G207" s="66"/>
      <c r="H207" s="67"/>
      <c r="I207" s="67"/>
      <c r="J207" s="67"/>
      <c r="K207" s="66"/>
      <c r="L207" s="68"/>
      <c r="M207" s="66"/>
      <c r="N207" s="69"/>
      <c r="O207" s="67"/>
      <c r="P207" s="69"/>
      <c r="Q207" s="69"/>
      <c r="R207" s="68"/>
    </row>
    <row r="208" spans="1:19" ht="27" x14ac:dyDescent="0.4">
      <c r="A208" s="65"/>
      <c r="B208" s="66"/>
      <c r="C208" s="66"/>
      <c r="D208" s="67"/>
      <c r="E208" s="68"/>
      <c r="F208" s="68"/>
      <c r="G208" s="66"/>
      <c r="H208" s="67"/>
      <c r="I208" s="67"/>
      <c r="J208" s="67"/>
      <c r="K208" s="66"/>
      <c r="L208" s="68"/>
      <c r="M208" s="66"/>
      <c r="N208" s="69"/>
      <c r="O208" s="67"/>
      <c r="P208" s="69"/>
      <c r="Q208" s="69"/>
      <c r="R208" s="68"/>
    </row>
    <row r="209" spans="1:26" ht="27" x14ac:dyDescent="0.4">
      <c r="A209" s="65"/>
      <c r="B209" s="66"/>
      <c r="C209" s="66"/>
      <c r="D209" s="67"/>
      <c r="E209" s="68"/>
      <c r="F209" s="68"/>
      <c r="G209" s="66"/>
      <c r="H209" s="67"/>
      <c r="I209" s="67"/>
      <c r="J209" s="67"/>
      <c r="K209" s="66"/>
      <c r="L209" s="68"/>
      <c r="M209" s="66"/>
      <c r="N209" s="69"/>
      <c r="O209" s="67"/>
      <c r="P209" s="69"/>
      <c r="Q209" s="69"/>
      <c r="R209" s="68"/>
    </row>
    <row r="210" spans="1:26" ht="27" x14ac:dyDescent="0.4">
      <c r="A210" s="65"/>
      <c r="B210" s="66"/>
      <c r="C210" s="66"/>
      <c r="D210" s="67"/>
      <c r="E210" s="68"/>
      <c r="F210" s="68"/>
      <c r="G210" s="66"/>
      <c r="H210" s="67"/>
      <c r="I210" s="67"/>
      <c r="J210" s="67"/>
      <c r="K210" s="66"/>
      <c r="L210" s="68"/>
      <c r="M210" s="66"/>
      <c r="N210" s="69"/>
      <c r="O210" s="67"/>
      <c r="P210" s="69"/>
      <c r="Q210" s="69"/>
      <c r="R210" s="68"/>
    </row>
    <row r="211" spans="1:26" ht="27" x14ac:dyDescent="0.4">
      <c r="A211" s="65"/>
      <c r="B211" s="133"/>
      <c r="C211" s="133"/>
      <c r="D211" s="134"/>
      <c r="E211" s="135"/>
      <c r="F211" s="135"/>
      <c r="G211" s="133"/>
      <c r="H211" s="134"/>
      <c r="I211" s="134"/>
      <c r="J211" s="134"/>
      <c r="K211" s="133"/>
      <c r="L211" s="135"/>
      <c r="M211" s="133"/>
      <c r="N211" s="136"/>
      <c r="O211" s="134"/>
      <c r="P211" s="69"/>
      <c r="Q211" s="69"/>
      <c r="R211" s="68"/>
    </row>
    <row r="212" spans="1:26" ht="27" x14ac:dyDescent="0.4">
      <c r="A212" s="65"/>
      <c r="B212" s="133"/>
      <c r="C212" s="133"/>
      <c r="D212" s="134"/>
      <c r="E212" s="135"/>
      <c r="F212" s="135"/>
      <c r="G212" s="133"/>
      <c r="H212" s="134"/>
      <c r="I212" s="134"/>
      <c r="J212" s="134"/>
      <c r="K212" s="133"/>
      <c r="L212" s="135"/>
      <c r="M212" s="133"/>
      <c r="N212" s="136"/>
      <c r="O212" s="134"/>
      <c r="P212" s="69"/>
      <c r="Q212" s="69"/>
      <c r="R212" s="68"/>
    </row>
    <row r="213" spans="1:26" ht="27" x14ac:dyDescent="0.4">
      <c r="A213" s="65"/>
      <c r="B213" s="133"/>
      <c r="C213" s="133"/>
      <c r="D213" s="134"/>
      <c r="E213" s="135"/>
      <c r="F213" s="135"/>
      <c r="G213" s="133"/>
      <c r="H213" s="134"/>
      <c r="I213" s="134"/>
      <c r="J213" s="134"/>
      <c r="K213" s="133"/>
      <c r="L213" s="135"/>
      <c r="M213" s="133"/>
      <c r="N213" s="136"/>
      <c r="O213" s="134"/>
      <c r="P213" s="69"/>
      <c r="Q213" s="69"/>
      <c r="R213" s="68"/>
    </row>
    <row r="214" spans="1:26" ht="27" x14ac:dyDescent="0.4">
      <c r="A214" s="65"/>
      <c r="B214" s="133"/>
      <c r="C214" s="133"/>
      <c r="D214" s="134"/>
      <c r="E214" s="135"/>
      <c r="F214" s="135"/>
      <c r="G214" s="133"/>
      <c r="H214" s="134"/>
      <c r="I214" s="134"/>
      <c r="J214" s="134"/>
      <c r="K214" s="133"/>
      <c r="L214" s="135"/>
      <c r="M214" s="133"/>
      <c r="N214" s="136"/>
      <c r="O214" s="134"/>
      <c r="P214" s="69"/>
      <c r="Q214" s="69"/>
      <c r="R214" s="68"/>
    </row>
    <row r="215" spans="1:26" ht="27" x14ac:dyDescent="0.4">
      <c r="A215" s="65"/>
      <c r="B215" s="133"/>
      <c r="C215" s="133"/>
      <c r="D215" s="134"/>
      <c r="E215" s="135"/>
      <c r="F215" s="135"/>
      <c r="G215" s="133"/>
      <c r="H215" s="134"/>
      <c r="I215" s="134"/>
      <c r="J215" s="134"/>
      <c r="K215" s="133"/>
      <c r="L215" s="135"/>
      <c r="M215" s="133"/>
      <c r="N215" s="136"/>
      <c r="O215" s="134"/>
      <c r="P215" s="69"/>
      <c r="Q215" s="69"/>
      <c r="R215" s="68"/>
    </row>
    <row r="216" spans="1:26" ht="27" x14ac:dyDescent="0.4">
      <c r="A216" s="65"/>
      <c r="B216" s="133"/>
      <c r="C216" s="133"/>
      <c r="D216" s="134"/>
      <c r="E216" s="135"/>
      <c r="F216" s="135"/>
      <c r="G216" s="133"/>
      <c r="H216" s="134"/>
      <c r="I216" s="134"/>
      <c r="J216" s="134"/>
      <c r="K216" s="133"/>
      <c r="L216" s="135"/>
      <c r="M216" s="133"/>
      <c r="N216" s="136"/>
      <c r="O216" s="134"/>
      <c r="P216" s="69"/>
      <c r="Q216" s="69"/>
      <c r="R216" s="68"/>
    </row>
    <row r="217" spans="1:26" ht="27" x14ac:dyDescent="0.4">
      <c r="A217" s="65"/>
      <c r="B217" s="133"/>
      <c r="C217" s="133"/>
      <c r="D217" s="134"/>
      <c r="E217" s="135"/>
      <c r="F217" s="135"/>
      <c r="G217" s="133"/>
      <c r="H217" s="134"/>
      <c r="I217" s="134"/>
      <c r="J217" s="134"/>
      <c r="K217" s="133"/>
      <c r="L217" s="135"/>
      <c r="M217" s="133"/>
      <c r="N217" s="136"/>
      <c r="O217" s="134"/>
      <c r="P217" s="69"/>
      <c r="Q217" s="69"/>
      <c r="R217" s="68"/>
    </row>
    <row r="218" spans="1:26" ht="27" x14ac:dyDescent="0.4">
      <c r="A218" s="65"/>
      <c r="B218" s="133"/>
      <c r="C218" s="133"/>
      <c r="D218" s="134"/>
      <c r="E218" s="135"/>
      <c r="F218" s="135"/>
      <c r="G218" s="133"/>
      <c r="H218" s="134"/>
      <c r="I218" s="134"/>
      <c r="J218" s="134"/>
      <c r="K218" s="133"/>
      <c r="L218" s="135"/>
      <c r="M218" s="133"/>
      <c r="N218" s="136"/>
      <c r="O218" s="134"/>
      <c r="P218" s="69"/>
      <c r="Q218" s="69"/>
      <c r="R218" s="68"/>
    </row>
    <row r="219" spans="1:26" ht="27" x14ac:dyDescent="0.4">
      <c r="A219" s="65"/>
      <c r="B219" s="66"/>
      <c r="C219" s="65"/>
      <c r="D219" s="67"/>
      <c r="E219" s="68"/>
      <c r="F219" s="68"/>
      <c r="G219" s="66"/>
      <c r="H219" s="67"/>
      <c r="I219" s="67"/>
      <c r="J219" s="67"/>
      <c r="K219" s="66"/>
      <c r="L219" s="68"/>
      <c r="M219" s="66"/>
      <c r="N219" s="69"/>
      <c r="O219" s="67"/>
      <c r="P219" s="69"/>
      <c r="Q219" s="69"/>
      <c r="R219" s="68"/>
    </row>
    <row r="220" spans="1:26" ht="27" x14ac:dyDescent="0.4">
      <c r="A220" s="65"/>
      <c r="B220" s="66"/>
      <c r="C220" s="66"/>
      <c r="D220" s="67"/>
      <c r="E220" s="68"/>
      <c r="F220" s="68"/>
      <c r="G220" s="66"/>
      <c r="H220" s="67"/>
      <c r="I220" s="67"/>
      <c r="J220" s="67"/>
      <c r="K220" s="66"/>
      <c r="L220" s="68"/>
      <c r="M220" s="66"/>
      <c r="N220" s="69"/>
      <c r="O220" s="67"/>
      <c r="P220" s="69"/>
      <c r="Q220" s="69"/>
      <c r="R220" s="68"/>
    </row>
    <row r="221" spans="1:26" ht="27" x14ac:dyDescent="0.4">
      <c r="A221" s="65"/>
      <c r="B221" s="66"/>
      <c r="C221" s="66"/>
      <c r="D221" s="67"/>
      <c r="E221" s="68"/>
      <c r="F221" s="68"/>
      <c r="G221" s="66"/>
      <c r="H221" s="67"/>
      <c r="I221" s="67"/>
      <c r="J221" s="67"/>
      <c r="K221" s="66"/>
      <c r="L221" s="68"/>
      <c r="M221" s="66"/>
      <c r="N221" s="69"/>
      <c r="O221" s="67"/>
      <c r="P221" s="69"/>
      <c r="Q221" s="69"/>
      <c r="R221" s="65"/>
    </row>
    <row r="222" spans="1:26" ht="27" x14ac:dyDescent="0.4">
      <c r="A222" s="65"/>
      <c r="B222" s="66"/>
      <c r="C222" s="66"/>
      <c r="D222" s="67"/>
      <c r="E222" s="68"/>
      <c r="F222" s="68"/>
      <c r="G222" s="66"/>
      <c r="H222" s="67"/>
      <c r="I222" s="67"/>
      <c r="J222" s="67"/>
      <c r="K222" s="66"/>
      <c r="L222" s="68"/>
      <c r="M222" s="66"/>
      <c r="N222" s="69"/>
      <c r="O222" s="67"/>
      <c r="P222" s="69"/>
      <c r="Q222" s="69"/>
      <c r="R222" s="65"/>
    </row>
    <row r="223" spans="1:26" ht="27" x14ac:dyDescent="0.4">
      <c r="A223" s="65"/>
      <c r="B223" s="66"/>
      <c r="C223" s="66"/>
      <c r="D223" s="67"/>
      <c r="E223" s="68"/>
      <c r="F223" s="68"/>
      <c r="G223" s="66"/>
      <c r="H223" s="67"/>
      <c r="I223" s="67"/>
      <c r="J223" s="67"/>
      <c r="K223" s="66"/>
      <c r="L223" s="68"/>
      <c r="M223" s="66"/>
      <c r="N223" s="69"/>
      <c r="O223" s="67"/>
      <c r="P223" s="69"/>
      <c r="Q223" s="69"/>
      <c r="R223" s="65"/>
    </row>
    <row r="224" spans="1:26" ht="27" x14ac:dyDescent="0.4">
      <c r="A224" s="65"/>
      <c r="B224" s="66"/>
      <c r="C224" s="66"/>
      <c r="D224" s="67"/>
      <c r="E224" s="68"/>
      <c r="F224" s="68"/>
      <c r="G224" s="66"/>
      <c r="H224" s="67"/>
      <c r="I224" s="67"/>
      <c r="J224" s="67"/>
      <c r="K224" s="66"/>
      <c r="L224" s="68"/>
      <c r="M224" s="66"/>
      <c r="N224" s="69"/>
      <c r="O224" s="67"/>
      <c r="P224" s="69"/>
      <c r="Q224" s="69"/>
      <c r="R224" s="65"/>
      <c r="T224" s="129"/>
      <c r="U224" s="129"/>
      <c r="V224" s="129"/>
      <c r="W224" s="129"/>
      <c r="X224" s="129"/>
      <c r="Y224" s="129"/>
      <c r="Z224" s="129"/>
    </row>
    <row r="225" spans="1:26" ht="27" x14ac:dyDescent="0.4">
      <c r="A225" s="65"/>
      <c r="B225" s="66"/>
      <c r="C225" s="66"/>
      <c r="D225" s="67"/>
      <c r="E225" s="68"/>
      <c r="F225" s="68"/>
      <c r="G225" s="66"/>
      <c r="H225" s="67"/>
      <c r="I225" s="67"/>
      <c r="J225" s="67"/>
      <c r="K225" s="66"/>
      <c r="L225" s="68"/>
      <c r="M225" s="66"/>
      <c r="N225" s="69"/>
      <c r="O225" s="67"/>
      <c r="P225" s="69"/>
      <c r="Q225" s="69"/>
      <c r="R225" s="65"/>
      <c r="T225" s="129"/>
      <c r="U225" s="129"/>
      <c r="V225" s="129"/>
      <c r="W225" s="129"/>
      <c r="X225" s="129"/>
      <c r="Y225" s="129"/>
      <c r="Z225" s="129"/>
    </row>
    <row r="226" spans="1:26" ht="33" x14ac:dyDescent="0.4">
      <c r="A226" s="65"/>
      <c r="B226" s="66"/>
      <c r="C226" s="66"/>
      <c r="D226" s="67"/>
      <c r="E226" s="68"/>
      <c r="F226" s="68"/>
      <c r="G226" s="66"/>
      <c r="H226" s="67"/>
      <c r="I226" s="67"/>
      <c r="J226" s="67"/>
      <c r="K226" s="66"/>
      <c r="L226" s="68"/>
      <c r="M226" s="66"/>
      <c r="N226" s="69"/>
      <c r="O226" s="67"/>
      <c r="P226" s="69"/>
      <c r="Q226" s="69"/>
      <c r="R226" s="70"/>
      <c r="T226" s="130"/>
      <c r="U226" s="130"/>
      <c r="V226" s="131"/>
      <c r="W226" s="131"/>
      <c r="X226" s="55"/>
      <c r="Y226" s="129"/>
      <c r="Z226" s="129"/>
    </row>
    <row r="227" spans="1:26" ht="33" x14ac:dyDescent="0.4">
      <c r="A227" s="65"/>
      <c r="B227" s="66"/>
      <c r="C227" s="66"/>
      <c r="D227" s="67"/>
      <c r="E227" s="68"/>
      <c r="F227" s="68"/>
      <c r="G227" s="66"/>
      <c r="H227" s="67"/>
      <c r="I227" s="67"/>
      <c r="J227" s="67"/>
      <c r="K227" s="66"/>
      <c r="L227" s="68"/>
      <c r="M227" s="66"/>
      <c r="N227" s="69"/>
      <c r="O227" s="67"/>
      <c r="P227" s="69"/>
      <c r="Q227" s="69"/>
      <c r="R227" s="65"/>
      <c r="T227" s="130"/>
      <c r="U227" s="130"/>
      <c r="V227" s="131"/>
      <c r="W227" s="131"/>
      <c r="X227" s="55"/>
      <c r="Y227" s="129"/>
      <c r="Z227" s="129"/>
    </row>
    <row r="228" spans="1:26" ht="33" x14ac:dyDescent="0.4">
      <c r="A228" s="65"/>
      <c r="B228" s="66"/>
      <c r="C228" s="66"/>
      <c r="D228" s="67"/>
      <c r="E228" s="68"/>
      <c r="F228" s="68"/>
      <c r="G228" s="66"/>
      <c r="H228" s="67"/>
      <c r="I228" s="67"/>
      <c r="J228" s="67"/>
      <c r="K228" s="66"/>
      <c r="L228" s="68"/>
      <c r="M228" s="66"/>
      <c r="N228" s="69"/>
      <c r="O228" s="67"/>
      <c r="P228" s="69"/>
      <c r="Q228" s="69"/>
      <c r="R228" s="68"/>
      <c r="T228" s="130"/>
      <c r="U228" s="130"/>
      <c r="V228" s="131"/>
      <c r="W228" s="131"/>
      <c r="X228" s="55"/>
      <c r="Y228" s="129"/>
      <c r="Z228" s="129"/>
    </row>
    <row r="229" spans="1:26" ht="33" x14ac:dyDescent="0.4">
      <c r="A229" s="65"/>
      <c r="B229" s="66"/>
      <c r="C229" s="66"/>
      <c r="D229" s="67"/>
      <c r="E229" s="68"/>
      <c r="F229" s="68"/>
      <c r="G229" s="66"/>
      <c r="H229" s="67"/>
      <c r="I229" s="67"/>
      <c r="J229" s="67"/>
      <c r="K229" s="66"/>
      <c r="L229" s="68"/>
      <c r="M229" s="66"/>
      <c r="N229" s="69"/>
      <c r="O229" s="67"/>
      <c r="P229" s="69"/>
      <c r="Q229" s="69"/>
      <c r="R229" s="68"/>
      <c r="T229" s="130"/>
      <c r="U229" s="130"/>
      <c r="V229" s="131"/>
      <c r="W229" s="131"/>
      <c r="X229" s="55"/>
      <c r="Y229" s="129"/>
      <c r="Z229" s="129"/>
    </row>
    <row r="230" spans="1:26" ht="33" x14ac:dyDescent="0.4">
      <c r="A230" s="65"/>
      <c r="B230" s="66"/>
      <c r="C230" s="66"/>
      <c r="D230" s="67"/>
      <c r="E230" s="68"/>
      <c r="F230" s="68"/>
      <c r="G230" s="66"/>
      <c r="H230" s="67"/>
      <c r="I230" s="67"/>
      <c r="J230" s="67"/>
      <c r="K230" s="66"/>
      <c r="L230" s="68"/>
      <c r="M230" s="66"/>
      <c r="N230" s="69"/>
      <c r="O230" s="67"/>
      <c r="P230" s="69"/>
      <c r="Q230" s="69"/>
      <c r="R230" s="68"/>
      <c r="T230" s="130"/>
      <c r="U230" s="130"/>
      <c r="V230" s="131"/>
      <c r="W230" s="131"/>
      <c r="X230" s="55"/>
      <c r="Y230" s="129"/>
      <c r="Z230" s="129"/>
    </row>
    <row r="231" spans="1:26" ht="30.75" x14ac:dyDescent="0.4">
      <c r="A231" s="65"/>
      <c r="B231" s="66"/>
      <c r="C231" s="66"/>
      <c r="D231" s="67"/>
      <c r="E231" s="68"/>
      <c r="F231" s="68"/>
      <c r="G231" s="66"/>
      <c r="H231" s="67"/>
      <c r="I231" s="67"/>
      <c r="J231" s="67"/>
      <c r="K231" s="66"/>
      <c r="L231" s="68"/>
      <c r="M231" s="66"/>
      <c r="N231" s="69"/>
      <c r="O231" s="67"/>
      <c r="P231" s="69"/>
      <c r="Q231" s="69"/>
      <c r="R231" s="68"/>
      <c r="T231" s="132"/>
      <c r="U231" s="132"/>
      <c r="V231" s="131"/>
      <c r="W231" s="131"/>
      <c r="X231" s="55"/>
      <c r="Y231" s="129"/>
      <c r="Z231" s="129"/>
    </row>
    <row r="232" spans="1:26" ht="27" x14ac:dyDescent="0.4">
      <c r="A232" s="65"/>
      <c r="B232" s="66"/>
      <c r="C232" s="66"/>
      <c r="D232" s="67"/>
      <c r="E232" s="68"/>
      <c r="F232" s="68"/>
      <c r="G232" s="66"/>
      <c r="H232" s="67"/>
      <c r="I232" s="67"/>
      <c r="J232" s="67"/>
      <c r="K232" s="66"/>
      <c r="L232" s="68"/>
      <c r="M232" s="66"/>
      <c r="N232" s="69"/>
      <c r="O232" s="67"/>
      <c r="P232" s="69"/>
      <c r="Q232" s="69"/>
      <c r="R232" s="68"/>
      <c r="T232" s="129"/>
      <c r="U232" s="129"/>
      <c r="V232" s="129"/>
      <c r="W232" s="129"/>
      <c r="X232" s="129"/>
      <c r="Y232" s="129"/>
      <c r="Z232" s="129"/>
    </row>
    <row r="233" spans="1:26" ht="27" x14ac:dyDescent="0.4">
      <c r="A233" s="65"/>
      <c r="B233" s="66"/>
      <c r="C233" s="66"/>
      <c r="D233" s="67"/>
      <c r="E233" s="68"/>
      <c r="F233" s="68"/>
      <c r="G233" s="66"/>
      <c r="H233" s="67"/>
      <c r="I233" s="67"/>
      <c r="J233" s="67"/>
      <c r="K233" s="66"/>
      <c r="L233" s="68"/>
      <c r="M233" s="66"/>
      <c r="N233" s="69"/>
      <c r="O233" s="67"/>
      <c r="P233" s="69"/>
      <c r="Q233" s="69"/>
      <c r="R233" s="68"/>
      <c r="T233" s="129"/>
      <c r="U233" s="129"/>
      <c r="V233" s="129"/>
      <c r="W233" s="129"/>
      <c r="X233" s="129"/>
      <c r="Y233" s="129"/>
      <c r="Z233" s="129"/>
    </row>
    <row r="234" spans="1:26" ht="27" x14ac:dyDescent="0.4">
      <c r="A234" s="65"/>
      <c r="B234" s="66"/>
      <c r="C234" s="66"/>
      <c r="D234" s="67"/>
      <c r="E234" s="68"/>
      <c r="F234" s="68"/>
      <c r="G234" s="66"/>
      <c r="H234" s="67"/>
      <c r="I234" s="67"/>
      <c r="J234" s="67"/>
      <c r="K234" s="66"/>
      <c r="L234" s="68"/>
      <c r="M234" s="66"/>
      <c r="N234" s="69"/>
      <c r="O234" s="67"/>
      <c r="P234" s="69"/>
      <c r="Q234" s="69"/>
      <c r="R234" s="68"/>
      <c r="T234" s="129"/>
      <c r="U234" s="129"/>
      <c r="V234" s="129"/>
      <c r="W234" s="129"/>
      <c r="X234" s="129"/>
      <c r="Y234" s="129"/>
      <c r="Z234" s="129"/>
    </row>
    <row r="235" spans="1:26" ht="33" x14ac:dyDescent="0.4">
      <c r="A235" s="65"/>
      <c r="B235" s="66"/>
      <c r="C235" s="66"/>
      <c r="D235" s="67"/>
      <c r="E235" s="68"/>
      <c r="F235" s="68"/>
      <c r="G235" s="66"/>
      <c r="H235" s="67"/>
      <c r="I235" s="67"/>
      <c r="J235" s="67"/>
      <c r="K235" s="66"/>
      <c r="L235" s="68"/>
      <c r="M235" s="66"/>
      <c r="N235" s="69"/>
      <c r="O235" s="67"/>
      <c r="P235" s="69"/>
      <c r="Q235" s="69"/>
      <c r="R235" s="68"/>
      <c r="T235" s="130"/>
      <c r="U235" s="130"/>
      <c r="V235" s="131"/>
      <c r="W235" s="131"/>
      <c r="X235" s="55"/>
      <c r="Y235" s="129"/>
      <c r="Z235" s="129"/>
    </row>
    <row r="236" spans="1:26" ht="33" x14ac:dyDescent="0.4">
      <c r="A236" s="65"/>
      <c r="B236" s="66"/>
      <c r="C236" s="66"/>
      <c r="D236" s="67"/>
      <c r="E236" s="68"/>
      <c r="F236" s="68"/>
      <c r="G236" s="66"/>
      <c r="H236" s="67"/>
      <c r="I236" s="67"/>
      <c r="J236" s="67"/>
      <c r="K236" s="66"/>
      <c r="L236" s="68"/>
      <c r="M236" s="66"/>
      <c r="N236" s="69"/>
      <c r="O236" s="67"/>
      <c r="P236" s="69"/>
      <c r="Q236" s="69"/>
      <c r="R236" s="68"/>
      <c r="T236" s="130"/>
      <c r="U236" s="130"/>
      <c r="V236" s="131"/>
      <c r="W236" s="131"/>
      <c r="X236" s="55"/>
      <c r="Y236" s="129"/>
      <c r="Z236" s="129"/>
    </row>
    <row r="237" spans="1:26" ht="33" x14ac:dyDescent="0.4">
      <c r="A237" s="65"/>
      <c r="B237" s="66"/>
      <c r="C237" s="66"/>
      <c r="D237" s="67"/>
      <c r="E237" s="68"/>
      <c r="F237" s="68"/>
      <c r="G237" s="66"/>
      <c r="H237" s="67"/>
      <c r="I237" s="67"/>
      <c r="J237" s="67"/>
      <c r="K237" s="66"/>
      <c r="L237" s="68"/>
      <c r="M237" s="66"/>
      <c r="N237" s="69"/>
      <c r="O237" s="67"/>
      <c r="P237" s="69"/>
      <c r="Q237" s="69"/>
      <c r="R237" s="68"/>
      <c r="T237" s="130"/>
      <c r="U237" s="130"/>
      <c r="V237" s="131"/>
      <c r="W237" s="131"/>
      <c r="X237" s="55"/>
      <c r="Y237" s="129"/>
      <c r="Z237" s="129"/>
    </row>
    <row r="238" spans="1:26" ht="33" x14ac:dyDescent="0.4">
      <c r="A238" s="65"/>
      <c r="B238" s="66"/>
      <c r="C238" s="66"/>
      <c r="D238" s="67"/>
      <c r="E238" s="68"/>
      <c r="F238" s="68"/>
      <c r="G238" s="66"/>
      <c r="H238" s="67"/>
      <c r="I238" s="67"/>
      <c r="J238" s="67"/>
      <c r="K238" s="66"/>
      <c r="L238" s="68"/>
      <c r="M238" s="66"/>
      <c r="N238" s="69"/>
      <c r="O238" s="67"/>
      <c r="P238" s="69"/>
      <c r="Q238" s="69"/>
      <c r="R238" s="68"/>
      <c r="T238" s="130"/>
      <c r="U238" s="130"/>
      <c r="V238" s="131"/>
      <c r="W238" s="131"/>
      <c r="X238" s="55"/>
      <c r="Y238" s="129"/>
      <c r="Z238" s="129"/>
    </row>
    <row r="239" spans="1:26" ht="33" x14ac:dyDescent="0.4">
      <c r="A239" s="65"/>
      <c r="B239" s="66"/>
      <c r="C239" s="66"/>
      <c r="D239" s="67"/>
      <c r="E239" s="68"/>
      <c r="F239" s="68"/>
      <c r="G239" s="66"/>
      <c r="H239" s="67"/>
      <c r="I239" s="67"/>
      <c r="J239" s="67"/>
      <c r="K239" s="66"/>
      <c r="L239" s="68"/>
      <c r="M239" s="66"/>
      <c r="N239" s="69"/>
      <c r="O239" s="67"/>
      <c r="P239" s="69"/>
      <c r="Q239" s="69"/>
      <c r="R239" s="68"/>
      <c r="T239" s="130"/>
      <c r="U239" s="130"/>
      <c r="V239" s="131"/>
      <c r="W239" s="131"/>
      <c r="X239" s="55"/>
      <c r="Y239" s="129"/>
      <c r="Z239" s="129"/>
    </row>
    <row r="240" spans="1:26" ht="30.75" x14ac:dyDescent="0.4">
      <c r="A240" s="65"/>
      <c r="B240" s="66"/>
      <c r="C240" s="66"/>
      <c r="D240" s="67"/>
      <c r="E240" s="68"/>
      <c r="F240" s="68"/>
      <c r="G240" s="66"/>
      <c r="H240" s="67"/>
      <c r="I240" s="67"/>
      <c r="J240" s="67"/>
      <c r="K240" s="66"/>
      <c r="L240" s="68"/>
      <c r="M240" s="66"/>
      <c r="N240" s="69"/>
      <c r="O240" s="67"/>
      <c r="P240" s="69"/>
      <c r="Q240" s="69"/>
      <c r="R240" s="68"/>
      <c r="T240" s="132"/>
      <c r="U240" s="132"/>
      <c r="V240" s="131"/>
      <c r="W240" s="131"/>
      <c r="X240" s="55"/>
      <c r="Y240" s="129"/>
      <c r="Z240" s="129"/>
    </row>
    <row r="241" spans="1:26" ht="27" x14ac:dyDescent="0.4">
      <c r="A241" s="65"/>
      <c r="B241" s="66"/>
      <c r="C241" s="66"/>
      <c r="D241" s="67"/>
      <c r="E241" s="68"/>
      <c r="F241" s="68"/>
      <c r="G241" s="66"/>
      <c r="H241" s="67"/>
      <c r="I241" s="67"/>
      <c r="J241" s="67"/>
      <c r="K241" s="66"/>
      <c r="L241" s="68"/>
      <c r="M241" s="66"/>
      <c r="N241" s="69"/>
      <c r="O241" s="67"/>
      <c r="P241" s="69"/>
      <c r="Q241" s="69"/>
      <c r="R241" s="68"/>
      <c r="T241" s="129"/>
      <c r="U241" s="129"/>
      <c r="V241" s="129"/>
      <c r="W241" s="129"/>
      <c r="X241" s="129"/>
      <c r="Y241" s="129"/>
      <c r="Z241" s="129"/>
    </row>
    <row r="242" spans="1:26" ht="27" x14ac:dyDescent="0.4">
      <c r="A242" s="65"/>
      <c r="B242" s="66"/>
      <c r="C242" s="66"/>
      <c r="D242" s="67"/>
      <c r="E242" s="68"/>
      <c r="F242" s="68"/>
      <c r="G242" s="66"/>
      <c r="H242" s="67"/>
      <c r="I242" s="67"/>
      <c r="J242" s="67"/>
      <c r="K242" s="66"/>
      <c r="L242" s="68"/>
      <c r="M242" s="66"/>
      <c r="N242" s="69"/>
      <c r="O242" s="67"/>
      <c r="P242" s="69"/>
      <c r="Q242" s="69"/>
      <c r="R242" s="68"/>
      <c r="T242" s="129"/>
      <c r="U242" s="129"/>
      <c r="V242" s="129"/>
      <c r="W242" s="129"/>
      <c r="X242" s="129"/>
      <c r="Y242" s="129"/>
      <c r="Z242" s="129"/>
    </row>
    <row r="243" spans="1:26" ht="27" x14ac:dyDescent="0.4">
      <c r="A243" s="65"/>
      <c r="B243" s="66"/>
      <c r="C243" s="66"/>
      <c r="D243" s="67"/>
      <c r="E243" s="68"/>
      <c r="F243" s="68"/>
      <c r="G243" s="66"/>
      <c r="H243" s="67"/>
      <c r="I243" s="67"/>
      <c r="J243" s="67"/>
      <c r="K243" s="66"/>
      <c r="L243" s="68"/>
      <c r="M243" s="66"/>
      <c r="N243" s="69"/>
      <c r="O243" s="67"/>
      <c r="P243" s="69"/>
      <c r="Q243" s="69"/>
      <c r="R243" s="68"/>
      <c r="T243" s="129"/>
      <c r="U243" s="129"/>
      <c r="V243" s="129"/>
      <c r="W243" s="129"/>
      <c r="X243" s="129"/>
      <c r="Y243" s="129"/>
      <c r="Z243" s="129"/>
    </row>
    <row r="244" spans="1:26" ht="27" x14ac:dyDescent="0.4">
      <c r="A244" s="65"/>
      <c r="B244" s="66"/>
      <c r="C244" s="66"/>
      <c r="D244" s="67"/>
      <c r="E244" s="68"/>
      <c r="F244" s="68"/>
      <c r="G244" s="66"/>
      <c r="H244" s="67"/>
      <c r="I244" s="67"/>
      <c r="J244" s="67"/>
      <c r="K244" s="66"/>
      <c r="L244" s="68"/>
      <c r="M244" s="66"/>
      <c r="N244" s="69"/>
      <c r="O244" s="67"/>
      <c r="P244" s="69"/>
      <c r="Q244" s="69"/>
      <c r="R244" s="68"/>
      <c r="T244" s="129"/>
      <c r="U244" s="129"/>
      <c r="V244" s="129"/>
      <c r="W244" s="129"/>
      <c r="X244" s="129"/>
      <c r="Y244" s="129"/>
      <c r="Z244" s="129"/>
    </row>
    <row r="245" spans="1:26" ht="27" x14ac:dyDescent="0.4">
      <c r="A245" s="65"/>
      <c r="B245" s="66"/>
      <c r="C245" s="66"/>
      <c r="D245" s="67"/>
      <c r="E245" s="68"/>
      <c r="F245" s="68"/>
      <c r="G245" s="66"/>
      <c r="H245" s="67"/>
      <c r="I245" s="67"/>
      <c r="J245" s="67"/>
      <c r="K245" s="66"/>
      <c r="L245" s="68"/>
      <c r="M245" s="66"/>
      <c r="N245" s="69"/>
      <c r="O245" s="67"/>
      <c r="P245" s="69"/>
      <c r="Q245" s="69"/>
      <c r="R245" s="68"/>
      <c r="T245" s="129"/>
      <c r="U245" s="129"/>
      <c r="V245" s="129"/>
      <c r="W245" s="129"/>
      <c r="X245" s="129"/>
      <c r="Y245" s="129"/>
      <c r="Z245" s="129"/>
    </row>
    <row r="246" spans="1:26" ht="27" x14ac:dyDescent="0.4">
      <c r="A246" s="65"/>
      <c r="B246" s="66"/>
      <c r="C246" s="66"/>
      <c r="D246" s="67"/>
      <c r="E246" s="68"/>
      <c r="F246" s="68"/>
      <c r="G246" s="66"/>
      <c r="H246" s="67"/>
      <c r="I246" s="67"/>
      <c r="J246" s="67"/>
      <c r="K246" s="66"/>
      <c r="L246" s="68"/>
      <c r="M246" s="66"/>
      <c r="N246" s="69"/>
      <c r="O246" s="67"/>
      <c r="P246" s="69"/>
      <c r="Q246" s="69"/>
      <c r="R246" s="68"/>
      <c r="T246" s="129"/>
      <c r="U246" s="129"/>
      <c r="V246" s="129"/>
      <c r="W246" s="129"/>
      <c r="X246" s="129"/>
      <c r="Y246" s="129"/>
      <c r="Z246" s="129"/>
    </row>
    <row r="247" spans="1:26" ht="27" x14ac:dyDescent="0.4">
      <c r="A247" s="65"/>
      <c r="B247" s="66"/>
      <c r="C247" s="66"/>
      <c r="D247" s="67"/>
      <c r="E247" s="68"/>
      <c r="F247" s="68"/>
      <c r="G247" s="66"/>
      <c r="H247" s="67"/>
      <c r="I247" s="67"/>
      <c r="J247" s="67"/>
      <c r="K247" s="66"/>
      <c r="L247" s="68"/>
      <c r="M247" s="66"/>
      <c r="N247" s="69"/>
      <c r="O247" s="67"/>
      <c r="P247" s="69"/>
      <c r="Q247" s="69"/>
      <c r="R247" s="68"/>
      <c r="T247" s="129"/>
      <c r="U247" s="129"/>
      <c r="V247" s="129"/>
      <c r="W247" s="129"/>
      <c r="X247" s="129"/>
      <c r="Y247" s="129"/>
      <c r="Z247" s="129"/>
    </row>
    <row r="248" spans="1:26" ht="27" x14ac:dyDescent="0.4">
      <c r="A248" s="65"/>
      <c r="B248" s="66"/>
      <c r="C248" s="66"/>
      <c r="D248" s="67"/>
      <c r="E248" s="68"/>
      <c r="F248" s="68"/>
      <c r="G248" s="66"/>
      <c r="H248" s="67"/>
      <c r="I248" s="67"/>
      <c r="J248" s="67"/>
      <c r="K248" s="66"/>
      <c r="L248" s="68"/>
      <c r="M248" s="66"/>
      <c r="N248" s="69"/>
      <c r="O248" s="67"/>
      <c r="P248" s="69"/>
      <c r="Q248" s="69"/>
      <c r="R248" s="68"/>
      <c r="T248" s="129"/>
      <c r="U248" s="129"/>
      <c r="V248" s="129"/>
      <c r="W248" s="129"/>
      <c r="X248" s="129"/>
      <c r="Y248" s="129"/>
      <c r="Z248" s="129"/>
    </row>
    <row r="249" spans="1:26" ht="27" x14ac:dyDescent="0.4">
      <c r="A249" s="65"/>
      <c r="B249" s="66"/>
      <c r="C249" s="66"/>
      <c r="D249" s="67"/>
      <c r="E249" s="68"/>
      <c r="F249" s="68"/>
      <c r="G249" s="66"/>
      <c r="H249" s="67"/>
      <c r="I249" s="67"/>
      <c r="J249" s="67"/>
      <c r="K249" s="66"/>
      <c r="L249" s="68"/>
      <c r="M249" s="66"/>
      <c r="N249" s="69"/>
      <c r="O249" s="67"/>
      <c r="P249" s="69"/>
      <c r="Q249" s="69"/>
      <c r="R249" s="68"/>
      <c r="T249" s="129"/>
      <c r="U249" s="129"/>
      <c r="V249" s="129"/>
      <c r="W249" s="129"/>
      <c r="X249" s="129"/>
      <c r="Y249" s="129"/>
      <c r="Z249" s="129"/>
    </row>
    <row r="250" spans="1:26" ht="27" x14ac:dyDescent="0.4">
      <c r="A250" s="65"/>
      <c r="B250" s="66"/>
      <c r="C250" s="66"/>
      <c r="D250" s="67"/>
      <c r="E250" s="68"/>
      <c r="F250" s="68"/>
      <c r="G250" s="66"/>
      <c r="H250" s="67"/>
      <c r="I250" s="67"/>
      <c r="J250" s="67"/>
      <c r="K250" s="66"/>
      <c r="L250" s="68"/>
      <c r="M250" s="66"/>
      <c r="N250" s="69"/>
      <c r="O250" s="67"/>
      <c r="P250" s="69"/>
      <c r="Q250" s="69"/>
      <c r="R250" s="68"/>
      <c r="T250" s="129"/>
      <c r="U250" s="129"/>
      <c r="V250" s="129"/>
      <c r="W250" s="129"/>
      <c r="X250" s="129"/>
      <c r="Y250" s="129"/>
      <c r="Z250" s="129"/>
    </row>
    <row r="251" spans="1:26" ht="27" x14ac:dyDescent="0.4">
      <c r="A251" s="65"/>
      <c r="B251" s="66"/>
      <c r="C251" s="66"/>
      <c r="D251" s="67"/>
      <c r="E251" s="68"/>
      <c r="F251" s="68"/>
      <c r="G251" s="66"/>
      <c r="H251" s="67"/>
      <c r="I251" s="67"/>
      <c r="J251" s="67"/>
      <c r="K251" s="66"/>
      <c r="L251" s="68"/>
      <c r="M251" s="66"/>
      <c r="N251" s="69"/>
      <c r="O251" s="67"/>
      <c r="P251" s="69"/>
      <c r="Q251" s="69"/>
      <c r="R251" s="68"/>
      <c r="T251" s="129"/>
      <c r="U251" s="129"/>
      <c r="V251" s="129"/>
      <c r="W251" s="129"/>
      <c r="X251" s="129"/>
      <c r="Y251" s="129"/>
      <c r="Z251" s="129"/>
    </row>
    <row r="252" spans="1:26" ht="27" x14ac:dyDescent="0.4">
      <c r="A252" s="65"/>
      <c r="B252" s="66"/>
      <c r="C252" s="66"/>
      <c r="D252" s="67"/>
      <c r="E252" s="68"/>
      <c r="F252" s="68"/>
      <c r="G252" s="66"/>
      <c r="H252" s="67"/>
      <c r="I252" s="67"/>
      <c r="J252" s="67"/>
      <c r="K252" s="66"/>
      <c r="L252" s="68"/>
      <c r="M252" s="66"/>
      <c r="N252" s="69"/>
      <c r="O252" s="67"/>
      <c r="P252" s="69"/>
      <c r="Q252" s="69"/>
      <c r="R252" s="68"/>
      <c r="T252" s="129"/>
      <c r="U252" s="129"/>
      <c r="V252" s="129"/>
      <c r="W252" s="129"/>
      <c r="X252" s="129"/>
      <c r="Y252" s="129"/>
      <c r="Z252" s="129"/>
    </row>
    <row r="253" spans="1:26" ht="27" x14ac:dyDescent="0.4">
      <c r="A253" s="65"/>
      <c r="B253" s="66"/>
      <c r="C253" s="66"/>
      <c r="D253" s="67"/>
      <c r="E253" s="68"/>
      <c r="F253" s="68"/>
      <c r="G253" s="66"/>
      <c r="H253" s="67"/>
      <c r="I253" s="67"/>
      <c r="J253" s="67"/>
      <c r="K253" s="66"/>
      <c r="L253" s="68"/>
      <c r="M253" s="66"/>
      <c r="N253" s="69"/>
      <c r="O253" s="67"/>
      <c r="P253" s="69"/>
      <c r="Q253" s="69"/>
      <c r="R253" s="70"/>
      <c r="T253" s="129"/>
      <c r="U253" s="129"/>
      <c r="V253" s="129"/>
      <c r="W253" s="129"/>
      <c r="X253" s="129"/>
      <c r="Y253" s="129"/>
      <c r="Z253" s="129"/>
    </row>
    <row r="254" spans="1:26" ht="27" x14ac:dyDescent="0.4">
      <c r="A254" s="65"/>
      <c r="B254" s="66"/>
      <c r="C254" s="66"/>
      <c r="D254" s="67"/>
      <c r="E254" s="68"/>
      <c r="F254" s="68"/>
      <c r="G254" s="66"/>
      <c r="H254" s="67"/>
      <c r="I254" s="67"/>
      <c r="J254" s="67"/>
      <c r="K254" s="66"/>
      <c r="L254" s="68"/>
      <c r="M254" s="66"/>
      <c r="N254" s="69"/>
      <c r="O254" s="67"/>
      <c r="P254" s="69"/>
      <c r="Q254" s="69"/>
      <c r="R254" s="68"/>
      <c r="T254" s="129"/>
      <c r="U254" s="129"/>
      <c r="V254" s="129"/>
      <c r="W254" s="129"/>
      <c r="X254" s="129"/>
      <c r="Y254" s="129"/>
      <c r="Z254" s="129"/>
    </row>
    <row r="255" spans="1:26" ht="27" x14ac:dyDescent="0.4">
      <c r="A255" s="65"/>
      <c r="B255" s="66"/>
      <c r="C255" s="66"/>
      <c r="D255" s="67"/>
      <c r="E255" s="68"/>
      <c r="F255" s="68"/>
      <c r="G255" s="66"/>
      <c r="H255" s="67"/>
      <c r="I255" s="67"/>
      <c r="J255" s="67"/>
      <c r="K255" s="66"/>
      <c r="L255" s="68"/>
      <c r="M255" s="66"/>
      <c r="N255" s="69"/>
      <c r="O255" s="67"/>
      <c r="P255" s="69"/>
      <c r="Q255" s="69"/>
      <c r="R255" s="68"/>
      <c r="T255" s="129"/>
      <c r="U255" s="129"/>
      <c r="V255" s="129"/>
      <c r="W255" s="129"/>
      <c r="X255" s="129"/>
      <c r="Y255" s="129"/>
      <c r="Z255" s="129"/>
    </row>
    <row r="256" spans="1:26" ht="27" x14ac:dyDescent="0.4">
      <c r="A256" s="65"/>
      <c r="B256" s="66"/>
      <c r="C256" s="66"/>
      <c r="D256" s="67"/>
      <c r="E256" s="68"/>
      <c r="F256" s="68"/>
      <c r="G256" s="66"/>
      <c r="H256" s="67"/>
      <c r="I256" s="67"/>
      <c r="J256" s="67"/>
      <c r="K256" s="66"/>
      <c r="L256" s="68"/>
      <c r="M256" s="66"/>
      <c r="N256" s="69"/>
      <c r="O256" s="67"/>
      <c r="P256" s="69"/>
      <c r="Q256" s="69"/>
      <c r="R256" s="68"/>
      <c r="T256" s="129"/>
      <c r="U256" s="129"/>
      <c r="V256" s="129"/>
      <c r="W256" s="129"/>
      <c r="X256" s="129"/>
      <c r="Y256" s="129"/>
      <c r="Z256" s="129"/>
    </row>
    <row r="257" spans="1:26" ht="27" x14ac:dyDescent="0.4">
      <c r="A257" s="65"/>
      <c r="B257" s="66"/>
      <c r="C257" s="66"/>
      <c r="D257" s="67"/>
      <c r="E257" s="68"/>
      <c r="F257" s="68"/>
      <c r="G257" s="66"/>
      <c r="H257" s="67"/>
      <c r="I257" s="67"/>
      <c r="J257" s="67"/>
      <c r="K257" s="66"/>
      <c r="L257" s="68"/>
      <c r="M257" s="66"/>
      <c r="N257" s="69"/>
      <c r="O257" s="67"/>
      <c r="P257" s="69"/>
      <c r="Q257" s="69"/>
      <c r="R257" s="68"/>
      <c r="T257" s="129"/>
      <c r="U257" s="129"/>
      <c r="V257" s="129"/>
      <c r="W257" s="129"/>
      <c r="X257" s="129"/>
      <c r="Y257" s="129"/>
      <c r="Z257" s="129"/>
    </row>
    <row r="258" spans="1:26" ht="27" x14ac:dyDescent="0.4">
      <c r="A258" s="65"/>
      <c r="B258" s="66"/>
      <c r="C258" s="66"/>
      <c r="D258" s="67"/>
      <c r="E258" s="68"/>
      <c r="F258" s="68"/>
      <c r="G258" s="66"/>
      <c r="H258" s="67"/>
      <c r="I258" s="67"/>
      <c r="J258" s="67"/>
      <c r="K258" s="66"/>
      <c r="L258" s="68"/>
      <c r="M258" s="66"/>
      <c r="N258" s="69"/>
      <c r="O258" s="67"/>
      <c r="P258" s="69"/>
      <c r="Q258" s="69"/>
      <c r="R258" s="68"/>
      <c r="T258" s="129"/>
      <c r="U258" s="129"/>
      <c r="V258" s="129"/>
      <c r="W258" s="129"/>
      <c r="X258" s="129"/>
      <c r="Y258" s="129"/>
      <c r="Z258" s="129"/>
    </row>
    <row r="259" spans="1:26" ht="27" x14ac:dyDescent="0.4">
      <c r="A259" s="65"/>
      <c r="B259" s="66"/>
      <c r="C259" s="66"/>
      <c r="D259" s="67"/>
      <c r="E259" s="68"/>
      <c r="F259" s="68"/>
      <c r="G259" s="66"/>
      <c r="H259" s="67"/>
      <c r="I259" s="67"/>
      <c r="J259" s="67"/>
      <c r="K259" s="66"/>
      <c r="L259" s="68"/>
      <c r="M259" s="66"/>
      <c r="N259" s="69"/>
      <c r="O259" s="67"/>
      <c r="P259" s="69"/>
      <c r="Q259" s="69"/>
      <c r="R259" s="68"/>
      <c r="T259" s="129"/>
      <c r="U259" s="129"/>
      <c r="V259" s="129"/>
      <c r="W259" s="129"/>
      <c r="X259" s="129"/>
      <c r="Y259" s="129"/>
      <c r="Z259" s="129"/>
    </row>
    <row r="260" spans="1:26" ht="27" x14ac:dyDescent="0.4">
      <c r="A260" s="65"/>
      <c r="B260" s="66"/>
      <c r="C260" s="66"/>
      <c r="D260" s="67"/>
      <c r="E260" s="68"/>
      <c r="F260" s="68"/>
      <c r="G260" s="66"/>
      <c r="H260" s="67"/>
      <c r="I260" s="67"/>
      <c r="J260" s="67"/>
      <c r="K260" s="66"/>
      <c r="L260" s="68"/>
      <c r="M260" s="66"/>
      <c r="N260" s="69"/>
      <c r="O260" s="67"/>
      <c r="P260" s="69"/>
      <c r="Q260" s="69"/>
      <c r="R260" s="68"/>
      <c r="T260" s="129"/>
      <c r="U260" s="129"/>
      <c r="V260" s="129"/>
      <c r="W260" s="129"/>
      <c r="X260" s="129"/>
      <c r="Y260" s="129"/>
      <c r="Z260" s="129"/>
    </row>
    <row r="261" spans="1:26" ht="27" x14ac:dyDescent="0.4">
      <c r="A261" s="65"/>
      <c r="B261" s="66"/>
      <c r="C261" s="66"/>
      <c r="D261" s="67"/>
      <c r="E261" s="68"/>
      <c r="F261" s="68"/>
      <c r="G261" s="66"/>
      <c r="H261" s="67"/>
      <c r="I261" s="67"/>
      <c r="J261" s="67"/>
      <c r="K261" s="66"/>
      <c r="L261" s="68"/>
      <c r="M261" s="66"/>
      <c r="N261" s="69"/>
      <c r="O261" s="67"/>
      <c r="P261" s="69"/>
      <c r="Q261" s="69"/>
      <c r="R261" s="68"/>
      <c r="T261" s="129"/>
      <c r="U261" s="129"/>
      <c r="V261" s="129"/>
      <c r="W261" s="129"/>
      <c r="X261" s="129"/>
      <c r="Y261" s="129"/>
      <c r="Z261" s="129"/>
    </row>
    <row r="262" spans="1:26" ht="27" x14ac:dyDescent="0.4">
      <c r="A262" s="65"/>
      <c r="B262" s="66"/>
      <c r="C262" s="66"/>
      <c r="D262" s="67"/>
      <c r="E262" s="68"/>
      <c r="F262" s="68"/>
      <c r="G262" s="66"/>
      <c r="H262" s="67"/>
      <c r="I262" s="67"/>
      <c r="J262" s="67"/>
      <c r="K262" s="66"/>
      <c r="L262" s="68"/>
      <c r="M262" s="66"/>
      <c r="N262" s="69"/>
      <c r="O262" s="67"/>
      <c r="P262" s="69"/>
      <c r="Q262" s="69"/>
      <c r="R262" s="68"/>
      <c r="T262" s="129"/>
      <c r="U262" s="129"/>
      <c r="V262" s="129"/>
      <c r="W262" s="129"/>
      <c r="X262" s="129"/>
      <c r="Y262" s="129"/>
      <c r="Z262" s="129"/>
    </row>
    <row r="263" spans="1:26" ht="27" x14ac:dyDescent="0.4">
      <c r="A263" s="65"/>
      <c r="B263" s="66"/>
      <c r="C263" s="66"/>
      <c r="D263" s="67"/>
      <c r="E263" s="68"/>
      <c r="F263" s="68"/>
      <c r="G263" s="66"/>
      <c r="H263" s="67"/>
      <c r="I263" s="67"/>
      <c r="J263" s="67"/>
      <c r="K263" s="66"/>
      <c r="L263" s="68"/>
      <c r="M263" s="66"/>
      <c r="N263" s="69"/>
      <c r="O263" s="67"/>
      <c r="P263" s="69"/>
      <c r="Q263" s="69"/>
      <c r="R263" s="70"/>
      <c r="T263" s="129"/>
      <c r="U263" s="129"/>
      <c r="V263" s="129"/>
      <c r="W263" s="129"/>
      <c r="X263" s="129"/>
      <c r="Y263" s="129"/>
      <c r="Z263" s="129"/>
    </row>
    <row r="264" spans="1:26" ht="27" x14ac:dyDescent="0.4">
      <c r="A264" s="65"/>
      <c r="B264" s="66"/>
      <c r="C264" s="66"/>
      <c r="D264" s="67"/>
      <c r="E264" s="68"/>
      <c r="F264" s="68"/>
      <c r="G264" s="66"/>
      <c r="H264" s="67"/>
      <c r="I264" s="67"/>
      <c r="J264" s="67"/>
      <c r="K264" s="66"/>
      <c r="L264" s="68"/>
      <c r="M264" s="66"/>
      <c r="N264" s="69"/>
      <c r="O264" s="67"/>
      <c r="P264" s="69"/>
      <c r="Q264" s="69"/>
      <c r="R264" s="70"/>
      <c r="T264" s="129"/>
      <c r="U264" s="129"/>
      <c r="V264" s="129"/>
      <c r="W264" s="129"/>
      <c r="X264" s="129"/>
      <c r="Y264" s="129"/>
      <c r="Z264" s="129"/>
    </row>
    <row r="265" spans="1:26" ht="27" x14ac:dyDescent="0.4">
      <c r="A265" s="65"/>
      <c r="B265" s="66"/>
      <c r="C265" s="121"/>
      <c r="D265" s="67"/>
      <c r="E265" s="68"/>
      <c r="F265" s="68"/>
      <c r="G265" s="66"/>
      <c r="H265" s="67"/>
      <c r="I265" s="67"/>
      <c r="J265" s="67"/>
      <c r="K265" s="66"/>
      <c r="L265" s="68"/>
      <c r="M265" s="66"/>
      <c r="N265" s="69"/>
      <c r="O265" s="67"/>
      <c r="P265" s="69"/>
      <c r="Q265" s="69"/>
      <c r="R265" s="70"/>
      <c r="T265" s="129"/>
      <c r="U265" s="129"/>
      <c r="V265" s="129"/>
      <c r="W265" s="129"/>
      <c r="X265" s="129"/>
      <c r="Y265" s="129"/>
      <c r="Z265" s="129"/>
    </row>
    <row r="266" spans="1:26" ht="27" x14ac:dyDescent="0.4">
      <c r="A266" s="65"/>
      <c r="B266" s="66"/>
      <c r="C266" s="66"/>
      <c r="D266" s="67"/>
      <c r="E266" s="68"/>
      <c r="F266" s="68"/>
      <c r="G266" s="66"/>
      <c r="H266" s="67"/>
      <c r="I266" s="67"/>
      <c r="J266" s="67"/>
      <c r="K266" s="66"/>
      <c r="L266" s="68"/>
      <c r="M266" s="66"/>
      <c r="N266" s="69"/>
      <c r="O266" s="67"/>
      <c r="P266" s="69"/>
      <c r="Q266" s="69"/>
      <c r="R266" s="70"/>
      <c r="T266" s="129"/>
      <c r="U266" s="129"/>
      <c r="V266" s="129"/>
      <c r="W266" s="129"/>
      <c r="X266" s="129"/>
      <c r="Y266" s="129"/>
      <c r="Z266" s="129"/>
    </row>
    <row r="267" spans="1:26" ht="27" x14ac:dyDescent="0.4">
      <c r="A267" s="65"/>
      <c r="B267" s="66"/>
      <c r="C267" s="66"/>
      <c r="D267" s="67"/>
      <c r="E267" s="68"/>
      <c r="F267" s="68"/>
      <c r="G267" s="66"/>
      <c r="H267" s="67"/>
      <c r="I267" s="67"/>
      <c r="J267" s="67"/>
      <c r="K267" s="66"/>
      <c r="L267" s="68"/>
      <c r="M267" s="66"/>
      <c r="N267" s="69"/>
      <c r="O267" s="67"/>
      <c r="P267" s="69"/>
      <c r="Q267" s="69"/>
      <c r="R267" s="70"/>
      <c r="T267" s="129"/>
      <c r="U267" s="129"/>
      <c r="V267" s="129"/>
      <c r="W267" s="129"/>
      <c r="X267" s="129"/>
      <c r="Y267" s="129"/>
      <c r="Z267" s="129"/>
    </row>
    <row r="268" spans="1:26" ht="27" x14ac:dyDescent="0.4">
      <c r="A268" s="65"/>
      <c r="B268" s="66"/>
      <c r="C268" s="66"/>
      <c r="D268" s="67"/>
      <c r="E268" s="68"/>
      <c r="F268" s="68"/>
      <c r="G268" s="66"/>
      <c r="H268" s="67"/>
      <c r="I268" s="67"/>
      <c r="J268" s="67"/>
      <c r="K268" s="66"/>
      <c r="L268" s="68"/>
      <c r="M268" s="66"/>
      <c r="N268" s="69"/>
      <c r="O268" s="67"/>
      <c r="P268" s="69"/>
      <c r="Q268" s="69"/>
      <c r="R268" s="70"/>
      <c r="T268" s="129"/>
      <c r="U268" s="129"/>
      <c r="V268" s="129"/>
      <c r="W268" s="129"/>
      <c r="X268" s="129"/>
      <c r="Y268" s="129"/>
      <c r="Z268" s="129"/>
    </row>
    <row r="269" spans="1:26" ht="27" x14ac:dyDescent="0.4">
      <c r="A269" s="65"/>
      <c r="B269" s="66"/>
      <c r="C269" s="66"/>
      <c r="D269" s="67"/>
      <c r="E269" s="68"/>
      <c r="F269" s="68"/>
      <c r="G269" s="66"/>
      <c r="H269" s="67"/>
      <c r="I269" s="67"/>
      <c r="J269" s="67"/>
      <c r="K269" s="66"/>
      <c r="L269" s="68"/>
      <c r="M269" s="66"/>
      <c r="N269" s="69"/>
      <c r="O269" s="67"/>
      <c r="P269" s="69"/>
      <c r="Q269" s="69"/>
      <c r="R269" s="70"/>
      <c r="T269" s="129"/>
      <c r="U269" s="129"/>
      <c r="V269" s="129"/>
      <c r="W269" s="129"/>
      <c r="X269" s="129"/>
      <c r="Y269" s="129"/>
      <c r="Z269" s="129"/>
    </row>
    <row r="270" spans="1:26" ht="27" x14ac:dyDescent="0.4">
      <c r="A270" s="65"/>
      <c r="B270" s="66"/>
      <c r="C270" s="66"/>
      <c r="D270" s="67"/>
      <c r="E270" s="68"/>
      <c r="F270" s="68"/>
      <c r="G270" s="66"/>
      <c r="H270" s="67"/>
      <c r="I270" s="67"/>
      <c r="J270" s="67"/>
      <c r="K270" s="66"/>
      <c r="L270" s="68"/>
      <c r="M270" s="66"/>
      <c r="N270" s="69"/>
      <c r="O270" s="67"/>
      <c r="P270" s="69"/>
      <c r="Q270" s="69"/>
      <c r="R270" s="68"/>
      <c r="T270" s="129"/>
      <c r="U270" s="129"/>
      <c r="V270" s="129"/>
      <c r="W270" s="129"/>
      <c r="X270" s="129"/>
      <c r="Y270" s="129"/>
      <c r="Z270" s="129"/>
    </row>
    <row r="271" spans="1:26" ht="27" x14ac:dyDescent="0.4">
      <c r="A271" s="65"/>
      <c r="B271" s="66"/>
      <c r="C271" s="66"/>
      <c r="D271" s="67"/>
      <c r="E271" s="68"/>
      <c r="F271" s="68"/>
      <c r="G271" s="66"/>
      <c r="H271" s="67"/>
      <c r="I271" s="67"/>
      <c r="J271" s="67"/>
      <c r="K271" s="66"/>
      <c r="L271" s="68"/>
      <c r="M271" s="66"/>
      <c r="N271" s="69"/>
      <c r="O271" s="67"/>
      <c r="P271" s="69"/>
      <c r="Q271" s="69"/>
      <c r="R271" s="68"/>
      <c r="T271" s="129"/>
      <c r="U271" s="129"/>
      <c r="V271" s="129"/>
      <c r="W271" s="129"/>
      <c r="X271" s="129"/>
      <c r="Y271" s="129"/>
      <c r="Z271" s="129"/>
    </row>
    <row r="272" spans="1:26" ht="27" x14ac:dyDescent="0.4">
      <c r="A272" s="65"/>
      <c r="B272" s="66"/>
      <c r="C272" s="66"/>
      <c r="D272" s="67"/>
      <c r="E272" s="68"/>
      <c r="F272" s="68"/>
      <c r="G272" s="66"/>
      <c r="H272" s="67"/>
      <c r="I272" s="67"/>
      <c r="J272" s="67"/>
      <c r="K272" s="66"/>
      <c r="L272" s="68"/>
      <c r="M272" s="66"/>
      <c r="N272" s="69"/>
      <c r="O272" s="67"/>
      <c r="P272" s="69"/>
      <c r="Q272" s="69"/>
      <c r="R272" s="68"/>
      <c r="T272" s="129"/>
      <c r="U272" s="129"/>
      <c r="V272" s="129"/>
      <c r="W272" s="129"/>
      <c r="X272" s="129"/>
      <c r="Y272" s="129"/>
      <c r="Z272" s="129"/>
    </row>
    <row r="273" spans="1:26" ht="27" x14ac:dyDescent="0.4">
      <c r="A273" s="65"/>
      <c r="B273" s="66"/>
      <c r="C273" s="66"/>
      <c r="D273" s="67"/>
      <c r="E273" s="68"/>
      <c r="F273" s="68"/>
      <c r="G273" s="66"/>
      <c r="H273" s="67"/>
      <c r="I273" s="67"/>
      <c r="J273" s="67"/>
      <c r="K273" s="66"/>
      <c r="L273" s="68"/>
      <c r="M273" s="66"/>
      <c r="N273" s="69"/>
      <c r="O273" s="67"/>
      <c r="P273" s="69"/>
      <c r="Q273" s="69"/>
      <c r="R273" s="68"/>
      <c r="T273" s="129"/>
      <c r="U273" s="129"/>
      <c r="V273" s="129"/>
      <c r="W273" s="129"/>
      <c r="X273" s="129"/>
      <c r="Y273" s="129"/>
      <c r="Z273" s="129"/>
    </row>
    <row r="274" spans="1:26" ht="27" x14ac:dyDescent="0.4">
      <c r="A274" s="65"/>
      <c r="B274" s="66"/>
      <c r="C274" s="66"/>
      <c r="D274" s="67"/>
      <c r="E274" s="68"/>
      <c r="F274" s="68"/>
      <c r="G274" s="66"/>
      <c r="H274" s="67"/>
      <c r="I274" s="67"/>
      <c r="J274" s="67"/>
      <c r="K274" s="66"/>
      <c r="L274" s="68"/>
      <c r="M274" s="66"/>
      <c r="N274" s="69"/>
      <c r="O274" s="67"/>
      <c r="P274" s="69"/>
      <c r="Q274" s="69"/>
      <c r="R274" s="68"/>
      <c r="T274" s="129"/>
      <c r="U274" s="129"/>
      <c r="V274" s="129"/>
      <c r="W274" s="129"/>
      <c r="X274" s="129"/>
      <c r="Y274" s="129"/>
      <c r="Z274" s="129"/>
    </row>
    <row r="275" spans="1:26" ht="27" x14ac:dyDescent="0.4">
      <c r="A275" s="65"/>
      <c r="B275" s="66"/>
      <c r="C275" s="66"/>
      <c r="D275" s="67"/>
      <c r="E275" s="68"/>
      <c r="F275" s="68"/>
      <c r="G275" s="66"/>
      <c r="H275" s="67"/>
      <c r="I275" s="67"/>
      <c r="J275" s="67"/>
      <c r="K275" s="66"/>
      <c r="L275" s="68"/>
      <c r="M275" s="66"/>
      <c r="N275" s="69"/>
      <c r="O275" s="67"/>
      <c r="P275" s="69"/>
      <c r="Q275" s="69"/>
      <c r="R275" s="68"/>
      <c r="T275" s="129"/>
      <c r="U275" s="129"/>
      <c r="V275" s="129"/>
      <c r="W275" s="129"/>
      <c r="X275" s="129"/>
      <c r="Y275" s="129"/>
      <c r="Z275" s="129"/>
    </row>
    <row r="276" spans="1:26" ht="27" x14ac:dyDescent="0.4">
      <c r="A276" s="65"/>
      <c r="B276" s="66"/>
      <c r="C276" s="66"/>
      <c r="D276" s="67"/>
      <c r="E276" s="68"/>
      <c r="F276" s="68"/>
      <c r="G276" s="66"/>
      <c r="H276" s="67"/>
      <c r="I276" s="67"/>
      <c r="J276" s="67"/>
      <c r="K276" s="66"/>
      <c r="L276" s="68"/>
      <c r="M276" s="66"/>
      <c r="N276" s="69"/>
      <c r="O276" s="67"/>
      <c r="P276" s="69"/>
      <c r="Q276" s="69"/>
      <c r="R276" s="68"/>
      <c r="T276" s="129"/>
      <c r="U276" s="129"/>
      <c r="V276" s="129"/>
      <c r="W276" s="129"/>
      <c r="X276" s="129"/>
      <c r="Y276" s="129"/>
      <c r="Z276" s="129"/>
    </row>
    <row r="277" spans="1:26" ht="27" x14ac:dyDescent="0.4">
      <c r="A277" s="65"/>
      <c r="B277" s="66"/>
      <c r="C277" s="66"/>
      <c r="D277" s="67"/>
      <c r="E277" s="68"/>
      <c r="F277" s="68"/>
      <c r="G277" s="66"/>
      <c r="H277" s="67"/>
      <c r="I277" s="67"/>
      <c r="J277" s="67"/>
      <c r="K277" s="66"/>
      <c r="L277" s="68"/>
      <c r="M277" s="66"/>
      <c r="N277" s="69"/>
      <c r="O277" s="67"/>
      <c r="P277" s="69"/>
      <c r="Q277" s="69"/>
      <c r="R277" s="68"/>
    </row>
    <row r="278" spans="1:26" ht="27" x14ac:dyDescent="0.4">
      <c r="A278" s="65"/>
      <c r="B278" s="66"/>
      <c r="C278" s="66"/>
      <c r="D278" s="67"/>
      <c r="E278" s="68"/>
      <c r="F278" s="68"/>
      <c r="G278" s="66"/>
      <c r="H278" s="67"/>
      <c r="I278" s="67"/>
      <c r="J278" s="67"/>
      <c r="K278" s="66"/>
      <c r="L278" s="68"/>
      <c r="M278" s="66"/>
      <c r="N278" s="69"/>
      <c r="O278" s="67"/>
      <c r="P278" s="69"/>
      <c r="Q278" s="69"/>
      <c r="R278" s="68"/>
    </row>
    <row r="279" spans="1:26" ht="27" x14ac:dyDescent="0.4">
      <c r="A279" s="65"/>
      <c r="B279" s="66"/>
      <c r="C279" s="66"/>
      <c r="D279" s="67"/>
      <c r="E279" s="68"/>
      <c r="F279" s="68"/>
      <c r="G279" s="66"/>
      <c r="H279" s="67"/>
      <c r="I279" s="67"/>
      <c r="J279" s="67"/>
      <c r="K279" s="66"/>
      <c r="L279" s="68"/>
      <c r="M279" s="66"/>
      <c r="N279" s="69"/>
      <c r="O279" s="67"/>
      <c r="P279" s="69"/>
      <c r="Q279" s="69"/>
      <c r="R279" s="68"/>
    </row>
    <row r="280" spans="1:26" ht="27" x14ac:dyDescent="0.4">
      <c r="A280" s="65"/>
      <c r="B280" s="66"/>
      <c r="C280" s="66"/>
      <c r="D280" s="67"/>
      <c r="E280" s="68"/>
      <c r="F280" s="68"/>
      <c r="G280" s="66"/>
      <c r="H280" s="67"/>
      <c r="I280" s="67"/>
      <c r="J280" s="67"/>
      <c r="K280" s="66"/>
      <c r="L280" s="68"/>
      <c r="M280" s="66"/>
      <c r="N280" s="69"/>
      <c r="O280" s="67"/>
      <c r="P280" s="69"/>
      <c r="Q280" s="69"/>
      <c r="R280" s="68"/>
    </row>
    <row r="281" spans="1:26" ht="27" x14ac:dyDescent="0.4">
      <c r="A281" s="65"/>
      <c r="B281" s="66"/>
      <c r="C281" s="66"/>
      <c r="D281" s="67"/>
      <c r="E281" s="68"/>
      <c r="F281" s="68"/>
      <c r="G281" s="66"/>
      <c r="H281" s="67"/>
      <c r="I281" s="67"/>
      <c r="J281" s="67"/>
      <c r="K281" s="66"/>
      <c r="L281" s="68"/>
      <c r="M281" s="66"/>
      <c r="N281" s="69"/>
      <c r="O281" s="67"/>
      <c r="P281" s="69"/>
      <c r="Q281" s="69"/>
      <c r="R281" s="68"/>
    </row>
    <row r="282" spans="1:26" ht="27" x14ac:dyDescent="0.4">
      <c r="A282" s="65"/>
      <c r="B282" s="66"/>
      <c r="C282" s="66"/>
      <c r="D282" s="67"/>
      <c r="E282" s="68"/>
      <c r="F282" s="68"/>
      <c r="G282" s="66"/>
      <c r="H282" s="67"/>
      <c r="I282" s="67"/>
      <c r="J282" s="67"/>
      <c r="K282" s="66"/>
      <c r="L282" s="68"/>
      <c r="M282" s="66"/>
      <c r="N282" s="69"/>
      <c r="O282" s="67"/>
      <c r="P282" s="69"/>
      <c r="Q282" s="69"/>
      <c r="R282" s="68"/>
    </row>
    <row r="283" spans="1:26" ht="27" x14ac:dyDescent="0.4">
      <c r="A283" s="65"/>
      <c r="B283" s="66"/>
      <c r="C283" s="66"/>
      <c r="D283" s="67"/>
      <c r="E283" s="68"/>
      <c r="F283" s="68"/>
      <c r="G283" s="66"/>
      <c r="H283" s="67"/>
      <c r="I283" s="67"/>
      <c r="J283" s="67"/>
      <c r="K283" s="66"/>
      <c r="L283" s="68"/>
      <c r="M283" s="66"/>
      <c r="N283" s="69"/>
      <c r="O283" s="67"/>
      <c r="P283" s="69"/>
      <c r="Q283" s="69"/>
      <c r="R283" s="68"/>
    </row>
    <row r="284" spans="1:26" ht="27" x14ac:dyDescent="0.4">
      <c r="A284" s="65"/>
      <c r="B284" s="66"/>
      <c r="C284" s="66"/>
      <c r="D284" s="67"/>
      <c r="E284" s="68"/>
      <c r="F284" s="68"/>
      <c r="G284" s="66"/>
      <c r="H284" s="67"/>
      <c r="I284" s="67"/>
      <c r="J284" s="67"/>
      <c r="K284" s="66"/>
      <c r="L284" s="68"/>
      <c r="M284" s="66"/>
      <c r="N284" s="69"/>
      <c r="O284" s="67"/>
      <c r="P284" s="69"/>
      <c r="Q284" s="69"/>
      <c r="R284" s="68"/>
    </row>
    <row r="285" spans="1:26" ht="27" x14ac:dyDescent="0.4">
      <c r="A285" s="65"/>
      <c r="B285" s="66"/>
      <c r="C285" s="66"/>
      <c r="D285" s="67"/>
      <c r="E285" s="68"/>
      <c r="F285" s="68"/>
      <c r="G285" s="66"/>
      <c r="H285" s="67"/>
      <c r="I285" s="67"/>
      <c r="J285" s="67"/>
      <c r="K285" s="66"/>
      <c r="L285" s="68"/>
      <c r="M285" s="66"/>
      <c r="N285" s="69"/>
      <c r="O285" s="67"/>
      <c r="P285" s="69"/>
      <c r="Q285" s="69"/>
      <c r="R285" s="68"/>
    </row>
    <row r="286" spans="1:26" ht="27" x14ac:dyDescent="0.4">
      <c r="A286" s="65"/>
      <c r="B286" s="66"/>
      <c r="C286" s="66"/>
      <c r="D286" s="67"/>
      <c r="E286" s="68"/>
      <c r="F286" s="68"/>
      <c r="G286" s="66"/>
      <c r="H286" s="67"/>
      <c r="I286" s="67"/>
      <c r="J286" s="67"/>
      <c r="K286" s="66"/>
      <c r="L286" s="68"/>
      <c r="M286" s="66"/>
      <c r="N286" s="69"/>
      <c r="O286" s="67"/>
      <c r="P286" s="69"/>
      <c r="Q286" s="69"/>
      <c r="R286" s="68"/>
    </row>
    <row r="287" spans="1:26" ht="27" x14ac:dyDescent="0.4">
      <c r="A287" s="65"/>
      <c r="B287" s="66"/>
      <c r="C287" s="66"/>
      <c r="D287" s="67"/>
      <c r="E287" s="68"/>
      <c r="F287" s="68"/>
      <c r="G287" s="66"/>
      <c r="H287" s="67"/>
      <c r="I287" s="67"/>
      <c r="J287" s="67"/>
      <c r="K287" s="66"/>
      <c r="L287" s="68"/>
      <c r="M287" s="66"/>
      <c r="N287" s="69"/>
      <c r="O287" s="67"/>
      <c r="P287" s="69"/>
      <c r="Q287" s="69"/>
      <c r="R287" s="68"/>
    </row>
    <row r="288" spans="1:26" ht="27" x14ac:dyDescent="0.4">
      <c r="A288" s="65"/>
      <c r="B288" s="66"/>
      <c r="C288" s="66"/>
      <c r="D288" s="67"/>
      <c r="E288" s="68"/>
      <c r="F288" s="68"/>
      <c r="G288" s="66"/>
      <c r="H288" s="67"/>
      <c r="I288" s="67"/>
      <c r="J288" s="67"/>
      <c r="K288" s="66"/>
      <c r="L288" s="68"/>
      <c r="M288" s="66"/>
      <c r="N288" s="69"/>
      <c r="O288" s="67"/>
      <c r="P288" s="69"/>
      <c r="Q288" s="69"/>
      <c r="R288" s="68"/>
    </row>
    <row r="289" spans="1:18" ht="27" x14ac:dyDescent="0.4">
      <c r="A289" s="65"/>
      <c r="B289" s="66"/>
      <c r="C289" s="65"/>
      <c r="D289" s="67"/>
      <c r="E289" s="68"/>
      <c r="F289" s="68"/>
      <c r="G289" s="66"/>
      <c r="H289" s="67"/>
      <c r="I289" s="67"/>
      <c r="J289" s="67"/>
      <c r="K289" s="66"/>
      <c r="L289" s="68"/>
      <c r="M289" s="66"/>
      <c r="N289" s="69"/>
      <c r="O289" s="67"/>
      <c r="P289" s="69"/>
      <c r="Q289" s="69"/>
      <c r="R289" s="68"/>
    </row>
    <row r="290" spans="1:18" ht="27" x14ac:dyDescent="0.4">
      <c r="A290" s="65"/>
      <c r="B290" s="66"/>
      <c r="C290" s="66"/>
      <c r="D290" s="67"/>
      <c r="E290" s="68"/>
      <c r="F290" s="68"/>
      <c r="G290" s="66"/>
      <c r="H290" s="67"/>
      <c r="I290" s="67"/>
      <c r="J290" s="67"/>
      <c r="K290" s="66"/>
      <c r="L290" s="68"/>
      <c r="M290" s="66"/>
      <c r="N290" s="69"/>
      <c r="O290" s="67"/>
      <c r="P290" s="69"/>
      <c r="Q290" s="69"/>
      <c r="R290" s="68"/>
    </row>
    <row r="291" spans="1:18" ht="27" x14ac:dyDescent="0.4">
      <c r="A291" s="65"/>
      <c r="B291" s="66"/>
      <c r="C291" s="66"/>
      <c r="D291" s="67"/>
      <c r="E291" s="68"/>
      <c r="F291" s="68"/>
      <c r="G291" s="66"/>
      <c r="H291" s="67"/>
      <c r="I291" s="67"/>
      <c r="J291" s="67"/>
      <c r="K291" s="66"/>
      <c r="L291" s="68"/>
      <c r="M291" s="66"/>
      <c r="N291" s="69"/>
      <c r="O291" s="67"/>
      <c r="P291" s="69"/>
      <c r="Q291" s="69"/>
      <c r="R291" s="68"/>
    </row>
    <row r="292" spans="1:18" ht="27" x14ac:dyDescent="0.4">
      <c r="A292" s="65"/>
      <c r="B292" s="66"/>
      <c r="C292" s="66"/>
      <c r="D292" s="67"/>
      <c r="E292" s="68"/>
      <c r="F292" s="68"/>
      <c r="G292" s="66"/>
      <c r="H292" s="67"/>
      <c r="I292" s="67"/>
      <c r="J292" s="67"/>
      <c r="K292" s="66"/>
      <c r="L292" s="68"/>
      <c r="M292" s="66"/>
      <c r="N292" s="69"/>
      <c r="O292" s="67"/>
      <c r="P292" s="69"/>
      <c r="Q292" s="69"/>
      <c r="R292" s="68"/>
    </row>
    <row r="293" spans="1:18" ht="27" x14ac:dyDescent="0.4">
      <c r="A293" s="65"/>
      <c r="B293" s="66"/>
      <c r="C293" s="66"/>
      <c r="D293" s="67"/>
      <c r="E293" s="68"/>
      <c r="F293" s="68"/>
      <c r="G293" s="66"/>
      <c r="H293" s="67"/>
      <c r="I293" s="67"/>
      <c r="J293" s="67"/>
      <c r="K293" s="66"/>
      <c r="L293" s="68"/>
      <c r="M293" s="66"/>
      <c r="N293" s="69"/>
      <c r="O293" s="67"/>
      <c r="P293" s="69"/>
      <c r="Q293" s="69"/>
      <c r="R293" s="68"/>
    </row>
    <row r="294" spans="1:18" ht="27" x14ac:dyDescent="0.4">
      <c r="A294" s="65"/>
      <c r="B294" s="66"/>
      <c r="C294" s="66"/>
      <c r="D294" s="67"/>
      <c r="E294" s="68"/>
      <c r="F294" s="68"/>
      <c r="G294" s="66"/>
      <c r="H294" s="67"/>
      <c r="I294" s="67"/>
      <c r="J294" s="67"/>
      <c r="K294" s="66"/>
      <c r="L294" s="68"/>
      <c r="M294" s="66"/>
      <c r="N294" s="69"/>
      <c r="O294" s="67"/>
      <c r="P294" s="69"/>
      <c r="Q294" s="69"/>
      <c r="R294" s="68"/>
    </row>
    <row r="295" spans="1:18" ht="27" x14ac:dyDescent="0.4">
      <c r="A295" s="65"/>
      <c r="B295" s="66"/>
      <c r="C295" s="66"/>
      <c r="D295" s="67"/>
      <c r="E295" s="68"/>
      <c r="F295" s="68"/>
      <c r="G295" s="66"/>
      <c r="H295" s="67"/>
      <c r="I295" s="67"/>
      <c r="J295" s="67"/>
      <c r="K295" s="66"/>
      <c r="L295" s="68"/>
      <c r="M295" s="66"/>
      <c r="N295" s="69"/>
      <c r="O295" s="67"/>
      <c r="P295" s="69"/>
      <c r="Q295" s="69"/>
      <c r="R295" s="68"/>
    </row>
    <row r="296" spans="1:18" ht="27" x14ac:dyDescent="0.4">
      <c r="A296" s="65"/>
      <c r="B296" s="66"/>
      <c r="C296" s="66"/>
      <c r="D296" s="67"/>
      <c r="E296" s="68"/>
      <c r="F296" s="68"/>
      <c r="G296" s="66"/>
      <c r="H296" s="67"/>
      <c r="I296" s="67"/>
      <c r="J296" s="67"/>
      <c r="K296" s="66"/>
      <c r="L296" s="68"/>
      <c r="M296" s="66"/>
      <c r="N296" s="69"/>
      <c r="O296" s="67"/>
      <c r="P296" s="69"/>
      <c r="Q296" s="69"/>
      <c r="R296" s="68"/>
    </row>
    <row r="297" spans="1:18" ht="27" x14ac:dyDescent="0.4">
      <c r="A297" s="65"/>
      <c r="B297" s="66"/>
      <c r="C297" s="66"/>
      <c r="D297" s="67"/>
      <c r="E297" s="68"/>
      <c r="F297" s="68"/>
      <c r="G297" s="66"/>
      <c r="H297" s="67"/>
      <c r="I297" s="67"/>
      <c r="J297" s="67"/>
      <c r="K297" s="66"/>
      <c r="L297" s="68"/>
      <c r="M297" s="66"/>
      <c r="N297" s="69"/>
      <c r="O297" s="67"/>
      <c r="P297" s="69"/>
      <c r="Q297" s="69"/>
      <c r="R297" s="68"/>
    </row>
    <row r="298" spans="1:18" ht="27" x14ac:dyDescent="0.4">
      <c r="A298" s="65"/>
      <c r="B298" s="66"/>
      <c r="C298" s="66"/>
      <c r="D298" s="67"/>
      <c r="E298" s="68"/>
      <c r="F298" s="68"/>
      <c r="G298" s="66"/>
      <c r="H298" s="67"/>
      <c r="I298" s="67"/>
      <c r="J298" s="67"/>
      <c r="K298" s="66"/>
      <c r="L298" s="68"/>
      <c r="M298" s="66"/>
      <c r="N298" s="69"/>
      <c r="O298" s="67"/>
      <c r="P298" s="69"/>
      <c r="Q298" s="69"/>
      <c r="R298" s="68"/>
    </row>
    <row r="299" spans="1:18" ht="27" x14ac:dyDescent="0.4">
      <c r="A299" s="65"/>
      <c r="B299" s="66"/>
      <c r="C299" s="66"/>
      <c r="D299" s="67"/>
      <c r="E299" s="68"/>
      <c r="F299" s="68"/>
      <c r="G299" s="66"/>
      <c r="H299" s="67"/>
      <c r="I299" s="67"/>
      <c r="J299" s="67"/>
      <c r="K299" s="66"/>
      <c r="L299" s="68"/>
      <c r="M299" s="66"/>
      <c r="N299" s="69"/>
      <c r="O299" s="67"/>
      <c r="P299" s="69"/>
      <c r="Q299" s="69"/>
      <c r="R299" s="68"/>
    </row>
    <row r="300" spans="1:18" ht="27" x14ac:dyDescent="0.4">
      <c r="A300" s="65"/>
      <c r="B300" s="66"/>
      <c r="C300" s="66"/>
      <c r="D300" s="67"/>
      <c r="E300" s="68"/>
      <c r="F300" s="68"/>
      <c r="G300" s="66"/>
      <c r="H300" s="67"/>
      <c r="I300" s="67"/>
      <c r="J300" s="67"/>
      <c r="K300" s="66"/>
      <c r="L300" s="68"/>
      <c r="M300" s="66"/>
      <c r="N300" s="69"/>
      <c r="O300" s="67"/>
      <c r="P300" s="69"/>
      <c r="Q300" s="69"/>
      <c r="R300" s="68"/>
    </row>
    <row r="301" spans="1:18" ht="27" x14ac:dyDescent="0.4">
      <c r="A301" s="65"/>
      <c r="B301" s="66"/>
      <c r="C301" s="66"/>
      <c r="D301" s="67"/>
      <c r="E301" s="68"/>
      <c r="F301" s="68"/>
      <c r="G301" s="66"/>
      <c r="H301" s="67"/>
      <c r="I301" s="67"/>
      <c r="J301" s="67"/>
      <c r="K301" s="66"/>
      <c r="L301" s="68"/>
      <c r="M301" s="66"/>
      <c r="N301" s="69"/>
      <c r="O301" s="67"/>
      <c r="P301" s="69"/>
      <c r="Q301" s="69"/>
      <c r="R301" s="68"/>
    </row>
    <row r="302" spans="1:18" ht="27" x14ac:dyDescent="0.4">
      <c r="A302" s="65"/>
      <c r="B302" s="66"/>
      <c r="C302" s="66"/>
      <c r="D302" s="67"/>
      <c r="E302" s="68"/>
      <c r="F302" s="68"/>
      <c r="G302" s="66"/>
      <c r="H302" s="67"/>
      <c r="I302" s="67"/>
      <c r="J302" s="67"/>
      <c r="K302" s="66"/>
      <c r="L302" s="68"/>
      <c r="M302" s="66"/>
      <c r="N302" s="69"/>
      <c r="O302" s="67"/>
      <c r="P302" s="69"/>
      <c r="Q302" s="69"/>
      <c r="R302" s="68"/>
    </row>
    <row r="303" spans="1:18" ht="27" x14ac:dyDescent="0.4">
      <c r="A303" s="65"/>
      <c r="B303" s="66"/>
      <c r="C303" s="66"/>
      <c r="D303" s="67"/>
      <c r="E303" s="68"/>
      <c r="F303" s="68"/>
      <c r="G303" s="66"/>
      <c r="H303" s="67"/>
      <c r="I303" s="67"/>
      <c r="J303" s="67"/>
      <c r="K303" s="66"/>
      <c r="L303" s="68"/>
      <c r="M303" s="66"/>
      <c r="N303" s="69"/>
      <c r="O303" s="67"/>
      <c r="P303" s="69"/>
      <c r="Q303" s="69"/>
      <c r="R303" s="68"/>
    </row>
    <row r="304" spans="1:18" ht="27" x14ac:dyDescent="0.4">
      <c r="A304" s="65"/>
      <c r="B304" s="66"/>
      <c r="C304" s="66"/>
      <c r="D304" s="67"/>
      <c r="E304" s="68"/>
      <c r="F304" s="68"/>
      <c r="G304" s="66"/>
      <c r="H304" s="67"/>
      <c r="I304" s="67"/>
      <c r="J304" s="67"/>
      <c r="K304" s="66"/>
      <c r="L304" s="68"/>
      <c r="M304" s="66"/>
      <c r="N304" s="69"/>
      <c r="O304" s="67"/>
      <c r="P304" s="69"/>
      <c r="Q304" s="69"/>
      <c r="R304" s="68"/>
    </row>
    <row r="305" spans="1:18" ht="27" x14ac:dyDescent="0.4">
      <c r="A305" s="65"/>
      <c r="B305" s="66"/>
      <c r="C305" s="66"/>
      <c r="D305" s="67"/>
      <c r="E305" s="68"/>
      <c r="F305" s="68"/>
      <c r="G305" s="66"/>
      <c r="H305" s="67"/>
      <c r="I305" s="67"/>
      <c r="J305" s="67"/>
      <c r="K305" s="66"/>
      <c r="L305" s="68"/>
      <c r="M305" s="66"/>
      <c r="N305" s="69"/>
      <c r="O305" s="67"/>
      <c r="P305" s="69"/>
      <c r="Q305" s="69"/>
      <c r="R305" s="68"/>
    </row>
    <row r="306" spans="1:18" ht="27" x14ac:dyDescent="0.4">
      <c r="A306" s="65"/>
      <c r="B306" s="66"/>
      <c r="C306" s="66"/>
      <c r="D306" s="67"/>
      <c r="E306" s="68"/>
      <c r="F306" s="68"/>
      <c r="G306" s="66"/>
      <c r="H306" s="67"/>
      <c r="I306" s="67"/>
      <c r="J306" s="67"/>
      <c r="K306" s="66"/>
      <c r="L306" s="68"/>
      <c r="M306" s="66"/>
      <c r="N306" s="69"/>
      <c r="O306" s="67"/>
      <c r="P306" s="69"/>
      <c r="Q306" s="69"/>
      <c r="R306" s="68"/>
    </row>
    <row r="307" spans="1:18" ht="27" x14ac:dyDescent="0.4">
      <c r="A307" s="65"/>
      <c r="B307" s="66"/>
      <c r="C307" s="66"/>
      <c r="D307" s="67"/>
      <c r="E307" s="68"/>
      <c r="F307" s="68"/>
      <c r="G307" s="66"/>
      <c r="H307" s="67"/>
      <c r="I307" s="67"/>
      <c r="J307" s="67"/>
      <c r="K307" s="66"/>
      <c r="L307" s="68"/>
      <c r="M307" s="66"/>
      <c r="N307" s="69"/>
      <c r="O307" s="67"/>
      <c r="P307" s="69"/>
      <c r="Q307" s="69"/>
      <c r="R307" s="68"/>
    </row>
    <row r="308" spans="1:18" ht="27" x14ac:dyDescent="0.4">
      <c r="A308" s="65"/>
      <c r="B308" s="66"/>
      <c r="C308" s="66"/>
      <c r="D308" s="67"/>
      <c r="E308" s="68"/>
      <c r="F308" s="68"/>
      <c r="G308" s="66"/>
      <c r="H308" s="67"/>
      <c r="I308" s="67"/>
      <c r="J308" s="67"/>
      <c r="K308" s="66"/>
      <c r="L308" s="68"/>
      <c r="M308" s="66"/>
      <c r="N308" s="69"/>
      <c r="O308" s="67"/>
      <c r="P308" s="69"/>
      <c r="Q308" s="69"/>
      <c r="R308" s="68"/>
    </row>
    <row r="309" spans="1:18" ht="27" x14ac:dyDescent="0.4">
      <c r="A309" s="65"/>
      <c r="B309" s="66"/>
      <c r="C309" s="66"/>
      <c r="D309" s="67"/>
      <c r="E309" s="68"/>
      <c r="F309" s="68"/>
      <c r="G309" s="66"/>
      <c r="H309" s="67"/>
      <c r="I309" s="67"/>
      <c r="J309" s="67"/>
      <c r="K309" s="66"/>
      <c r="L309" s="68"/>
      <c r="M309" s="66"/>
      <c r="N309" s="69"/>
      <c r="O309" s="67"/>
      <c r="P309" s="69"/>
      <c r="Q309" s="69"/>
      <c r="R309" s="68"/>
    </row>
    <row r="310" spans="1:18" ht="27" x14ac:dyDescent="0.4">
      <c r="A310" s="65"/>
      <c r="B310" s="66"/>
      <c r="C310" s="66"/>
      <c r="D310" s="67"/>
      <c r="E310" s="68"/>
      <c r="F310" s="68"/>
      <c r="G310" s="66"/>
      <c r="H310" s="67"/>
      <c r="I310" s="67"/>
      <c r="J310" s="67"/>
      <c r="K310" s="66"/>
      <c r="L310" s="68"/>
      <c r="M310" s="66"/>
      <c r="N310" s="69"/>
      <c r="O310" s="67"/>
      <c r="P310" s="69"/>
      <c r="Q310" s="69"/>
      <c r="R310" s="68"/>
    </row>
    <row r="311" spans="1:18" ht="27" x14ac:dyDescent="0.4">
      <c r="A311" s="65"/>
      <c r="B311" s="66"/>
      <c r="C311" s="66"/>
      <c r="D311" s="67"/>
      <c r="E311" s="68"/>
      <c r="F311" s="68"/>
      <c r="G311" s="66"/>
      <c r="H311" s="67"/>
      <c r="I311" s="67"/>
      <c r="J311" s="67"/>
      <c r="K311" s="66"/>
      <c r="L311" s="68"/>
      <c r="M311" s="66"/>
      <c r="N311" s="69"/>
      <c r="O311" s="67"/>
      <c r="P311" s="69"/>
      <c r="Q311" s="69"/>
      <c r="R311" s="68"/>
    </row>
    <row r="312" spans="1:18" ht="27" x14ac:dyDescent="0.4">
      <c r="A312" s="65"/>
      <c r="B312" s="66"/>
      <c r="C312" s="66"/>
      <c r="D312" s="67"/>
      <c r="E312" s="68"/>
      <c r="F312" s="68"/>
      <c r="G312" s="66"/>
      <c r="H312" s="67"/>
      <c r="I312" s="67"/>
      <c r="J312" s="67"/>
      <c r="K312" s="66"/>
      <c r="L312" s="68"/>
      <c r="M312" s="66"/>
      <c r="N312" s="69"/>
      <c r="O312" s="67"/>
      <c r="P312" s="69"/>
      <c r="Q312" s="69"/>
      <c r="R312" s="68"/>
    </row>
    <row r="313" spans="1:18" ht="27" x14ac:dyDescent="0.4">
      <c r="A313" s="65"/>
      <c r="B313" s="66"/>
      <c r="C313" s="66"/>
      <c r="D313" s="67"/>
      <c r="E313" s="68"/>
      <c r="F313" s="68"/>
      <c r="G313" s="66"/>
      <c r="H313" s="67"/>
      <c r="I313" s="67"/>
      <c r="J313" s="67"/>
      <c r="K313" s="66"/>
      <c r="L313" s="68"/>
      <c r="M313" s="66"/>
      <c r="N313" s="69"/>
      <c r="O313" s="67"/>
      <c r="P313" s="69"/>
      <c r="Q313" s="69"/>
      <c r="R313" s="68"/>
    </row>
    <row r="314" spans="1:18" ht="27" x14ac:dyDescent="0.4">
      <c r="A314" s="65"/>
      <c r="B314" s="66"/>
      <c r="C314" s="66"/>
      <c r="D314" s="67"/>
      <c r="E314" s="68"/>
      <c r="F314" s="68"/>
      <c r="G314" s="66"/>
      <c r="H314" s="67"/>
      <c r="I314" s="67"/>
      <c r="J314" s="67"/>
      <c r="K314" s="66"/>
      <c r="L314" s="68"/>
      <c r="M314" s="66"/>
      <c r="N314" s="69"/>
      <c r="O314" s="67"/>
      <c r="P314" s="69"/>
      <c r="Q314" s="69"/>
      <c r="R314" s="68"/>
    </row>
    <row r="315" spans="1:18" ht="27" x14ac:dyDescent="0.4">
      <c r="A315" s="65"/>
      <c r="B315" s="66"/>
      <c r="C315" s="66"/>
      <c r="D315" s="67"/>
      <c r="E315" s="68"/>
      <c r="F315" s="68"/>
      <c r="G315" s="66"/>
      <c r="H315" s="67"/>
      <c r="I315" s="67"/>
      <c r="J315" s="67"/>
      <c r="K315" s="66"/>
      <c r="L315" s="68"/>
      <c r="M315" s="66"/>
      <c r="N315" s="69"/>
      <c r="O315" s="67"/>
      <c r="P315" s="69"/>
      <c r="Q315" s="69"/>
      <c r="R315" s="68"/>
    </row>
    <row r="316" spans="1:18" ht="27" x14ac:dyDescent="0.4">
      <c r="A316" s="65"/>
      <c r="B316" s="66"/>
      <c r="C316" s="66"/>
      <c r="D316" s="67"/>
      <c r="E316" s="68"/>
      <c r="F316" s="68"/>
      <c r="G316" s="66"/>
      <c r="H316" s="67"/>
      <c r="I316" s="67"/>
      <c r="J316" s="67"/>
      <c r="K316" s="66"/>
      <c r="L316" s="68"/>
      <c r="M316" s="66"/>
      <c r="N316" s="69"/>
      <c r="O316" s="67"/>
      <c r="P316" s="69"/>
      <c r="Q316" s="69"/>
      <c r="R316" s="68"/>
    </row>
    <row r="317" spans="1:18" ht="27" x14ac:dyDescent="0.4">
      <c r="A317" s="65"/>
      <c r="B317" s="66"/>
      <c r="C317" s="66"/>
      <c r="D317" s="67"/>
      <c r="E317" s="68"/>
      <c r="F317" s="68"/>
      <c r="G317" s="66"/>
      <c r="H317" s="67"/>
      <c r="I317" s="67"/>
      <c r="J317" s="67"/>
      <c r="K317" s="66"/>
      <c r="L317" s="68"/>
      <c r="M317" s="66"/>
      <c r="N317" s="69"/>
      <c r="O317" s="67"/>
      <c r="P317" s="69"/>
      <c r="Q317" s="69"/>
      <c r="R317" s="68"/>
    </row>
    <row r="318" spans="1:18" ht="27" x14ac:dyDescent="0.4">
      <c r="A318" s="65"/>
      <c r="B318" s="66"/>
      <c r="C318" s="66"/>
      <c r="D318" s="67"/>
      <c r="E318" s="68"/>
      <c r="F318" s="68"/>
      <c r="G318" s="66"/>
      <c r="H318" s="67"/>
      <c r="I318" s="67"/>
      <c r="J318" s="67"/>
      <c r="K318" s="66"/>
      <c r="L318" s="68"/>
      <c r="M318" s="66"/>
      <c r="N318" s="69"/>
      <c r="O318" s="67"/>
      <c r="P318" s="69"/>
      <c r="Q318" s="69"/>
      <c r="R318" s="68"/>
    </row>
    <row r="319" spans="1:18" ht="27" x14ac:dyDescent="0.4">
      <c r="A319" s="65"/>
      <c r="B319" s="66"/>
      <c r="C319" s="66"/>
      <c r="D319" s="67"/>
      <c r="E319" s="68"/>
      <c r="F319" s="68"/>
      <c r="G319" s="66"/>
      <c r="H319" s="67"/>
      <c r="I319" s="67"/>
      <c r="J319" s="67"/>
      <c r="K319" s="66"/>
      <c r="L319" s="68"/>
      <c r="M319" s="66"/>
      <c r="N319" s="69"/>
      <c r="O319" s="67"/>
      <c r="P319" s="69"/>
      <c r="Q319" s="69"/>
      <c r="R319" s="68"/>
    </row>
    <row r="320" spans="1:18" ht="27" x14ac:dyDescent="0.4">
      <c r="A320" s="65"/>
      <c r="B320" s="66"/>
      <c r="C320" s="66"/>
      <c r="D320" s="67"/>
      <c r="E320" s="68"/>
      <c r="F320" s="68"/>
      <c r="G320" s="66"/>
      <c r="H320" s="67"/>
      <c r="I320" s="67"/>
      <c r="J320" s="67"/>
      <c r="K320" s="66"/>
      <c r="L320" s="68"/>
      <c r="M320" s="66"/>
      <c r="N320" s="69"/>
      <c r="O320" s="67"/>
      <c r="P320" s="69"/>
      <c r="Q320" s="69"/>
      <c r="R320" s="68"/>
    </row>
    <row r="321" spans="1:18" ht="27" x14ac:dyDescent="0.4">
      <c r="A321" s="65"/>
      <c r="B321" s="66"/>
      <c r="C321" s="66"/>
      <c r="D321" s="67"/>
      <c r="E321" s="68"/>
      <c r="F321" s="68"/>
      <c r="G321" s="66"/>
      <c r="H321" s="67"/>
      <c r="I321" s="67"/>
      <c r="J321" s="67"/>
      <c r="K321" s="66"/>
      <c r="L321" s="68"/>
      <c r="M321" s="66"/>
      <c r="N321" s="69"/>
      <c r="O321" s="67"/>
      <c r="P321" s="69"/>
      <c r="Q321" s="69"/>
      <c r="R321" s="68"/>
    </row>
  </sheetData>
  <mergeCells count="10">
    <mergeCell ref="A1:A2"/>
    <mergeCell ref="B1:B2"/>
    <mergeCell ref="C1:C2"/>
    <mergeCell ref="D1:D2"/>
    <mergeCell ref="E1:E2"/>
    <mergeCell ref="F1:F2"/>
    <mergeCell ref="G1:K1"/>
    <mergeCell ref="L1:L2"/>
    <mergeCell ref="M1:Q1"/>
    <mergeCell ref="R1:R2"/>
  </mergeCells>
  <dataValidations count="1">
    <dataValidation type="list" allowBlank="1" showInputMessage="1" showErrorMessage="1" sqref="M3:M321" xr:uid="{0466BEAD-D05E-48BB-B7E4-E01225C77E80}">
      <formula1>INDIRECT(S3)</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816BC-BB72-4D2E-93FC-4D7D1396E97F}">
  <dimension ref="A1:X321"/>
  <sheetViews>
    <sheetView zoomScale="57" zoomScaleNormal="57" workbookViewId="0">
      <selection activeCell="L20" sqref="L20"/>
    </sheetView>
  </sheetViews>
  <sheetFormatPr defaultRowHeight="17.25" x14ac:dyDescent="0.4"/>
  <cols>
    <col min="1" max="1" width="7.140625" style="1" customWidth="1"/>
    <col min="2" max="2" width="14.7109375" style="1" customWidth="1"/>
    <col min="3" max="3" width="15.5703125" style="1" customWidth="1"/>
    <col min="4" max="4" width="9.28515625" style="1" bestFit="1" customWidth="1"/>
    <col min="5" max="5" width="24.140625" style="1" customWidth="1"/>
    <col min="6" max="6" width="33.28515625" style="1" customWidth="1"/>
    <col min="7" max="7" width="9.140625" style="1"/>
    <col min="8" max="11" width="9.28515625" style="1" bestFit="1" customWidth="1"/>
    <col min="12" max="12" width="37" style="1" customWidth="1"/>
    <col min="13" max="13" width="9.140625" style="1"/>
    <col min="14" max="17" width="9.28515625" style="1" bestFit="1" customWidth="1"/>
    <col min="18" max="18" width="20" style="1" customWidth="1"/>
    <col min="19" max="19" width="9.140625" style="1"/>
    <col min="20" max="20" width="9.28515625" style="1" bestFit="1" customWidth="1"/>
    <col min="21" max="21" width="9.140625" style="1"/>
    <col min="22" max="22" width="9.42578125" style="1" customWidth="1"/>
    <col min="23" max="23" width="14.140625" style="1" customWidth="1"/>
    <col min="24" max="24" width="13.140625" style="1" customWidth="1"/>
    <col min="25" max="16384" width="9.140625" style="1"/>
  </cols>
  <sheetData>
    <row r="1" spans="1:18" ht="27" x14ac:dyDescent="0.4">
      <c r="A1" s="173" t="s">
        <v>0</v>
      </c>
      <c r="B1" s="171" t="s">
        <v>1</v>
      </c>
      <c r="C1" s="171" t="s">
        <v>2</v>
      </c>
      <c r="D1" s="172" t="s">
        <v>3</v>
      </c>
      <c r="E1" s="172" t="s">
        <v>4</v>
      </c>
      <c r="F1" s="163" t="s">
        <v>5</v>
      </c>
      <c r="G1" s="163" t="s">
        <v>6</v>
      </c>
      <c r="H1" s="163"/>
      <c r="I1" s="163"/>
      <c r="J1" s="163"/>
      <c r="K1" s="163"/>
      <c r="L1" s="169" t="s">
        <v>7</v>
      </c>
      <c r="M1" s="169" t="s">
        <v>8</v>
      </c>
      <c r="N1" s="169"/>
      <c r="O1" s="169"/>
      <c r="P1" s="169"/>
      <c r="Q1" s="169"/>
      <c r="R1" s="170" t="s">
        <v>9</v>
      </c>
    </row>
    <row r="2" spans="1:18" ht="108" x14ac:dyDescent="0.4">
      <c r="A2" s="173"/>
      <c r="B2" s="171"/>
      <c r="C2" s="171"/>
      <c r="D2" s="172"/>
      <c r="E2" s="172"/>
      <c r="F2" s="163"/>
      <c r="G2" s="63" t="s">
        <v>10</v>
      </c>
      <c r="H2" s="63" t="s">
        <v>11</v>
      </c>
      <c r="I2" s="63" t="s">
        <v>12</v>
      </c>
      <c r="J2" s="63" t="s">
        <v>13</v>
      </c>
      <c r="K2" s="63" t="s">
        <v>14</v>
      </c>
      <c r="L2" s="169"/>
      <c r="M2" s="64" t="s">
        <v>10</v>
      </c>
      <c r="N2" s="64" t="s">
        <v>11</v>
      </c>
      <c r="O2" s="64" t="s">
        <v>15</v>
      </c>
      <c r="P2" s="64" t="s">
        <v>16</v>
      </c>
      <c r="Q2" s="64" t="s">
        <v>17</v>
      </c>
      <c r="R2" s="170"/>
    </row>
    <row r="3" spans="1:18" ht="27" x14ac:dyDescent="0.4">
      <c r="A3" s="65"/>
      <c r="B3" s="66"/>
      <c r="C3" s="66"/>
      <c r="D3" s="67"/>
      <c r="E3" s="68"/>
      <c r="F3" s="68"/>
      <c r="G3" s="66"/>
      <c r="H3" s="67"/>
      <c r="I3" s="67"/>
      <c r="J3" s="67"/>
      <c r="K3" s="66"/>
      <c r="L3" s="68"/>
      <c r="M3" s="66"/>
      <c r="N3" s="69"/>
      <c r="O3" s="67"/>
      <c r="P3" s="66"/>
      <c r="Q3" s="65"/>
      <c r="R3" s="70"/>
    </row>
    <row r="4" spans="1:18" ht="27" x14ac:dyDescent="0.4">
      <c r="A4" s="65"/>
      <c r="B4" s="66"/>
      <c r="C4" s="66"/>
      <c r="D4" s="67"/>
      <c r="E4" s="68"/>
      <c r="F4" s="68"/>
      <c r="G4" s="66"/>
      <c r="H4" s="67"/>
      <c r="I4" s="67"/>
      <c r="J4" s="67"/>
      <c r="K4" s="66"/>
      <c r="L4" s="68"/>
      <c r="M4" s="66"/>
      <c r="N4" s="69"/>
      <c r="O4" s="67"/>
      <c r="P4" s="66"/>
      <c r="Q4" s="65"/>
      <c r="R4" s="70"/>
    </row>
    <row r="5" spans="1:18" ht="27" x14ac:dyDescent="0.4">
      <c r="A5" s="65"/>
      <c r="B5" s="66"/>
      <c r="C5" s="66"/>
      <c r="D5" s="67"/>
      <c r="E5" s="68"/>
      <c r="F5" s="68"/>
      <c r="G5" s="66"/>
      <c r="H5" s="67"/>
      <c r="I5" s="67"/>
      <c r="J5" s="67"/>
      <c r="K5" s="66"/>
      <c r="L5" s="68"/>
      <c r="M5" s="66"/>
      <c r="N5" s="69"/>
      <c r="O5" s="67"/>
      <c r="P5" s="66"/>
      <c r="Q5" s="65"/>
      <c r="R5" s="68"/>
    </row>
    <row r="6" spans="1:18" ht="27" x14ac:dyDescent="0.4">
      <c r="A6" s="65"/>
      <c r="B6" s="66"/>
      <c r="C6" s="66"/>
      <c r="D6" s="67"/>
      <c r="E6" s="68"/>
      <c r="F6" s="68"/>
      <c r="G6" s="66"/>
      <c r="H6" s="67"/>
      <c r="I6" s="67"/>
      <c r="J6" s="67"/>
      <c r="K6" s="66"/>
      <c r="L6" s="68"/>
      <c r="M6" s="66"/>
      <c r="N6" s="69"/>
      <c r="O6" s="67"/>
      <c r="P6" s="66"/>
      <c r="Q6" s="65"/>
      <c r="R6" s="70"/>
    </row>
    <row r="7" spans="1:18" ht="27" x14ac:dyDescent="0.4">
      <c r="A7" s="65"/>
      <c r="B7" s="66"/>
      <c r="C7" s="66"/>
      <c r="D7" s="67"/>
      <c r="E7" s="68"/>
      <c r="F7" s="68"/>
      <c r="G7" s="66"/>
      <c r="H7" s="67"/>
      <c r="I7" s="67"/>
      <c r="J7" s="67"/>
      <c r="K7" s="66"/>
      <c r="L7" s="68"/>
      <c r="M7" s="66"/>
      <c r="N7" s="69"/>
      <c r="O7" s="67"/>
      <c r="P7" s="66"/>
      <c r="Q7" s="65"/>
      <c r="R7" s="70"/>
    </row>
    <row r="8" spans="1:18" ht="27" x14ac:dyDescent="0.4">
      <c r="A8" s="65"/>
      <c r="B8" s="66"/>
      <c r="C8" s="66"/>
      <c r="D8" s="67"/>
      <c r="E8" s="68"/>
      <c r="F8" s="68"/>
      <c r="G8" s="66"/>
      <c r="H8" s="67"/>
      <c r="I8" s="67"/>
      <c r="J8" s="67"/>
      <c r="K8" s="66"/>
      <c r="L8" s="68"/>
      <c r="M8" s="66"/>
      <c r="N8" s="69"/>
      <c r="O8" s="67"/>
      <c r="P8" s="66"/>
      <c r="Q8" s="65"/>
      <c r="R8" s="70"/>
    </row>
    <row r="9" spans="1:18" ht="27" x14ac:dyDescent="0.4">
      <c r="A9" s="65"/>
      <c r="B9" s="66"/>
      <c r="C9" s="66"/>
      <c r="D9" s="67"/>
      <c r="E9" s="68"/>
      <c r="F9" s="68"/>
      <c r="G9" s="66"/>
      <c r="H9" s="67"/>
      <c r="I9" s="67"/>
      <c r="J9" s="67"/>
      <c r="K9" s="66"/>
      <c r="L9" s="68"/>
      <c r="M9" s="66"/>
      <c r="N9" s="69"/>
      <c r="O9" s="67"/>
      <c r="P9" s="66"/>
      <c r="Q9" s="65"/>
      <c r="R9" s="70"/>
    </row>
    <row r="10" spans="1:18" ht="27" x14ac:dyDescent="0.4">
      <c r="A10" s="65"/>
      <c r="B10" s="66"/>
      <c r="C10" s="66"/>
      <c r="D10" s="67"/>
      <c r="E10" s="68"/>
      <c r="F10" s="68"/>
      <c r="G10" s="66"/>
      <c r="H10" s="67"/>
      <c r="I10" s="67"/>
      <c r="J10" s="67"/>
      <c r="K10" s="66"/>
      <c r="L10" s="68"/>
      <c r="M10" s="66"/>
      <c r="N10" s="69"/>
      <c r="O10" s="67"/>
      <c r="P10" s="66"/>
      <c r="Q10" s="65"/>
      <c r="R10" s="70"/>
    </row>
    <row r="11" spans="1:18" ht="27" x14ac:dyDescent="0.4">
      <c r="A11" s="65"/>
      <c r="B11" s="66"/>
      <c r="C11" s="66"/>
      <c r="D11" s="67"/>
      <c r="E11" s="68"/>
      <c r="F11" s="68"/>
      <c r="G11" s="66"/>
      <c r="H11" s="67"/>
      <c r="I11" s="67"/>
      <c r="J11" s="67"/>
      <c r="K11" s="66"/>
      <c r="L11" s="68"/>
      <c r="M11" s="66"/>
      <c r="N11" s="69"/>
      <c r="O11" s="67"/>
      <c r="P11" s="66"/>
      <c r="Q11" s="65"/>
      <c r="R11" s="70"/>
    </row>
    <row r="12" spans="1:18" ht="27" x14ac:dyDescent="0.4">
      <c r="A12" s="65"/>
      <c r="B12" s="66"/>
      <c r="C12" s="66"/>
      <c r="D12" s="67"/>
      <c r="E12" s="68"/>
      <c r="F12" s="68"/>
      <c r="G12" s="66"/>
      <c r="H12" s="67"/>
      <c r="I12" s="67"/>
      <c r="J12" s="67"/>
      <c r="K12" s="66"/>
      <c r="L12" s="68"/>
      <c r="M12" s="66"/>
      <c r="N12" s="69"/>
      <c r="O12" s="67"/>
      <c r="P12" s="66"/>
      <c r="Q12" s="65"/>
      <c r="R12" s="68"/>
    </row>
    <row r="13" spans="1:18" ht="27" x14ac:dyDescent="0.4">
      <c r="A13" s="65"/>
      <c r="B13" s="66"/>
      <c r="C13" s="66"/>
      <c r="D13" s="67"/>
      <c r="E13" s="68"/>
      <c r="F13" s="68"/>
      <c r="G13" s="66"/>
      <c r="H13" s="67"/>
      <c r="I13" s="67"/>
      <c r="J13" s="67"/>
      <c r="K13" s="66"/>
      <c r="L13" s="68"/>
      <c r="M13" s="66"/>
      <c r="N13" s="69"/>
      <c r="O13" s="67"/>
      <c r="P13" s="66"/>
      <c r="Q13" s="65"/>
      <c r="R13" s="68"/>
    </row>
    <row r="14" spans="1:18" ht="27" x14ac:dyDescent="0.4">
      <c r="A14" s="65"/>
      <c r="B14" s="66"/>
      <c r="C14" s="66"/>
      <c r="D14" s="67"/>
      <c r="E14" s="68"/>
      <c r="F14" s="68"/>
      <c r="G14" s="66"/>
      <c r="H14" s="67"/>
      <c r="I14" s="67"/>
      <c r="J14" s="67"/>
      <c r="K14" s="66"/>
      <c r="L14" s="68"/>
      <c r="M14" s="66"/>
      <c r="N14" s="69"/>
      <c r="O14" s="67"/>
      <c r="P14" s="66"/>
      <c r="Q14" s="65"/>
      <c r="R14" s="68"/>
    </row>
    <row r="15" spans="1:18" ht="27" x14ac:dyDescent="0.4">
      <c r="A15" s="65"/>
      <c r="B15" s="66"/>
      <c r="C15" s="66"/>
      <c r="D15" s="67"/>
      <c r="E15" s="68"/>
      <c r="F15" s="68"/>
      <c r="G15" s="66"/>
      <c r="H15" s="67"/>
      <c r="I15" s="67"/>
      <c r="J15" s="67"/>
      <c r="K15" s="66"/>
      <c r="L15" s="68"/>
      <c r="M15" s="66"/>
      <c r="N15" s="69"/>
      <c r="O15" s="67"/>
      <c r="P15" s="66"/>
      <c r="Q15" s="65"/>
      <c r="R15" s="65"/>
    </row>
    <row r="16" spans="1:18" ht="27" x14ac:dyDescent="0.4">
      <c r="A16" s="65"/>
      <c r="B16" s="66"/>
      <c r="C16" s="66"/>
      <c r="D16" s="67"/>
      <c r="E16" s="68"/>
      <c r="F16" s="68"/>
      <c r="G16" s="66"/>
      <c r="H16" s="67"/>
      <c r="I16" s="67"/>
      <c r="J16" s="67"/>
      <c r="K16" s="66"/>
      <c r="L16" s="68"/>
      <c r="M16" s="66"/>
      <c r="N16" s="69"/>
      <c r="O16" s="67"/>
      <c r="P16" s="66"/>
      <c r="Q16" s="65"/>
      <c r="R16" s="120"/>
    </row>
    <row r="17" spans="1:18" ht="27" x14ac:dyDescent="0.4">
      <c r="A17" s="65"/>
      <c r="B17" s="66"/>
      <c r="C17" s="66"/>
      <c r="D17" s="67"/>
      <c r="E17" s="68"/>
      <c r="F17" s="68"/>
      <c r="G17" s="66"/>
      <c r="H17" s="67"/>
      <c r="I17" s="67"/>
      <c r="J17" s="67"/>
      <c r="K17" s="66"/>
      <c r="L17" s="68"/>
      <c r="M17" s="66"/>
      <c r="N17" s="69"/>
      <c r="O17" s="67"/>
      <c r="P17" s="66"/>
      <c r="Q17" s="65"/>
      <c r="R17" s="65"/>
    </row>
    <row r="18" spans="1:18" ht="27" x14ac:dyDescent="0.4">
      <c r="A18" s="65"/>
      <c r="B18" s="66"/>
      <c r="C18" s="66"/>
      <c r="D18" s="67"/>
      <c r="E18" s="68"/>
      <c r="F18" s="68"/>
      <c r="G18" s="66"/>
      <c r="H18" s="67"/>
      <c r="I18" s="67"/>
      <c r="J18" s="67"/>
      <c r="K18" s="66"/>
      <c r="L18" s="68"/>
      <c r="M18" s="66"/>
      <c r="N18" s="69"/>
      <c r="O18" s="67"/>
      <c r="P18" s="66"/>
      <c r="Q18" s="65"/>
      <c r="R18" s="70"/>
    </row>
    <row r="19" spans="1:18" ht="27" x14ac:dyDescent="0.4">
      <c r="A19" s="65"/>
      <c r="B19" s="66"/>
      <c r="C19" s="66"/>
      <c r="D19" s="67"/>
      <c r="E19" s="68"/>
      <c r="F19" s="68"/>
      <c r="G19" s="66"/>
      <c r="H19" s="67"/>
      <c r="I19" s="67"/>
      <c r="J19" s="67"/>
      <c r="K19" s="66"/>
      <c r="L19" s="68"/>
      <c r="M19" s="66"/>
      <c r="N19" s="69"/>
      <c r="O19" s="67"/>
      <c r="P19" s="66"/>
      <c r="Q19" s="65"/>
      <c r="R19" s="68"/>
    </row>
    <row r="20" spans="1:18" ht="27" x14ac:dyDescent="0.4">
      <c r="A20" s="65"/>
      <c r="B20" s="66"/>
      <c r="C20" s="66"/>
      <c r="D20" s="67"/>
      <c r="E20" s="68"/>
      <c r="F20" s="68"/>
      <c r="G20" s="66"/>
      <c r="H20" s="67"/>
      <c r="I20" s="67"/>
      <c r="J20" s="67"/>
      <c r="K20" s="66"/>
      <c r="L20" s="68"/>
      <c r="M20" s="66"/>
      <c r="N20" s="69"/>
      <c r="O20" s="67"/>
      <c r="P20" s="66"/>
      <c r="Q20" s="65"/>
      <c r="R20" s="68"/>
    </row>
    <row r="21" spans="1:18" ht="27" x14ac:dyDescent="0.4">
      <c r="A21" s="65"/>
      <c r="B21" s="66"/>
      <c r="C21" s="66"/>
      <c r="D21" s="67"/>
      <c r="E21" s="68"/>
      <c r="F21" s="68"/>
      <c r="G21" s="66"/>
      <c r="H21" s="67"/>
      <c r="I21" s="67"/>
      <c r="J21" s="67"/>
      <c r="K21" s="66"/>
      <c r="L21" s="68"/>
      <c r="M21" s="66"/>
      <c r="N21" s="69"/>
      <c r="O21" s="67"/>
      <c r="P21" s="66"/>
      <c r="Q21" s="65"/>
      <c r="R21" s="68"/>
    </row>
    <row r="22" spans="1:18" ht="27" x14ac:dyDescent="0.4">
      <c r="A22" s="65"/>
      <c r="B22" s="66"/>
      <c r="C22" s="66"/>
      <c r="D22" s="67"/>
      <c r="E22" s="68"/>
      <c r="F22" s="68"/>
      <c r="G22" s="66"/>
      <c r="H22" s="67"/>
      <c r="I22" s="67"/>
      <c r="J22" s="67"/>
      <c r="K22" s="66"/>
      <c r="L22" s="68"/>
      <c r="M22" s="66"/>
      <c r="N22" s="69"/>
      <c r="O22" s="67"/>
      <c r="P22" s="66"/>
      <c r="Q22" s="65"/>
      <c r="R22" s="68"/>
    </row>
    <row r="23" spans="1:18" ht="27" x14ac:dyDescent="0.4">
      <c r="A23" s="65"/>
      <c r="B23" s="66"/>
      <c r="C23" s="66"/>
      <c r="D23" s="67"/>
      <c r="E23" s="68"/>
      <c r="F23" s="68"/>
      <c r="G23" s="66"/>
      <c r="H23" s="67"/>
      <c r="I23" s="67"/>
      <c r="J23" s="67"/>
      <c r="K23" s="66"/>
      <c r="L23" s="68"/>
      <c r="M23" s="66"/>
      <c r="N23" s="69"/>
      <c r="O23" s="67"/>
      <c r="P23" s="66"/>
      <c r="Q23" s="65"/>
      <c r="R23" s="68"/>
    </row>
    <row r="24" spans="1:18" ht="27" x14ac:dyDescent="0.4">
      <c r="A24" s="65"/>
      <c r="B24" s="66"/>
      <c r="C24" s="66"/>
      <c r="D24" s="67"/>
      <c r="E24" s="68"/>
      <c r="F24" s="68"/>
      <c r="G24" s="66"/>
      <c r="H24" s="67"/>
      <c r="I24" s="67"/>
      <c r="J24" s="67"/>
      <c r="K24" s="66"/>
      <c r="L24" s="68"/>
      <c r="M24" s="66"/>
      <c r="N24" s="69"/>
      <c r="O24" s="67"/>
      <c r="P24" s="66"/>
      <c r="Q24" s="65"/>
      <c r="R24" s="68"/>
    </row>
    <row r="25" spans="1:18" ht="27" x14ac:dyDescent="0.4">
      <c r="A25" s="65"/>
      <c r="B25" s="66"/>
      <c r="C25" s="66"/>
      <c r="D25" s="67"/>
      <c r="E25" s="68"/>
      <c r="F25" s="68"/>
      <c r="G25" s="66"/>
      <c r="H25" s="67"/>
      <c r="I25" s="67"/>
      <c r="J25" s="67"/>
      <c r="K25" s="66"/>
      <c r="L25" s="68"/>
      <c r="M25" s="66"/>
      <c r="N25" s="69"/>
      <c r="O25" s="67"/>
      <c r="P25" s="66"/>
      <c r="Q25" s="65"/>
      <c r="R25" s="68"/>
    </row>
    <row r="26" spans="1:18" ht="27" x14ac:dyDescent="0.4">
      <c r="A26" s="65"/>
      <c r="B26" s="66"/>
      <c r="C26" s="66"/>
      <c r="D26" s="67"/>
      <c r="E26" s="68"/>
      <c r="F26" s="68"/>
      <c r="G26" s="66"/>
      <c r="H26" s="67"/>
      <c r="I26" s="67"/>
      <c r="J26" s="67"/>
      <c r="K26" s="66"/>
      <c r="L26" s="68"/>
      <c r="M26" s="66"/>
      <c r="N26" s="69"/>
      <c r="O26" s="67"/>
      <c r="P26" s="66"/>
      <c r="Q26" s="65"/>
      <c r="R26" s="68"/>
    </row>
    <row r="27" spans="1:18" ht="27" x14ac:dyDescent="0.4">
      <c r="A27" s="65"/>
      <c r="B27" s="66"/>
      <c r="C27" s="66"/>
      <c r="D27" s="67"/>
      <c r="E27" s="68"/>
      <c r="F27" s="68"/>
      <c r="G27" s="66"/>
      <c r="H27" s="67"/>
      <c r="I27" s="67"/>
      <c r="J27" s="67"/>
      <c r="K27" s="66"/>
      <c r="L27" s="68"/>
      <c r="M27" s="66"/>
      <c r="N27" s="69"/>
      <c r="O27" s="67"/>
      <c r="P27" s="66"/>
      <c r="Q27" s="65"/>
      <c r="R27" s="68"/>
    </row>
    <row r="28" spans="1:18" ht="27" x14ac:dyDescent="0.4">
      <c r="A28" s="65"/>
      <c r="B28" s="66"/>
      <c r="C28" s="66"/>
      <c r="D28" s="67"/>
      <c r="E28" s="68"/>
      <c r="F28" s="68"/>
      <c r="G28" s="66"/>
      <c r="H28" s="67"/>
      <c r="I28" s="67"/>
      <c r="J28" s="67"/>
      <c r="K28" s="66"/>
      <c r="L28" s="68"/>
      <c r="M28" s="66"/>
      <c r="N28" s="69"/>
      <c r="O28" s="67"/>
      <c r="P28" s="66"/>
      <c r="Q28" s="65"/>
      <c r="R28" s="68"/>
    </row>
    <row r="29" spans="1:18" ht="27" x14ac:dyDescent="0.4">
      <c r="A29" s="65"/>
      <c r="B29" s="66"/>
      <c r="C29" s="66"/>
      <c r="D29" s="67"/>
      <c r="E29" s="68"/>
      <c r="F29" s="68"/>
      <c r="G29" s="66"/>
      <c r="H29" s="67"/>
      <c r="I29" s="67"/>
      <c r="J29" s="67"/>
      <c r="K29" s="71"/>
      <c r="L29" s="68"/>
      <c r="M29" s="66"/>
      <c r="N29" s="69"/>
      <c r="O29" s="67"/>
      <c r="P29" s="71"/>
      <c r="Q29" s="65"/>
      <c r="R29" s="68"/>
    </row>
    <row r="30" spans="1:18" ht="27" x14ac:dyDescent="0.4">
      <c r="A30" s="65"/>
      <c r="B30" s="66"/>
      <c r="C30" s="66"/>
      <c r="D30" s="67"/>
      <c r="E30" s="68"/>
      <c r="F30" s="68"/>
      <c r="G30" s="66"/>
      <c r="H30" s="67"/>
      <c r="I30" s="67"/>
      <c r="J30" s="67"/>
      <c r="K30" s="71"/>
      <c r="L30" s="68"/>
      <c r="M30" s="66"/>
      <c r="N30" s="69"/>
      <c r="O30" s="67"/>
      <c r="P30" s="71"/>
      <c r="Q30" s="65"/>
      <c r="R30" s="68"/>
    </row>
    <row r="31" spans="1:18" ht="27" x14ac:dyDescent="0.4">
      <c r="A31" s="65"/>
      <c r="B31" s="66"/>
      <c r="C31" s="66"/>
      <c r="D31" s="67"/>
      <c r="E31" s="68"/>
      <c r="F31" s="68"/>
      <c r="G31" s="66"/>
      <c r="H31" s="67"/>
      <c r="I31" s="67"/>
      <c r="J31" s="67"/>
      <c r="K31" s="71"/>
      <c r="L31" s="68"/>
      <c r="M31" s="66"/>
      <c r="N31" s="69"/>
      <c r="O31" s="67"/>
      <c r="P31" s="71"/>
      <c r="Q31" s="65"/>
      <c r="R31" s="68"/>
    </row>
    <row r="32" spans="1:18" ht="27" x14ac:dyDescent="0.4">
      <c r="A32" s="65"/>
      <c r="B32" s="66"/>
      <c r="C32" s="66"/>
      <c r="D32" s="67"/>
      <c r="E32" s="68"/>
      <c r="F32" s="68"/>
      <c r="G32" s="66"/>
      <c r="H32" s="67"/>
      <c r="I32" s="67"/>
      <c r="J32" s="67"/>
      <c r="K32" s="66"/>
      <c r="L32" s="68"/>
      <c r="M32" s="66"/>
      <c r="N32" s="69"/>
      <c r="O32" s="67"/>
      <c r="P32" s="66"/>
      <c r="Q32" s="65"/>
      <c r="R32" s="68"/>
    </row>
    <row r="33" spans="1:18" ht="27" x14ac:dyDescent="0.4">
      <c r="A33" s="65"/>
      <c r="B33" s="66"/>
      <c r="C33" s="66"/>
      <c r="D33" s="67"/>
      <c r="E33" s="68"/>
      <c r="F33" s="68"/>
      <c r="G33" s="66"/>
      <c r="H33" s="67"/>
      <c r="I33" s="67"/>
      <c r="J33" s="67"/>
      <c r="K33" s="66"/>
      <c r="L33" s="68"/>
      <c r="M33" s="66"/>
      <c r="N33" s="69"/>
      <c r="O33" s="67"/>
      <c r="P33" s="66"/>
      <c r="Q33" s="68"/>
      <c r="R33" s="68"/>
    </row>
    <row r="34" spans="1:18" ht="27" x14ac:dyDescent="0.4">
      <c r="A34" s="65"/>
      <c r="B34" s="66"/>
      <c r="C34" s="66"/>
      <c r="D34" s="67"/>
      <c r="E34" s="68"/>
      <c r="F34" s="68"/>
      <c r="G34" s="66"/>
      <c r="H34" s="67"/>
      <c r="I34" s="67"/>
      <c r="J34" s="67"/>
      <c r="K34" s="66"/>
      <c r="L34" s="68"/>
      <c r="M34" s="66"/>
      <c r="N34" s="69"/>
      <c r="O34" s="67"/>
      <c r="P34" s="66"/>
      <c r="Q34" s="68"/>
      <c r="R34" s="68"/>
    </row>
    <row r="35" spans="1:18" ht="27" x14ac:dyDescent="0.4">
      <c r="A35" s="65"/>
      <c r="B35" s="66"/>
      <c r="C35" s="66"/>
      <c r="D35" s="67"/>
      <c r="E35" s="68"/>
      <c r="F35" s="68"/>
      <c r="G35" s="66"/>
      <c r="H35" s="67"/>
      <c r="I35" s="67"/>
      <c r="J35" s="67"/>
      <c r="K35" s="66"/>
      <c r="L35" s="68"/>
      <c r="M35" s="66"/>
      <c r="N35" s="69"/>
      <c r="O35" s="67"/>
      <c r="P35" s="66"/>
      <c r="Q35" s="68"/>
      <c r="R35" s="68"/>
    </row>
    <row r="36" spans="1:18" ht="27" x14ac:dyDescent="0.4">
      <c r="A36" s="65"/>
      <c r="B36" s="66"/>
      <c r="C36" s="66"/>
      <c r="D36" s="67"/>
      <c r="E36" s="68"/>
      <c r="F36" s="68"/>
      <c r="G36" s="66"/>
      <c r="H36" s="67"/>
      <c r="I36" s="67"/>
      <c r="J36" s="67"/>
      <c r="K36" s="66"/>
      <c r="L36" s="68"/>
      <c r="M36" s="66"/>
      <c r="N36" s="69"/>
      <c r="O36" s="67"/>
      <c r="P36" s="66"/>
      <c r="Q36" s="68"/>
      <c r="R36" s="68"/>
    </row>
    <row r="37" spans="1:18" ht="27" x14ac:dyDescent="0.4">
      <c r="A37" s="65"/>
      <c r="B37" s="66"/>
      <c r="C37" s="66"/>
      <c r="D37" s="67"/>
      <c r="E37" s="68"/>
      <c r="F37" s="68"/>
      <c r="G37" s="66"/>
      <c r="H37" s="67"/>
      <c r="I37" s="67"/>
      <c r="J37" s="67"/>
      <c r="K37" s="66"/>
      <c r="L37" s="68"/>
      <c r="M37" s="66"/>
      <c r="N37" s="69"/>
      <c r="O37" s="67"/>
      <c r="P37" s="66"/>
      <c r="Q37" s="68"/>
      <c r="R37" s="68"/>
    </row>
    <row r="38" spans="1:18" ht="27" x14ac:dyDescent="0.4">
      <c r="A38" s="65"/>
      <c r="B38" s="66"/>
      <c r="C38" s="66"/>
      <c r="D38" s="67"/>
      <c r="E38" s="68"/>
      <c r="F38" s="68"/>
      <c r="G38" s="66"/>
      <c r="H38" s="67"/>
      <c r="I38" s="67"/>
      <c r="J38" s="67"/>
      <c r="K38" s="66"/>
      <c r="L38" s="68"/>
      <c r="M38" s="66"/>
      <c r="N38" s="69"/>
      <c r="O38" s="67"/>
      <c r="P38" s="66"/>
      <c r="Q38" s="68"/>
      <c r="R38" s="68"/>
    </row>
    <row r="39" spans="1:18" ht="27" x14ac:dyDescent="0.4">
      <c r="A39" s="65"/>
      <c r="B39" s="66"/>
      <c r="C39" s="66"/>
      <c r="D39" s="67"/>
      <c r="E39" s="68"/>
      <c r="F39" s="68"/>
      <c r="G39" s="66"/>
      <c r="H39" s="67"/>
      <c r="I39" s="67"/>
      <c r="J39" s="67"/>
      <c r="K39" s="66"/>
      <c r="L39" s="68"/>
      <c r="M39" s="66"/>
      <c r="N39" s="69"/>
      <c r="O39" s="67"/>
      <c r="P39" s="66"/>
      <c r="Q39" s="68"/>
      <c r="R39" s="68"/>
    </row>
    <row r="40" spans="1:18" ht="27" x14ac:dyDescent="0.4">
      <c r="A40" s="65"/>
      <c r="B40" s="66"/>
      <c r="C40" s="66"/>
      <c r="D40" s="67"/>
      <c r="E40" s="68"/>
      <c r="F40" s="68"/>
      <c r="G40" s="66"/>
      <c r="H40" s="67"/>
      <c r="I40" s="67"/>
      <c r="J40" s="67"/>
      <c r="K40" s="66"/>
      <c r="L40" s="68"/>
      <c r="M40" s="66"/>
      <c r="N40" s="69"/>
      <c r="O40" s="67"/>
      <c r="P40" s="66"/>
      <c r="Q40" s="68"/>
      <c r="R40" s="68"/>
    </row>
    <row r="41" spans="1:18" ht="27" x14ac:dyDescent="0.4">
      <c r="A41" s="65"/>
      <c r="B41" s="66"/>
      <c r="C41" s="66"/>
      <c r="D41" s="67"/>
      <c r="E41" s="73"/>
      <c r="F41" s="68"/>
      <c r="G41" s="66"/>
      <c r="H41" s="67"/>
      <c r="I41" s="67"/>
      <c r="J41" s="67"/>
      <c r="K41" s="66"/>
      <c r="L41" s="68"/>
      <c r="M41" s="66"/>
      <c r="N41" s="69"/>
      <c r="O41" s="67"/>
      <c r="P41" s="66"/>
      <c r="Q41" s="68"/>
      <c r="R41" s="68"/>
    </row>
    <row r="42" spans="1:18" ht="27" x14ac:dyDescent="0.4">
      <c r="A42" s="65"/>
      <c r="B42" s="66"/>
      <c r="C42" s="66"/>
      <c r="D42" s="67"/>
      <c r="E42" s="68"/>
      <c r="F42" s="68"/>
      <c r="G42" s="66"/>
      <c r="H42" s="67"/>
      <c r="I42" s="67"/>
      <c r="J42" s="67"/>
      <c r="K42" s="66"/>
      <c r="L42" s="68"/>
      <c r="M42" s="66"/>
      <c r="N42" s="69"/>
      <c r="O42" s="67"/>
      <c r="P42" s="66"/>
      <c r="Q42" s="68"/>
      <c r="R42" s="68"/>
    </row>
    <row r="43" spans="1:18" ht="27" x14ac:dyDescent="0.4">
      <c r="A43" s="65"/>
      <c r="B43" s="66"/>
      <c r="C43" s="66"/>
      <c r="D43" s="67"/>
      <c r="E43" s="68"/>
      <c r="F43" s="68"/>
      <c r="G43" s="66"/>
      <c r="H43" s="67"/>
      <c r="I43" s="67"/>
      <c r="J43" s="67"/>
      <c r="K43" s="66"/>
      <c r="L43" s="68"/>
      <c r="M43" s="66"/>
      <c r="N43" s="69"/>
      <c r="O43" s="67"/>
      <c r="P43" s="66"/>
      <c r="Q43" s="68"/>
      <c r="R43" s="68"/>
    </row>
    <row r="44" spans="1:18" ht="27" x14ac:dyDescent="0.4">
      <c r="A44" s="65"/>
      <c r="B44" s="66"/>
      <c r="C44" s="66"/>
      <c r="D44" s="67"/>
      <c r="E44" s="68"/>
      <c r="F44" s="68"/>
      <c r="G44" s="66"/>
      <c r="H44" s="67"/>
      <c r="I44" s="67"/>
      <c r="J44" s="67"/>
      <c r="K44" s="66"/>
      <c r="L44" s="68"/>
      <c r="M44" s="66"/>
      <c r="N44" s="69"/>
      <c r="O44" s="67"/>
      <c r="P44" s="66"/>
      <c r="Q44" s="68"/>
      <c r="R44" s="68"/>
    </row>
    <row r="45" spans="1:18" ht="27" x14ac:dyDescent="0.4">
      <c r="A45" s="65"/>
      <c r="B45" s="66"/>
      <c r="C45" s="66"/>
      <c r="D45" s="67"/>
      <c r="E45" s="68"/>
      <c r="F45" s="68"/>
      <c r="G45" s="66"/>
      <c r="H45" s="67"/>
      <c r="I45" s="67"/>
      <c r="J45" s="67"/>
      <c r="K45" s="66"/>
      <c r="L45" s="68"/>
      <c r="M45" s="66"/>
      <c r="N45" s="69"/>
      <c r="O45" s="67"/>
      <c r="P45" s="66"/>
      <c r="Q45" s="68"/>
      <c r="R45" s="68"/>
    </row>
    <row r="46" spans="1:18" ht="27" x14ac:dyDescent="0.4">
      <c r="A46" s="65"/>
      <c r="B46" s="66"/>
      <c r="C46" s="66"/>
      <c r="D46" s="67"/>
      <c r="E46" s="68"/>
      <c r="F46" s="68"/>
      <c r="G46" s="66"/>
      <c r="H46" s="67"/>
      <c r="I46" s="67"/>
      <c r="J46" s="67"/>
      <c r="K46" s="66"/>
      <c r="L46" s="68"/>
      <c r="M46" s="66"/>
      <c r="N46" s="69"/>
      <c r="O46" s="67"/>
      <c r="P46" s="66"/>
      <c r="Q46" s="68"/>
      <c r="R46" s="68"/>
    </row>
    <row r="47" spans="1:18" ht="27" x14ac:dyDescent="0.4">
      <c r="A47" s="65"/>
      <c r="B47" s="66"/>
      <c r="C47" s="66"/>
      <c r="D47" s="67"/>
      <c r="E47" s="68"/>
      <c r="F47" s="68"/>
      <c r="G47" s="66"/>
      <c r="H47" s="67"/>
      <c r="I47" s="67"/>
      <c r="J47" s="67"/>
      <c r="K47" s="66"/>
      <c r="L47" s="68"/>
      <c r="M47" s="66"/>
      <c r="N47" s="69"/>
      <c r="O47" s="67"/>
      <c r="P47" s="66"/>
      <c r="Q47" s="68"/>
      <c r="R47" s="68"/>
    </row>
    <row r="48" spans="1:18" ht="27" x14ac:dyDescent="0.4">
      <c r="A48" s="65"/>
      <c r="B48" s="66"/>
      <c r="C48" s="66"/>
      <c r="D48" s="67"/>
      <c r="E48" s="68"/>
      <c r="F48" s="68"/>
      <c r="G48" s="66"/>
      <c r="H48" s="67"/>
      <c r="I48" s="67"/>
      <c r="J48" s="67"/>
      <c r="K48" s="66"/>
      <c r="L48" s="72"/>
      <c r="M48" s="66"/>
      <c r="N48" s="69"/>
      <c r="O48" s="67"/>
      <c r="P48" s="66"/>
      <c r="Q48" s="68"/>
      <c r="R48" s="68"/>
    </row>
    <row r="49" spans="1:18" ht="27" x14ac:dyDescent="0.4">
      <c r="A49" s="65"/>
      <c r="B49" s="66"/>
      <c r="C49" s="66"/>
      <c r="D49" s="67"/>
      <c r="E49" s="68"/>
      <c r="F49" s="68"/>
      <c r="G49" s="66"/>
      <c r="H49" s="67"/>
      <c r="I49" s="67"/>
      <c r="J49" s="67"/>
      <c r="K49" s="66"/>
      <c r="L49" s="68"/>
      <c r="M49" s="66"/>
      <c r="N49" s="69"/>
      <c r="O49" s="67"/>
      <c r="P49" s="66"/>
      <c r="Q49" s="68"/>
      <c r="R49" s="68"/>
    </row>
    <row r="50" spans="1:18" ht="27" x14ac:dyDescent="0.4">
      <c r="A50" s="65"/>
      <c r="B50" s="66"/>
      <c r="C50" s="66"/>
      <c r="D50" s="67"/>
      <c r="E50" s="68"/>
      <c r="F50" s="68"/>
      <c r="G50" s="66"/>
      <c r="H50" s="67"/>
      <c r="I50" s="67"/>
      <c r="J50" s="67"/>
      <c r="K50" s="66"/>
      <c r="L50" s="68"/>
      <c r="M50" s="66"/>
      <c r="N50" s="69"/>
      <c r="O50" s="67"/>
      <c r="P50" s="66"/>
      <c r="Q50" s="68"/>
      <c r="R50" s="68"/>
    </row>
    <row r="51" spans="1:18" ht="27" x14ac:dyDescent="0.4">
      <c r="A51" s="65"/>
      <c r="B51" s="66"/>
      <c r="C51" s="66"/>
      <c r="D51" s="67"/>
      <c r="E51" s="68"/>
      <c r="F51" s="68"/>
      <c r="G51" s="66"/>
      <c r="H51" s="67"/>
      <c r="I51" s="67"/>
      <c r="J51" s="67"/>
      <c r="K51" s="66"/>
      <c r="L51" s="68"/>
      <c r="M51" s="66"/>
      <c r="N51" s="69"/>
      <c r="O51" s="67"/>
      <c r="P51" s="66"/>
      <c r="Q51" s="68"/>
      <c r="R51" s="68"/>
    </row>
    <row r="52" spans="1:18" ht="27" x14ac:dyDescent="0.4">
      <c r="A52" s="65"/>
      <c r="B52" s="66"/>
      <c r="C52" s="66"/>
      <c r="D52" s="67"/>
      <c r="E52" s="68"/>
      <c r="F52" s="68"/>
      <c r="G52" s="66"/>
      <c r="H52" s="67"/>
      <c r="I52" s="67"/>
      <c r="J52" s="67"/>
      <c r="K52" s="66"/>
      <c r="L52" s="68"/>
      <c r="M52" s="66"/>
      <c r="N52" s="69"/>
      <c r="O52" s="67"/>
      <c r="P52" s="66"/>
      <c r="Q52" s="68"/>
      <c r="R52" s="68"/>
    </row>
    <row r="53" spans="1:18" ht="27" x14ac:dyDescent="0.4">
      <c r="A53" s="65"/>
      <c r="B53" s="66"/>
      <c r="C53" s="66"/>
      <c r="D53" s="67"/>
      <c r="E53" s="68"/>
      <c r="F53" s="68"/>
      <c r="G53" s="66"/>
      <c r="H53" s="67"/>
      <c r="I53" s="67"/>
      <c r="J53" s="67"/>
      <c r="K53" s="66"/>
      <c r="L53" s="72"/>
      <c r="M53" s="66"/>
      <c r="N53" s="69"/>
      <c r="O53" s="67"/>
      <c r="P53" s="66"/>
      <c r="Q53" s="68"/>
      <c r="R53" s="68"/>
    </row>
    <row r="54" spans="1:18" ht="27" x14ac:dyDescent="0.4">
      <c r="A54" s="65"/>
      <c r="B54" s="66"/>
      <c r="C54" s="66"/>
      <c r="D54" s="67"/>
      <c r="E54" s="68"/>
      <c r="F54" s="68"/>
      <c r="G54" s="66"/>
      <c r="H54" s="67"/>
      <c r="I54" s="67"/>
      <c r="J54" s="67"/>
      <c r="K54" s="66"/>
      <c r="L54" s="68"/>
      <c r="M54" s="66"/>
      <c r="N54" s="69"/>
      <c r="O54" s="67"/>
      <c r="P54" s="66"/>
      <c r="Q54" s="68"/>
      <c r="R54" s="68"/>
    </row>
    <row r="55" spans="1:18" ht="27" x14ac:dyDescent="0.4">
      <c r="A55" s="65"/>
      <c r="B55" s="66"/>
      <c r="C55" s="66"/>
      <c r="D55" s="67"/>
      <c r="E55" s="68"/>
      <c r="F55" s="68"/>
      <c r="G55" s="66"/>
      <c r="H55" s="67"/>
      <c r="I55" s="67"/>
      <c r="J55" s="67"/>
      <c r="K55" s="66"/>
      <c r="L55" s="68"/>
      <c r="M55" s="66"/>
      <c r="N55" s="69"/>
      <c r="O55" s="67"/>
      <c r="P55" s="66"/>
      <c r="Q55" s="68"/>
      <c r="R55" s="68"/>
    </row>
    <row r="56" spans="1:18" ht="27" x14ac:dyDescent="0.4">
      <c r="A56" s="65"/>
      <c r="B56" s="66"/>
      <c r="C56" s="66"/>
      <c r="D56" s="67"/>
      <c r="E56" s="68"/>
      <c r="F56" s="68"/>
      <c r="G56" s="66"/>
      <c r="H56" s="67"/>
      <c r="I56" s="67"/>
      <c r="J56" s="67"/>
      <c r="K56" s="66"/>
      <c r="L56" s="68"/>
      <c r="M56" s="66"/>
      <c r="N56" s="69"/>
      <c r="O56" s="67"/>
      <c r="P56" s="66"/>
      <c r="Q56" s="65"/>
      <c r="R56" s="68"/>
    </row>
    <row r="57" spans="1:18" ht="27" x14ac:dyDescent="0.4">
      <c r="A57" s="65"/>
      <c r="B57" s="66"/>
      <c r="C57" s="66"/>
      <c r="D57" s="67"/>
      <c r="E57" s="68"/>
      <c r="F57" s="73"/>
      <c r="G57" s="66"/>
      <c r="H57" s="67"/>
      <c r="I57" s="67"/>
      <c r="J57" s="67"/>
      <c r="K57" s="66"/>
      <c r="L57" s="68"/>
      <c r="M57" s="66"/>
      <c r="N57" s="69"/>
      <c r="O57" s="67"/>
      <c r="P57" s="66"/>
      <c r="Q57" s="65"/>
      <c r="R57" s="68"/>
    </row>
    <row r="58" spans="1:18" ht="27" x14ac:dyDescent="0.4">
      <c r="A58" s="65"/>
      <c r="B58" s="66"/>
      <c r="C58" s="66"/>
      <c r="D58" s="67"/>
      <c r="E58" s="68"/>
      <c r="F58" s="68"/>
      <c r="G58" s="66"/>
      <c r="H58" s="67"/>
      <c r="I58" s="67"/>
      <c r="J58" s="67"/>
      <c r="K58" s="66"/>
      <c r="L58" s="68"/>
      <c r="M58" s="66"/>
      <c r="N58" s="69"/>
      <c r="O58" s="67"/>
      <c r="P58" s="66"/>
      <c r="Q58" s="65"/>
      <c r="R58" s="68"/>
    </row>
    <row r="59" spans="1:18" ht="27" x14ac:dyDescent="0.4">
      <c r="A59" s="65"/>
      <c r="B59" s="66"/>
      <c r="C59" s="66"/>
      <c r="D59" s="67"/>
      <c r="E59" s="68"/>
      <c r="F59" s="68"/>
      <c r="G59" s="66"/>
      <c r="H59" s="67"/>
      <c r="I59" s="67"/>
      <c r="J59" s="67"/>
      <c r="K59" s="66"/>
      <c r="L59" s="68"/>
      <c r="M59" s="66"/>
      <c r="N59" s="69"/>
      <c r="O59" s="67"/>
      <c r="P59" s="66"/>
      <c r="Q59" s="65"/>
      <c r="R59" s="68"/>
    </row>
    <row r="60" spans="1:18" ht="27" x14ac:dyDescent="0.4">
      <c r="A60" s="65"/>
      <c r="B60" s="66"/>
      <c r="C60" s="66"/>
      <c r="D60" s="67"/>
      <c r="E60" s="68"/>
      <c r="F60" s="68"/>
      <c r="G60" s="66"/>
      <c r="H60" s="67"/>
      <c r="I60" s="67"/>
      <c r="J60" s="67"/>
      <c r="K60" s="66"/>
      <c r="L60" s="68"/>
      <c r="M60" s="66"/>
      <c r="N60" s="69"/>
      <c r="O60" s="67"/>
      <c r="P60" s="66"/>
      <c r="Q60" s="65"/>
      <c r="R60" s="68"/>
    </row>
    <row r="61" spans="1:18" ht="27" x14ac:dyDescent="0.4">
      <c r="A61" s="65"/>
      <c r="B61" s="66"/>
      <c r="C61" s="66"/>
      <c r="D61" s="67"/>
      <c r="E61" s="68"/>
      <c r="F61" s="68"/>
      <c r="G61" s="66"/>
      <c r="H61" s="67"/>
      <c r="I61" s="67"/>
      <c r="J61" s="67"/>
      <c r="K61" s="66"/>
      <c r="L61" s="68"/>
      <c r="M61" s="66"/>
      <c r="N61" s="69"/>
      <c r="O61" s="67"/>
      <c r="P61" s="66"/>
      <c r="Q61" s="65"/>
      <c r="R61" s="68"/>
    </row>
    <row r="62" spans="1:18" ht="27" x14ac:dyDescent="0.4">
      <c r="A62" s="65"/>
      <c r="B62" s="66"/>
      <c r="C62" s="66"/>
      <c r="D62" s="67"/>
      <c r="E62" s="68"/>
      <c r="F62" s="68"/>
      <c r="G62" s="66"/>
      <c r="H62" s="67"/>
      <c r="I62" s="67"/>
      <c r="J62" s="67"/>
      <c r="K62" s="66"/>
      <c r="L62" s="68"/>
      <c r="M62" s="66"/>
      <c r="N62" s="69"/>
      <c r="O62" s="67"/>
      <c r="P62" s="66"/>
      <c r="Q62" s="65"/>
      <c r="R62" s="68"/>
    </row>
    <row r="63" spans="1:18" ht="27" x14ac:dyDescent="0.4">
      <c r="A63" s="65"/>
      <c r="B63" s="66"/>
      <c r="C63" s="66"/>
      <c r="D63" s="67"/>
      <c r="E63" s="68"/>
      <c r="F63" s="68"/>
      <c r="G63" s="66"/>
      <c r="H63" s="67"/>
      <c r="I63" s="67"/>
      <c r="J63" s="67"/>
      <c r="K63" s="66"/>
      <c r="L63" s="68"/>
      <c r="M63" s="66"/>
      <c r="N63" s="69"/>
      <c r="O63" s="67"/>
      <c r="P63" s="66"/>
      <c r="Q63" s="65"/>
      <c r="R63" s="68"/>
    </row>
    <row r="64" spans="1:18" ht="27" x14ac:dyDescent="0.4">
      <c r="A64" s="65"/>
      <c r="B64" s="66"/>
      <c r="C64" s="66"/>
      <c r="D64" s="67"/>
      <c r="E64" s="68"/>
      <c r="F64" s="68"/>
      <c r="G64" s="66"/>
      <c r="H64" s="67"/>
      <c r="I64" s="67"/>
      <c r="J64" s="67"/>
      <c r="K64" s="66"/>
      <c r="L64" s="68"/>
      <c r="M64" s="66"/>
      <c r="N64" s="69"/>
      <c r="O64" s="67"/>
      <c r="P64" s="66"/>
      <c r="Q64" s="65"/>
      <c r="R64" s="68"/>
    </row>
    <row r="65" spans="1:18" ht="27" x14ac:dyDescent="0.4">
      <c r="A65" s="65"/>
      <c r="B65" s="66"/>
      <c r="C65" s="66"/>
      <c r="D65" s="67"/>
      <c r="E65" s="68"/>
      <c r="F65" s="68"/>
      <c r="G65" s="66"/>
      <c r="H65" s="67"/>
      <c r="I65" s="67"/>
      <c r="J65" s="67"/>
      <c r="K65" s="66"/>
      <c r="L65" s="68"/>
      <c r="M65" s="66"/>
      <c r="N65" s="69"/>
      <c r="O65" s="67"/>
      <c r="P65" s="66"/>
      <c r="Q65" s="65"/>
      <c r="R65" s="68"/>
    </row>
    <row r="66" spans="1:18" ht="27" x14ac:dyDescent="0.4">
      <c r="A66" s="65"/>
      <c r="B66" s="66"/>
      <c r="C66" s="66"/>
      <c r="D66" s="67"/>
      <c r="E66" s="68"/>
      <c r="F66" s="68"/>
      <c r="G66" s="66"/>
      <c r="H66" s="67"/>
      <c r="I66" s="67"/>
      <c r="J66" s="67"/>
      <c r="K66" s="66"/>
      <c r="L66" s="68"/>
      <c r="M66" s="66"/>
      <c r="N66" s="69"/>
      <c r="O66" s="67"/>
      <c r="P66" s="66"/>
      <c r="Q66" s="65"/>
      <c r="R66" s="68"/>
    </row>
    <row r="67" spans="1:18" ht="27" x14ac:dyDescent="0.4">
      <c r="A67" s="65"/>
      <c r="B67" s="66"/>
      <c r="C67" s="66"/>
      <c r="D67" s="67"/>
      <c r="E67" s="68"/>
      <c r="F67" s="68"/>
      <c r="G67" s="66"/>
      <c r="H67" s="67"/>
      <c r="I67" s="67"/>
      <c r="J67" s="67"/>
      <c r="K67" s="66"/>
      <c r="L67" s="68"/>
      <c r="M67" s="66"/>
      <c r="N67" s="69"/>
      <c r="O67" s="67"/>
      <c r="P67" s="66"/>
      <c r="Q67" s="65"/>
      <c r="R67" s="68"/>
    </row>
    <row r="68" spans="1:18" ht="27" x14ac:dyDescent="0.4">
      <c r="A68" s="65"/>
      <c r="B68" s="66"/>
      <c r="C68" s="66"/>
      <c r="D68" s="67"/>
      <c r="E68" s="68"/>
      <c r="F68" s="68"/>
      <c r="G68" s="66"/>
      <c r="H68" s="67"/>
      <c r="I68" s="67"/>
      <c r="J68" s="67"/>
      <c r="K68" s="66"/>
      <c r="L68" s="68"/>
      <c r="M68" s="66"/>
      <c r="N68" s="69"/>
      <c r="O68" s="67"/>
      <c r="P68" s="66"/>
      <c r="Q68" s="65"/>
      <c r="R68" s="68"/>
    </row>
    <row r="69" spans="1:18" ht="27" x14ac:dyDescent="0.4">
      <c r="A69" s="65"/>
      <c r="B69" s="66"/>
      <c r="C69" s="66"/>
      <c r="D69" s="67"/>
      <c r="E69" s="68"/>
      <c r="F69" s="68"/>
      <c r="G69" s="66"/>
      <c r="H69" s="67"/>
      <c r="I69" s="67"/>
      <c r="J69" s="67"/>
      <c r="K69" s="66"/>
      <c r="L69" s="68"/>
      <c r="M69" s="66"/>
      <c r="N69" s="69"/>
      <c r="O69" s="67"/>
      <c r="P69" s="66"/>
      <c r="Q69" s="65"/>
      <c r="R69" s="68"/>
    </row>
    <row r="70" spans="1:18" ht="27" x14ac:dyDescent="0.4">
      <c r="A70" s="65"/>
      <c r="B70" s="66"/>
      <c r="C70" s="66"/>
      <c r="D70" s="67"/>
      <c r="E70" s="68"/>
      <c r="F70" s="68"/>
      <c r="G70" s="66"/>
      <c r="H70" s="67"/>
      <c r="I70" s="67"/>
      <c r="J70" s="67"/>
      <c r="K70" s="66"/>
      <c r="L70" s="68"/>
      <c r="M70" s="66"/>
      <c r="N70" s="69"/>
      <c r="O70" s="67"/>
      <c r="P70" s="66"/>
      <c r="Q70" s="65"/>
      <c r="R70" s="68"/>
    </row>
    <row r="71" spans="1:18" ht="27" x14ac:dyDescent="0.4">
      <c r="A71" s="65"/>
      <c r="B71" s="66"/>
      <c r="C71" s="66"/>
      <c r="D71" s="67"/>
      <c r="E71" s="68"/>
      <c r="F71" s="68"/>
      <c r="G71" s="66"/>
      <c r="H71" s="67"/>
      <c r="I71" s="67"/>
      <c r="J71" s="67"/>
      <c r="K71" s="66"/>
      <c r="L71" s="68"/>
      <c r="M71" s="66"/>
      <c r="N71" s="69"/>
      <c r="O71" s="67"/>
      <c r="P71" s="66"/>
      <c r="Q71" s="65"/>
      <c r="R71" s="68"/>
    </row>
    <row r="72" spans="1:18" ht="27" x14ac:dyDescent="0.4">
      <c r="A72" s="65"/>
      <c r="B72" s="66"/>
      <c r="C72" s="66"/>
      <c r="D72" s="67"/>
      <c r="E72" s="68"/>
      <c r="F72" s="68"/>
      <c r="G72" s="66"/>
      <c r="H72" s="67"/>
      <c r="I72" s="67"/>
      <c r="J72" s="67"/>
      <c r="K72" s="66"/>
      <c r="L72" s="68"/>
      <c r="M72" s="66"/>
      <c r="N72" s="69"/>
      <c r="O72" s="67"/>
      <c r="P72" s="66"/>
      <c r="Q72" s="65"/>
      <c r="R72" s="68"/>
    </row>
    <row r="73" spans="1:18" ht="27" x14ac:dyDescent="0.4">
      <c r="A73" s="65"/>
      <c r="B73" s="66"/>
      <c r="C73" s="66"/>
      <c r="D73" s="67"/>
      <c r="E73" s="68"/>
      <c r="F73" s="68"/>
      <c r="G73" s="66"/>
      <c r="H73" s="67"/>
      <c r="I73" s="67"/>
      <c r="J73" s="67"/>
      <c r="K73" s="66"/>
      <c r="L73" s="68"/>
      <c r="M73" s="66"/>
      <c r="N73" s="69"/>
      <c r="O73" s="67"/>
      <c r="P73" s="66"/>
      <c r="Q73" s="65"/>
      <c r="R73" s="68"/>
    </row>
    <row r="74" spans="1:18" ht="27" x14ac:dyDescent="0.4">
      <c r="A74" s="65"/>
      <c r="B74" s="66"/>
      <c r="C74" s="66"/>
      <c r="D74" s="67"/>
      <c r="E74" s="68"/>
      <c r="F74" s="68"/>
      <c r="G74" s="66"/>
      <c r="H74" s="67"/>
      <c r="I74" s="67"/>
      <c r="J74" s="67"/>
      <c r="K74" s="66"/>
      <c r="L74" s="68"/>
      <c r="M74" s="66"/>
      <c r="N74" s="69"/>
      <c r="O74" s="67"/>
      <c r="P74" s="66"/>
      <c r="Q74" s="65"/>
      <c r="R74" s="68"/>
    </row>
    <row r="75" spans="1:18" ht="27" x14ac:dyDescent="0.4">
      <c r="A75" s="65"/>
      <c r="B75" s="66"/>
      <c r="C75" s="66"/>
      <c r="D75" s="67"/>
      <c r="E75" s="68"/>
      <c r="F75" s="68"/>
      <c r="G75" s="66"/>
      <c r="H75" s="67"/>
      <c r="I75" s="67"/>
      <c r="J75" s="67"/>
      <c r="K75" s="66"/>
      <c r="L75" s="68"/>
      <c r="M75" s="66"/>
      <c r="N75" s="69"/>
      <c r="O75" s="67"/>
      <c r="P75" s="66"/>
      <c r="Q75" s="65"/>
      <c r="R75" s="68"/>
    </row>
    <row r="76" spans="1:18" ht="27" x14ac:dyDescent="0.4">
      <c r="A76" s="65"/>
      <c r="B76" s="66"/>
      <c r="C76" s="66"/>
      <c r="D76" s="67"/>
      <c r="E76" s="68"/>
      <c r="F76" s="68"/>
      <c r="G76" s="66"/>
      <c r="H76" s="67"/>
      <c r="I76" s="67"/>
      <c r="J76" s="67"/>
      <c r="K76" s="66"/>
      <c r="L76" s="68"/>
      <c r="M76" s="66"/>
      <c r="N76" s="69"/>
      <c r="O76" s="67"/>
      <c r="P76" s="66"/>
      <c r="Q76" s="65"/>
      <c r="R76" s="68"/>
    </row>
    <row r="77" spans="1:18" ht="27" x14ac:dyDescent="0.4">
      <c r="A77" s="65"/>
      <c r="B77" s="66"/>
      <c r="C77" s="66"/>
      <c r="D77" s="67"/>
      <c r="E77" s="68"/>
      <c r="F77" s="68"/>
      <c r="G77" s="66"/>
      <c r="H77" s="67"/>
      <c r="I77" s="67"/>
      <c r="J77" s="67"/>
      <c r="K77" s="66"/>
      <c r="L77" s="68"/>
      <c r="M77" s="66"/>
      <c r="N77" s="69"/>
      <c r="O77" s="67"/>
      <c r="P77" s="66"/>
      <c r="Q77" s="65"/>
      <c r="R77" s="68"/>
    </row>
    <row r="78" spans="1:18" ht="27" x14ac:dyDescent="0.4">
      <c r="A78" s="65"/>
      <c r="B78" s="66"/>
      <c r="C78" s="66"/>
      <c r="D78" s="67"/>
      <c r="E78" s="68"/>
      <c r="F78" s="68"/>
      <c r="G78" s="66"/>
      <c r="H78" s="67"/>
      <c r="I78" s="67"/>
      <c r="J78" s="67"/>
      <c r="K78" s="66"/>
      <c r="L78" s="68"/>
      <c r="M78" s="66"/>
      <c r="N78" s="69"/>
      <c r="O78" s="67"/>
      <c r="P78" s="66"/>
      <c r="Q78" s="65"/>
      <c r="R78" s="68"/>
    </row>
    <row r="79" spans="1:18" ht="27" x14ac:dyDescent="0.4">
      <c r="A79" s="65"/>
      <c r="B79" s="66"/>
      <c r="C79" s="66"/>
      <c r="D79" s="67"/>
      <c r="E79" s="68"/>
      <c r="F79" s="68"/>
      <c r="G79" s="66"/>
      <c r="H79" s="67"/>
      <c r="I79" s="67"/>
      <c r="J79" s="67"/>
      <c r="K79" s="66"/>
      <c r="L79" s="68"/>
      <c r="M79" s="66"/>
      <c r="N79" s="69"/>
      <c r="O79" s="67"/>
      <c r="P79" s="66"/>
      <c r="Q79" s="65"/>
      <c r="R79" s="68"/>
    </row>
    <row r="80" spans="1:18" ht="27" x14ac:dyDescent="0.4">
      <c r="A80" s="65"/>
      <c r="B80" s="66"/>
      <c r="C80" s="66"/>
      <c r="D80" s="67"/>
      <c r="E80" s="68"/>
      <c r="F80" s="68"/>
      <c r="G80" s="66"/>
      <c r="H80" s="67"/>
      <c r="I80" s="67"/>
      <c r="J80" s="67"/>
      <c r="K80" s="66"/>
      <c r="L80" s="68"/>
      <c r="M80" s="66"/>
      <c r="N80" s="69"/>
      <c r="O80" s="67"/>
      <c r="P80" s="66"/>
      <c r="Q80" s="65"/>
      <c r="R80" s="65"/>
    </row>
    <row r="81" spans="1:24" ht="27" x14ac:dyDescent="0.4">
      <c r="A81" s="65"/>
      <c r="B81" s="66"/>
      <c r="C81" s="66"/>
      <c r="D81" s="67"/>
      <c r="E81" s="68"/>
      <c r="F81" s="68"/>
      <c r="G81" s="66"/>
      <c r="H81" s="67"/>
      <c r="I81" s="67"/>
      <c r="J81" s="67"/>
      <c r="K81" s="66"/>
      <c r="L81" s="68"/>
      <c r="M81" s="66"/>
      <c r="N81" s="69"/>
      <c r="O81" s="67"/>
      <c r="P81" s="66"/>
      <c r="Q81" s="65"/>
      <c r="R81" s="65"/>
    </row>
    <row r="82" spans="1:24" ht="27" x14ac:dyDescent="0.4">
      <c r="A82" s="65"/>
      <c r="B82" s="66"/>
      <c r="C82" s="66"/>
      <c r="D82" s="67"/>
      <c r="E82" s="68"/>
      <c r="F82" s="68"/>
      <c r="G82" s="66"/>
      <c r="H82" s="67"/>
      <c r="I82" s="67"/>
      <c r="J82" s="67"/>
      <c r="K82" s="66"/>
      <c r="L82" s="68"/>
      <c r="M82" s="66"/>
      <c r="N82" s="69"/>
      <c r="O82" s="67"/>
      <c r="P82" s="66"/>
      <c r="Q82" s="65"/>
      <c r="R82" s="65"/>
    </row>
    <row r="83" spans="1:24" ht="27" x14ac:dyDescent="0.4">
      <c r="A83" s="65"/>
      <c r="B83" s="66"/>
      <c r="C83" s="66"/>
      <c r="D83" s="67"/>
      <c r="E83" s="68"/>
      <c r="F83" s="68"/>
      <c r="G83" s="66"/>
      <c r="H83" s="67"/>
      <c r="I83" s="67"/>
      <c r="J83" s="67"/>
      <c r="K83" s="66"/>
      <c r="L83" s="68"/>
      <c r="M83" s="66"/>
      <c r="N83" s="69"/>
      <c r="O83" s="67"/>
      <c r="P83" s="66"/>
      <c r="Q83" s="65"/>
      <c r="R83" s="65"/>
    </row>
    <row r="84" spans="1:24" ht="27" x14ac:dyDescent="0.4">
      <c r="A84" s="65"/>
      <c r="B84" s="66"/>
      <c r="C84" s="66"/>
      <c r="D84" s="67"/>
      <c r="E84" s="68"/>
      <c r="F84" s="68"/>
      <c r="G84" s="66"/>
      <c r="H84" s="67"/>
      <c r="I84" s="67"/>
      <c r="J84" s="67"/>
      <c r="K84" s="66"/>
      <c r="L84" s="68"/>
      <c r="M84" s="66"/>
      <c r="N84" s="69"/>
      <c r="O84" s="67"/>
      <c r="P84" s="66"/>
      <c r="Q84" s="65"/>
      <c r="R84" s="70"/>
    </row>
    <row r="85" spans="1:24" ht="27" x14ac:dyDescent="0.4">
      <c r="A85" s="65"/>
      <c r="B85" s="66"/>
      <c r="C85" s="66"/>
      <c r="D85" s="67"/>
      <c r="E85" s="68"/>
      <c r="F85" s="68"/>
      <c r="G85" s="66"/>
      <c r="H85" s="67"/>
      <c r="I85" s="67"/>
      <c r="J85" s="67"/>
      <c r="K85" s="66"/>
      <c r="L85" s="68"/>
      <c r="M85" s="66"/>
      <c r="N85" s="69"/>
      <c r="O85" s="67"/>
      <c r="P85" s="66"/>
      <c r="Q85" s="65"/>
      <c r="R85" s="70"/>
    </row>
    <row r="86" spans="1:24" ht="27" x14ac:dyDescent="0.4">
      <c r="A86" s="65"/>
      <c r="B86" s="66"/>
      <c r="C86" s="66"/>
      <c r="D86" s="67"/>
      <c r="E86" s="68"/>
      <c r="F86" s="68"/>
      <c r="G86" s="66"/>
      <c r="H86" s="67"/>
      <c r="I86" s="67"/>
      <c r="J86" s="67"/>
      <c r="K86" s="66"/>
      <c r="L86" s="68"/>
      <c r="M86" s="66"/>
      <c r="N86" s="69"/>
      <c r="O86" s="67"/>
      <c r="P86" s="66"/>
      <c r="Q86" s="65"/>
      <c r="R86" s="70"/>
    </row>
    <row r="87" spans="1:24" ht="27" x14ac:dyDescent="0.4">
      <c r="A87" s="65"/>
      <c r="B87" s="66"/>
      <c r="C87" s="66"/>
      <c r="D87" s="67"/>
      <c r="E87" s="68"/>
      <c r="F87" s="68"/>
      <c r="G87" s="66"/>
      <c r="H87" s="67"/>
      <c r="I87" s="67"/>
      <c r="J87" s="67"/>
      <c r="K87" s="66"/>
      <c r="L87" s="68"/>
      <c r="M87" s="66"/>
      <c r="N87" s="69"/>
      <c r="O87" s="67"/>
      <c r="P87" s="66"/>
      <c r="Q87" s="65"/>
      <c r="R87" s="70"/>
    </row>
    <row r="88" spans="1:24" ht="33" x14ac:dyDescent="0.4">
      <c r="A88" s="65"/>
      <c r="B88" s="66"/>
      <c r="C88" s="66"/>
      <c r="D88" s="67"/>
      <c r="E88" s="68"/>
      <c r="F88" s="68"/>
      <c r="G88" s="66"/>
      <c r="H88" s="67"/>
      <c r="I88" s="67"/>
      <c r="J88" s="67"/>
      <c r="K88" s="66"/>
      <c r="L88" s="68"/>
      <c r="M88" s="66"/>
      <c r="N88" s="69"/>
      <c r="O88" s="67"/>
      <c r="P88" s="66"/>
      <c r="Q88" s="65"/>
      <c r="R88" s="70"/>
      <c r="T88" s="53"/>
      <c r="U88" s="53"/>
      <c r="V88" s="54"/>
      <c r="W88" s="54"/>
      <c r="X88" s="55"/>
    </row>
    <row r="89" spans="1:24" ht="33" x14ac:dyDescent="0.4">
      <c r="A89" s="65"/>
      <c r="B89" s="66"/>
      <c r="C89" s="66"/>
      <c r="D89" s="67"/>
      <c r="E89" s="68"/>
      <c r="F89" s="68"/>
      <c r="G89" s="66"/>
      <c r="H89" s="67"/>
      <c r="I89" s="67"/>
      <c r="J89" s="67"/>
      <c r="K89" s="66"/>
      <c r="L89" s="68"/>
      <c r="M89" s="66"/>
      <c r="N89" s="69"/>
      <c r="O89" s="67"/>
      <c r="P89" s="66"/>
      <c r="Q89" s="65"/>
      <c r="R89" s="70"/>
      <c r="T89" s="53"/>
      <c r="U89" s="53"/>
      <c r="V89" s="54"/>
      <c r="W89" s="54"/>
      <c r="X89" s="55"/>
    </row>
    <row r="90" spans="1:24" ht="33" x14ac:dyDescent="0.4">
      <c r="A90" s="65"/>
      <c r="B90" s="66"/>
      <c r="C90" s="66"/>
      <c r="D90" s="67"/>
      <c r="E90" s="68"/>
      <c r="F90" s="68"/>
      <c r="G90" s="66"/>
      <c r="H90" s="67"/>
      <c r="I90" s="67"/>
      <c r="J90" s="67"/>
      <c r="K90" s="66"/>
      <c r="L90" s="68"/>
      <c r="M90" s="66"/>
      <c r="N90" s="69"/>
      <c r="O90" s="67"/>
      <c r="P90" s="66"/>
      <c r="Q90" s="65"/>
      <c r="R90" s="70"/>
      <c r="T90" s="53"/>
      <c r="U90" s="53"/>
      <c r="V90" s="54"/>
      <c r="W90" s="54"/>
      <c r="X90" s="55"/>
    </row>
    <row r="91" spans="1:24" ht="33" x14ac:dyDescent="0.4">
      <c r="A91" s="65"/>
      <c r="B91" s="66"/>
      <c r="C91" s="66"/>
      <c r="D91" s="67"/>
      <c r="E91" s="68"/>
      <c r="F91" s="68"/>
      <c r="G91" s="66"/>
      <c r="H91" s="67"/>
      <c r="I91" s="67"/>
      <c r="J91" s="67"/>
      <c r="K91" s="66"/>
      <c r="L91" s="68"/>
      <c r="M91" s="66"/>
      <c r="N91" s="69"/>
      <c r="O91" s="67"/>
      <c r="P91" s="66"/>
      <c r="Q91" s="65"/>
      <c r="R91" s="70"/>
      <c r="T91" s="53"/>
      <c r="U91" s="53"/>
      <c r="V91" s="54"/>
      <c r="W91" s="54"/>
      <c r="X91" s="55"/>
    </row>
    <row r="92" spans="1:24" ht="33" x14ac:dyDescent="0.4">
      <c r="A92" s="65"/>
      <c r="B92" s="66"/>
      <c r="C92" s="66"/>
      <c r="D92" s="67"/>
      <c r="E92" s="68"/>
      <c r="F92" s="68"/>
      <c r="G92" s="66"/>
      <c r="H92" s="67"/>
      <c r="I92" s="67"/>
      <c r="J92" s="67"/>
      <c r="K92" s="66"/>
      <c r="L92" s="68"/>
      <c r="M92" s="66"/>
      <c r="N92" s="69"/>
      <c r="O92" s="67"/>
      <c r="P92" s="66"/>
      <c r="Q92" s="65"/>
      <c r="R92" s="70"/>
      <c r="T92" s="53"/>
      <c r="U92" s="53"/>
      <c r="V92" s="54"/>
      <c r="W92" s="54"/>
      <c r="X92" s="55"/>
    </row>
    <row r="93" spans="1:24" ht="33" x14ac:dyDescent="0.4">
      <c r="A93" s="65"/>
      <c r="B93" s="66"/>
      <c r="C93" s="66"/>
      <c r="D93" s="67"/>
      <c r="E93" s="68"/>
      <c r="F93" s="68"/>
      <c r="G93" s="66"/>
      <c r="H93" s="67"/>
      <c r="I93" s="67"/>
      <c r="J93" s="67"/>
      <c r="K93" s="66"/>
      <c r="L93" s="68"/>
      <c r="M93" s="66"/>
      <c r="N93" s="69"/>
      <c r="O93" s="67"/>
      <c r="P93" s="66"/>
      <c r="Q93" s="65"/>
      <c r="R93" s="70"/>
      <c r="T93" s="53"/>
      <c r="U93" s="53"/>
      <c r="V93" s="54"/>
      <c r="W93" s="54"/>
      <c r="X93" s="55"/>
    </row>
    <row r="94" spans="1:24" ht="33" x14ac:dyDescent="0.4">
      <c r="A94" s="65"/>
      <c r="B94" s="66"/>
      <c r="C94" s="66"/>
      <c r="D94" s="67"/>
      <c r="E94" s="68"/>
      <c r="F94" s="68"/>
      <c r="G94" s="66"/>
      <c r="H94" s="67"/>
      <c r="I94" s="67"/>
      <c r="J94" s="67"/>
      <c r="K94" s="66"/>
      <c r="L94" s="68"/>
      <c r="M94" s="66"/>
      <c r="N94" s="69"/>
      <c r="O94" s="67"/>
      <c r="P94" s="66"/>
      <c r="Q94" s="65"/>
      <c r="R94" s="70"/>
      <c r="T94" s="53"/>
      <c r="U94" s="53"/>
      <c r="V94" s="54"/>
      <c r="W94" s="54"/>
      <c r="X94" s="55"/>
    </row>
    <row r="95" spans="1:24" ht="33" x14ac:dyDescent="0.4">
      <c r="A95" s="65"/>
      <c r="B95" s="66"/>
      <c r="C95" s="66"/>
      <c r="D95" s="67"/>
      <c r="E95" s="68"/>
      <c r="F95" s="68"/>
      <c r="G95" s="66"/>
      <c r="H95" s="67"/>
      <c r="I95" s="67"/>
      <c r="J95" s="67"/>
      <c r="K95" s="66"/>
      <c r="L95" s="68"/>
      <c r="M95" s="66"/>
      <c r="N95" s="69"/>
      <c r="O95" s="67"/>
      <c r="P95" s="66"/>
      <c r="Q95" s="65"/>
      <c r="R95" s="70"/>
      <c r="T95" s="53"/>
      <c r="U95" s="53"/>
      <c r="V95" s="54"/>
      <c r="W95" s="54"/>
      <c r="X95" s="55"/>
    </row>
    <row r="96" spans="1:24" ht="33" x14ac:dyDescent="0.4">
      <c r="A96" s="65"/>
      <c r="B96" s="66"/>
      <c r="C96" s="66"/>
      <c r="D96" s="67"/>
      <c r="E96" s="68"/>
      <c r="F96" s="68"/>
      <c r="G96" s="66"/>
      <c r="H96" s="67"/>
      <c r="I96" s="67"/>
      <c r="J96" s="67"/>
      <c r="K96" s="66"/>
      <c r="L96" s="68"/>
      <c r="M96" s="66"/>
      <c r="N96" s="69"/>
      <c r="O96" s="67"/>
      <c r="P96" s="66"/>
      <c r="Q96" s="65"/>
      <c r="R96" s="70"/>
      <c r="T96" s="53"/>
      <c r="U96" s="53"/>
      <c r="V96" s="54"/>
      <c r="W96" s="54"/>
      <c r="X96" s="55"/>
    </row>
    <row r="97" spans="1:24" ht="33" x14ac:dyDescent="0.4">
      <c r="A97" s="65"/>
      <c r="B97" s="66"/>
      <c r="C97" s="66"/>
      <c r="D97" s="67"/>
      <c r="E97" s="68"/>
      <c r="F97" s="68"/>
      <c r="G97" s="66"/>
      <c r="H97" s="67"/>
      <c r="I97" s="67"/>
      <c r="J97" s="67"/>
      <c r="K97" s="66"/>
      <c r="L97" s="68"/>
      <c r="M97" s="66"/>
      <c r="N97" s="69"/>
      <c r="O97" s="67"/>
      <c r="P97" s="66"/>
      <c r="Q97" s="65"/>
      <c r="R97" s="70"/>
      <c r="T97" s="53"/>
      <c r="U97" s="53"/>
      <c r="V97" s="54"/>
      <c r="W97" s="54"/>
      <c r="X97" s="55"/>
    </row>
    <row r="98" spans="1:24" ht="33" x14ac:dyDescent="0.4">
      <c r="A98" s="65"/>
      <c r="B98" s="66"/>
      <c r="C98" s="66"/>
      <c r="D98" s="67"/>
      <c r="E98" s="68"/>
      <c r="F98" s="68"/>
      <c r="G98" s="66"/>
      <c r="H98" s="67"/>
      <c r="I98" s="67"/>
      <c r="J98" s="67"/>
      <c r="K98" s="66"/>
      <c r="L98" s="68"/>
      <c r="M98" s="66"/>
      <c r="N98" s="69"/>
      <c r="O98" s="67"/>
      <c r="P98" s="66"/>
      <c r="Q98" s="65"/>
      <c r="R98" s="70"/>
      <c r="T98" s="53"/>
      <c r="U98" s="53"/>
      <c r="V98" s="54"/>
      <c r="W98" s="54"/>
      <c r="X98" s="55"/>
    </row>
    <row r="99" spans="1:24" ht="33" x14ac:dyDescent="0.4">
      <c r="A99" s="65"/>
      <c r="B99" s="66"/>
      <c r="C99" s="66"/>
      <c r="D99" s="67"/>
      <c r="E99" s="68"/>
      <c r="F99" s="68"/>
      <c r="G99" s="66"/>
      <c r="H99" s="67"/>
      <c r="I99" s="67"/>
      <c r="J99" s="67"/>
      <c r="K99" s="66"/>
      <c r="L99" s="68"/>
      <c r="M99" s="66"/>
      <c r="N99" s="69"/>
      <c r="O99" s="67"/>
      <c r="P99" s="66"/>
      <c r="Q99" s="65"/>
      <c r="R99" s="70"/>
      <c r="T99" s="53"/>
      <c r="U99" s="53"/>
      <c r="V99" s="54"/>
      <c r="W99" s="54"/>
      <c r="X99" s="55"/>
    </row>
    <row r="100" spans="1:24" ht="27" x14ac:dyDescent="0.4">
      <c r="A100" s="65"/>
      <c r="B100" s="66"/>
      <c r="C100" s="66"/>
      <c r="D100" s="67"/>
      <c r="E100" s="68"/>
      <c r="F100" s="68"/>
      <c r="G100" s="66"/>
      <c r="H100" s="67"/>
      <c r="I100" s="67"/>
      <c r="J100" s="67"/>
      <c r="K100" s="66"/>
      <c r="L100" s="68"/>
      <c r="M100" s="66"/>
      <c r="N100" s="69"/>
      <c r="O100" s="67"/>
      <c r="P100" s="66"/>
      <c r="Q100" s="65"/>
      <c r="R100" s="70"/>
    </row>
    <row r="101" spans="1:24" ht="27" x14ac:dyDescent="0.4">
      <c r="A101" s="65"/>
      <c r="B101" s="66"/>
      <c r="C101" s="66"/>
      <c r="D101" s="67"/>
      <c r="E101" s="68"/>
      <c r="F101" s="68"/>
      <c r="G101" s="66"/>
      <c r="H101" s="67"/>
      <c r="I101" s="67"/>
      <c r="J101" s="67"/>
      <c r="K101" s="66"/>
      <c r="L101" s="68"/>
      <c r="M101" s="66"/>
      <c r="N101" s="69"/>
      <c r="O101" s="67"/>
      <c r="P101" s="66"/>
      <c r="Q101" s="65"/>
      <c r="R101" s="70"/>
    </row>
    <row r="102" spans="1:24" ht="33" x14ac:dyDescent="0.4">
      <c r="A102" s="65"/>
      <c r="B102" s="66"/>
      <c r="C102" s="66"/>
      <c r="D102" s="67"/>
      <c r="E102" s="68"/>
      <c r="F102" s="68"/>
      <c r="G102" s="66"/>
      <c r="H102" s="67"/>
      <c r="I102" s="67"/>
      <c r="J102" s="67"/>
      <c r="K102" s="66"/>
      <c r="L102" s="68"/>
      <c r="M102" s="66"/>
      <c r="N102" s="69"/>
      <c r="O102" s="67"/>
      <c r="P102" s="66"/>
      <c r="Q102" s="65"/>
      <c r="R102" s="70"/>
      <c r="T102" s="59">
        <v>89</v>
      </c>
      <c r="U102" s="60" t="s">
        <v>20</v>
      </c>
      <c r="V102" s="61" t="s">
        <v>18</v>
      </c>
      <c r="W102" s="61">
        <v>87</v>
      </c>
      <c r="X102" s="62">
        <f>W102/T102</f>
        <v>0.97752808988764039</v>
      </c>
    </row>
    <row r="103" spans="1:24" ht="33" x14ac:dyDescent="0.4">
      <c r="A103" s="65"/>
      <c r="B103" s="66"/>
      <c r="C103" s="66"/>
      <c r="D103" s="67"/>
      <c r="E103" s="68"/>
      <c r="F103" s="68"/>
      <c r="G103" s="66"/>
      <c r="H103" s="67"/>
      <c r="I103" s="67"/>
      <c r="J103" s="67"/>
      <c r="K103" s="66"/>
      <c r="L103" s="68"/>
      <c r="M103" s="66"/>
      <c r="N103" s="69"/>
      <c r="O103" s="67"/>
      <c r="P103" s="66"/>
      <c r="Q103" s="65"/>
      <c r="R103" s="70"/>
      <c r="T103" s="53"/>
      <c r="U103" s="53"/>
      <c r="V103" s="61" t="s">
        <v>19</v>
      </c>
      <c r="W103" s="61">
        <v>2</v>
      </c>
      <c r="X103" s="62">
        <f>W103/T102</f>
        <v>2.247191011235955E-2</v>
      </c>
    </row>
    <row r="104" spans="1:24" ht="33" x14ac:dyDescent="0.4">
      <c r="A104" s="65"/>
      <c r="B104" s="66"/>
      <c r="C104" s="66"/>
      <c r="D104" s="67"/>
      <c r="E104" s="68"/>
      <c r="F104" s="68"/>
      <c r="G104" s="66"/>
      <c r="H104" s="67"/>
      <c r="I104" s="67"/>
      <c r="J104" s="67"/>
      <c r="K104" s="66"/>
      <c r="L104" s="68"/>
      <c r="M104" s="66"/>
      <c r="N104" s="69"/>
      <c r="O104" s="67"/>
      <c r="P104" s="66"/>
      <c r="Q104" s="65"/>
      <c r="R104" s="70"/>
      <c r="T104" s="53"/>
      <c r="U104" s="60" t="s">
        <v>21</v>
      </c>
      <c r="V104" s="61" t="s">
        <v>18</v>
      </c>
      <c r="W104" s="61">
        <v>84</v>
      </c>
      <c r="X104" s="62">
        <f>W104/T102</f>
        <v>0.9438202247191011</v>
      </c>
    </row>
    <row r="105" spans="1:24" ht="33" x14ac:dyDescent="0.4">
      <c r="A105" s="65"/>
      <c r="B105" s="66"/>
      <c r="C105" s="66"/>
      <c r="D105" s="67"/>
      <c r="E105" s="68"/>
      <c r="F105" s="68"/>
      <c r="G105" s="66"/>
      <c r="H105" s="67"/>
      <c r="I105" s="67"/>
      <c r="J105" s="67"/>
      <c r="K105" s="66"/>
      <c r="L105" s="68"/>
      <c r="M105" s="66"/>
      <c r="N105" s="69"/>
      <c r="O105" s="67"/>
      <c r="P105" s="66"/>
      <c r="Q105" s="65"/>
      <c r="R105" s="70"/>
      <c r="T105" s="53"/>
      <c r="U105" s="53"/>
      <c r="V105" s="61" t="s">
        <v>19</v>
      </c>
      <c r="W105" s="61">
        <v>5</v>
      </c>
      <c r="X105" s="62">
        <f>W105/T102</f>
        <v>5.6179775280898875E-2</v>
      </c>
    </row>
    <row r="106" spans="1:24" ht="33" x14ac:dyDescent="0.4">
      <c r="A106" s="65"/>
      <c r="B106" s="66"/>
      <c r="C106" s="66"/>
      <c r="D106" s="67"/>
      <c r="E106" s="68"/>
      <c r="F106" s="68"/>
      <c r="G106" s="66"/>
      <c r="H106" s="67"/>
      <c r="I106" s="67"/>
      <c r="J106" s="67"/>
      <c r="K106" s="66"/>
      <c r="L106" s="68"/>
      <c r="M106" s="66"/>
      <c r="N106" s="69"/>
      <c r="O106" s="67"/>
      <c r="P106" s="66"/>
      <c r="Q106" s="65"/>
      <c r="R106" s="70"/>
      <c r="T106" s="53"/>
      <c r="U106" s="60" t="s">
        <v>22</v>
      </c>
      <c r="V106" s="61" t="s">
        <v>18</v>
      </c>
      <c r="W106" s="61">
        <v>89</v>
      </c>
      <c r="X106" s="62">
        <f>W106/T102</f>
        <v>1</v>
      </c>
    </row>
    <row r="107" spans="1:24" ht="30.75" x14ac:dyDescent="0.4">
      <c r="A107" s="65"/>
      <c r="B107" s="66"/>
      <c r="C107" s="66"/>
      <c r="D107" s="67"/>
      <c r="E107" s="68"/>
      <c r="F107" s="68"/>
      <c r="G107" s="66"/>
      <c r="H107" s="67"/>
      <c r="I107" s="67"/>
      <c r="J107" s="67"/>
      <c r="K107" s="66"/>
      <c r="L107" s="68"/>
      <c r="M107" s="66"/>
      <c r="N107" s="69"/>
      <c r="O107" s="67"/>
      <c r="P107" s="66"/>
      <c r="Q107" s="65"/>
      <c r="R107" s="70"/>
      <c r="T107" s="56"/>
      <c r="U107" s="56"/>
      <c r="V107" s="61" t="s">
        <v>19</v>
      </c>
      <c r="W107" s="61">
        <v>0</v>
      </c>
      <c r="X107" s="62">
        <f>W107/T102</f>
        <v>0</v>
      </c>
    </row>
    <row r="108" spans="1:24" ht="27" x14ac:dyDescent="0.4">
      <c r="A108" s="65"/>
      <c r="B108" s="66"/>
      <c r="C108" s="66"/>
      <c r="D108" s="67"/>
      <c r="E108" s="68"/>
      <c r="F108" s="68"/>
      <c r="G108" s="66"/>
      <c r="H108" s="67"/>
      <c r="I108" s="67"/>
      <c r="J108" s="67"/>
      <c r="K108" s="66"/>
      <c r="L108" s="68"/>
      <c r="M108" s="66"/>
      <c r="N108" s="69"/>
      <c r="O108" s="67"/>
      <c r="P108" s="66"/>
      <c r="Q108" s="65"/>
      <c r="R108" s="70"/>
    </row>
    <row r="109" spans="1:24" ht="27" x14ac:dyDescent="0.4">
      <c r="A109" s="65"/>
      <c r="B109" s="66"/>
      <c r="C109" s="66"/>
      <c r="D109" s="67"/>
      <c r="E109" s="68"/>
      <c r="F109" s="68"/>
      <c r="G109" s="66"/>
      <c r="H109" s="67"/>
      <c r="I109" s="67"/>
      <c r="J109" s="67"/>
      <c r="K109" s="66"/>
      <c r="L109" s="68"/>
      <c r="M109" s="66"/>
      <c r="N109" s="69"/>
      <c r="O109" s="67"/>
      <c r="P109" s="66"/>
      <c r="Q109" s="65"/>
      <c r="R109" s="70"/>
    </row>
    <row r="110" spans="1:24" ht="27" x14ac:dyDescent="0.4">
      <c r="A110" s="65"/>
      <c r="B110" s="66"/>
      <c r="C110" s="66"/>
      <c r="D110" s="67"/>
      <c r="E110" s="68"/>
      <c r="F110" s="68"/>
      <c r="G110" s="66"/>
      <c r="H110" s="67"/>
      <c r="I110" s="67"/>
      <c r="J110" s="67"/>
      <c r="K110" s="66"/>
      <c r="L110" s="68"/>
      <c r="M110" s="66"/>
      <c r="N110" s="69"/>
      <c r="O110" s="67"/>
      <c r="P110" s="66"/>
      <c r="Q110" s="65"/>
      <c r="R110" s="70"/>
    </row>
    <row r="111" spans="1:24" ht="27" x14ac:dyDescent="0.4">
      <c r="A111" s="65"/>
      <c r="B111" s="66"/>
      <c r="C111" s="66"/>
      <c r="D111" s="67"/>
      <c r="E111" s="68"/>
      <c r="F111" s="68"/>
      <c r="G111" s="66"/>
      <c r="H111" s="67"/>
      <c r="I111" s="67"/>
      <c r="J111" s="67"/>
      <c r="K111" s="66"/>
      <c r="L111" s="68"/>
      <c r="M111" s="66"/>
      <c r="N111" s="69"/>
      <c r="O111" s="67"/>
      <c r="P111" s="66"/>
      <c r="Q111" s="65"/>
      <c r="R111" s="70"/>
    </row>
    <row r="112" spans="1:24" ht="27" x14ac:dyDescent="0.4">
      <c r="A112" s="65"/>
      <c r="B112" s="66"/>
      <c r="C112" s="66"/>
      <c r="D112" s="67"/>
      <c r="E112" s="68"/>
      <c r="F112" s="68"/>
      <c r="G112" s="66"/>
      <c r="H112" s="67"/>
      <c r="I112" s="67"/>
      <c r="J112" s="67"/>
      <c r="K112" s="66"/>
      <c r="L112" s="68"/>
      <c r="M112" s="66"/>
      <c r="N112" s="69"/>
      <c r="O112" s="67"/>
      <c r="P112" s="66"/>
      <c r="Q112" s="65"/>
      <c r="R112" s="70"/>
    </row>
    <row r="113" spans="1:18" ht="27" x14ac:dyDescent="0.4">
      <c r="A113" s="65"/>
      <c r="B113" s="66"/>
      <c r="C113" s="66"/>
      <c r="D113" s="67"/>
      <c r="E113" s="68"/>
      <c r="F113" s="68"/>
      <c r="G113" s="66"/>
      <c r="H113" s="67"/>
      <c r="I113" s="67"/>
      <c r="J113" s="67"/>
      <c r="K113" s="66"/>
      <c r="L113" s="68"/>
      <c r="M113" s="66"/>
      <c r="N113" s="69"/>
      <c r="O113" s="67"/>
      <c r="P113" s="66"/>
      <c r="Q113" s="65"/>
      <c r="R113" s="70"/>
    </row>
    <row r="114" spans="1:18" ht="27" x14ac:dyDescent="0.4">
      <c r="A114" s="65"/>
      <c r="B114" s="66"/>
      <c r="C114" s="66"/>
      <c r="D114" s="67"/>
      <c r="E114" s="68"/>
      <c r="F114" s="68"/>
      <c r="G114" s="66"/>
      <c r="H114" s="67"/>
      <c r="I114" s="67"/>
      <c r="J114" s="67"/>
      <c r="K114" s="66"/>
      <c r="L114" s="68"/>
      <c r="M114" s="66"/>
      <c r="N114" s="69"/>
      <c r="O114" s="67"/>
      <c r="P114" s="66"/>
      <c r="Q114" s="65"/>
      <c r="R114" s="70"/>
    </row>
    <row r="115" spans="1:18" ht="27" x14ac:dyDescent="0.4">
      <c r="A115" s="65"/>
      <c r="B115" s="66"/>
      <c r="C115" s="66"/>
      <c r="D115" s="67"/>
      <c r="E115" s="68"/>
      <c r="F115" s="68"/>
      <c r="G115" s="66"/>
      <c r="H115" s="67"/>
      <c r="I115" s="67"/>
      <c r="J115" s="67"/>
      <c r="K115" s="66"/>
      <c r="L115" s="68"/>
      <c r="M115" s="66"/>
      <c r="N115" s="69"/>
      <c r="O115" s="67"/>
      <c r="P115" s="66"/>
      <c r="Q115" s="65"/>
      <c r="R115" s="70"/>
    </row>
    <row r="116" spans="1:18" ht="27" x14ac:dyDescent="0.4">
      <c r="A116" s="65"/>
      <c r="B116" s="66"/>
      <c r="C116" s="66"/>
      <c r="D116" s="67"/>
      <c r="E116" s="68"/>
      <c r="F116" s="68"/>
      <c r="G116" s="66"/>
      <c r="H116" s="67"/>
      <c r="I116" s="67"/>
      <c r="J116" s="67"/>
      <c r="K116" s="66"/>
      <c r="L116" s="68"/>
      <c r="M116" s="66"/>
      <c r="N116" s="69"/>
      <c r="O116" s="67"/>
      <c r="P116" s="66"/>
      <c r="Q116" s="65"/>
      <c r="R116" s="70"/>
    </row>
    <row r="117" spans="1:18" ht="27" x14ac:dyDescent="0.4">
      <c r="A117" s="65"/>
      <c r="B117" s="66"/>
      <c r="C117" s="66"/>
      <c r="D117" s="67"/>
      <c r="E117" s="68"/>
      <c r="F117" s="68"/>
      <c r="G117" s="66"/>
      <c r="H117" s="67"/>
      <c r="I117" s="67"/>
      <c r="J117" s="67"/>
      <c r="K117" s="66"/>
      <c r="L117" s="68"/>
      <c r="M117" s="66"/>
      <c r="N117" s="69"/>
      <c r="O117" s="67"/>
      <c r="P117" s="66"/>
      <c r="Q117" s="65"/>
      <c r="R117" s="70"/>
    </row>
    <row r="118" spans="1:18" ht="27" x14ac:dyDescent="0.4">
      <c r="A118" s="65"/>
      <c r="B118" s="66"/>
      <c r="C118" s="66"/>
      <c r="D118" s="67"/>
      <c r="E118" s="68"/>
      <c r="F118" s="68"/>
      <c r="G118" s="66"/>
      <c r="H118" s="67"/>
      <c r="I118" s="67"/>
      <c r="J118" s="67"/>
      <c r="K118" s="66"/>
      <c r="L118" s="68"/>
      <c r="M118" s="66"/>
      <c r="N118" s="69"/>
      <c r="O118" s="67"/>
      <c r="P118" s="66"/>
      <c r="Q118" s="65"/>
      <c r="R118" s="70"/>
    </row>
    <row r="119" spans="1:18" ht="27" x14ac:dyDescent="0.4">
      <c r="A119" s="65"/>
      <c r="B119" s="66"/>
      <c r="C119" s="66"/>
      <c r="D119" s="67"/>
      <c r="E119" s="68"/>
      <c r="F119" s="68"/>
      <c r="G119" s="66"/>
      <c r="H119" s="67"/>
      <c r="I119" s="67"/>
      <c r="J119" s="67"/>
      <c r="K119" s="66"/>
      <c r="L119" s="68"/>
      <c r="M119" s="66"/>
      <c r="N119" s="69"/>
      <c r="O119" s="67"/>
      <c r="P119" s="66"/>
      <c r="Q119" s="65"/>
      <c r="R119" s="70"/>
    </row>
    <row r="120" spans="1:18" ht="27" x14ac:dyDescent="0.4">
      <c r="A120" s="65"/>
      <c r="B120" s="66"/>
      <c r="C120" s="66"/>
      <c r="D120" s="67"/>
      <c r="E120" s="68"/>
      <c r="F120" s="68"/>
      <c r="G120" s="66"/>
      <c r="H120" s="67"/>
      <c r="I120" s="67"/>
      <c r="J120" s="67"/>
      <c r="K120" s="66"/>
      <c r="L120" s="68"/>
      <c r="M120" s="66"/>
      <c r="N120" s="69"/>
      <c r="O120" s="67"/>
      <c r="P120" s="66"/>
      <c r="Q120" s="65"/>
      <c r="R120" s="70"/>
    </row>
    <row r="121" spans="1:18" ht="27" x14ac:dyDescent="0.4">
      <c r="A121" s="65"/>
      <c r="B121" s="66"/>
      <c r="C121" s="66"/>
      <c r="D121" s="67"/>
      <c r="E121" s="68"/>
      <c r="F121" s="68"/>
      <c r="G121" s="66"/>
      <c r="H121" s="67"/>
      <c r="I121" s="67"/>
      <c r="J121" s="67"/>
      <c r="K121" s="66"/>
      <c r="L121" s="68"/>
      <c r="M121" s="66"/>
      <c r="N121" s="69"/>
      <c r="O121" s="67"/>
      <c r="P121" s="66"/>
      <c r="Q121" s="65"/>
      <c r="R121" s="70"/>
    </row>
    <row r="122" spans="1:18" ht="27" x14ac:dyDescent="0.4">
      <c r="A122" s="65"/>
      <c r="B122" s="66"/>
      <c r="C122" s="66"/>
      <c r="D122" s="67"/>
      <c r="E122" s="68"/>
      <c r="F122" s="68"/>
      <c r="G122" s="66"/>
      <c r="H122" s="67"/>
      <c r="I122" s="67"/>
      <c r="J122" s="67"/>
      <c r="K122" s="66"/>
      <c r="L122" s="68"/>
      <c r="M122" s="66"/>
      <c r="N122" s="69"/>
      <c r="O122" s="67"/>
      <c r="P122" s="66"/>
      <c r="Q122" s="65"/>
      <c r="R122" s="70"/>
    </row>
    <row r="123" spans="1:18" ht="27" x14ac:dyDescent="0.4">
      <c r="A123" s="65"/>
      <c r="B123" s="66"/>
      <c r="C123" s="66"/>
      <c r="D123" s="67"/>
      <c r="E123" s="68"/>
      <c r="F123" s="68"/>
      <c r="G123" s="66"/>
      <c r="H123" s="67"/>
      <c r="I123" s="67"/>
      <c r="J123" s="67"/>
      <c r="K123" s="66"/>
      <c r="L123" s="68"/>
      <c r="M123" s="66"/>
      <c r="N123" s="69"/>
      <c r="O123" s="67"/>
      <c r="P123" s="66"/>
      <c r="Q123" s="65"/>
      <c r="R123" s="68"/>
    </row>
    <row r="124" spans="1:18" ht="27" x14ac:dyDescent="0.4">
      <c r="A124" s="65"/>
      <c r="B124" s="66"/>
      <c r="C124" s="66"/>
      <c r="D124" s="67"/>
      <c r="E124" s="68"/>
      <c r="F124" s="68"/>
      <c r="G124" s="66"/>
      <c r="H124" s="67"/>
      <c r="I124" s="67"/>
      <c r="J124" s="67"/>
      <c r="K124" s="66"/>
      <c r="L124" s="68"/>
      <c r="M124" s="66"/>
      <c r="N124" s="69"/>
      <c r="O124" s="67"/>
      <c r="P124" s="66"/>
      <c r="Q124" s="65"/>
      <c r="R124" s="70"/>
    </row>
    <row r="125" spans="1:18" ht="27" x14ac:dyDescent="0.4">
      <c r="A125" s="65"/>
      <c r="B125" s="66"/>
      <c r="C125" s="66"/>
      <c r="D125" s="67"/>
      <c r="E125" s="68"/>
      <c r="F125" s="68"/>
      <c r="G125" s="66"/>
      <c r="H125" s="67"/>
      <c r="I125" s="67"/>
      <c r="J125" s="67"/>
      <c r="K125" s="66"/>
      <c r="L125" s="68"/>
      <c r="M125" s="66"/>
      <c r="N125" s="69"/>
      <c r="O125" s="67"/>
      <c r="P125" s="66"/>
      <c r="Q125" s="65"/>
      <c r="R125" s="70"/>
    </row>
    <row r="126" spans="1:18" ht="27" x14ac:dyDescent="0.4">
      <c r="A126" s="65"/>
      <c r="B126" s="66"/>
      <c r="C126" s="66"/>
      <c r="D126" s="67"/>
      <c r="E126" s="68"/>
      <c r="F126" s="68"/>
      <c r="G126" s="66"/>
      <c r="H126" s="67"/>
      <c r="I126" s="67"/>
      <c r="J126" s="67"/>
      <c r="K126" s="66"/>
      <c r="L126" s="68"/>
      <c r="M126" s="66"/>
      <c r="N126" s="69"/>
      <c r="O126" s="67"/>
      <c r="P126" s="66"/>
      <c r="Q126" s="65"/>
      <c r="R126" s="70"/>
    </row>
    <row r="127" spans="1:18" ht="27" x14ac:dyDescent="0.4">
      <c r="A127" s="65"/>
      <c r="B127" s="66"/>
      <c r="C127" s="66"/>
      <c r="D127" s="67"/>
      <c r="E127" s="68"/>
      <c r="F127" s="68"/>
      <c r="G127" s="66"/>
      <c r="H127" s="67"/>
      <c r="I127" s="67"/>
      <c r="J127" s="67"/>
      <c r="K127" s="66"/>
      <c r="L127" s="68"/>
      <c r="M127" s="66"/>
      <c r="N127" s="69"/>
      <c r="O127" s="67"/>
      <c r="P127" s="66"/>
      <c r="Q127" s="65"/>
      <c r="R127" s="70"/>
    </row>
    <row r="128" spans="1:18" ht="27" x14ac:dyDescent="0.4">
      <c r="A128" s="65"/>
      <c r="B128" s="66"/>
      <c r="C128" s="66"/>
      <c r="D128" s="67"/>
      <c r="E128" s="68"/>
      <c r="F128" s="68"/>
      <c r="G128" s="66"/>
      <c r="H128" s="67"/>
      <c r="I128" s="67"/>
      <c r="J128" s="67"/>
      <c r="K128" s="66"/>
      <c r="L128" s="68"/>
      <c r="M128" s="66"/>
      <c r="N128" s="69"/>
      <c r="O128" s="67"/>
      <c r="P128" s="66"/>
      <c r="Q128" s="65"/>
      <c r="R128" s="68"/>
    </row>
    <row r="129" spans="1:18" ht="27" x14ac:dyDescent="0.4">
      <c r="A129" s="65"/>
      <c r="B129" s="66"/>
      <c r="C129" s="66"/>
      <c r="D129" s="67"/>
      <c r="E129" s="68"/>
      <c r="F129" s="68"/>
      <c r="G129" s="66"/>
      <c r="H129" s="67"/>
      <c r="I129" s="67"/>
      <c r="J129" s="67"/>
      <c r="K129" s="66"/>
      <c r="L129" s="68"/>
      <c r="M129" s="66"/>
      <c r="N129" s="69"/>
      <c r="O129" s="67"/>
      <c r="P129" s="66"/>
      <c r="Q129" s="65"/>
      <c r="R129" s="68"/>
    </row>
    <row r="130" spans="1:18" ht="27" x14ac:dyDescent="0.4">
      <c r="A130" s="65"/>
      <c r="B130" s="66"/>
      <c r="C130" s="66"/>
      <c r="D130" s="67"/>
      <c r="E130" s="68"/>
      <c r="F130" s="68"/>
      <c r="G130" s="66"/>
      <c r="H130" s="67"/>
      <c r="I130" s="67"/>
      <c r="J130" s="67"/>
      <c r="K130" s="66"/>
      <c r="L130" s="68"/>
      <c r="M130" s="66"/>
      <c r="N130" s="69"/>
      <c r="O130" s="67"/>
      <c r="P130" s="66"/>
      <c r="Q130" s="65"/>
      <c r="R130" s="68"/>
    </row>
    <row r="131" spans="1:18" ht="27" x14ac:dyDescent="0.4">
      <c r="A131" s="65"/>
      <c r="B131" s="66"/>
      <c r="C131" s="66"/>
      <c r="D131" s="67"/>
      <c r="E131" s="68"/>
      <c r="F131" s="68"/>
      <c r="G131" s="66"/>
      <c r="H131" s="67"/>
      <c r="I131" s="67"/>
      <c r="J131" s="67"/>
      <c r="K131" s="66"/>
      <c r="L131" s="68"/>
      <c r="M131" s="66"/>
      <c r="N131" s="69"/>
      <c r="O131" s="67"/>
      <c r="P131" s="66"/>
      <c r="Q131" s="65"/>
      <c r="R131" s="68"/>
    </row>
    <row r="132" spans="1:18" ht="27" x14ac:dyDescent="0.4">
      <c r="A132" s="65"/>
      <c r="B132" s="66"/>
      <c r="C132" s="66"/>
      <c r="D132" s="67"/>
      <c r="E132" s="68"/>
      <c r="F132" s="68"/>
      <c r="G132" s="66"/>
      <c r="H132" s="67"/>
      <c r="I132" s="67"/>
      <c r="J132" s="67"/>
      <c r="K132" s="66"/>
      <c r="L132" s="68"/>
      <c r="M132" s="66"/>
      <c r="N132" s="69"/>
      <c r="O132" s="67"/>
      <c r="P132" s="66"/>
      <c r="Q132" s="65"/>
      <c r="R132" s="68"/>
    </row>
    <row r="133" spans="1:18" ht="27" x14ac:dyDescent="0.4">
      <c r="A133" s="65"/>
      <c r="B133" s="66"/>
      <c r="C133" s="66"/>
      <c r="D133" s="67"/>
      <c r="E133" s="68"/>
      <c r="F133" s="68"/>
      <c r="G133" s="66"/>
      <c r="H133" s="67"/>
      <c r="I133" s="67"/>
      <c r="J133" s="67"/>
      <c r="K133" s="66"/>
      <c r="L133" s="68"/>
      <c r="M133" s="66"/>
      <c r="N133" s="69"/>
      <c r="O133" s="67"/>
      <c r="P133" s="66"/>
      <c r="Q133" s="65"/>
      <c r="R133" s="68"/>
    </row>
    <row r="134" spans="1:18" ht="27" x14ac:dyDescent="0.4">
      <c r="A134" s="65"/>
      <c r="B134" s="66"/>
      <c r="C134" s="66"/>
      <c r="D134" s="67"/>
      <c r="E134" s="68"/>
      <c r="F134" s="68"/>
      <c r="G134" s="66"/>
      <c r="H134" s="67"/>
      <c r="I134" s="67"/>
      <c r="J134" s="67"/>
      <c r="K134" s="66"/>
      <c r="L134" s="68"/>
      <c r="M134" s="66"/>
      <c r="N134" s="69"/>
      <c r="O134" s="67"/>
      <c r="P134" s="66"/>
      <c r="Q134" s="65"/>
      <c r="R134" s="68"/>
    </row>
    <row r="135" spans="1:18" ht="27" x14ac:dyDescent="0.4">
      <c r="A135" s="65"/>
      <c r="B135" s="66"/>
      <c r="C135" s="66"/>
      <c r="D135" s="67"/>
      <c r="E135" s="68"/>
      <c r="F135" s="68"/>
      <c r="G135" s="66"/>
      <c r="H135" s="67"/>
      <c r="I135" s="67"/>
      <c r="J135" s="67"/>
      <c r="K135" s="66"/>
      <c r="L135" s="68"/>
      <c r="M135" s="66"/>
      <c r="N135" s="69"/>
      <c r="O135" s="67"/>
      <c r="P135" s="66"/>
      <c r="Q135" s="65"/>
      <c r="R135" s="68"/>
    </row>
    <row r="136" spans="1:18" ht="27" x14ac:dyDescent="0.4">
      <c r="A136" s="65"/>
      <c r="B136" s="66"/>
      <c r="C136" s="66"/>
      <c r="D136" s="67"/>
      <c r="E136" s="68"/>
      <c r="F136" s="68"/>
      <c r="G136" s="66"/>
      <c r="H136" s="67"/>
      <c r="I136" s="67"/>
      <c r="J136" s="67"/>
      <c r="K136" s="66"/>
      <c r="L136" s="68"/>
      <c r="M136" s="66"/>
      <c r="N136" s="69"/>
      <c r="O136" s="67"/>
      <c r="P136" s="66"/>
      <c r="Q136" s="65"/>
      <c r="R136" s="68"/>
    </row>
    <row r="137" spans="1:18" ht="27" x14ac:dyDescent="0.4">
      <c r="A137" s="65"/>
      <c r="B137" s="66"/>
      <c r="C137" s="66"/>
      <c r="D137" s="67"/>
      <c r="E137" s="68"/>
      <c r="F137" s="68"/>
      <c r="G137" s="66"/>
      <c r="H137" s="67"/>
      <c r="I137" s="67"/>
      <c r="J137" s="67"/>
      <c r="K137" s="66"/>
      <c r="L137" s="68"/>
      <c r="M137" s="66"/>
      <c r="N137" s="69"/>
      <c r="O137" s="67"/>
      <c r="P137" s="66"/>
      <c r="Q137" s="65"/>
      <c r="R137" s="68"/>
    </row>
    <row r="138" spans="1:18" ht="27" x14ac:dyDescent="0.4">
      <c r="A138" s="65"/>
      <c r="B138" s="66"/>
      <c r="C138" s="66"/>
      <c r="D138" s="67"/>
      <c r="E138" s="68"/>
      <c r="F138" s="68"/>
      <c r="G138" s="66"/>
      <c r="H138" s="67"/>
      <c r="I138" s="67"/>
      <c r="J138" s="67"/>
      <c r="K138" s="66"/>
      <c r="L138" s="68"/>
      <c r="M138" s="66"/>
      <c r="N138" s="69"/>
      <c r="O138" s="67"/>
      <c r="P138" s="66"/>
      <c r="Q138" s="65"/>
      <c r="R138" s="68"/>
    </row>
    <row r="139" spans="1:18" ht="27" x14ac:dyDescent="0.4">
      <c r="A139" s="65"/>
      <c r="B139" s="66"/>
      <c r="C139" s="66"/>
      <c r="D139" s="67"/>
      <c r="E139" s="68"/>
      <c r="F139" s="68"/>
      <c r="G139" s="66"/>
      <c r="H139" s="67"/>
      <c r="I139" s="67"/>
      <c r="J139" s="67"/>
      <c r="K139" s="66"/>
      <c r="L139" s="68"/>
      <c r="M139" s="66"/>
      <c r="N139" s="69"/>
      <c r="O139" s="67"/>
      <c r="P139" s="66"/>
      <c r="Q139" s="65"/>
      <c r="R139" s="68"/>
    </row>
    <row r="140" spans="1:18" ht="27" x14ac:dyDescent="0.4">
      <c r="A140" s="65"/>
      <c r="B140" s="66"/>
      <c r="C140" s="66"/>
      <c r="D140" s="67"/>
      <c r="E140" s="68"/>
      <c r="F140" s="68"/>
      <c r="G140" s="66"/>
      <c r="H140" s="67"/>
      <c r="I140" s="67"/>
      <c r="J140" s="67"/>
      <c r="K140" s="66"/>
      <c r="L140" s="68"/>
      <c r="M140" s="66"/>
      <c r="N140" s="69"/>
      <c r="O140" s="67"/>
      <c r="P140" s="66"/>
      <c r="Q140" s="65"/>
      <c r="R140" s="68"/>
    </row>
    <row r="141" spans="1:18" ht="27" x14ac:dyDescent="0.4">
      <c r="A141" s="65"/>
      <c r="B141" s="66"/>
      <c r="C141" s="66"/>
      <c r="D141" s="67"/>
      <c r="E141" s="68"/>
      <c r="F141" s="68"/>
      <c r="G141" s="66"/>
      <c r="H141" s="67"/>
      <c r="I141" s="67"/>
      <c r="J141" s="67"/>
      <c r="K141" s="66"/>
      <c r="L141" s="68"/>
      <c r="M141" s="66"/>
      <c r="N141" s="69"/>
      <c r="O141" s="67"/>
      <c r="P141" s="66"/>
      <c r="Q141" s="65"/>
      <c r="R141" s="68"/>
    </row>
    <row r="142" spans="1:18" ht="27" x14ac:dyDescent="0.4">
      <c r="A142" s="65"/>
      <c r="B142" s="66"/>
      <c r="C142" s="66"/>
      <c r="D142" s="67"/>
      <c r="E142" s="68"/>
      <c r="F142" s="68"/>
      <c r="G142" s="66"/>
      <c r="H142" s="67"/>
      <c r="I142" s="67"/>
      <c r="J142" s="67"/>
      <c r="K142" s="66"/>
      <c r="L142" s="68"/>
      <c r="M142" s="66"/>
      <c r="N142" s="69"/>
      <c r="O142" s="67"/>
      <c r="P142" s="66"/>
      <c r="Q142" s="65"/>
      <c r="R142" s="70"/>
    </row>
    <row r="143" spans="1:18" ht="27" x14ac:dyDescent="0.4">
      <c r="A143" s="65"/>
      <c r="B143" s="66"/>
      <c r="C143" s="66"/>
      <c r="D143" s="67"/>
      <c r="E143" s="68"/>
      <c r="F143" s="68"/>
      <c r="G143" s="66"/>
      <c r="H143" s="67"/>
      <c r="I143" s="67"/>
      <c r="J143" s="67"/>
      <c r="K143" s="66"/>
      <c r="L143" s="68"/>
      <c r="M143" s="66"/>
      <c r="N143" s="69"/>
      <c r="O143" s="67"/>
      <c r="P143" s="66"/>
      <c r="Q143" s="65"/>
      <c r="R143" s="70"/>
    </row>
    <row r="144" spans="1:18" ht="27" x14ac:dyDescent="0.4">
      <c r="A144" s="65"/>
      <c r="B144" s="66"/>
      <c r="C144" s="66"/>
      <c r="D144" s="67"/>
      <c r="E144" s="68"/>
      <c r="F144" s="68"/>
      <c r="G144" s="66"/>
      <c r="H144" s="67"/>
      <c r="I144" s="67"/>
      <c r="J144" s="67"/>
      <c r="K144" s="66"/>
      <c r="L144" s="68"/>
      <c r="M144" s="66"/>
      <c r="N144" s="69"/>
      <c r="O144" s="67"/>
      <c r="P144" s="66"/>
      <c r="Q144" s="65"/>
      <c r="R144" s="68"/>
    </row>
    <row r="145" spans="1:18" ht="27" x14ac:dyDescent="0.4">
      <c r="A145" s="65"/>
      <c r="B145" s="66"/>
      <c r="C145" s="66"/>
      <c r="D145" s="67"/>
      <c r="E145" s="68"/>
      <c r="F145" s="68"/>
      <c r="G145" s="66"/>
      <c r="H145" s="67"/>
      <c r="I145" s="67"/>
      <c r="J145" s="67"/>
      <c r="K145" s="66"/>
      <c r="L145" s="68"/>
      <c r="M145" s="66"/>
      <c r="N145" s="69"/>
      <c r="O145" s="67"/>
      <c r="P145" s="66"/>
      <c r="Q145" s="65"/>
      <c r="R145" s="68"/>
    </row>
    <row r="146" spans="1:18" ht="27" x14ac:dyDescent="0.4">
      <c r="A146" s="65"/>
      <c r="B146" s="66"/>
      <c r="C146" s="66"/>
      <c r="D146" s="67"/>
      <c r="E146" s="68"/>
      <c r="F146" s="68"/>
      <c r="G146" s="66"/>
      <c r="H146" s="67"/>
      <c r="I146" s="67"/>
      <c r="J146" s="67"/>
      <c r="K146" s="66"/>
      <c r="L146" s="68"/>
      <c r="M146" s="66"/>
      <c r="N146" s="69"/>
      <c r="O146" s="67"/>
      <c r="P146" s="66"/>
      <c r="Q146" s="65"/>
      <c r="R146" s="68"/>
    </row>
    <row r="147" spans="1:18" ht="27" x14ac:dyDescent="0.4">
      <c r="A147" s="65"/>
      <c r="B147" s="66"/>
      <c r="C147" s="66"/>
      <c r="D147" s="67"/>
      <c r="E147" s="68"/>
      <c r="F147" s="68"/>
      <c r="G147" s="66"/>
      <c r="H147" s="67"/>
      <c r="I147" s="67"/>
      <c r="J147" s="67"/>
      <c r="K147" s="66"/>
      <c r="L147" s="68"/>
      <c r="M147" s="66"/>
      <c r="N147" s="69"/>
      <c r="O147" s="67"/>
      <c r="P147" s="66"/>
      <c r="Q147" s="65"/>
      <c r="R147" s="68"/>
    </row>
    <row r="148" spans="1:18" ht="27" x14ac:dyDescent="0.4">
      <c r="A148" s="65"/>
      <c r="B148" s="66"/>
      <c r="C148" s="66"/>
      <c r="D148" s="67"/>
      <c r="E148" s="68"/>
      <c r="F148" s="68"/>
      <c r="G148" s="66"/>
      <c r="H148" s="67"/>
      <c r="I148" s="67"/>
      <c r="J148" s="67"/>
      <c r="K148" s="66"/>
      <c r="L148" s="68"/>
      <c r="M148" s="66"/>
      <c r="N148" s="69"/>
      <c r="O148" s="67"/>
      <c r="P148" s="66"/>
      <c r="Q148" s="65"/>
      <c r="R148" s="68"/>
    </row>
    <row r="149" spans="1:18" ht="27" x14ac:dyDescent="0.4">
      <c r="A149" s="65"/>
      <c r="B149" s="66"/>
      <c r="C149" s="66"/>
      <c r="D149" s="67"/>
      <c r="E149" s="68"/>
      <c r="F149" s="68"/>
      <c r="G149" s="66"/>
      <c r="H149" s="67"/>
      <c r="I149" s="67"/>
      <c r="J149" s="67"/>
      <c r="K149" s="66"/>
      <c r="L149" s="68"/>
      <c r="M149" s="66"/>
      <c r="N149" s="69"/>
      <c r="O149" s="67"/>
      <c r="P149" s="66"/>
      <c r="Q149" s="65"/>
      <c r="R149" s="68"/>
    </row>
    <row r="150" spans="1:18" ht="27" x14ac:dyDescent="0.4">
      <c r="A150" s="65"/>
      <c r="B150" s="66"/>
      <c r="C150" s="66"/>
      <c r="D150" s="67"/>
      <c r="E150" s="68"/>
      <c r="F150" s="68"/>
      <c r="G150" s="66"/>
      <c r="H150" s="67"/>
      <c r="I150" s="67"/>
      <c r="J150" s="67"/>
      <c r="K150" s="66"/>
      <c r="L150" s="68"/>
      <c r="M150" s="66"/>
      <c r="N150" s="69"/>
      <c r="O150" s="67"/>
      <c r="P150" s="66"/>
      <c r="Q150" s="65"/>
      <c r="R150" s="68"/>
    </row>
    <row r="151" spans="1:18" ht="27" x14ac:dyDescent="0.4">
      <c r="A151" s="65"/>
      <c r="B151" s="66"/>
      <c r="C151" s="66"/>
      <c r="D151" s="67"/>
      <c r="E151" s="68"/>
      <c r="F151" s="68"/>
      <c r="G151" s="66"/>
      <c r="H151" s="67"/>
      <c r="I151" s="67"/>
      <c r="J151" s="67"/>
      <c r="K151" s="66"/>
      <c r="L151" s="68"/>
      <c r="M151" s="66"/>
      <c r="N151" s="69"/>
      <c r="O151" s="67"/>
      <c r="P151" s="66"/>
      <c r="Q151" s="65"/>
      <c r="R151" s="68"/>
    </row>
    <row r="152" spans="1:18" ht="27" x14ac:dyDescent="0.4">
      <c r="A152" s="65"/>
      <c r="B152" s="66"/>
      <c r="C152" s="66"/>
      <c r="D152" s="67"/>
      <c r="E152" s="68"/>
      <c r="F152" s="68"/>
      <c r="G152" s="66"/>
      <c r="H152" s="67"/>
      <c r="I152" s="67"/>
      <c r="J152" s="67"/>
      <c r="K152" s="66"/>
      <c r="L152" s="68"/>
      <c r="M152" s="66"/>
      <c r="N152" s="69"/>
      <c r="O152" s="67"/>
      <c r="P152" s="66"/>
      <c r="Q152" s="65"/>
      <c r="R152" s="68"/>
    </row>
    <row r="153" spans="1:18" ht="27" x14ac:dyDescent="0.4">
      <c r="A153" s="65"/>
      <c r="B153" s="66"/>
      <c r="C153" s="66"/>
      <c r="D153" s="67"/>
      <c r="E153" s="68"/>
      <c r="F153" s="68"/>
      <c r="G153" s="66"/>
      <c r="H153" s="67"/>
      <c r="I153" s="67"/>
      <c r="J153" s="67"/>
      <c r="K153" s="66"/>
      <c r="L153" s="68"/>
      <c r="M153" s="66"/>
      <c r="N153" s="69"/>
      <c r="O153" s="67"/>
      <c r="P153" s="66"/>
      <c r="Q153" s="65"/>
      <c r="R153" s="68"/>
    </row>
    <row r="154" spans="1:18" ht="27" x14ac:dyDescent="0.4">
      <c r="A154" s="65"/>
      <c r="B154" s="66"/>
      <c r="C154" s="66"/>
      <c r="D154" s="67"/>
      <c r="E154" s="68"/>
      <c r="F154" s="68"/>
      <c r="G154" s="66"/>
      <c r="H154" s="67"/>
      <c r="I154" s="67"/>
      <c r="J154" s="67"/>
      <c r="K154" s="66"/>
      <c r="L154" s="68"/>
      <c r="M154" s="66"/>
      <c r="N154" s="69"/>
      <c r="O154" s="67"/>
      <c r="P154" s="66"/>
      <c r="Q154" s="65"/>
      <c r="R154" s="68"/>
    </row>
    <row r="155" spans="1:18" ht="27" x14ac:dyDescent="0.4">
      <c r="A155" s="65"/>
      <c r="B155" s="66"/>
      <c r="C155" s="66"/>
      <c r="D155" s="67"/>
      <c r="E155" s="68"/>
      <c r="F155" s="68"/>
      <c r="G155" s="66"/>
      <c r="H155" s="67"/>
      <c r="I155" s="67"/>
      <c r="J155" s="67"/>
      <c r="K155" s="66"/>
      <c r="L155" s="68"/>
      <c r="M155" s="66"/>
      <c r="N155" s="69"/>
      <c r="O155" s="67"/>
      <c r="P155" s="66"/>
      <c r="Q155" s="65"/>
      <c r="R155" s="68"/>
    </row>
    <row r="156" spans="1:18" ht="27" x14ac:dyDescent="0.4">
      <c r="A156" s="65"/>
      <c r="B156" s="66"/>
      <c r="C156" s="66"/>
      <c r="D156" s="67"/>
      <c r="E156" s="68"/>
      <c r="F156" s="68"/>
      <c r="G156" s="66"/>
      <c r="H156" s="67"/>
      <c r="I156" s="67"/>
      <c r="J156" s="67"/>
      <c r="K156" s="66"/>
      <c r="L156" s="68"/>
      <c r="M156" s="66"/>
      <c r="N156" s="69"/>
      <c r="O156" s="67"/>
      <c r="P156" s="66"/>
      <c r="Q156" s="65"/>
      <c r="R156" s="68"/>
    </row>
    <row r="157" spans="1:18" ht="27" x14ac:dyDescent="0.4">
      <c r="A157" s="65"/>
      <c r="B157" s="66"/>
      <c r="C157" s="66"/>
      <c r="D157" s="67"/>
      <c r="E157" s="68"/>
      <c r="F157" s="68"/>
      <c r="G157" s="66"/>
      <c r="H157" s="67"/>
      <c r="I157" s="67"/>
      <c r="J157" s="67"/>
      <c r="K157" s="66"/>
      <c r="L157" s="68"/>
      <c r="M157" s="66"/>
      <c r="N157" s="69"/>
      <c r="O157" s="67"/>
      <c r="P157" s="66"/>
      <c r="Q157" s="65"/>
      <c r="R157" s="68"/>
    </row>
    <row r="158" spans="1:18" ht="27" x14ac:dyDescent="0.4">
      <c r="A158" s="65"/>
      <c r="B158" s="66"/>
      <c r="C158" s="66"/>
      <c r="D158" s="67"/>
      <c r="E158" s="68"/>
      <c r="F158" s="68"/>
      <c r="G158" s="66"/>
      <c r="H158" s="67"/>
      <c r="I158" s="67"/>
      <c r="J158" s="67"/>
      <c r="K158" s="66"/>
      <c r="L158" s="68"/>
      <c r="M158" s="66"/>
      <c r="N158" s="69"/>
      <c r="O158" s="67"/>
      <c r="P158" s="66"/>
      <c r="Q158" s="65"/>
      <c r="R158" s="68"/>
    </row>
    <row r="159" spans="1:18" ht="27" x14ac:dyDescent="0.4">
      <c r="A159" s="65"/>
      <c r="B159" s="66"/>
      <c r="C159" s="66"/>
      <c r="D159" s="67"/>
      <c r="E159" s="68"/>
      <c r="F159" s="68"/>
      <c r="G159" s="66"/>
      <c r="H159" s="67"/>
      <c r="I159" s="67"/>
      <c r="J159" s="67"/>
      <c r="K159" s="66"/>
      <c r="L159" s="68"/>
      <c r="M159" s="66"/>
      <c r="N159" s="69"/>
      <c r="O159" s="67"/>
      <c r="P159" s="66"/>
      <c r="Q159" s="65"/>
      <c r="R159" s="68"/>
    </row>
    <row r="160" spans="1:18" ht="27" x14ac:dyDescent="0.4">
      <c r="A160" s="65"/>
      <c r="B160" s="66"/>
      <c r="C160" s="66"/>
      <c r="D160" s="67"/>
      <c r="E160" s="68"/>
      <c r="F160" s="68"/>
      <c r="G160" s="66"/>
      <c r="H160" s="67"/>
      <c r="I160" s="67"/>
      <c r="J160" s="67"/>
      <c r="K160" s="66"/>
      <c r="L160" s="68"/>
      <c r="M160" s="66"/>
      <c r="N160" s="69"/>
      <c r="O160" s="67"/>
      <c r="P160" s="66"/>
      <c r="Q160" s="65"/>
      <c r="R160" s="68"/>
    </row>
    <row r="161" spans="1:18" ht="27" x14ac:dyDescent="0.4">
      <c r="A161" s="65"/>
      <c r="B161" s="66"/>
      <c r="C161" s="66"/>
      <c r="D161" s="67"/>
      <c r="E161" s="68"/>
      <c r="F161" s="68"/>
      <c r="G161" s="66"/>
      <c r="H161" s="67"/>
      <c r="I161" s="67"/>
      <c r="J161" s="67"/>
      <c r="K161" s="66"/>
      <c r="L161" s="68"/>
      <c r="M161" s="66"/>
      <c r="N161" s="69"/>
      <c r="O161" s="67"/>
      <c r="P161" s="66"/>
      <c r="Q161" s="65"/>
      <c r="R161" s="68"/>
    </row>
    <row r="162" spans="1:18" ht="27" x14ac:dyDescent="0.4">
      <c r="A162" s="65"/>
      <c r="B162" s="66"/>
      <c r="C162" s="66"/>
      <c r="D162" s="67"/>
      <c r="E162" s="68"/>
      <c r="F162" s="68"/>
      <c r="G162" s="66"/>
      <c r="H162" s="67"/>
      <c r="I162" s="67"/>
      <c r="J162" s="67"/>
      <c r="K162" s="66"/>
      <c r="L162" s="68"/>
      <c r="M162" s="66"/>
      <c r="N162" s="69"/>
      <c r="O162" s="67"/>
      <c r="P162" s="66"/>
      <c r="Q162" s="65"/>
      <c r="R162" s="68"/>
    </row>
    <row r="163" spans="1:18" ht="27" x14ac:dyDescent="0.4">
      <c r="A163" s="65"/>
      <c r="B163" s="66"/>
      <c r="C163" s="66"/>
      <c r="D163" s="67"/>
      <c r="E163" s="68"/>
      <c r="F163" s="68"/>
      <c r="G163" s="66"/>
      <c r="H163" s="67"/>
      <c r="I163" s="67"/>
      <c r="J163" s="67"/>
      <c r="K163" s="66"/>
      <c r="L163" s="68"/>
      <c r="M163" s="66"/>
      <c r="N163" s="69"/>
      <c r="O163" s="67"/>
      <c r="P163" s="66"/>
      <c r="Q163" s="65"/>
      <c r="R163" s="68"/>
    </row>
    <row r="164" spans="1:18" ht="27" x14ac:dyDescent="0.4">
      <c r="A164" s="65"/>
      <c r="B164" s="66"/>
      <c r="C164" s="66"/>
      <c r="D164" s="67"/>
      <c r="E164" s="68"/>
      <c r="F164" s="68"/>
      <c r="G164" s="66"/>
      <c r="H164" s="67"/>
      <c r="I164" s="67"/>
      <c r="J164" s="67"/>
      <c r="K164" s="66"/>
      <c r="L164" s="68"/>
      <c r="M164" s="66"/>
      <c r="N164" s="69"/>
      <c r="O164" s="67"/>
      <c r="P164" s="66"/>
      <c r="Q164" s="65"/>
      <c r="R164" s="68"/>
    </row>
    <row r="165" spans="1:18" ht="27" x14ac:dyDescent="0.4">
      <c r="A165" s="65"/>
      <c r="B165" s="66"/>
      <c r="C165" s="66"/>
      <c r="D165" s="67"/>
      <c r="E165" s="68"/>
      <c r="F165" s="68"/>
      <c r="G165" s="66"/>
      <c r="H165" s="67"/>
      <c r="I165" s="67"/>
      <c r="J165" s="67"/>
      <c r="K165" s="66"/>
      <c r="L165" s="68"/>
      <c r="M165" s="66"/>
      <c r="N165" s="69"/>
      <c r="O165" s="67"/>
      <c r="P165" s="66"/>
      <c r="Q165" s="65"/>
      <c r="R165" s="68"/>
    </row>
    <row r="166" spans="1:18" ht="27" x14ac:dyDescent="0.4">
      <c r="A166" s="65"/>
      <c r="B166" s="66"/>
      <c r="C166" s="66"/>
      <c r="D166" s="67"/>
      <c r="E166" s="68"/>
      <c r="F166" s="68"/>
      <c r="G166" s="66"/>
      <c r="H166" s="67"/>
      <c r="I166" s="67"/>
      <c r="J166" s="67"/>
      <c r="K166" s="66"/>
      <c r="L166" s="68"/>
      <c r="M166" s="66"/>
      <c r="N166" s="69"/>
      <c r="O166" s="67"/>
      <c r="P166" s="66"/>
      <c r="Q166" s="65"/>
      <c r="R166" s="68"/>
    </row>
    <row r="167" spans="1:18" ht="27" x14ac:dyDescent="0.4">
      <c r="A167" s="65"/>
      <c r="B167" s="66"/>
      <c r="C167" s="66"/>
      <c r="D167" s="67"/>
      <c r="E167" s="68"/>
      <c r="F167" s="68"/>
      <c r="G167" s="66"/>
      <c r="H167" s="67"/>
      <c r="I167" s="67"/>
      <c r="J167" s="67"/>
      <c r="K167" s="66"/>
      <c r="L167" s="68"/>
      <c r="M167" s="66"/>
      <c r="N167" s="69"/>
      <c r="O167" s="67"/>
      <c r="P167" s="66"/>
      <c r="Q167" s="65"/>
      <c r="R167" s="68"/>
    </row>
    <row r="168" spans="1:18" ht="27" x14ac:dyDescent="0.4">
      <c r="A168" s="65"/>
      <c r="B168" s="66"/>
      <c r="C168" s="66"/>
      <c r="D168" s="67"/>
      <c r="E168" s="68"/>
      <c r="F168" s="68"/>
      <c r="G168" s="66"/>
      <c r="H168" s="67"/>
      <c r="I168" s="67"/>
      <c r="J168" s="67"/>
      <c r="K168" s="66"/>
      <c r="L168" s="68"/>
      <c r="M168" s="66"/>
      <c r="N168" s="69"/>
      <c r="O168" s="67"/>
      <c r="P168" s="66"/>
      <c r="Q168" s="65"/>
      <c r="R168" s="70"/>
    </row>
    <row r="169" spans="1:18" ht="27" x14ac:dyDescent="0.4">
      <c r="A169" s="65"/>
      <c r="B169" s="66"/>
      <c r="C169" s="66"/>
      <c r="D169" s="67"/>
      <c r="E169" s="68"/>
      <c r="F169" s="68"/>
      <c r="G169" s="66"/>
      <c r="H169" s="67"/>
      <c r="I169" s="67"/>
      <c r="J169" s="67"/>
      <c r="K169" s="66"/>
      <c r="L169" s="68"/>
      <c r="M169" s="66"/>
      <c r="N169" s="69"/>
      <c r="O169" s="67"/>
      <c r="P169" s="66"/>
      <c r="Q169" s="65"/>
      <c r="R169" s="70"/>
    </row>
    <row r="170" spans="1:18" ht="27" x14ac:dyDescent="0.4">
      <c r="A170" s="65"/>
      <c r="B170" s="66"/>
      <c r="C170" s="66"/>
      <c r="D170" s="67"/>
      <c r="E170" s="68"/>
      <c r="F170" s="68"/>
      <c r="G170" s="66"/>
      <c r="H170" s="67"/>
      <c r="I170" s="67"/>
      <c r="J170" s="67"/>
      <c r="K170" s="66"/>
      <c r="L170" s="68"/>
      <c r="M170" s="66"/>
      <c r="N170" s="69"/>
      <c r="O170" s="67"/>
      <c r="P170" s="66"/>
      <c r="Q170" s="65"/>
      <c r="R170" s="70"/>
    </row>
    <row r="171" spans="1:18" ht="27" x14ac:dyDescent="0.4">
      <c r="A171" s="65"/>
      <c r="B171" s="66"/>
      <c r="C171" s="66"/>
      <c r="D171" s="67"/>
      <c r="E171" s="68"/>
      <c r="F171" s="68"/>
      <c r="G171" s="66"/>
      <c r="H171" s="67"/>
      <c r="I171" s="67"/>
      <c r="J171" s="67"/>
      <c r="K171" s="66"/>
      <c r="L171" s="68"/>
      <c r="M171" s="66"/>
      <c r="N171" s="69"/>
      <c r="O171" s="67"/>
      <c r="P171" s="66"/>
      <c r="Q171" s="65"/>
      <c r="R171" s="70"/>
    </row>
    <row r="172" spans="1:18" ht="27" x14ac:dyDescent="0.4">
      <c r="A172" s="65"/>
      <c r="B172" s="66"/>
      <c r="C172" s="66"/>
      <c r="D172" s="67"/>
      <c r="E172" s="68"/>
      <c r="F172" s="68"/>
      <c r="G172" s="66"/>
      <c r="H172" s="67"/>
      <c r="I172" s="67"/>
      <c r="J172" s="67"/>
      <c r="K172" s="66"/>
      <c r="L172" s="68"/>
      <c r="M172" s="66"/>
      <c r="N172" s="69"/>
      <c r="O172" s="67"/>
      <c r="P172" s="66"/>
      <c r="Q172" s="65"/>
      <c r="R172" s="70"/>
    </row>
    <row r="173" spans="1:18" ht="27" x14ac:dyDescent="0.4">
      <c r="A173" s="65"/>
      <c r="B173" s="66"/>
      <c r="C173" s="66"/>
      <c r="D173" s="67"/>
      <c r="E173" s="68"/>
      <c r="F173" s="68"/>
      <c r="G173" s="66"/>
      <c r="H173" s="67"/>
      <c r="I173" s="67"/>
      <c r="J173" s="67"/>
      <c r="K173" s="66"/>
      <c r="L173" s="68"/>
      <c r="M173" s="66"/>
      <c r="N173" s="69"/>
      <c r="O173" s="67"/>
      <c r="P173" s="66"/>
      <c r="Q173" s="65"/>
      <c r="R173" s="70"/>
    </row>
    <row r="174" spans="1:18" ht="27" x14ac:dyDescent="0.4">
      <c r="A174" s="65"/>
      <c r="B174" s="66"/>
      <c r="C174" s="66"/>
      <c r="D174" s="67"/>
      <c r="E174" s="68"/>
      <c r="F174" s="68"/>
      <c r="G174" s="66"/>
      <c r="H174" s="67"/>
      <c r="I174" s="67"/>
      <c r="J174" s="67"/>
      <c r="K174" s="66"/>
      <c r="L174" s="68"/>
      <c r="M174" s="66"/>
      <c r="N174" s="69"/>
      <c r="O174" s="67"/>
      <c r="P174" s="66"/>
      <c r="Q174" s="65"/>
      <c r="R174" s="70"/>
    </row>
    <row r="175" spans="1:18" ht="27" x14ac:dyDescent="0.4">
      <c r="A175" s="65"/>
      <c r="B175" s="66"/>
      <c r="C175" s="66"/>
      <c r="D175" s="67"/>
      <c r="E175" s="68"/>
      <c r="F175" s="68"/>
      <c r="G175" s="66"/>
      <c r="H175" s="67"/>
      <c r="I175" s="67"/>
      <c r="J175" s="67"/>
      <c r="K175" s="66"/>
      <c r="L175" s="68"/>
      <c r="M175" s="66"/>
      <c r="N175" s="69"/>
      <c r="O175" s="67"/>
      <c r="P175" s="66"/>
      <c r="Q175" s="65"/>
      <c r="R175" s="70"/>
    </row>
    <row r="176" spans="1:18" ht="27" x14ac:dyDescent="0.4">
      <c r="A176" s="65"/>
      <c r="B176" s="66"/>
      <c r="C176" s="66"/>
      <c r="D176" s="67"/>
      <c r="E176" s="68"/>
      <c r="F176" s="68"/>
      <c r="G176" s="66"/>
      <c r="H176" s="67"/>
      <c r="I176" s="67"/>
      <c r="J176" s="67"/>
      <c r="K176" s="66"/>
      <c r="L176" s="68"/>
      <c r="M176" s="66"/>
      <c r="N176" s="69"/>
      <c r="O176" s="67"/>
      <c r="P176" s="66"/>
      <c r="Q176" s="65"/>
      <c r="R176" s="70"/>
    </row>
    <row r="177" spans="1:18" ht="27" x14ac:dyDescent="0.4">
      <c r="A177" s="65"/>
      <c r="B177" s="66"/>
      <c r="C177" s="66"/>
      <c r="D177" s="67"/>
      <c r="E177" s="68"/>
      <c r="F177" s="68"/>
      <c r="G177" s="66"/>
      <c r="H177" s="67"/>
      <c r="I177" s="67"/>
      <c r="J177" s="67"/>
      <c r="K177" s="66"/>
      <c r="L177" s="68"/>
      <c r="M177" s="66"/>
      <c r="N177" s="69"/>
      <c r="O177" s="67"/>
      <c r="P177" s="66"/>
      <c r="Q177" s="65"/>
      <c r="R177" s="70"/>
    </row>
    <row r="178" spans="1:18" ht="27" x14ac:dyDescent="0.4">
      <c r="A178" s="65"/>
      <c r="B178" s="66"/>
      <c r="C178" s="66"/>
      <c r="D178" s="67"/>
      <c r="E178" s="68"/>
      <c r="F178" s="68"/>
      <c r="G178" s="66"/>
      <c r="H178" s="67"/>
      <c r="I178" s="67"/>
      <c r="J178" s="67"/>
      <c r="K178" s="66"/>
      <c r="L178" s="68"/>
      <c r="M178" s="66"/>
      <c r="N178" s="69"/>
      <c r="O178" s="67"/>
      <c r="P178" s="66"/>
      <c r="Q178" s="65"/>
      <c r="R178" s="70"/>
    </row>
    <row r="179" spans="1:18" ht="27" x14ac:dyDescent="0.4">
      <c r="A179" s="65"/>
      <c r="B179" s="66"/>
      <c r="C179" s="66"/>
      <c r="D179" s="67"/>
      <c r="E179" s="68"/>
      <c r="F179" s="68"/>
      <c r="G179" s="66"/>
      <c r="H179" s="67"/>
      <c r="I179" s="67"/>
      <c r="J179" s="67"/>
      <c r="K179" s="66"/>
      <c r="L179" s="68"/>
      <c r="M179" s="66"/>
      <c r="N179" s="69"/>
      <c r="O179" s="67"/>
      <c r="P179" s="66"/>
      <c r="Q179" s="65"/>
      <c r="R179" s="70"/>
    </row>
    <row r="180" spans="1:18" ht="27" x14ac:dyDescent="0.4">
      <c r="A180" s="65"/>
      <c r="B180" s="66"/>
      <c r="C180" s="66"/>
      <c r="D180" s="67"/>
      <c r="E180" s="68"/>
      <c r="F180" s="68"/>
      <c r="G180" s="66"/>
      <c r="H180" s="67"/>
      <c r="I180" s="67"/>
      <c r="J180" s="67"/>
      <c r="K180" s="66"/>
      <c r="L180" s="68"/>
      <c r="M180" s="66"/>
      <c r="N180" s="69"/>
      <c r="O180" s="67"/>
      <c r="P180" s="66"/>
      <c r="Q180" s="65"/>
      <c r="R180" s="70"/>
    </row>
    <row r="181" spans="1:18" ht="27" x14ac:dyDescent="0.4">
      <c r="A181" s="65"/>
      <c r="B181" s="66"/>
      <c r="C181" s="66"/>
      <c r="D181" s="67"/>
      <c r="E181" s="68"/>
      <c r="F181" s="68"/>
      <c r="G181" s="66"/>
      <c r="H181" s="67"/>
      <c r="I181" s="67"/>
      <c r="J181" s="67"/>
      <c r="K181" s="66"/>
      <c r="L181" s="68"/>
      <c r="M181" s="66"/>
      <c r="N181" s="69"/>
      <c r="O181" s="67"/>
      <c r="P181" s="66"/>
      <c r="Q181" s="65"/>
      <c r="R181" s="70"/>
    </row>
    <row r="182" spans="1:18" ht="27" x14ac:dyDescent="0.4">
      <c r="A182" s="65"/>
      <c r="B182" s="66"/>
      <c r="C182" s="66"/>
      <c r="D182" s="67"/>
      <c r="E182" s="68"/>
      <c r="F182" s="68"/>
      <c r="G182" s="66"/>
      <c r="H182" s="67"/>
      <c r="I182" s="67"/>
      <c r="J182" s="67"/>
      <c r="K182" s="66"/>
      <c r="L182" s="68"/>
      <c r="M182" s="66"/>
      <c r="N182" s="69"/>
      <c r="O182" s="67"/>
      <c r="P182" s="66"/>
      <c r="Q182" s="65"/>
      <c r="R182" s="68"/>
    </row>
    <row r="183" spans="1:18" ht="27" x14ac:dyDescent="0.4">
      <c r="A183" s="65"/>
      <c r="B183" s="66"/>
      <c r="C183" s="66"/>
      <c r="D183" s="67"/>
      <c r="E183" s="68"/>
      <c r="F183" s="68"/>
      <c r="G183" s="66"/>
      <c r="H183" s="67"/>
      <c r="I183" s="67"/>
      <c r="J183" s="67"/>
      <c r="K183" s="66"/>
      <c r="L183" s="68"/>
      <c r="M183" s="66"/>
      <c r="N183" s="69"/>
      <c r="O183" s="67"/>
      <c r="P183" s="66"/>
      <c r="Q183" s="65"/>
      <c r="R183" s="70"/>
    </row>
    <row r="184" spans="1:18" ht="27" x14ac:dyDescent="0.4">
      <c r="A184" s="65"/>
      <c r="B184" s="66"/>
      <c r="C184" s="66"/>
      <c r="D184" s="67"/>
      <c r="E184" s="68"/>
      <c r="F184" s="68"/>
      <c r="G184" s="66"/>
      <c r="H184" s="67"/>
      <c r="I184" s="67"/>
      <c r="J184" s="67"/>
      <c r="K184" s="66"/>
      <c r="L184" s="68"/>
      <c r="M184" s="66"/>
      <c r="N184" s="69"/>
      <c r="O184" s="67"/>
      <c r="P184" s="66"/>
      <c r="Q184" s="65"/>
      <c r="R184" s="70"/>
    </row>
    <row r="185" spans="1:18" ht="27" x14ac:dyDescent="0.4">
      <c r="A185" s="65"/>
      <c r="B185" s="66"/>
      <c r="C185" s="66"/>
      <c r="D185" s="67"/>
      <c r="E185" s="68"/>
      <c r="F185" s="68"/>
      <c r="G185" s="66"/>
      <c r="H185" s="67"/>
      <c r="I185" s="67"/>
      <c r="J185" s="67"/>
      <c r="K185" s="66"/>
      <c r="L185" s="68"/>
      <c r="M185" s="66"/>
      <c r="N185" s="69"/>
      <c r="O185" s="67"/>
      <c r="P185" s="66"/>
      <c r="Q185" s="65"/>
      <c r="R185" s="68"/>
    </row>
    <row r="186" spans="1:18" ht="27" x14ac:dyDescent="0.4">
      <c r="A186" s="65"/>
      <c r="B186" s="66"/>
      <c r="C186" s="66"/>
      <c r="D186" s="67"/>
      <c r="E186" s="68"/>
      <c r="F186" s="68"/>
      <c r="G186" s="66"/>
      <c r="H186" s="67"/>
      <c r="I186" s="67"/>
      <c r="J186" s="67"/>
      <c r="K186" s="66"/>
      <c r="L186" s="68"/>
      <c r="M186" s="66"/>
      <c r="N186" s="69"/>
      <c r="O186" s="67"/>
      <c r="P186" s="66"/>
      <c r="Q186" s="65"/>
      <c r="R186" s="68"/>
    </row>
    <row r="187" spans="1:18" ht="27" x14ac:dyDescent="0.4">
      <c r="A187" s="65"/>
      <c r="B187" s="66"/>
      <c r="C187" s="66"/>
      <c r="D187" s="67"/>
      <c r="E187" s="68"/>
      <c r="F187" s="68"/>
      <c r="G187" s="66"/>
      <c r="H187" s="67"/>
      <c r="I187" s="67"/>
      <c r="J187" s="67"/>
      <c r="K187" s="66"/>
      <c r="L187" s="68"/>
      <c r="M187" s="66"/>
      <c r="N187" s="69"/>
      <c r="O187" s="67"/>
      <c r="P187" s="66"/>
      <c r="Q187" s="65"/>
      <c r="R187" s="68"/>
    </row>
    <row r="188" spans="1:18" ht="27" x14ac:dyDescent="0.4">
      <c r="A188" s="65"/>
      <c r="B188" s="66"/>
      <c r="C188" s="66"/>
      <c r="D188" s="67"/>
      <c r="E188" s="68"/>
      <c r="F188" s="68"/>
      <c r="G188" s="66"/>
      <c r="H188" s="67"/>
      <c r="I188" s="67"/>
      <c r="J188" s="67"/>
      <c r="K188" s="66"/>
      <c r="L188" s="68"/>
      <c r="M188" s="66"/>
      <c r="N188" s="69"/>
      <c r="O188" s="67"/>
      <c r="P188" s="66"/>
      <c r="Q188" s="65"/>
      <c r="R188" s="68"/>
    </row>
    <row r="189" spans="1:18" ht="27" x14ac:dyDescent="0.4">
      <c r="A189" s="65"/>
      <c r="B189" s="66"/>
      <c r="C189" s="66"/>
      <c r="D189" s="67"/>
      <c r="E189" s="68"/>
      <c r="F189" s="68"/>
      <c r="G189" s="66"/>
      <c r="H189" s="67"/>
      <c r="I189" s="67"/>
      <c r="J189" s="67"/>
      <c r="K189" s="66"/>
      <c r="L189" s="68"/>
      <c r="M189" s="66"/>
      <c r="N189" s="69"/>
      <c r="O189" s="67"/>
      <c r="P189" s="66"/>
      <c r="Q189" s="65"/>
      <c r="R189" s="68"/>
    </row>
    <row r="190" spans="1:18" ht="27" x14ac:dyDescent="0.4">
      <c r="A190" s="65"/>
      <c r="B190" s="66"/>
      <c r="C190" s="66"/>
      <c r="D190" s="67"/>
      <c r="E190" s="68"/>
      <c r="F190" s="68"/>
      <c r="G190" s="66"/>
      <c r="H190" s="67"/>
      <c r="I190" s="67"/>
      <c r="J190" s="67"/>
      <c r="K190" s="66"/>
      <c r="L190" s="68"/>
      <c r="M190" s="66"/>
      <c r="N190" s="69"/>
      <c r="O190" s="67"/>
      <c r="P190" s="66"/>
      <c r="Q190" s="65"/>
      <c r="R190" s="68"/>
    </row>
    <row r="191" spans="1:18" ht="27" x14ac:dyDescent="0.4">
      <c r="A191" s="65"/>
      <c r="B191" s="66"/>
      <c r="C191" s="66"/>
      <c r="D191" s="67"/>
      <c r="E191" s="68"/>
      <c r="F191" s="68"/>
      <c r="G191" s="66"/>
      <c r="H191" s="67"/>
      <c r="I191" s="67"/>
      <c r="J191" s="67"/>
      <c r="K191" s="66"/>
      <c r="L191" s="68"/>
      <c r="M191" s="66"/>
      <c r="N191" s="69"/>
      <c r="O191" s="67"/>
      <c r="P191" s="66"/>
      <c r="Q191" s="65"/>
      <c r="R191" s="68"/>
    </row>
    <row r="192" spans="1:18" ht="27" x14ac:dyDescent="0.4">
      <c r="A192" s="65"/>
      <c r="B192" s="66"/>
      <c r="C192" s="66"/>
      <c r="D192" s="67"/>
      <c r="E192" s="68"/>
      <c r="F192" s="68"/>
      <c r="G192" s="66"/>
      <c r="H192" s="67"/>
      <c r="I192" s="67"/>
      <c r="J192" s="67"/>
      <c r="K192" s="66"/>
      <c r="L192" s="68"/>
      <c r="M192" s="66"/>
      <c r="N192" s="69"/>
      <c r="O192" s="67"/>
      <c r="P192" s="66"/>
      <c r="Q192" s="65"/>
      <c r="R192" s="68"/>
    </row>
    <row r="193" spans="1:18" ht="27" x14ac:dyDescent="0.4">
      <c r="A193" s="65"/>
      <c r="B193" s="66"/>
      <c r="C193" s="66"/>
      <c r="D193" s="67"/>
      <c r="E193" s="68"/>
      <c r="F193" s="68"/>
      <c r="G193" s="66"/>
      <c r="H193" s="67"/>
      <c r="I193" s="67"/>
      <c r="J193" s="67"/>
      <c r="K193" s="66"/>
      <c r="L193" s="68"/>
      <c r="M193" s="66"/>
      <c r="N193" s="69"/>
      <c r="O193" s="67"/>
      <c r="P193" s="66"/>
      <c r="Q193" s="65"/>
      <c r="R193" s="68"/>
    </row>
    <row r="194" spans="1:18" ht="27" x14ac:dyDescent="0.4">
      <c r="A194" s="65"/>
      <c r="B194" s="66"/>
      <c r="C194" s="66"/>
      <c r="D194" s="67"/>
      <c r="E194" s="68"/>
      <c r="F194" s="68"/>
      <c r="G194" s="66"/>
      <c r="H194" s="67"/>
      <c r="I194" s="67"/>
      <c r="J194" s="67"/>
      <c r="K194" s="66"/>
      <c r="L194" s="68"/>
      <c r="M194" s="66"/>
      <c r="N194" s="69"/>
      <c r="O194" s="67"/>
      <c r="P194" s="66"/>
      <c r="Q194" s="65"/>
      <c r="R194" s="68"/>
    </row>
    <row r="195" spans="1:18" ht="27" x14ac:dyDescent="0.4">
      <c r="A195" s="65"/>
      <c r="B195" s="66"/>
      <c r="C195" s="66"/>
      <c r="D195" s="67"/>
      <c r="E195" s="68"/>
      <c r="F195" s="68"/>
      <c r="G195" s="66"/>
      <c r="H195" s="67"/>
      <c r="I195" s="67"/>
      <c r="J195" s="67"/>
      <c r="K195" s="66"/>
      <c r="L195" s="68"/>
      <c r="M195" s="66"/>
      <c r="N195" s="69"/>
      <c r="O195" s="67"/>
      <c r="P195" s="66"/>
      <c r="Q195" s="65"/>
      <c r="R195" s="68"/>
    </row>
    <row r="196" spans="1:18" ht="27" x14ac:dyDescent="0.4">
      <c r="A196" s="65"/>
      <c r="B196" s="66"/>
      <c r="C196" s="66"/>
      <c r="D196" s="67"/>
      <c r="E196" s="68"/>
      <c r="F196" s="68"/>
      <c r="G196" s="66"/>
      <c r="H196" s="67"/>
      <c r="I196" s="67"/>
      <c r="J196" s="67"/>
      <c r="K196" s="66"/>
      <c r="L196" s="68"/>
      <c r="M196" s="66"/>
      <c r="N196" s="69"/>
      <c r="O196" s="67"/>
      <c r="P196" s="66"/>
      <c r="Q196" s="65"/>
      <c r="R196" s="68"/>
    </row>
    <row r="197" spans="1:18" ht="27" x14ac:dyDescent="0.4">
      <c r="A197" s="65"/>
      <c r="B197" s="66"/>
      <c r="C197" s="66"/>
      <c r="D197" s="67"/>
      <c r="E197" s="68"/>
      <c r="F197" s="68"/>
      <c r="G197" s="66"/>
      <c r="H197" s="67"/>
      <c r="I197" s="67"/>
      <c r="J197" s="67"/>
      <c r="K197" s="66"/>
      <c r="L197" s="68"/>
      <c r="M197" s="66"/>
      <c r="N197" s="69"/>
      <c r="O197" s="67"/>
      <c r="P197" s="66"/>
      <c r="Q197" s="65"/>
      <c r="R197" s="68"/>
    </row>
    <row r="198" spans="1:18" ht="27" x14ac:dyDescent="0.4">
      <c r="A198" s="65"/>
      <c r="B198" s="66"/>
      <c r="C198" s="66"/>
      <c r="D198" s="67"/>
      <c r="E198" s="68"/>
      <c r="F198" s="68"/>
      <c r="G198" s="66"/>
      <c r="H198" s="67"/>
      <c r="I198" s="67"/>
      <c r="J198" s="67"/>
      <c r="K198" s="66"/>
      <c r="L198" s="68"/>
      <c r="M198" s="66"/>
      <c r="N198" s="69"/>
      <c r="O198" s="67"/>
      <c r="P198" s="66"/>
      <c r="Q198" s="65"/>
      <c r="R198" s="68"/>
    </row>
    <row r="199" spans="1:18" ht="27" x14ac:dyDescent="0.4">
      <c r="A199" s="65"/>
      <c r="B199" s="66"/>
      <c r="C199" s="66"/>
      <c r="D199" s="67"/>
      <c r="E199" s="68"/>
      <c r="F199" s="68"/>
      <c r="G199" s="66"/>
      <c r="H199" s="67"/>
      <c r="I199" s="67"/>
      <c r="J199" s="67"/>
      <c r="K199" s="66"/>
      <c r="L199" s="68"/>
      <c r="M199" s="66"/>
      <c r="N199" s="69"/>
      <c r="O199" s="67"/>
      <c r="P199" s="66"/>
      <c r="Q199" s="65"/>
      <c r="R199" s="68"/>
    </row>
    <row r="200" spans="1:18" ht="27" x14ac:dyDescent="0.4">
      <c r="A200" s="65"/>
      <c r="B200" s="66"/>
      <c r="C200" s="66"/>
      <c r="D200" s="67"/>
      <c r="E200" s="68"/>
      <c r="F200" s="68"/>
      <c r="G200" s="66"/>
      <c r="H200" s="67"/>
      <c r="I200" s="67"/>
      <c r="J200" s="67"/>
      <c r="K200" s="66"/>
      <c r="L200" s="68"/>
      <c r="M200" s="66"/>
      <c r="N200" s="69"/>
      <c r="O200" s="67"/>
      <c r="P200" s="66"/>
      <c r="Q200" s="65"/>
      <c r="R200" s="68"/>
    </row>
    <row r="201" spans="1:18" ht="27" x14ac:dyDescent="0.4">
      <c r="A201" s="65"/>
      <c r="B201" s="66"/>
      <c r="C201" s="66"/>
      <c r="D201" s="67"/>
      <c r="E201" s="68"/>
      <c r="F201" s="68"/>
      <c r="G201" s="66"/>
      <c r="H201" s="67"/>
      <c r="I201" s="67"/>
      <c r="J201" s="67"/>
      <c r="K201" s="66"/>
      <c r="L201" s="68"/>
      <c r="M201" s="66"/>
      <c r="N201" s="69"/>
      <c r="O201" s="67"/>
      <c r="P201" s="66"/>
      <c r="Q201" s="65"/>
      <c r="R201" s="68"/>
    </row>
    <row r="202" spans="1:18" ht="27" x14ac:dyDescent="0.4">
      <c r="A202" s="65"/>
      <c r="B202" s="66"/>
      <c r="C202" s="66"/>
      <c r="D202" s="67"/>
      <c r="E202" s="68"/>
      <c r="F202" s="68"/>
      <c r="G202" s="66"/>
      <c r="H202" s="67"/>
      <c r="I202" s="67"/>
      <c r="J202" s="67"/>
      <c r="K202" s="66"/>
      <c r="L202" s="68"/>
      <c r="M202" s="66"/>
      <c r="N202" s="69"/>
      <c r="O202" s="67"/>
      <c r="P202" s="66"/>
      <c r="Q202" s="65"/>
      <c r="R202" s="68"/>
    </row>
    <row r="203" spans="1:18" ht="27" x14ac:dyDescent="0.4">
      <c r="A203" s="65"/>
      <c r="B203" s="66"/>
      <c r="C203" s="66"/>
      <c r="D203" s="67"/>
      <c r="E203" s="68"/>
      <c r="F203" s="68"/>
      <c r="G203" s="66"/>
      <c r="H203" s="67"/>
      <c r="I203" s="67"/>
      <c r="J203" s="67"/>
      <c r="K203" s="66"/>
      <c r="L203" s="68"/>
      <c r="M203" s="66"/>
      <c r="N203" s="69"/>
      <c r="O203" s="67"/>
      <c r="P203" s="66"/>
      <c r="Q203" s="65"/>
      <c r="R203" s="68"/>
    </row>
    <row r="204" spans="1:18" ht="27" x14ac:dyDescent="0.4">
      <c r="A204" s="65"/>
      <c r="B204" s="66"/>
      <c r="C204" s="66"/>
      <c r="D204" s="67"/>
      <c r="E204" s="68"/>
      <c r="F204" s="68"/>
      <c r="G204" s="66"/>
      <c r="H204" s="67"/>
      <c r="I204" s="67"/>
      <c r="J204" s="67"/>
      <c r="K204" s="66"/>
      <c r="L204" s="68"/>
      <c r="M204" s="66"/>
      <c r="N204" s="69"/>
      <c r="O204" s="67"/>
      <c r="P204" s="66"/>
      <c r="Q204" s="65"/>
      <c r="R204" s="68"/>
    </row>
    <row r="205" spans="1:18" ht="27" x14ac:dyDescent="0.4">
      <c r="A205" s="65"/>
      <c r="B205" s="66"/>
      <c r="C205" s="66"/>
      <c r="D205" s="67"/>
      <c r="E205" s="68"/>
      <c r="F205" s="68"/>
      <c r="G205" s="66"/>
      <c r="H205" s="67"/>
      <c r="I205" s="67"/>
      <c r="J205" s="67"/>
      <c r="K205" s="66"/>
      <c r="L205" s="68"/>
      <c r="M205" s="66"/>
      <c r="N205" s="69"/>
      <c r="O205" s="67"/>
      <c r="P205" s="66"/>
      <c r="Q205" s="65"/>
      <c r="R205" s="68"/>
    </row>
    <row r="206" spans="1:18" ht="27" x14ac:dyDescent="0.4">
      <c r="A206" s="65"/>
      <c r="B206" s="66"/>
      <c r="C206" s="66"/>
      <c r="D206" s="67"/>
      <c r="E206" s="68"/>
      <c r="F206" s="68"/>
      <c r="G206" s="66"/>
      <c r="H206" s="67"/>
      <c r="I206" s="67"/>
      <c r="J206" s="67"/>
      <c r="K206" s="66"/>
      <c r="L206" s="68"/>
      <c r="M206" s="66"/>
      <c r="N206" s="69"/>
      <c r="O206" s="67"/>
      <c r="P206" s="66"/>
      <c r="Q206" s="65"/>
      <c r="R206" s="68"/>
    </row>
    <row r="207" spans="1:18" ht="27" x14ac:dyDescent="0.4">
      <c r="A207" s="65"/>
      <c r="B207" s="66"/>
      <c r="C207" s="66"/>
      <c r="D207" s="67"/>
      <c r="E207" s="68"/>
      <c r="F207" s="68"/>
      <c r="G207" s="66"/>
      <c r="H207" s="67"/>
      <c r="I207" s="67"/>
      <c r="J207" s="67"/>
      <c r="K207" s="66"/>
      <c r="L207" s="68"/>
      <c r="M207" s="66"/>
      <c r="N207" s="69"/>
      <c r="O207" s="67"/>
      <c r="P207" s="66"/>
      <c r="Q207" s="65"/>
      <c r="R207" s="68"/>
    </row>
    <row r="208" spans="1:18" ht="27" x14ac:dyDescent="0.4">
      <c r="A208" s="65"/>
      <c r="B208" s="66"/>
      <c r="C208" s="66"/>
      <c r="D208" s="67"/>
      <c r="E208" s="68"/>
      <c r="F208" s="68"/>
      <c r="G208" s="66"/>
      <c r="H208" s="67"/>
      <c r="I208" s="67"/>
      <c r="J208" s="67"/>
      <c r="K208" s="66"/>
      <c r="L208" s="68"/>
      <c r="M208" s="66"/>
      <c r="N208" s="69"/>
      <c r="O208" s="67"/>
      <c r="P208" s="66"/>
      <c r="Q208" s="65"/>
      <c r="R208" s="68"/>
    </row>
    <row r="209" spans="1:18" ht="27" x14ac:dyDescent="0.4">
      <c r="A209" s="65"/>
      <c r="B209" s="66"/>
      <c r="C209" s="66"/>
      <c r="D209" s="67"/>
      <c r="E209" s="68"/>
      <c r="F209" s="68"/>
      <c r="G209" s="66"/>
      <c r="H209" s="67"/>
      <c r="I209" s="67"/>
      <c r="J209" s="67"/>
      <c r="K209" s="66"/>
      <c r="L209" s="68"/>
      <c r="M209" s="66"/>
      <c r="N209" s="69"/>
      <c r="O209" s="67"/>
      <c r="P209" s="66"/>
      <c r="Q209" s="65"/>
      <c r="R209" s="68"/>
    </row>
    <row r="210" spans="1:18" ht="27" x14ac:dyDescent="0.4">
      <c r="A210" s="65"/>
      <c r="B210" s="66"/>
      <c r="C210" s="66"/>
      <c r="D210" s="67"/>
      <c r="E210" s="68"/>
      <c r="F210" s="68"/>
      <c r="G210" s="66"/>
      <c r="H210" s="67"/>
      <c r="I210" s="67"/>
      <c r="J210" s="67"/>
      <c r="K210" s="66"/>
      <c r="L210" s="68"/>
      <c r="M210" s="66"/>
      <c r="N210" s="69"/>
      <c r="O210" s="67"/>
      <c r="P210" s="66"/>
      <c r="Q210" s="65"/>
      <c r="R210" s="68"/>
    </row>
    <row r="211" spans="1:18" ht="27" x14ac:dyDescent="0.4">
      <c r="A211" s="65"/>
      <c r="B211" s="133"/>
      <c r="C211" s="133"/>
      <c r="D211" s="134"/>
      <c r="E211" s="135"/>
      <c r="F211" s="135"/>
      <c r="G211" s="133"/>
      <c r="H211" s="134"/>
      <c r="I211" s="134"/>
      <c r="J211" s="134"/>
      <c r="K211" s="133"/>
      <c r="L211" s="135"/>
      <c r="M211" s="133"/>
      <c r="N211" s="136"/>
      <c r="O211" s="134"/>
      <c r="P211" s="133"/>
      <c r="Q211" s="65"/>
      <c r="R211" s="68"/>
    </row>
    <row r="212" spans="1:18" ht="27" x14ac:dyDescent="0.4">
      <c r="A212" s="65"/>
      <c r="B212" s="133"/>
      <c r="C212" s="133"/>
      <c r="D212" s="134"/>
      <c r="E212" s="135"/>
      <c r="F212" s="135"/>
      <c r="G212" s="133"/>
      <c r="H212" s="134"/>
      <c r="I212" s="134"/>
      <c r="J212" s="134"/>
      <c r="K212" s="133"/>
      <c r="L212" s="135"/>
      <c r="M212" s="133"/>
      <c r="N212" s="136"/>
      <c r="O212" s="134"/>
      <c r="P212" s="133"/>
      <c r="Q212" s="65"/>
      <c r="R212" s="68"/>
    </row>
    <row r="213" spans="1:18" ht="27" x14ac:dyDescent="0.4">
      <c r="A213" s="65"/>
      <c r="B213" s="133"/>
      <c r="C213" s="133"/>
      <c r="D213" s="134"/>
      <c r="E213" s="135"/>
      <c r="F213" s="135"/>
      <c r="G213" s="133"/>
      <c r="H213" s="134"/>
      <c r="I213" s="134"/>
      <c r="J213" s="134"/>
      <c r="K213" s="133"/>
      <c r="L213" s="135"/>
      <c r="M213" s="133"/>
      <c r="N213" s="136"/>
      <c r="O213" s="134"/>
      <c r="P213" s="133"/>
      <c r="Q213" s="65"/>
      <c r="R213" s="68"/>
    </row>
    <row r="214" spans="1:18" ht="27" x14ac:dyDescent="0.4">
      <c r="A214" s="65"/>
      <c r="B214" s="133"/>
      <c r="C214" s="133"/>
      <c r="D214" s="134"/>
      <c r="E214" s="135"/>
      <c r="F214" s="135"/>
      <c r="G214" s="133"/>
      <c r="H214" s="134"/>
      <c r="I214" s="134"/>
      <c r="J214" s="134"/>
      <c r="K214" s="133"/>
      <c r="L214" s="135"/>
      <c r="M214" s="133"/>
      <c r="N214" s="136"/>
      <c r="O214" s="134"/>
      <c r="P214" s="133"/>
      <c r="Q214" s="65"/>
      <c r="R214" s="68"/>
    </row>
    <row r="215" spans="1:18" ht="27" x14ac:dyDescent="0.4">
      <c r="A215" s="65"/>
      <c r="B215" s="133"/>
      <c r="C215" s="133"/>
      <c r="D215" s="134"/>
      <c r="E215" s="135"/>
      <c r="F215" s="135"/>
      <c r="G215" s="133"/>
      <c r="H215" s="134"/>
      <c r="I215" s="134"/>
      <c r="J215" s="134"/>
      <c r="K215" s="133"/>
      <c r="L215" s="135"/>
      <c r="M215" s="133"/>
      <c r="N215" s="136"/>
      <c r="O215" s="134"/>
      <c r="P215" s="133"/>
      <c r="Q215" s="65"/>
      <c r="R215" s="68"/>
    </row>
    <row r="216" spans="1:18" ht="27" x14ac:dyDescent="0.4">
      <c r="A216" s="65"/>
      <c r="B216" s="133"/>
      <c r="C216" s="133"/>
      <c r="D216" s="134"/>
      <c r="E216" s="135"/>
      <c r="F216" s="135"/>
      <c r="G216" s="133"/>
      <c r="H216" s="134"/>
      <c r="I216" s="134"/>
      <c r="J216" s="134"/>
      <c r="K216" s="133"/>
      <c r="L216" s="135"/>
      <c r="M216" s="133"/>
      <c r="N216" s="136"/>
      <c r="O216" s="134"/>
      <c r="P216" s="133"/>
      <c r="Q216" s="65"/>
      <c r="R216" s="68"/>
    </row>
    <row r="217" spans="1:18" ht="27" x14ac:dyDescent="0.4">
      <c r="A217" s="65"/>
      <c r="B217" s="133"/>
      <c r="C217" s="133"/>
      <c r="D217" s="134"/>
      <c r="E217" s="135"/>
      <c r="F217" s="135"/>
      <c r="G217" s="133"/>
      <c r="H217" s="134"/>
      <c r="I217" s="134"/>
      <c r="J217" s="134"/>
      <c r="K217" s="133"/>
      <c r="L217" s="135"/>
      <c r="M217" s="133"/>
      <c r="N217" s="136"/>
      <c r="O217" s="134"/>
      <c r="P217" s="133"/>
      <c r="Q217" s="65"/>
      <c r="R217" s="68"/>
    </row>
    <row r="218" spans="1:18" ht="27" x14ac:dyDescent="0.4">
      <c r="A218" s="65"/>
      <c r="B218" s="133"/>
      <c r="C218" s="133"/>
      <c r="D218" s="134"/>
      <c r="E218" s="135"/>
      <c r="F218" s="135"/>
      <c r="G218" s="133"/>
      <c r="H218" s="134"/>
      <c r="I218" s="134"/>
      <c r="J218" s="134"/>
      <c r="K218" s="133"/>
      <c r="L218" s="135"/>
      <c r="M218" s="133"/>
      <c r="N218" s="136"/>
      <c r="O218" s="134"/>
      <c r="P218" s="133"/>
      <c r="Q218" s="65"/>
      <c r="R218" s="68"/>
    </row>
    <row r="219" spans="1:18" ht="27" x14ac:dyDescent="0.4">
      <c r="A219" s="65"/>
      <c r="B219" s="66"/>
      <c r="C219" s="65"/>
      <c r="D219" s="67"/>
      <c r="E219" s="68"/>
      <c r="F219" s="68"/>
      <c r="G219" s="66"/>
      <c r="H219" s="67"/>
      <c r="I219" s="67"/>
      <c r="J219" s="67"/>
      <c r="K219" s="66"/>
      <c r="L219" s="68"/>
      <c r="M219" s="66"/>
      <c r="N219" s="69"/>
      <c r="O219" s="67"/>
      <c r="P219" s="66"/>
      <c r="Q219" s="65"/>
      <c r="R219" s="68"/>
    </row>
    <row r="220" spans="1:18" ht="27" x14ac:dyDescent="0.4">
      <c r="A220" s="65"/>
      <c r="B220" s="66"/>
      <c r="C220" s="66"/>
      <c r="D220" s="67"/>
      <c r="E220" s="68"/>
      <c r="F220" s="68"/>
      <c r="G220" s="66"/>
      <c r="H220" s="67"/>
      <c r="I220" s="67"/>
      <c r="J220" s="67"/>
      <c r="K220" s="66"/>
      <c r="L220" s="68"/>
      <c r="M220" s="66"/>
      <c r="N220" s="69"/>
      <c r="O220" s="67"/>
      <c r="P220" s="66"/>
      <c r="Q220" s="65"/>
      <c r="R220" s="68"/>
    </row>
    <row r="221" spans="1:18" ht="27" x14ac:dyDescent="0.4">
      <c r="A221" s="65"/>
      <c r="B221" s="66"/>
      <c r="C221" s="66"/>
      <c r="D221" s="67"/>
      <c r="E221" s="68"/>
      <c r="F221" s="68"/>
      <c r="G221" s="66"/>
      <c r="H221" s="67"/>
      <c r="I221" s="67"/>
      <c r="J221" s="67"/>
      <c r="K221" s="66"/>
      <c r="L221" s="68"/>
      <c r="M221" s="66"/>
      <c r="N221" s="69"/>
      <c r="O221" s="67"/>
      <c r="P221" s="66"/>
      <c r="Q221" s="65"/>
      <c r="R221" s="65"/>
    </row>
    <row r="222" spans="1:18" ht="27" x14ac:dyDescent="0.4">
      <c r="A222" s="65"/>
      <c r="B222" s="66"/>
      <c r="C222" s="66"/>
      <c r="D222" s="67"/>
      <c r="E222" s="68"/>
      <c r="F222" s="68"/>
      <c r="G222" s="66"/>
      <c r="H222" s="67"/>
      <c r="I222" s="67"/>
      <c r="J222" s="67"/>
      <c r="K222" s="66"/>
      <c r="L222" s="68"/>
      <c r="M222" s="66"/>
      <c r="N222" s="69"/>
      <c r="O222" s="67"/>
      <c r="P222" s="66"/>
      <c r="Q222" s="65"/>
      <c r="R222" s="65"/>
    </row>
    <row r="223" spans="1:18" ht="27" x14ac:dyDescent="0.4">
      <c r="A223" s="65"/>
      <c r="B223" s="66"/>
      <c r="C223" s="66"/>
      <c r="D223" s="67"/>
      <c r="E223" s="68"/>
      <c r="F223" s="68"/>
      <c r="G223" s="66"/>
      <c r="H223" s="67"/>
      <c r="I223" s="67"/>
      <c r="J223" s="67"/>
      <c r="K223" s="66"/>
      <c r="L223" s="68"/>
      <c r="M223" s="66"/>
      <c r="N223" s="69"/>
      <c r="O223" s="67"/>
      <c r="P223" s="66"/>
      <c r="Q223" s="65"/>
      <c r="R223" s="65"/>
    </row>
    <row r="224" spans="1:18" ht="27" x14ac:dyDescent="0.4">
      <c r="A224" s="65"/>
      <c r="B224" s="66"/>
      <c r="C224" s="66"/>
      <c r="D224" s="67"/>
      <c r="E224" s="68"/>
      <c r="F224" s="68"/>
      <c r="G224" s="66"/>
      <c r="H224" s="67"/>
      <c r="I224" s="67"/>
      <c r="J224" s="67"/>
      <c r="K224" s="66"/>
      <c r="L224" s="68"/>
      <c r="M224" s="66"/>
      <c r="N224" s="69"/>
      <c r="O224" s="67"/>
      <c r="P224" s="66"/>
      <c r="Q224" s="65"/>
      <c r="R224" s="65"/>
    </row>
    <row r="225" spans="1:18" ht="27" x14ac:dyDescent="0.4">
      <c r="A225" s="65"/>
      <c r="B225" s="66"/>
      <c r="C225" s="66"/>
      <c r="D225" s="67"/>
      <c r="E225" s="68"/>
      <c r="F225" s="68"/>
      <c r="G225" s="66"/>
      <c r="H225" s="67"/>
      <c r="I225" s="67"/>
      <c r="J225" s="67"/>
      <c r="K225" s="66"/>
      <c r="L225" s="68"/>
      <c r="M225" s="66"/>
      <c r="N225" s="69"/>
      <c r="O225" s="67"/>
      <c r="P225" s="66"/>
      <c r="Q225" s="65"/>
      <c r="R225" s="65"/>
    </row>
    <row r="226" spans="1:18" ht="27" x14ac:dyDescent="0.4">
      <c r="A226" s="65"/>
      <c r="B226" s="66"/>
      <c r="C226" s="66"/>
      <c r="D226" s="67"/>
      <c r="E226" s="68"/>
      <c r="F226" s="68"/>
      <c r="G226" s="66"/>
      <c r="H226" s="67"/>
      <c r="I226" s="67"/>
      <c r="J226" s="67"/>
      <c r="K226" s="66"/>
      <c r="L226" s="68"/>
      <c r="M226" s="66"/>
      <c r="N226" s="69"/>
      <c r="O226" s="67"/>
      <c r="P226" s="66"/>
      <c r="Q226" s="65"/>
      <c r="R226" s="70"/>
    </row>
    <row r="227" spans="1:18" ht="27" x14ac:dyDescent="0.4">
      <c r="A227" s="65"/>
      <c r="B227" s="66"/>
      <c r="C227" s="66"/>
      <c r="D227" s="67"/>
      <c r="E227" s="68"/>
      <c r="F227" s="68"/>
      <c r="G227" s="66"/>
      <c r="H227" s="67"/>
      <c r="I227" s="67"/>
      <c r="J227" s="67"/>
      <c r="K227" s="66"/>
      <c r="L227" s="68"/>
      <c r="M227" s="66"/>
      <c r="N227" s="69"/>
      <c r="O227" s="67"/>
      <c r="P227" s="66"/>
      <c r="Q227" s="65"/>
      <c r="R227" s="65"/>
    </row>
    <row r="228" spans="1:18" ht="27" x14ac:dyDescent="0.4">
      <c r="A228" s="65"/>
      <c r="B228" s="66"/>
      <c r="C228" s="66"/>
      <c r="D228" s="67"/>
      <c r="E228" s="68"/>
      <c r="F228" s="68"/>
      <c r="G228" s="66"/>
      <c r="H228" s="67"/>
      <c r="I228" s="67"/>
      <c r="J228" s="67"/>
      <c r="K228" s="66"/>
      <c r="L228" s="68"/>
      <c r="M228" s="66"/>
      <c r="N228" s="69"/>
      <c r="O228" s="67"/>
      <c r="P228" s="66"/>
      <c r="Q228" s="65"/>
      <c r="R228" s="68"/>
    </row>
    <row r="229" spans="1:18" ht="27" x14ac:dyDescent="0.4">
      <c r="A229" s="65"/>
      <c r="B229" s="66"/>
      <c r="C229" s="66"/>
      <c r="D229" s="67"/>
      <c r="E229" s="68"/>
      <c r="F229" s="68"/>
      <c r="G229" s="66"/>
      <c r="H229" s="67"/>
      <c r="I229" s="67"/>
      <c r="J229" s="67"/>
      <c r="K229" s="66"/>
      <c r="L229" s="68"/>
      <c r="M229" s="66"/>
      <c r="N229" s="69"/>
      <c r="O229" s="67"/>
      <c r="P229" s="66"/>
      <c r="Q229" s="65"/>
      <c r="R229" s="68"/>
    </row>
    <row r="230" spans="1:18" ht="27" x14ac:dyDescent="0.4">
      <c r="A230" s="65"/>
      <c r="B230" s="66"/>
      <c r="C230" s="66"/>
      <c r="D230" s="67"/>
      <c r="E230" s="68"/>
      <c r="F230" s="68"/>
      <c r="G230" s="66"/>
      <c r="H230" s="67"/>
      <c r="I230" s="67"/>
      <c r="J230" s="67"/>
      <c r="K230" s="66"/>
      <c r="L230" s="68"/>
      <c r="M230" s="66"/>
      <c r="N230" s="69"/>
      <c r="O230" s="67"/>
      <c r="P230" s="66"/>
      <c r="Q230" s="65"/>
      <c r="R230" s="68"/>
    </row>
    <row r="231" spans="1:18" ht="27" x14ac:dyDescent="0.4">
      <c r="A231" s="65"/>
      <c r="B231" s="66"/>
      <c r="C231" s="66"/>
      <c r="D231" s="67"/>
      <c r="E231" s="68"/>
      <c r="F231" s="68"/>
      <c r="G231" s="66"/>
      <c r="H231" s="67"/>
      <c r="I231" s="67"/>
      <c r="J231" s="67"/>
      <c r="K231" s="66"/>
      <c r="L231" s="68"/>
      <c r="M231" s="66"/>
      <c r="N231" s="69"/>
      <c r="O231" s="67"/>
      <c r="P231" s="66"/>
      <c r="Q231" s="65"/>
      <c r="R231" s="68"/>
    </row>
    <row r="232" spans="1:18" ht="27" x14ac:dyDescent="0.4">
      <c r="A232" s="65"/>
      <c r="B232" s="66"/>
      <c r="C232" s="66"/>
      <c r="D232" s="67"/>
      <c r="E232" s="68"/>
      <c r="F232" s="68"/>
      <c r="G232" s="66"/>
      <c r="H232" s="67"/>
      <c r="I232" s="67"/>
      <c r="J232" s="67"/>
      <c r="K232" s="66"/>
      <c r="L232" s="68"/>
      <c r="M232" s="66"/>
      <c r="N232" s="69"/>
      <c r="O232" s="67"/>
      <c r="P232" s="66"/>
      <c r="Q232" s="65"/>
      <c r="R232" s="68"/>
    </row>
    <row r="233" spans="1:18" ht="27" x14ac:dyDescent="0.4">
      <c r="A233" s="65"/>
      <c r="B233" s="66"/>
      <c r="C233" s="66"/>
      <c r="D233" s="67"/>
      <c r="E233" s="68"/>
      <c r="F233" s="68"/>
      <c r="G233" s="66"/>
      <c r="H233" s="67"/>
      <c r="I233" s="67"/>
      <c r="J233" s="67"/>
      <c r="K233" s="66"/>
      <c r="L233" s="68"/>
      <c r="M233" s="66"/>
      <c r="N233" s="69"/>
      <c r="O233" s="67"/>
      <c r="P233" s="66"/>
      <c r="Q233" s="65"/>
      <c r="R233" s="68"/>
    </row>
    <row r="234" spans="1:18" ht="27" x14ac:dyDescent="0.4">
      <c r="A234" s="65"/>
      <c r="B234" s="66"/>
      <c r="C234" s="66"/>
      <c r="D234" s="67"/>
      <c r="E234" s="68"/>
      <c r="F234" s="68"/>
      <c r="G234" s="66"/>
      <c r="H234" s="67"/>
      <c r="I234" s="67"/>
      <c r="J234" s="67"/>
      <c r="K234" s="66"/>
      <c r="L234" s="68"/>
      <c r="M234" s="66"/>
      <c r="N234" s="69"/>
      <c r="O234" s="67"/>
      <c r="P234" s="66"/>
      <c r="Q234" s="65"/>
      <c r="R234" s="68"/>
    </row>
    <row r="235" spans="1:18" ht="27" x14ac:dyDescent="0.4">
      <c r="A235" s="65"/>
      <c r="B235" s="66"/>
      <c r="C235" s="66"/>
      <c r="D235" s="67"/>
      <c r="E235" s="68"/>
      <c r="F235" s="68"/>
      <c r="G235" s="66"/>
      <c r="H235" s="67"/>
      <c r="I235" s="67"/>
      <c r="J235" s="67"/>
      <c r="K235" s="66"/>
      <c r="L235" s="68"/>
      <c r="M235" s="66"/>
      <c r="N235" s="69"/>
      <c r="O235" s="67"/>
      <c r="P235" s="66"/>
      <c r="Q235" s="65"/>
      <c r="R235" s="68"/>
    </row>
    <row r="236" spans="1:18" ht="27" x14ac:dyDescent="0.4">
      <c r="A236" s="65"/>
      <c r="B236" s="66"/>
      <c r="C236" s="66"/>
      <c r="D236" s="67"/>
      <c r="E236" s="68"/>
      <c r="F236" s="68"/>
      <c r="G236" s="66"/>
      <c r="H236" s="67"/>
      <c r="I236" s="67"/>
      <c r="J236" s="67"/>
      <c r="K236" s="66"/>
      <c r="L236" s="68"/>
      <c r="M236" s="66"/>
      <c r="N236" s="69"/>
      <c r="O236" s="67"/>
      <c r="P236" s="66"/>
      <c r="Q236" s="65"/>
      <c r="R236" s="68"/>
    </row>
    <row r="237" spans="1:18" ht="27" x14ac:dyDescent="0.4">
      <c r="A237" s="65"/>
      <c r="B237" s="66"/>
      <c r="C237" s="66"/>
      <c r="D237" s="67"/>
      <c r="E237" s="68"/>
      <c r="F237" s="68"/>
      <c r="G237" s="66"/>
      <c r="H237" s="67"/>
      <c r="I237" s="67"/>
      <c r="J237" s="67"/>
      <c r="K237" s="66"/>
      <c r="L237" s="68"/>
      <c r="M237" s="66"/>
      <c r="N237" s="69"/>
      <c r="O237" s="67"/>
      <c r="P237" s="66"/>
      <c r="Q237" s="65"/>
      <c r="R237" s="68"/>
    </row>
    <row r="238" spans="1:18" ht="27" x14ac:dyDescent="0.4">
      <c r="A238" s="65"/>
      <c r="B238" s="66"/>
      <c r="C238" s="66"/>
      <c r="D238" s="67"/>
      <c r="E238" s="68"/>
      <c r="F238" s="68"/>
      <c r="G238" s="66"/>
      <c r="H238" s="67"/>
      <c r="I238" s="67"/>
      <c r="J238" s="67"/>
      <c r="K238" s="66"/>
      <c r="L238" s="68"/>
      <c r="M238" s="66"/>
      <c r="N238" s="69"/>
      <c r="O238" s="67"/>
      <c r="P238" s="66"/>
      <c r="Q238" s="65"/>
      <c r="R238" s="68"/>
    </row>
    <row r="239" spans="1:18" ht="27" x14ac:dyDescent="0.4">
      <c r="A239" s="65"/>
      <c r="B239" s="66"/>
      <c r="C239" s="66"/>
      <c r="D239" s="67"/>
      <c r="E239" s="68"/>
      <c r="F239" s="68"/>
      <c r="G239" s="66"/>
      <c r="H239" s="67"/>
      <c r="I239" s="67"/>
      <c r="J239" s="67"/>
      <c r="K239" s="66"/>
      <c r="L239" s="68"/>
      <c r="M239" s="66"/>
      <c r="N239" s="69"/>
      <c r="O239" s="67"/>
      <c r="P239" s="66"/>
      <c r="Q239" s="65"/>
      <c r="R239" s="68"/>
    </row>
    <row r="240" spans="1:18" ht="27" x14ac:dyDescent="0.4">
      <c r="A240" s="65"/>
      <c r="B240" s="66"/>
      <c r="C240" s="66"/>
      <c r="D240" s="67"/>
      <c r="E240" s="68"/>
      <c r="F240" s="68"/>
      <c r="G240" s="66"/>
      <c r="H240" s="67"/>
      <c r="I240" s="67"/>
      <c r="J240" s="67"/>
      <c r="K240" s="66"/>
      <c r="L240" s="68"/>
      <c r="M240" s="66"/>
      <c r="N240" s="69"/>
      <c r="O240" s="67"/>
      <c r="P240" s="66"/>
      <c r="Q240" s="65"/>
      <c r="R240" s="68"/>
    </row>
    <row r="241" spans="1:18" ht="27" x14ac:dyDescent="0.4">
      <c r="A241" s="65"/>
      <c r="B241" s="66"/>
      <c r="C241" s="66"/>
      <c r="D241" s="67"/>
      <c r="E241" s="68"/>
      <c r="F241" s="68"/>
      <c r="G241" s="66"/>
      <c r="H241" s="67"/>
      <c r="I241" s="67"/>
      <c r="J241" s="67"/>
      <c r="K241" s="66"/>
      <c r="L241" s="68"/>
      <c r="M241" s="66"/>
      <c r="N241" s="69"/>
      <c r="O241" s="67"/>
      <c r="P241" s="66"/>
      <c r="Q241" s="65"/>
      <c r="R241" s="68"/>
    </row>
    <row r="242" spans="1:18" ht="27" x14ac:dyDescent="0.4">
      <c r="A242" s="65"/>
      <c r="B242" s="66"/>
      <c r="C242" s="66"/>
      <c r="D242" s="67"/>
      <c r="E242" s="68"/>
      <c r="F242" s="68"/>
      <c r="G242" s="66"/>
      <c r="H242" s="67"/>
      <c r="I242" s="67"/>
      <c r="J242" s="67"/>
      <c r="K242" s="66"/>
      <c r="L242" s="68"/>
      <c r="M242" s="66"/>
      <c r="N242" s="69"/>
      <c r="O242" s="67"/>
      <c r="P242" s="66"/>
      <c r="Q242" s="65"/>
      <c r="R242" s="68"/>
    </row>
    <row r="243" spans="1:18" ht="27" x14ac:dyDescent="0.4">
      <c r="A243" s="65"/>
      <c r="B243" s="66"/>
      <c r="C243" s="66"/>
      <c r="D243" s="67"/>
      <c r="E243" s="68"/>
      <c r="F243" s="68"/>
      <c r="G243" s="66"/>
      <c r="H243" s="67"/>
      <c r="I243" s="67"/>
      <c r="J243" s="67"/>
      <c r="K243" s="66"/>
      <c r="L243" s="68"/>
      <c r="M243" s="66"/>
      <c r="N243" s="69"/>
      <c r="O243" s="67"/>
      <c r="P243" s="66"/>
      <c r="Q243" s="65"/>
      <c r="R243" s="68"/>
    </row>
    <row r="244" spans="1:18" ht="27" x14ac:dyDescent="0.4">
      <c r="A244" s="65"/>
      <c r="B244" s="66"/>
      <c r="C244" s="66"/>
      <c r="D244" s="67"/>
      <c r="E244" s="68"/>
      <c r="F244" s="68"/>
      <c r="G244" s="66"/>
      <c r="H244" s="67"/>
      <c r="I244" s="67"/>
      <c r="J244" s="67"/>
      <c r="K244" s="66"/>
      <c r="L244" s="68"/>
      <c r="M244" s="66"/>
      <c r="N244" s="69"/>
      <c r="O244" s="67"/>
      <c r="P244" s="66"/>
      <c r="Q244" s="65"/>
      <c r="R244" s="68"/>
    </row>
    <row r="245" spans="1:18" ht="27" x14ac:dyDescent="0.4">
      <c r="A245" s="65"/>
      <c r="B245" s="66"/>
      <c r="C245" s="66"/>
      <c r="D245" s="67"/>
      <c r="E245" s="68"/>
      <c r="F245" s="68"/>
      <c r="G245" s="66"/>
      <c r="H245" s="67"/>
      <c r="I245" s="67"/>
      <c r="J245" s="67"/>
      <c r="K245" s="66"/>
      <c r="L245" s="68"/>
      <c r="M245" s="66"/>
      <c r="N245" s="69"/>
      <c r="O245" s="67"/>
      <c r="P245" s="66"/>
      <c r="Q245" s="65"/>
      <c r="R245" s="68"/>
    </row>
    <row r="246" spans="1:18" ht="27" x14ac:dyDescent="0.4">
      <c r="A246" s="65"/>
      <c r="B246" s="66"/>
      <c r="C246" s="66"/>
      <c r="D246" s="67"/>
      <c r="E246" s="68"/>
      <c r="F246" s="68"/>
      <c r="G246" s="66"/>
      <c r="H246" s="67"/>
      <c r="I246" s="67"/>
      <c r="J246" s="67"/>
      <c r="K246" s="66"/>
      <c r="L246" s="68"/>
      <c r="M246" s="66"/>
      <c r="N246" s="69"/>
      <c r="O246" s="67"/>
      <c r="P246" s="66"/>
      <c r="Q246" s="65"/>
      <c r="R246" s="68"/>
    </row>
    <row r="247" spans="1:18" ht="27" x14ac:dyDescent="0.4">
      <c r="A247" s="65"/>
      <c r="B247" s="66"/>
      <c r="C247" s="66"/>
      <c r="D247" s="67"/>
      <c r="E247" s="68"/>
      <c r="F247" s="68"/>
      <c r="G247" s="66"/>
      <c r="H247" s="67"/>
      <c r="I247" s="67"/>
      <c r="J247" s="67"/>
      <c r="K247" s="66"/>
      <c r="L247" s="68"/>
      <c r="M247" s="66"/>
      <c r="N247" s="69"/>
      <c r="O247" s="67"/>
      <c r="P247" s="66"/>
      <c r="Q247" s="65"/>
      <c r="R247" s="68"/>
    </row>
    <row r="248" spans="1:18" ht="27" x14ac:dyDescent="0.4">
      <c r="A248" s="65"/>
      <c r="B248" s="66"/>
      <c r="C248" s="66"/>
      <c r="D248" s="67"/>
      <c r="E248" s="68"/>
      <c r="F248" s="68"/>
      <c r="G248" s="66"/>
      <c r="H248" s="67"/>
      <c r="I248" s="67"/>
      <c r="J248" s="67"/>
      <c r="K248" s="66"/>
      <c r="L248" s="68"/>
      <c r="M248" s="66"/>
      <c r="N248" s="69"/>
      <c r="O248" s="67"/>
      <c r="P248" s="66"/>
      <c r="Q248" s="65"/>
      <c r="R248" s="68"/>
    </row>
    <row r="249" spans="1:18" ht="27" x14ac:dyDescent="0.4">
      <c r="A249" s="65"/>
      <c r="B249" s="66"/>
      <c r="C249" s="66"/>
      <c r="D249" s="67"/>
      <c r="E249" s="68"/>
      <c r="F249" s="68"/>
      <c r="G249" s="66"/>
      <c r="H249" s="67"/>
      <c r="I249" s="67"/>
      <c r="J249" s="67"/>
      <c r="K249" s="66"/>
      <c r="L249" s="68"/>
      <c r="M249" s="66"/>
      <c r="N249" s="69"/>
      <c r="O249" s="67"/>
      <c r="P249" s="66"/>
      <c r="Q249" s="65"/>
      <c r="R249" s="68"/>
    </row>
    <row r="250" spans="1:18" ht="27" x14ac:dyDescent="0.4">
      <c r="A250" s="65"/>
      <c r="B250" s="66"/>
      <c r="C250" s="66"/>
      <c r="D250" s="67"/>
      <c r="E250" s="68"/>
      <c r="F250" s="68"/>
      <c r="G250" s="66"/>
      <c r="H250" s="67"/>
      <c r="I250" s="67"/>
      <c r="J250" s="67"/>
      <c r="K250" s="66"/>
      <c r="L250" s="68"/>
      <c r="M250" s="66"/>
      <c r="N250" s="69"/>
      <c r="O250" s="67"/>
      <c r="P250" s="66"/>
      <c r="Q250" s="65"/>
      <c r="R250" s="68"/>
    </row>
    <row r="251" spans="1:18" ht="27" x14ac:dyDescent="0.4">
      <c r="A251" s="65"/>
      <c r="B251" s="66"/>
      <c r="C251" s="66"/>
      <c r="D251" s="67"/>
      <c r="E251" s="68"/>
      <c r="F251" s="68"/>
      <c r="G251" s="66"/>
      <c r="H251" s="67"/>
      <c r="I251" s="67"/>
      <c r="J251" s="67"/>
      <c r="K251" s="66"/>
      <c r="L251" s="68"/>
      <c r="M251" s="66"/>
      <c r="N251" s="69"/>
      <c r="O251" s="67"/>
      <c r="P251" s="66"/>
      <c r="Q251" s="65"/>
      <c r="R251" s="68"/>
    </row>
    <row r="252" spans="1:18" ht="27" x14ac:dyDescent="0.4">
      <c r="A252" s="65"/>
      <c r="B252" s="66"/>
      <c r="C252" s="66"/>
      <c r="D252" s="67"/>
      <c r="E252" s="68"/>
      <c r="F252" s="68"/>
      <c r="G252" s="66"/>
      <c r="H252" s="67"/>
      <c r="I252" s="67"/>
      <c r="J252" s="67"/>
      <c r="K252" s="66"/>
      <c r="L252" s="68"/>
      <c r="M252" s="66"/>
      <c r="N252" s="69"/>
      <c r="O252" s="67"/>
      <c r="P252" s="66"/>
      <c r="Q252" s="65"/>
      <c r="R252" s="68"/>
    </row>
    <row r="253" spans="1:18" ht="27" x14ac:dyDescent="0.4">
      <c r="A253" s="65"/>
      <c r="B253" s="66"/>
      <c r="C253" s="66"/>
      <c r="D253" s="67"/>
      <c r="E253" s="68"/>
      <c r="F253" s="68"/>
      <c r="G253" s="66"/>
      <c r="H253" s="67"/>
      <c r="I253" s="67"/>
      <c r="J253" s="67"/>
      <c r="K253" s="66"/>
      <c r="L253" s="68"/>
      <c r="M253" s="66"/>
      <c r="N253" s="69"/>
      <c r="O253" s="67"/>
      <c r="P253" s="66"/>
      <c r="Q253" s="65"/>
      <c r="R253" s="70"/>
    </row>
    <row r="254" spans="1:18" ht="27" x14ac:dyDescent="0.4">
      <c r="A254" s="65"/>
      <c r="B254" s="66"/>
      <c r="C254" s="66"/>
      <c r="D254" s="67"/>
      <c r="E254" s="68"/>
      <c r="F254" s="68"/>
      <c r="G254" s="66"/>
      <c r="H254" s="67"/>
      <c r="I254" s="67"/>
      <c r="J254" s="67"/>
      <c r="K254" s="66"/>
      <c r="L254" s="68"/>
      <c r="M254" s="66"/>
      <c r="N254" s="69"/>
      <c r="O254" s="67"/>
      <c r="P254" s="66"/>
      <c r="Q254" s="65"/>
      <c r="R254" s="68"/>
    </row>
    <row r="255" spans="1:18" ht="27" x14ac:dyDescent="0.4">
      <c r="A255" s="65"/>
      <c r="B255" s="66"/>
      <c r="C255" s="66"/>
      <c r="D255" s="67"/>
      <c r="E255" s="68"/>
      <c r="F255" s="68"/>
      <c r="G255" s="66"/>
      <c r="H255" s="67"/>
      <c r="I255" s="67"/>
      <c r="J255" s="67"/>
      <c r="K255" s="66"/>
      <c r="L255" s="68"/>
      <c r="M255" s="66"/>
      <c r="N255" s="69"/>
      <c r="O255" s="67"/>
      <c r="P255" s="66"/>
      <c r="Q255" s="65"/>
      <c r="R255" s="68"/>
    </row>
    <row r="256" spans="1:18" ht="27" x14ac:dyDescent="0.4">
      <c r="A256" s="65"/>
      <c r="B256" s="66"/>
      <c r="C256" s="66"/>
      <c r="D256" s="67"/>
      <c r="E256" s="68"/>
      <c r="F256" s="68"/>
      <c r="G256" s="66"/>
      <c r="H256" s="67"/>
      <c r="I256" s="67"/>
      <c r="J256" s="67"/>
      <c r="K256" s="66"/>
      <c r="L256" s="68"/>
      <c r="M256" s="66"/>
      <c r="N256" s="69"/>
      <c r="O256" s="67"/>
      <c r="P256" s="66"/>
      <c r="Q256" s="65"/>
      <c r="R256" s="68"/>
    </row>
    <row r="257" spans="1:18" ht="27" x14ac:dyDescent="0.4">
      <c r="A257" s="65"/>
      <c r="B257" s="66"/>
      <c r="C257" s="66"/>
      <c r="D257" s="67"/>
      <c r="E257" s="68"/>
      <c r="F257" s="68"/>
      <c r="G257" s="66"/>
      <c r="H257" s="67"/>
      <c r="I257" s="67"/>
      <c r="J257" s="67"/>
      <c r="K257" s="66"/>
      <c r="L257" s="68"/>
      <c r="M257" s="66"/>
      <c r="N257" s="69"/>
      <c r="O257" s="67"/>
      <c r="P257" s="66"/>
      <c r="Q257" s="65"/>
      <c r="R257" s="68"/>
    </row>
    <row r="258" spans="1:18" ht="27" x14ac:dyDescent="0.4">
      <c r="A258" s="65"/>
      <c r="B258" s="66"/>
      <c r="C258" s="66"/>
      <c r="D258" s="67"/>
      <c r="E258" s="68"/>
      <c r="F258" s="68"/>
      <c r="G258" s="66"/>
      <c r="H258" s="67"/>
      <c r="I258" s="67"/>
      <c r="J258" s="67"/>
      <c r="K258" s="66"/>
      <c r="L258" s="68"/>
      <c r="M258" s="66"/>
      <c r="N258" s="69"/>
      <c r="O258" s="67"/>
      <c r="P258" s="66"/>
      <c r="Q258" s="65"/>
      <c r="R258" s="68"/>
    </row>
    <row r="259" spans="1:18" ht="27" x14ac:dyDescent="0.4">
      <c r="A259" s="65"/>
      <c r="B259" s="66"/>
      <c r="C259" s="66"/>
      <c r="D259" s="67"/>
      <c r="E259" s="68"/>
      <c r="F259" s="68"/>
      <c r="G259" s="66"/>
      <c r="H259" s="67"/>
      <c r="I259" s="67"/>
      <c r="J259" s="67"/>
      <c r="K259" s="66"/>
      <c r="L259" s="68"/>
      <c r="M259" s="66"/>
      <c r="N259" s="69"/>
      <c r="O259" s="67"/>
      <c r="P259" s="66"/>
      <c r="Q259" s="65"/>
      <c r="R259" s="68"/>
    </row>
    <row r="260" spans="1:18" ht="27" x14ac:dyDescent="0.4">
      <c r="A260" s="65"/>
      <c r="B260" s="66"/>
      <c r="C260" s="66"/>
      <c r="D260" s="67"/>
      <c r="E260" s="68"/>
      <c r="F260" s="68"/>
      <c r="G260" s="66"/>
      <c r="H260" s="67"/>
      <c r="I260" s="67"/>
      <c r="J260" s="67"/>
      <c r="K260" s="66"/>
      <c r="L260" s="68"/>
      <c r="M260" s="66"/>
      <c r="N260" s="69"/>
      <c r="O260" s="67"/>
      <c r="P260" s="66"/>
      <c r="Q260" s="65"/>
      <c r="R260" s="68"/>
    </row>
    <row r="261" spans="1:18" ht="27" x14ac:dyDescent="0.4">
      <c r="A261" s="65"/>
      <c r="B261" s="66"/>
      <c r="C261" s="66"/>
      <c r="D261" s="67"/>
      <c r="E261" s="68"/>
      <c r="F261" s="68"/>
      <c r="G261" s="66"/>
      <c r="H261" s="67"/>
      <c r="I261" s="67"/>
      <c r="J261" s="67"/>
      <c r="K261" s="66"/>
      <c r="L261" s="68"/>
      <c r="M261" s="66"/>
      <c r="N261" s="69"/>
      <c r="O261" s="67"/>
      <c r="P261" s="66"/>
      <c r="Q261" s="65"/>
      <c r="R261" s="68"/>
    </row>
    <row r="262" spans="1:18" ht="27" x14ac:dyDescent="0.4">
      <c r="A262" s="65"/>
      <c r="B262" s="66"/>
      <c r="C262" s="66"/>
      <c r="D262" s="67"/>
      <c r="E262" s="68"/>
      <c r="F262" s="68"/>
      <c r="G262" s="66"/>
      <c r="H262" s="67"/>
      <c r="I262" s="67"/>
      <c r="J262" s="67"/>
      <c r="K262" s="66"/>
      <c r="L262" s="68"/>
      <c r="M262" s="66"/>
      <c r="N262" s="69"/>
      <c r="O262" s="67"/>
      <c r="P262" s="66"/>
      <c r="Q262" s="65"/>
      <c r="R262" s="68"/>
    </row>
    <row r="263" spans="1:18" ht="27" x14ac:dyDescent="0.4">
      <c r="A263" s="65"/>
      <c r="B263" s="66"/>
      <c r="C263" s="66"/>
      <c r="D263" s="67"/>
      <c r="E263" s="68"/>
      <c r="F263" s="68"/>
      <c r="G263" s="66"/>
      <c r="H263" s="67"/>
      <c r="I263" s="67"/>
      <c r="J263" s="67"/>
      <c r="K263" s="66"/>
      <c r="L263" s="68"/>
      <c r="M263" s="66"/>
      <c r="N263" s="69"/>
      <c r="O263" s="67"/>
      <c r="P263" s="66"/>
      <c r="Q263" s="65"/>
      <c r="R263" s="70"/>
    </row>
    <row r="264" spans="1:18" ht="27" x14ac:dyDescent="0.4">
      <c r="A264" s="65"/>
      <c r="B264" s="66"/>
      <c r="C264" s="66"/>
      <c r="D264" s="67"/>
      <c r="E264" s="68"/>
      <c r="F264" s="68"/>
      <c r="G264" s="66"/>
      <c r="H264" s="67"/>
      <c r="I264" s="67"/>
      <c r="J264" s="67"/>
      <c r="K264" s="66"/>
      <c r="L264" s="68"/>
      <c r="M264" s="66"/>
      <c r="N264" s="69"/>
      <c r="O264" s="67"/>
      <c r="P264" s="66"/>
      <c r="Q264" s="65"/>
      <c r="R264" s="70"/>
    </row>
    <row r="265" spans="1:18" ht="27" x14ac:dyDescent="0.4">
      <c r="A265" s="65"/>
      <c r="B265" s="66"/>
      <c r="C265" s="121"/>
      <c r="D265" s="67"/>
      <c r="E265" s="68"/>
      <c r="F265" s="68"/>
      <c r="G265" s="66"/>
      <c r="H265" s="67"/>
      <c r="I265" s="67"/>
      <c r="J265" s="67"/>
      <c r="K265" s="66"/>
      <c r="L265" s="68"/>
      <c r="M265" s="66"/>
      <c r="N265" s="69"/>
      <c r="O265" s="67"/>
      <c r="P265" s="66"/>
      <c r="Q265" s="65"/>
      <c r="R265" s="70"/>
    </row>
    <row r="266" spans="1:18" ht="27" x14ac:dyDescent="0.4">
      <c r="A266" s="65"/>
      <c r="B266" s="66"/>
      <c r="C266" s="66"/>
      <c r="D266" s="67"/>
      <c r="E266" s="68"/>
      <c r="F266" s="68"/>
      <c r="G266" s="66"/>
      <c r="H266" s="67"/>
      <c r="I266" s="67"/>
      <c r="J266" s="67"/>
      <c r="K266" s="66"/>
      <c r="L266" s="68"/>
      <c r="M266" s="66"/>
      <c r="N266" s="69"/>
      <c r="O266" s="67"/>
      <c r="P266" s="66"/>
      <c r="Q266" s="65"/>
      <c r="R266" s="70"/>
    </row>
    <row r="267" spans="1:18" ht="27" x14ac:dyDescent="0.4">
      <c r="A267" s="65"/>
      <c r="B267" s="66"/>
      <c r="C267" s="66"/>
      <c r="D267" s="67"/>
      <c r="E267" s="68"/>
      <c r="F267" s="68"/>
      <c r="G267" s="66"/>
      <c r="H267" s="67"/>
      <c r="I267" s="67"/>
      <c r="J267" s="67"/>
      <c r="K267" s="66"/>
      <c r="L267" s="68"/>
      <c r="M267" s="66"/>
      <c r="N267" s="69"/>
      <c r="O267" s="67"/>
      <c r="P267" s="66"/>
      <c r="Q267" s="65"/>
      <c r="R267" s="70"/>
    </row>
    <row r="268" spans="1:18" ht="27" x14ac:dyDescent="0.4">
      <c r="A268" s="65"/>
      <c r="B268" s="66"/>
      <c r="C268" s="66"/>
      <c r="D268" s="67"/>
      <c r="E268" s="68"/>
      <c r="F268" s="68"/>
      <c r="G268" s="66"/>
      <c r="H268" s="67"/>
      <c r="I268" s="67"/>
      <c r="J268" s="67"/>
      <c r="K268" s="66"/>
      <c r="L268" s="68"/>
      <c r="M268" s="66"/>
      <c r="N268" s="69"/>
      <c r="O268" s="67"/>
      <c r="P268" s="66"/>
      <c r="Q268" s="65"/>
      <c r="R268" s="70"/>
    </row>
    <row r="269" spans="1:18" ht="27" x14ac:dyDescent="0.4">
      <c r="A269" s="65"/>
      <c r="B269" s="66"/>
      <c r="C269" s="66"/>
      <c r="D269" s="67"/>
      <c r="E269" s="68"/>
      <c r="F269" s="68"/>
      <c r="G269" s="66"/>
      <c r="H269" s="67"/>
      <c r="I269" s="67"/>
      <c r="J269" s="67"/>
      <c r="K269" s="66"/>
      <c r="L269" s="68"/>
      <c r="M269" s="66"/>
      <c r="N269" s="69"/>
      <c r="O269" s="67"/>
      <c r="P269" s="66"/>
      <c r="Q269" s="65"/>
      <c r="R269" s="70"/>
    </row>
    <row r="270" spans="1:18" ht="27" x14ac:dyDescent="0.4">
      <c r="A270" s="65"/>
      <c r="B270" s="66"/>
      <c r="C270" s="66"/>
      <c r="D270" s="67"/>
      <c r="E270" s="68"/>
      <c r="F270" s="68"/>
      <c r="G270" s="66"/>
      <c r="H270" s="67"/>
      <c r="I270" s="67"/>
      <c r="J270" s="67"/>
      <c r="K270" s="66"/>
      <c r="L270" s="68"/>
      <c r="M270" s="66"/>
      <c r="N270" s="69"/>
      <c r="O270" s="67"/>
      <c r="P270" s="66"/>
      <c r="Q270" s="65"/>
      <c r="R270" s="68"/>
    </row>
    <row r="271" spans="1:18" ht="27" x14ac:dyDescent="0.4">
      <c r="A271" s="65"/>
      <c r="B271" s="66"/>
      <c r="C271" s="66"/>
      <c r="D271" s="67"/>
      <c r="E271" s="68"/>
      <c r="F271" s="68"/>
      <c r="G271" s="66"/>
      <c r="H271" s="67"/>
      <c r="I271" s="67"/>
      <c r="J271" s="67"/>
      <c r="K271" s="66"/>
      <c r="L271" s="68"/>
      <c r="M271" s="66"/>
      <c r="N271" s="69"/>
      <c r="O271" s="67"/>
      <c r="P271" s="66"/>
      <c r="Q271" s="65"/>
      <c r="R271" s="68"/>
    </row>
    <row r="272" spans="1:18" ht="27" x14ac:dyDescent="0.4">
      <c r="A272" s="65"/>
      <c r="B272" s="66"/>
      <c r="C272" s="66"/>
      <c r="D272" s="67"/>
      <c r="E272" s="68"/>
      <c r="F272" s="68"/>
      <c r="G272" s="66"/>
      <c r="H272" s="67"/>
      <c r="I272" s="67"/>
      <c r="J272" s="67"/>
      <c r="K272" s="66"/>
      <c r="L272" s="68"/>
      <c r="M272" s="66"/>
      <c r="N272" s="69"/>
      <c r="O272" s="67"/>
      <c r="P272" s="66"/>
      <c r="Q272" s="65"/>
      <c r="R272" s="68"/>
    </row>
    <row r="273" spans="1:18" ht="27" x14ac:dyDescent="0.4">
      <c r="A273" s="65"/>
      <c r="B273" s="66"/>
      <c r="C273" s="66"/>
      <c r="D273" s="67"/>
      <c r="E273" s="68"/>
      <c r="F273" s="68"/>
      <c r="G273" s="66"/>
      <c r="H273" s="67"/>
      <c r="I273" s="67"/>
      <c r="J273" s="67"/>
      <c r="K273" s="66"/>
      <c r="L273" s="68"/>
      <c r="M273" s="66"/>
      <c r="N273" s="69"/>
      <c r="O273" s="67"/>
      <c r="P273" s="66"/>
      <c r="Q273" s="65"/>
      <c r="R273" s="68"/>
    </row>
    <row r="274" spans="1:18" ht="27" x14ac:dyDescent="0.4">
      <c r="A274" s="65"/>
      <c r="B274" s="66"/>
      <c r="C274" s="66"/>
      <c r="D274" s="67"/>
      <c r="E274" s="68"/>
      <c r="F274" s="68"/>
      <c r="G274" s="66"/>
      <c r="H274" s="67"/>
      <c r="I274" s="67"/>
      <c r="J274" s="67"/>
      <c r="K274" s="66"/>
      <c r="L274" s="68"/>
      <c r="M274" s="66"/>
      <c r="N274" s="69"/>
      <c r="O274" s="67"/>
      <c r="P274" s="66"/>
      <c r="Q274" s="65"/>
      <c r="R274" s="68"/>
    </row>
    <row r="275" spans="1:18" ht="27" x14ac:dyDescent="0.4">
      <c r="A275" s="65"/>
      <c r="B275" s="66"/>
      <c r="C275" s="66"/>
      <c r="D275" s="67"/>
      <c r="E275" s="68"/>
      <c r="F275" s="68"/>
      <c r="G275" s="66"/>
      <c r="H275" s="67"/>
      <c r="I275" s="67"/>
      <c r="J275" s="67"/>
      <c r="K275" s="66"/>
      <c r="L275" s="68"/>
      <c r="M275" s="66"/>
      <c r="N275" s="69"/>
      <c r="O275" s="67"/>
      <c r="P275" s="66"/>
      <c r="Q275" s="65"/>
      <c r="R275" s="68"/>
    </row>
    <row r="276" spans="1:18" ht="27" x14ac:dyDescent="0.4">
      <c r="A276" s="65"/>
      <c r="B276" s="66"/>
      <c r="C276" s="66"/>
      <c r="D276" s="67"/>
      <c r="E276" s="68"/>
      <c r="F276" s="68"/>
      <c r="G276" s="66"/>
      <c r="H276" s="67"/>
      <c r="I276" s="67"/>
      <c r="J276" s="67"/>
      <c r="K276" s="66"/>
      <c r="L276" s="68"/>
      <c r="M276" s="66"/>
      <c r="N276" s="69"/>
      <c r="O276" s="67"/>
      <c r="P276" s="66"/>
      <c r="Q276" s="65"/>
      <c r="R276" s="68"/>
    </row>
    <row r="277" spans="1:18" ht="27" x14ac:dyDescent="0.4">
      <c r="A277" s="65"/>
      <c r="B277" s="66"/>
      <c r="C277" s="66"/>
      <c r="D277" s="67"/>
      <c r="E277" s="68"/>
      <c r="F277" s="68"/>
      <c r="G277" s="66"/>
      <c r="H277" s="67"/>
      <c r="I277" s="67"/>
      <c r="J277" s="67"/>
      <c r="K277" s="66"/>
      <c r="L277" s="68"/>
      <c r="M277" s="66"/>
      <c r="N277" s="69"/>
      <c r="O277" s="67"/>
      <c r="P277" s="66"/>
      <c r="Q277" s="65"/>
      <c r="R277" s="68"/>
    </row>
    <row r="278" spans="1:18" ht="27" x14ac:dyDescent="0.4">
      <c r="A278" s="65"/>
      <c r="B278" s="66"/>
      <c r="C278" s="66"/>
      <c r="D278" s="67"/>
      <c r="E278" s="68"/>
      <c r="F278" s="68"/>
      <c r="G278" s="66"/>
      <c r="H278" s="67"/>
      <c r="I278" s="67"/>
      <c r="J278" s="67"/>
      <c r="K278" s="66"/>
      <c r="L278" s="68"/>
      <c r="M278" s="66"/>
      <c r="N278" s="69"/>
      <c r="O278" s="67"/>
      <c r="P278" s="66"/>
      <c r="Q278" s="65"/>
      <c r="R278" s="68"/>
    </row>
    <row r="279" spans="1:18" ht="27" x14ac:dyDescent="0.4">
      <c r="A279" s="65"/>
      <c r="B279" s="66"/>
      <c r="C279" s="66"/>
      <c r="D279" s="67"/>
      <c r="E279" s="68"/>
      <c r="F279" s="68"/>
      <c r="G279" s="66"/>
      <c r="H279" s="67"/>
      <c r="I279" s="67"/>
      <c r="J279" s="67"/>
      <c r="K279" s="66"/>
      <c r="L279" s="68"/>
      <c r="M279" s="66"/>
      <c r="N279" s="69"/>
      <c r="O279" s="67"/>
      <c r="P279" s="66"/>
      <c r="Q279" s="65"/>
      <c r="R279" s="68"/>
    </row>
    <row r="280" spans="1:18" ht="27" x14ac:dyDescent="0.4">
      <c r="A280" s="65"/>
      <c r="B280" s="66"/>
      <c r="C280" s="66"/>
      <c r="D280" s="67"/>
      <c r="E280" s="68"/>
      <c r="F280" s="68"/>
      <c r="G280" s="66"/>
      <c r="H280" s="67"/>
      <c r="I280" s="67"/>
      <c r="J280" s="67"/>
      <c r="K280" s="66"/>
      <c r="L280" s="68"/>
      <c r="M280" s="66"/>
      <c r="N280" s="69"/>
      <c r="O280" s="67"/>
      <c r="P280" s="66"/>
      <c r="Q280" s="65"/>
      <c r="R280" s="68"/>
    </row>
    <row r="281" spans="1:18" ht="27" x14ac:dyDescent="0.4">
      <c r="A281" s="65"/>
      <c r="B281" s="66"/>
      <c r="C281" s="66"/>
      <c r="D281" s="67"/>
      <c r="E281" s="68"/>
      <c r="F281" s="68"/>
      <c r="G281" s="66"/>
      <c r="H281" s="67"/>
      <c r="I281" s="67"/>
      <c r="J281" s="67"/>
      <c r="K281" s="66"/>
      <c r="L281" s="68"/>
      <c r="M281" s="66"/>
      <c r="N281" s="69"/>
      <c r="O281" s="67"/>
      <c r="P281" s="66"/>
      <c r="Q281" s="65"/>
      <c r="R281" s="68"/>
    </row>
    <row r="282" spans="1:18" ht="27" x14ac:dyDescent="0.4">
      <c r="A282" s="65"/>
      <c r="B282" s="66"/>
      <c r="C282" s="66"/>
      <c r="D282" s="67"/>
      <c r="E282" s="68"/>
      <c r="F282" s="68"/>
      <c r="G282" s="66"/>
      <c r="H282" s="67"/>
      <c r="I282" s="67"/>
      <c r="J282" s="67"/>
      <c r="K282" s="66"/>
      <c r="L282" s="68"/>
      <c r="M282" s="66"/>
      <c r="N282" s="69"/>
      <c r="O282" s="67"/>
      <c r="P282" s="66"/>
      <c r="Q282" s="65"/>
      <c r="R282" s="68"/>
    </row>
    <row r="283" spans="1:18" ht="27" x14ac:dyDescent="0.4">
      <c r="A283" s="65"/>
      <c r="B283" s="66"/>
      <c r="C283" s="66"/>
      <c r="D283" s="67"/>
      <c r="E283" s="68"/>
      <c r="F283" s="68"/>
      <c r="G283" s="66"/>
      <c r="H283" s="67"/>
      <c r="I283" s="67"/>
      <c r="J283" s="67"/>
      <c r="K283" s="66"/>
      <c r="L283" s="68"/>
      <c r="M283" s="66"/>
      <c r="N283" s="69"/>
      <c r="O283" s="67"/>
      <c r="P283" s="66"/>
      <c r="Q283" s="65"/>
      <c r="R283" s="68"/>
    </row>
    <row r="284" spans="1:18" ht="27" x14ac:dyDescent="0.4">
      <c r="A284" s="65"/>
      <c r="B284" s="66"/>
      <c r="C284" s="66"/>
      <c r="D284" s="67"/>
      <c r="E284" s="68"/>
      <c r="F284" s="68"/>
      <c r="G284" s="66"/>
      <c r="H284" s="67"/>
      <c r="I284" s="67"/>
      <c r="J284" s="67"/>
      <c r="K284" s="66"/>
      <c r="L284" s="68"/>
      <c r="M284" s="66"/>
      <c r="N284" s="69"/>
      <c r="O284" s="67"/>
      <c r="P284" s="66"/>
      <c r="Q284" s="65"/>
      <c r="R284" s="68"/>
    </row>
    <row r="285" spans="1:18" ht="27" x14ac:dyDescent="0.4">
      <c r="A285" s="65"/>
      <c r="B285" s="66"/>
      <c r="C285" s="66"/>
      <c r="D285" s="67"/>
      <c r="E285" s="68"/>
      <c r="F285" s="68"/>
      <c r="G285" s="66"/>
      <c r="H285" s="67"/>
      <c r="I285" s="67"/>
      <c r="J285" s="67"/>
      <c r="K285" s="66"/>
      <c r="L285" s="68"/>
      <c r="M285" s="66"/>
      <c r="N285" s="69"/>
      <c r="O285" s="67"/>
      <c r="P285" s="66"/>
      <c r="Q285" s="65"/>
      <c r="R285" s="68"/>
    </row>
    <row r="286" spans="1:18" ht="27" x14ac:dyDescent="0.4">
      <c r="A286" s="65"/>
      <c r="B286" s="66"/>
      <c r="C286" s="66"/>
      <c r="D286" s="67"/>
      <c r="E286" s="68"/>
      <c r="F286" s="68"/>
      <c r="G286" s="66"/>
      <c r="H286" s="67"/>
      <c r="I286" s="67"/>
      <c r="J286" s="67"/>
      <c r="K286" s="66"/>
      <c r="L286" s="68"/>
      <c r="M286" s="66"/>
      <c r="N286" s="69"/>
      <c r="O286" s="67"/>
      <c r="P286" s="66"/>
      <c r="Q286" s="65"/>
      <c r="R286" s="68"/>
    </row>
    <row r="287" spans="1:18" ht="27" x14ac:dyDescent="0.4">
      <c r="A287" s="65"/>
      <c r="B287" s="66"/>
      <c r="C287" s="66"/>
      <c r="D287" s="67"/>
      <c r="E287" s="68"/>
      <c r="F287" s="68"/>
      <c r="G287" s="66"/>
      <c r="H287" s="67"/>
      <c r="I287" s="67"/>
      <c r="J287" s="67"/>
      <c r="K287" s="66"/>
      <c r="L287" s="68"/>
      <c r="M287" s="66"/>
      <c r="N287" s="69"/>
      <c r="O287" s="67"/>
      <c r="P287" s="66"/>
      <c r="Q287" s="65"/>
      <c r="R287" s="68"/>
    </row>
    <row r="288" spans="1:18" ht="27" x14ac:dyDescent="0.4">
      <c r="A288" s="65"/>
      <c r="B288" s="66"/>
      <c r="C288" s="66"/>
      <c r="D288" s="67"/>
      <c r="E288" s="68"/>
      <c r="F288" s="68"/>
      <c r="G288" s="66"/>
      <c r="H288" s="67"/>
      <c r="I288" s="67"/>
      <c r="J288" s="67"/>
      <c r="K288" s="66"/>
      <c r="L288" s="68"/>
      <c r="M288" s="66"/>
      <c r="N288" s="69"/>
      <c r="O288" s="67"/>
      <c r="P288" s="66"/>
      <c r="Q288" s="65"/>
      <c r="R288" s="68"/>
    </row>
    <row r="289" spans="1:18" ht="27" x14ac:dyDescent="0.4">
      <c r="A289" s="65"/>
      <c r="B289" s="66"/>
      <c r="C289" s="65"/>
      <c r="D289" s="67"/>
      <c r="E289" s="68"/>
      <c r="F289" s="68"/>
      <c r="G289" s="66"/>
      <c r="H289" s="67"/>
      <c r="I289" s="67"/>
      <c r="J289" s="67"/>
      <c r="K289" s="66"/>
      <c r="L289" s="68"/>
      <c r="M289" s="66"/>
      <c r="N289" s="69"/>
      <c r="O289" s="67"/>
      <c r="P289" s="66"/>
      <c r="Q289" s="65"/>
      <c r="R289" s="68"/>
    </row>
    <row r="290" spans="1:18" ht="27" x14ac:dyDescent="0.4">
      <c r="A290" s="65"/>
      <c r="B290" s="66"/>
      <c r="C290" s="66"/>
      <c r="D290" s="67"/>
      <c r="E290" s="68"/>
      <c r="F290" s="68"/>
      <c r="G290" s="66"/>
      <c r="H290" s="67"/>
      <c r="I290" s="67"/>
      <c r="J290" s="67"/>
      <c r="K290" s="66"/>
      <c r="L290" s="68"/>
      <c r="M290" s="66"/>
      <c r="N290" s="69"/>
      <c r="O290" s="67"/>
      <c r="P290" s="66"/>
      <c r="Q290" s="65"/>
      <c r="R290" s="68"/>
    </row>
    <row r="291" spans="1:18" ht="27" x14ac:dyDescent="0.4">
      <c r="A291" s="65"/>
      <c r="B291" s="66"/>
      <c r="C291" s="66"/>
      <c r="D291" s="67"/>
      <c r="E291" s="68"/>
      <c r="F291" s="68"/>
      <c r="G291" s="66"/>
      <c r="H291" s="67"/>
      <c r="I291" s="67"/>
      <c r="J291" s="67"/>
      <c r="K291" s="66"/>
      <c r="L291" s="68"/>
      <c r="M291" s="66"/>
      <c r="N291" s="69"/>
      <c r="O291" s="67"/>
      <c r="P291" s="66"/>
      <c r="Q291" s="65"/>
      <c r="R291" s="68"/>
    </row>
    <row r="292" spans="1:18" ht="27" x14ac:dyDescent="0.4">
      <c r="A292" s="65"/>
      <c r="B292" s="66"/>
      <c r="C292" s="66"/>
      <c r="D292" s="67"/>
      <c r="E292" s="68"/>
      <c r="F292" s="68"/>
      <c r="G292" s="66"/>
      <c r="H292" s="67"/>
      <c r="I292" s="67"/>
      <c r="J292" s="67"/>
      <c r="K292" s="66"/>
      <c r="L292" s="68"/>
      <c r="M292" s="66"/>
      <c r="N292" s="69"/>
      <c r="O292" s="67"/>
      <c r="P292" s="66"/>
      <c r="Q292" s="65"/>
      <c r="R292" s="68"/>
    </row>
    <row r="293" spans="1:18" ht="27" x14ac:dyDescent="0.4">
      <c r="A293" s="65"/>
      <c r="B293" s="66"/>
      <c r="C293" s="66"/>
      <c r="D293" s="67"/>
      <c r="E293" s="68"/>
      <c r="F293" s="68"/>
      <c r="G293" s="66"/>
      <c r="H293" s="67"/>
      <c r="I293" s="67"/>
      <c r="J293" s="67"/>
      <c r="K293" s="66"/>
      <c r="L293" s="68"/>
      <c r="M293" s="66"/>
      <c r="N293" s="69"/>
      <c r="O293" s="67"/>
      <c r="P293" s="66"/>
      <c r="Q293" s="65"/>
      <c r="R293" s="68"/>
    </row>
    <row r="294" spans="1:18" ht="27" x14ac:dyDescent="0.4">
      <c r="A294" s="65"/>
      <c r="B294" s="66"/>
      <c r="C294" s="66"/>
      <c r="D294" s="67"/>
      <c r="E294" s="68"/>
      <c r="F294" s="68"/>
      <c r="G294" s="66"/>
      <c r="H294" s="67"/>
      <c r="I294" s="67"/>
      <c r="J294" s="67"/>
      <c r="K294" s="66"/>
      <c r="L294" s="68"/>
      <c r="M294" s="66"/>
      <c r="N294" s="69"/>
      <c r="O294" s="67"/>
      <c r="P294" s="66"/>
      <c r="Q294" s="65"/>
      <c r="R294" s="68"/>
    </row>
    <row r="295" spans="1:18" ht="27" x14ac:dyDescent="0.4">
      <c r="A295" s="65"/>
      <c r="B295" s="66"/>
      <c r="C295" s="66"/>
      <c r="D295" s="67"/>
      <c r="E295" s="68"/>
      <c r="F295" s="68"/>
      <c r="G295" s="66"/>
      <c r="H295" s="67"/>
      <c r="I295" s="67"/>
      <c r="J295" s="67"/>
      <c r="K295" s="66"/>
      <c r="L295" s="68"/>
      <c r="M295" s="66"/>
      <c r="N295" s="69"/>
      <c r="O295" s="67"/>
      <c r="P295" s="66"/>
      <c r="Q295" s="65"/>
      <c r="R295" s="68"/>
    </row>
    <row r="296" spans="1:18" ht="27" x14ac:dyDescent="0.4">
      <c r="A296" s="65"/>
      <c r="B296" s="66"/>
      <c r="C296" s="66"/>
      <c r="D296" s="67"/>
      <c r="E296" s="68"/>
      <c r="F296" s="68"/>
      <c r="G296" s="66"/>
      <c r="H296" s="67"/>
      <c r="I296" s="67"/>
      <c r="J296" s="67"/>
      <c r="K296" s="66"/>
      <c r="L296" s="68"/>
      <c r="M296" s="66"/>
      <c r="N296" s="69"/>
      <c r="O296" s="67"/>
      <c r="P296" s="66"/>
      <c r="Q296" s="65"/>
      <c r="R296" s="68"/>
    </row>
    <row r="297" spans="1:18" ht="27" x14ac:dyDescent="0.4">
      <c r="A297" s="65"/>
      <c r="B297" s="66"/>
      <c r="C297" s="66"/>
      <c r="D297" s="67"/>
      <c r="E297" s="68"/>
      <c r="F297" s="68"/>
      <c r="G297" s="66"/>
      <c r="H297" s="67"/>
      <c r="I297" s="67"/>
      <c r="J297" s="67"/>
      <c r="K297" s="66"/>
      <c r="L297" s="68"/>
      <c r="M297" s="66"/>
      <c r="N297" s="69"/>
      <c r="O297" s="67"/>
      <c r="P297" s="66"/>
      <c r="Q297" s="65"/>
      <c r="R297" s="68"/>
    </row>
    <row r="298" spans="1:18" ht="27" x14ac:dyDescent="0.4">
      <c r="A298" s="65"/>
      <c r="B298" s="66"/>
      <c r="C298" s="66"/>
      <c r="D298" s="67"/>
      <c r="E298" s="68"/>
      <c r="F298" s="68"/>
      <c r="G298" s="66"/>
      <c r="H298" s="67"/>
      <c r="I298" s="67"/>
      <c r="J298" s="67"/>
      <c r="K298" s="66"/>
      <c r="L298" s="68"/>
      <c r="M298" s="66"/>
      <c r="N298" s="69"/>
      <c r="O298" s="67"/>
      <c r="P298" s="66"/>
      <c r="Q298" s="65"/>
      <c r="R298" s="68"/>
    </row>
    <row r="299" spans="1:18" ht="27" x14ac:dyDescent="0.4">
      <c r="A299" s="65"/>
      <c r="B299" s="66"/>
      <c r="C299" s="66"/>
      <c r="D299" s="67"/>
      <c r="E299" s="68"/>
      <c r="F299" s="68"/>
      <c r="G299" s="66"/>
      <c r="H299" s="67"/>
      <c r="I299" s="67"/>
      <c r="J299" s="67"/>
      <c r="K299" s="66"/>
      <c r="L299" s="68"/>
      <c r="M299" s="66"/>
      <c r="N299" s="69"/>
      <c r="O299" s="67"/>
      <c r="P299" s="66"/>
      <c r="Q299" s="65"/>
      <c r="R299" s="68"/>
    </row>
    <row r="300" spans="1:18" ht="27" x14ac:dyDescent="0.4">
      <c r="A300" s="65"/>
      <c r="B300" s="66"/>
      <c r="C300" s="66"/>
      <c r="D300" s="67"/>
      <c r="E300" s="68"/>
      <c r="F300" s="68"/>
      <c r="G300" s="66"/>
      <c r="H300" s="67"/>
      <c r="I300" s="67"/>
      <c r="J300" s="67"/>
      <c r="K300" s="66"/>
      <c r="L300" s="68"/>
      <c r="M300" s="66"/>
      <c r="N300" s="69"/>
      <c r="O300" s="67"/>
      <c r="P300" s="66"/>
      <c r="Q300" s="65"/>
      <c r="R300" s="68"/>
    </row>
    <row r="301" spans="1:18" ht="27" x14ac:dyDescent="0.4">
      <c r="A301" s="65"/>
      <c r="B301" s="66"/>
      <c r="C301" s="66"/>
      <c r="D301" s="67"/>
      <c r="E301" s="68"/>
      <c r="F301" s="68"/>
      <c r="G301" s="66"/>
      <c r="H301" s="67"/>
      <c r="I301" s="67"/>
      <c r="J301" s="67"/>
      <c r="K301" s="66"/>
      <c r="L301" s="68"/>
      <c r="M301" s="66"/>
      <c r="N301" s="69"/>
      <c r="O301" s="67"/>
      <c r="P301" s="66"/>
      <c r="Q301" s="65"/>
      <c r="R301" s="68"/>
    </row>
    <row r="302" spans="1:18" ht="27" x14ac:dyDescent="0.4">
      <c r="A302" s="65"/>
      <c r="B302" s="66"/>
      <c r="C302" s="66"/>
      <c r="D302" s="67"/>
      <c r="E302" s="68"/>
      <c r="F302" s="68"/>
      <c r="G302" s="66"/>
      <c r="H302" s="67"/>
      <c r="I302" s="67"/>
      <c r="J302" s="67"/>
      <c r="K302" s="66"/>
      <c r="L302" s="68"/>
      <c r="M302" s="66"/>
      <c r="N302" s="69"/>
      <c r="O302" s="67"/>
      <c r="P302" s="66"/>
      <c r="Q302" s="65"/>
      <c r="R302" s="68"/>
    </row>
    <row r="303" spans="1:18" ht="27" x14ac:dyDescent="0.4">
      <c r="A303" s="65"/>
      <c r="B303" s="66"/>
      <c r="C303" s="66"/>
      <c r="D303" s="67"/>
      <c r="E303" s="68"/>
      <c r="F303" s="68"/>
      <c r="G303" s="66"/>
      <c r="H303" s="67"/>
      <c r="I303" s="67"/>
      <c r="J303" s="67"/>
      <c r="K303" s="66"/>
      <c r="L303" s="68"/>
      <c r="M303" s="66"/>
      <c r="N303" s="69"/>
      <c r="O303" s="67"/>
      <c r="P303" s="66"/>
      <c r="Q303" s="65"/>
      <c r="R303" s="68"/>
    </row>
    <row r="304" spans="1:18" ht="27" x14ac:dyDescent="0.4">
      <c r="A304" s="65"/>
      <c r="B304" s="66"/>
      <c r="C304" s="66"/>
      <c r="D304" s="67"/>
      <c r="E304" s="68"/>
      <c r="F304" s="68"/>
      <c r="G304" s="66"/>
      <c r="H304" s="67"/>
      <c r="I304" s="67"/>
      <c r="J304" s="67"/>
      <c r="K304" s="66"/>
      <c r="L304" s="68"/>
      <c r="M304" s="66"/>
      <c r="N304" s="69"/>
      <c r="O304" s="67"/>
      <c r="P304" s="66"/>
      <c r="Q304" s="65"/>
      <c r="R304" s="68"/>
    </row>
    <row r="305" spans="1:18" ht="27" x14ac:dyDescent="0.4">
      <c r="A305" s="65"/>
      <c r="B305" s="66"/>
      <c r="C305" s="66"/>
      <c r="D305" s="67"/>
      <c r="E305" s="68"/>
      <c r="F305" s="68"/>
      <c r="G305" s="66"/>
      <c r="H305" s="67"/>
      <c r="I305" s="67"/>
      <c r="J305" s="67"/>
      <c r="K305" s="66"/>
      <c r="L305" s="68"/>
      <c r="M305" s="66"/>
      <c r="N305" s="69"/>
      <c r="O305" s="67"/>
      <c r="P305" s="66"/>
      <c r="Q305" s="65"/>
      <c r="R305" s="68"/>
    </row>
    <row r="306" spans="1:18" ht="27" x14ac:dyDescent="0.4">
      <c r="A306" s="65"/>
      <c r="B306" s="66"/>
      <c r="C306" s="66"/>
      <c r="D306" s="67"/>
      <c r="E306" s="68"/>
      <c r="F306" s="68"/>
      <c r="G306" s="66"/>
      <c r="H306" s="67"/>
      <c r="I306" s="67"/>
      <c r="J306" s="67"/>
      <c r="K306" s="66"/>
      <c r="L306" s="68"/>
      <c r="M306" s="66"/>
      <c r="N306" s="69"/>
      <c r="O306" s="67"/>
      <c r="P306" s="66"/>
      <c r="Q306" s="65"/>
      <c r="R306" s="68"/>
    </row>
    <row r="307" spans="1:18" ht="27" x14ac:dyDescent="0.4">
      <c r="A307" s="65"/>
      <c r="B307" s="66"/>
      <c r="C307" s="66"/>
      <c r="D307" s="67"/>
      <c r="E307" s="68"/>
      <c r="F307" s="68"/>
      <c r="G307" s="66"/>
      <c r="H307" s="67"/>
      <c r="I307" s="67"/>
      <c r="J307" s="67"/>
      <c r="K307" s="66"/>
      <c r="L307" s="68"/>
      <c r="M307" s="66"/>
      <c r="N307" s="69"/>
      <c r="O307" s="67"/>
      <c r="P307" s="66"/>
      <c r="Q307" s="65"/>
      <c r="R307" s="68"/>
    </row>
    <row r="308" spans="1:18" ht="27" x14ac:dyDescent="0.4">
      <c r="A308" s="65"/>
      <c r="B308" s="66"/>
      <c r="C308" s="66"/>
      <c r="D308" s="67"/>
      <c r="E308" s="68"/>
      <c r="F308" s="68"/>
      <c r="G308" s="66"/>
      <c r="H308" s="67"/>
      <c r="I308" s="67"/>
      <c r="J308" s="67"/>
      <c r="K308" s="66"/>
      <c r="L308" s="68"/>
      <c r="M308" s="66"/>
      <c r="N308" s="69"/>
      <c r="O308" s="67"/>
      <c r="P308" s="66"/>
      <c r="Q308" s="65"/>
      <c r="R308" s="68"/>
    </row>
    <row r="309" spans="1:18" ht="27" x14ac:dyDescent="0.4">
      <c r="A309" s="65"/>
      <c r="B309" s="66"/>
      <c r="C309" s="66"/>
      <c r="D309" s="67"/>
      <c r="E309" s="68"/>
      <c r="F309" s="68"/>
      <c r="G309" s="66"/>
      <c r="H309" s="67"/>
      <c r="I309" s="67"/>
      <c r="J309" s="67"/>
      <c r="K309" s="66"/>
      <c r="L309" s="68"/>
      <c r="M309" s="66"/>
      <c r="N309" s="69"/>
      <c r="O309" s="67"/>
      <c r="P309" s="66"/>
      <c r="Q309" s="65"/>
      <c r="R309" s="68"/>
    </row>
    <row r="310" spans="1:18" ht="27" x14ac:dyDescent="0.4">
      <c r="A310" s="65"/>
      <c r="B310" s="66"/>
      <c r="C310" s="66"/>
      <c r="D310" s="67"/>
      <c r="E310" s="68"/>
      <c r="F310" s="68"/>
      <c r="G310" s="66"/>
      <c r="H310" s="67"/>
      <c r="I310" s="67"/>
      <c r="J310" s="67"/>
      <c r="K310" s="66"/>
      <c r="L310" s="68"/>
      <c r="M310" s="66"/>
      <c r="N310" s="69"/>
      <c r="O310" s="67"/>
      <c r="P310" s="66"/>
      <c r="Q310" s="65"/>
      <c r="R310" s="68"/>
    </row>
    <row r="311" spans="1:18" ht="27" x14ac:dyDescent="0.4">
      <c r="A311" s="65"/>
      <c r="B311" s="66"/>
      <c r="C311" s="66"/>
      <c r="D311" s="67"/>
      <c r="E311" s="68"/>
      <c r="F311" s="68"/>
      <c r="G311" s="66"/>
      <c r="H311" s="67"/>
      <c r="I311" s="67"/>
      <c r="J311" s="67"/>
      <c r="K311" s="66"/>
      <c r="L311" s="68"/>
      <c r="M311" s="66"/>
      <c r="N311" s="69"/>
      <c r="O311" s="67"/>
      <c r="P311" s="66"/>
      <c r="Q311" s="65"/>
      <c r="R311" s="68"/>
    </row>
    <row r="312" spans="1:18" ht="27" x14ac:dyDescent="0.4">
      <c r="A312" s="65"/>
      <c r="B312" s="66"/>
      <c r="C312" s="66"/>
      <c r="D312" s="67"/>
      <c r="E312" s="68"/>
      <c r="F312" s="68"/>
      <c r="G312" s="66"/>
      <c r="H312" s="67"/>
      <c r="I312" s="67"/>
      <c r="J312" s="67"/>
      <c r="K312" s="66"/>
      <c r="L312" s="68"/>
      <c r="M312" s="66"/>
      <c r="N312" s="69"/>
      <c r="O312" s="67"/>
      <c r="P312" s="66"/>
      <c r="Q312" s="65"/>
      <c r="R312" s="68"/>
    </row>
    <row r="313" spans="1:18" ht="27" x14ac:dyDescent="0.4">
      <c r="A313" s="65"/>
      <c r="B313" s="66"/>
      <c r="C313" s="66"/>
      <c r="D313" s="67"/>
      <c r="E313" s="68"/>
      <c r="F313" s="68"/>
      <c r="G313" s="66"/>
      <c r="H313" s="67"/>
      <c r="I313" s="67"/>
      <c r="J313" s="67"/>
      <c r="K313" s="66"/>
      <c r="L313" s="68"/>
      <c r="M313" s="66"/>
      <c r="N313" s="69"/>
      <c r="O313" s="67"/>
      <c r="P313" s="66"/>
      <c r="Q313" s="65"/>
      <c r="R313" s="68"/>
    </row>
    <row r="314" spans="1:18" ht="27" x14ac:dyDescent="0.4">
      <c r="A314" s="65"/>
      <c r="B314" s="66"/>
      <c r="C314" s="66"/>
      <c r="D314" s="67"/>
      <c r="E314" s="68"/>
      <c r="F314" s="68"/>
      <c r="G314" s="66"/>
      <c r="H314" s="67"/>
      <c r="I314" s="67"/>
      <c r="J314" s="67"/>
      <c r="K314" s="66"/>
      <c r="L314" s="68"/>
      <c r="M314" s="66"/>
      <c r="N314" s="69"/>
      <c r="O314" s="67"/>
      <c r="P314" s="66"/>
      <c r="Q314" s="65"/>
      <c r="R314" s="68"/>
    </row>
    <row r="315" spans="1:18" ht="27" x14ac:dyDescent="0.4">
      <c r="A315" s="65"/>
      <c r="B315" s="66"/>
      <c r="C315" s="66"/>
      <c r="D315" s="67"/>
      <c r="E315" s="68"/>
      <c r="F315" s="68"/>
      <c r="G315" s="66"/>
      <c r="H315" s="67"/>
      <c r="I315" s="67"/>
      <c r="J315" s="67"/>
      <c r="K315" s="66"/>
      <c r="L315" s="68"/>
      <c r="M315" s="66"/>
      <c r="N315" s="69"/>
      <c r="O315" s="67"/>
      <c r="P315" s="66"/>
      <c r="Q315" s="65"/>
      <c r="R315" s="68"/>
    </row>
    <row r="316" spans="1:18" ht="27" x14ac:dyDescent="0.4">
      <c r="A316" s="65"/>
      <c r="B316" s="66"/>
      <c r="C316" s="66"/>
      <c r="D316" s="67"/>
      <c r="E316" s="68"/>
      <c r="F316" s="68"/>
      <c r="G316" s="66"/>
      <c r="H316" s="67"/>
      <c r="I316" s="67"/>
      <c r="J316" s="67"/>
      <c r="K316" s="66"/>
      <c r="L316" s="68"/>
      <c r="M316" s="66"/>
      <c r="N316" s="69"/>
      <c r="O316" s="67"/>
      <c r="P316" s="66"/>
      <c r="Q316" s="65"/>
      <c r="R316" s="68"/>
    </row>
    <row r="317" spans="1:18" ht="27" x14ac:dyDescent="0.4">
      <c r="A317" s="65"/>
      <c r="B317" s="66"/>
      <c r="C317" s="66"/>
      <c r="D317" s="67"/>
      <c r="E317" s="68"/>
      <c r="F317" s="68"/>
      <c r="G317" s="66"/>
      <c r="H317" s="67"/>
      <c r="I317" s="67"/>
      <c r="J317" s="67"/>
      <c r="K317" s="66"/>
      <c r="L317" s="68"/>
      <c r="M317" s="66"/>
      <c r="N317" s="69"/>
      <c r="O317" s="67"/>
      <c r="P317" s="66"/>
      <c r="Q317" s="65"/>
      <c r="R317" s="68"/>
    </row>
    <row r="318" spans="1:18" ht="27" x14ac:dyDescent="0.4">
      <c r="A318" s="65"/>
      <c r="B318" s="66"/>
      <c r="C318" s="66"/>
      <c r="D318" s="67"/>
      <c r="E318" s="68"/>
      <c r="F318" s="68"/>
      <c r="G318" s="66"/>
      <c r="H318" s="67"/>
      <c r="I318" s="67"/>
      <c r="J318" s="67"/>
      <c r="K318" s="66"/>
      <c r="L318" s="68"/>
      <c r="M318" s="66"/>
      <c r="N318" s="69"/>
      <c r="O318" s="67"/>
      <c r="P318" s="66"/>
      <c r="Q318" s="65"/>
      <c r="R318" s="68"/>
    </row>
    <row r="319" spans="1:18" ht="27" x14ac:dyDescent="0.4">
      <c r="A319" s="65"/>
      <c r="B319" s="66"/>
      <c r="C319" s="66"/>
      <c r="D319" s="67"/>
      <c r="E319" s="68"/>
      <c r="F319" s="68"/>
      <c r="G319" s="66"/>
      <c r="H319" s="67"/>
      <c r="I319" s="67"/>
      <c r="J319" s="67"/>
      <c r="K319" s="66"/>
      <c r="L319" s="68"/>
      <c r="M319" s="66"/>
      <c r="N319" s="69"/>
      <c r="O319" s="67"/>
      <c r="P319" s="66"/>
      <c r="Q319" s="65"/>
      <c r="R319" s="68"/>
    </row>
    <row r="320" spans="1:18" ht="27" x14ac:dyDescent="0.4">
      <c r="A320" s="65"/>
      <c r="B320" s="66"/>
      <c r="C320" s="66"/>
      <c r="D320" s="67"/>
      <c r="E320" s="68"/>
      <c r="F320" s="68"/>
      <c r="G320" s="66"/>
      <c r="H320" s="67"/>
      <c r="I320" s="67"/>
      <c r="J320" s="67"/>
      <c r="K320" s="66"/>
      <c r="L320" s="68"/>
      <c r="M320" s="66"/>
      <c r="N320" s="69"/>
      <c r="O320" s="67"/>
      <c r="P320" s="66"/>
      <c r="Q320" s="65"/>
      <c r="R320" s="68"/>
    </row>
    <row r="321" spans="1:18" ht="27" x14ac:dyDescent="0.4">
      <c r="A321" s="65"/>
      <c r="B321" s="66"/>
      <c r="C321" s="66"/>
      <c r="D321" s="67"/>
      <c r="E321" s="68"/>
      <c r="F321" s="68"/>
      <c r="G321" s="66"/>
      <c r="H321" s="67"/>
      <c r="I321" s="67"/>
      <c r="J321" s="67"/>
      <c r="K321" s="66"/>
      <c r="L321" s="68"/>
      <c r="M321" s="66"/>
      <c r="N321" s="69"/>
      <c r="O321" s="67"/>
      <c r="P321" s="66"/>
      <c r="Q321" s="65"/>
      <c r="R321" s="68"/>
    </row>
  </sheetData>
  <mergeCells count="10">
    <mergeCell ref="A1:A2"/>
    <mergeCell ref="B1:B2"/>
    <mergeCell ref="C1:C2"/>
    <mergeCell ref="D1:D2"/>
    <mergeCell ref="E1:E2"/>
    <mergeCell ref="F1:F2"/>
    <mergeCell ref="G1:K1"/>
    <mergeCell ref="L1:L2"/>
    <mergeCell ref="M1:Q1"/>
    <mergeCell ref="R1:R2"/>
  </mergeCells>
  <dataValidations count="1">
    <dataValidation type="list" allowBlank="1" showInputMessage="1" showErrorMessage="1" sqref="M3:M321" xr:uid="{03FE3AD0-CD0A-462E-803C-64532174DCAF}">
      <formula1>INDIRECT(S3)</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0959D-D3AB-432B-8078-F3F42BECB54C}">
  <dimension ref="A1:XFB321"/>
  <sheetViews>
    <sheetView zoomScale="70" zoomScaleNormal="70" workbookViewId="0">
      <selection activeCell="O8" sqref="O8"/>
    </sheetView>
  </sheetViews>
  <sheetFormatPr defaultRowHeight="17.25" x14ac:dyDescent="0.4"/>
  <cols>
    <col min="1" max="1" width="6" style="1" customWidth="1"/>
    <col min="2" max="2" width="14.85546875" style="1" customWidth="1"/>
    <col min="3" max="3" width="13.7109375" style="1" customWidth="1"/>
    <col min="4" max="4" width="9.28515625" style="1" bestFit="1" customWidth="1"/>
    <col min="5" max="5" width="29.85546875" style="1" customWidth="1"/>
    <col min="6" max="6" width="26.85546875" style="1" customWidth="1"/>
    <col min="7" max="7" width="9.140625" style="1"/>
    <col min="8" max="11" width="9.28515625" style="1" bestFit="1" customWidth="1"/>
    <col min="12" max="12" width="27.42578125" style="1" customWidth="1"/>
    <col min="13" max="13" width="9.140625" style="1"/>
    <col min="14" max="17" width="9.28515625" style="1" bestFit="1" customWidth="1"/>
    <col min="18" max="18" width="19.28515625" style="1" customWidth="1"/>
    <col min="19" max="19" width="35.140625" style="1" customWidth="1"/>
    <col min="20" max="20" width="9.28515625" style="1" bestFit="1" customWidth="1"/>
    <col min="21" max="21" width="9.140625" style="1"/>
    <col min="22" max="22" width="9" style="1" customWidth="1"/>
    <col min="23" max="23" width="12.5703125" style="1" customWidth="1"/>
    <col min="24" max="24" width="14.42578125" style="1" customWidth="1"/>
    <col min="25" max="316" width="9.140625" style="1"/>
    <col min="317" max="317" width="9.28515625" style="1" bestFit="1" customWidth="1"/>
    <col min="318" max="318" width="9.140625" style="1"/>
    <col min="319" max="320" width="9.28515625" style="1" bestFit="1" customWidth="1"/>
    <col min="321" max="321" width="9.140625" style="1"/>
    <col min="322" max="322" width="9.28515625" style="1" bestFit="1" customWidth="1"/>
    <col min="323" max="325" width="9.140625" style="1"/>
    <col min="326" max="328" width="9.28515625" style="1" bestFit="1" customWidth="1"/>
    <col min="329" max="331" width="9.140625" style="1"/>
    <col min="332" max="333" width="9.28515625" style="1" bestFit="1" customWidth="1"/>
    <col min="334" max="334" width="9.140625" style="1"/>
    <col min="335" max="336" width="9.28515625" style="1" bestFit="1" customWidth="1"/>
    <col min="337" max="337" width="9.140625" style="1"/>
    <col min="338" max="338" width="9.28515625" style="1" bestFit="1" customWidth="1"/>
    <col min="339" max="341" width="9.140625" style="1"/>
    <col min="342" max="344" width="9.28515625" style="1" bestFit="1" customWidth="1"/>
    <col min="345" max="347" width="9.140625" style="1"/>
    <col min="348" max="349" width="9.28515625" style="1" bestFit="1" customWidth="1"/>
    <col min="350" max="350" width="9.140625" style="1"/>
    <col min="351" max="352" width="9.28515625" style="1" bestFit="1" customWidth="1"/>
    <col min="353" max="353" width="9.140625" style="1"/>
    <col min="354" max="354" width="9.28515625" style="1" bestFit="1" customWidth="1"/>
    <col min="355" max="357" width="9.140625" style="1"/>
    <col min="358" max="360" width="9.28515625" style="1" bestFit="1" customWidth="1"/>
    <col min="361" max="363" width="9.140625" style="1"/>
    <col min="364" max="365" width="9.28515625" style="1" bestFit="1" customWidth="1"/>
    <col min="366" max="366" width="9.140625" style="1"/>
    <col min="367" max="368" width="9.28515625" style="1" bestFit="1" customWidth="1"/>
    <col min="369" max="369" width="9.140625" style="1"/>
    <col min="370" max="370" width="9.28515625" style="1" bestFit="1" customWidth="1"/>
    <col min="371" max="373" width="9.140625" style="1"/>
    <col min="374" max="376" width="9.28515625" style="1" bestFit="1" customWidth="1"/>
    <col min="377" max="379" width="9.140625" style="1"/>
    <col min="380" max="381" width="9.28515625" style="1" bestFit="1" customWidth="1"/>
    <col min="382" max="382" width="9.140625" style="1"/>
    <col min="383" max="384" width="9.28515625" style="1" bestFit="1" customWidth="1"/>
    <col min="385" max="385" width="9.140625" style="1"/>
    <col min="386" max="386" width="9.28515625" style="1" bestFit="1" customWidth="1"/>
    <col min="387" max="389" width="9.140625" style="1"/>
    <col min="390" max="392" width="9.28515625" style="1" bestFit="1" customWidth="1"/>
    <col min="393" max="395" width="9.140625" style="1"/>
    <col min="396" max="397" width="9.28515625" style="1" bestFit="1" customWidth="1"/>
    <col min="398" max="398" width="9.140625" style="1"/>
    <col min="399" max="400" width="9.28515625" style="1" bestFit="1" customWidth="1"/>
    <col min="401" max="401" width="9.140625" style="1"/>
    <col min="402" max="402" width="9.28515625" style="1" bestFit="1" customWidth="1"/>
    <col min="403" max="405" width="9.140625" style="1"/>
    <col min="406" max="408" width="9.28515625" style="1" bestFit="1" customWidth="1"/>
    <col min="409" max="411" width="9.140625" style="1"/>
    <col min="412" max="413" width="9.28515625" style="1" bestFit="1" customWidth="1"/>
    <col min="414" max="414" width="9.140625" style="1"/>
    <col min="415" max="416" width="9.28515625" style="1" bestFit="1" customWidth="1"/>
    <col min="417" max="417" width="9.140625" style="1"/>
    <col min="418" max="418" width="9.28515625" style="1" bestFit="1" customWidth="1"/>
    <col min="419" max="421" width="9.140625" style="1"/>
    <col min="422" max="424" width="9.28515625" style="1" bestFit="1" customWidth="1"/>
    <col min="425" max="427" width="9.140625" style="1"/>
    <col min="428" max="429" width="9.28515625" style="1" bestFit="1" customWidth="1"/>
    <col min="430" max="430" width="9.140625" style="1"/>
    <col min="431" max="432" width="9.28515625" style="1" bestFit="1" customWidth="1"/>
    <col min="433" max="433" width="9.140625" style="1"/>
    <col min="434" max="434" width="9.28515625" style="1" bestFit="1" customWidth="1"/>
    <col min="435" max="437" width="9.140625" style="1"/>
    <col min="438" max="440" width="9.28515625" style="1" bestFit="1" customWidth="1"/>
    <col min="441" max="443" width="9.140625" style="1"/>
    <col min="444" max="445" width="9.28515625" style="1" bestFit="1" customWidth="1"/>
    <col min="446" max="446" width="9.140625" style="1"/>
    <col min="447" max="448" width="9.28515625" style="1" bestFit="1" customWidth="1"/>
    <col min="449" max="449" width="9.140625" style="1"/>
    <col min="450" max="450" width="9.28515625" style="1" bestFit="1" customWidth="1"/>
    <col min="451" max="453" width="9.140625" style="1"/>
    <col min="454" max="456" width="9.28515625" style="1" bestFit="1" customWidth="1"/>
    <col min="457" max="459" width="9.140625" style="1"/>
    <col min="460" max="461" width="9.28515625" style="1" bestFit="1" customWidth="1"/>
    <col min="462" max="462" width="9.140625" style="1"/>
    <col min="463" max="464" width="9.28515625" style="1" bestFit="1" customWidth="1"/>
    <col min="465" max="465" width="9.140625" style="1"/>
    <col min="466" max="466" width="9.28515625" style="1" bestFit="1" customWidth="1"/>
    <col min="467" max="469" width="9.140625" style="1"/>
    <col min="470" max="472" width="9.28515625" style="1" bestFit="1" customWidth="1"/>
    <col min="473" max="475" width="9.140625" style="1"/>
    <col min="476" max="477" width="9.28515625" style="1" bestFit="1" customWidth="1"/>
    <col min="478" max="478" width="9.140625" style="1"/>
    <col min="479" max="480" width="9.28515625" style="1" bestFit="1" customWidth="1"/>
    <col min="481" max="481" width="9.140625" style="1"/>
    <col min="482" max="482" width="9.28515625" style="1" bestFit="1" customWidth="1"/>
    <col min="483" max="485" width="9.140625" style="1"/>
    <col min="486" max="488" width="9.28515625" style="1" bestFit="1" customWidth="1"/>
    <col min="489" max="491" width="9.140625" style="1"/>
    <col min="492" max="493" width="9.28515625" style="1" bestFit="1" customWidth="1"/>
    <col min="494" max="494" width="9.140625" style="1"/>
    <col min="495" max="496" width="9.28515625" style="1" bestFit="1" customWidth="1"/>
    <col min="497" max="497" width="9.140625" style="1"/>
    <col min="498" max="498" width="9.28515625" style="1" bestFit="1" customWidth="1"/>
    <col min="499" max="501" width="9.140625" style="1"/>
    <col min="502" max="504" width="9.28515625" style="1" bestFit="1" customWidth="1"/>
    <col min="505" max="507" width="9.140625" style="1"/>
    <col min="508" max="509" width="9.28515625" style="1" bestFit="1" customWidth="1"/>
    <col min="510" max="510" width="9.140625" style="1"/>
    <col min="511" max="512" width="9.28515625" style="1" bestFit="1" customWidth="1"/>
    <col min="513" max="513" width="9.140625" style="1"/>
    <col min="514" max="514" width="9.28515625" style="1" bestFit="1" customWidth="1"/>
    <col min="515" max="517" width="9.140625" style="1"/>
    <col min="518" max="520" width="9.28515625" style="1" bestFit="1" customWidth="1"/>
    <col min="521" max="523" width="9.140625" style="1"/>
    <col min="524" max="525" width="9.28515625" style="1" bestFit="1" customWidth="1"/>
    <col min="526" max="526" width="9.140625" style="1"/>
    <col min="527" max="528" width="9.28515625" style="1" bestFit="1" customWidth="1"/>
    <col min="529" max="529" width="9.140625" style="1"/>
    <col min="530" max="530" width="9.28515625" style="1" bestFit="1" customWidth="1"/>
    <col min="531" max="533" width="9.140625" style="1"/>
    <col min="534" max="536" width="9.28515625" style="1" bestFit="1" customWidth="1"/>
    <col min="537" max="539" width="9.140625" style="1"/>
    <col min="540" max="541" width="9.28515625" style="1" bestFit="1" customWidth="1"/>
    <col min="542" max="542" width="9.140625" style="1"/>
    <col min="543" max="544" width="9.28515625" style="1" bestFit="1" customWidth="1"/>
    <col min="545" max="545" width="9.140625" style="1"/>
    <col min="546" max="546" width="9.28515625" style="1" bestFit="1" customWidth="1"/>
    <col min="547" max="549" width="9.140625" style="1"/>
    <col min="550" max="552" width="9.28515625" style="1" bestFit="1" customWidth="1"/>
    <col min="553" max="555" width="9.140625" style="1"/>
    <col min="556" max="557" width="9.28515625" style="1" bestFit="1" customWidth="1"/>
    <col min="558" max="558" width="9.140625" style="1"/>
    <col min="559" max="560" width="9.28515625" style="1" bestFit="1" customWidth="1"/>
    <col min="561" max="561" width="9.140625" style="1"/>
    <col min="562" max="562" width="9.28515625" style="1" bestFit="1" customWidth="1"/>
    <col min="563" max="565" width="9.140625" style="1"/>
    <col min="566" max="568" width="9.28515625" style="1" bestFit="1" customWidth="1"/>
    <col min="569" max="571" width="9.140625" style="1"/>
    <col min="572" max="573" width="9.28515625" style="1" bestFit="1" customWidth="1"/>
    <col min="574" max="574" width="9.140625" style="1"/>
    <col min="575" max="576" width="9.28515625" style="1" bestFit="1" customWidth="1"/>
    <col min="577" max="577" width="9.140625" style="1"/>
    <col min="578" max="578" width="9.28515625" style="1" bestFit="1" customWidth="1"/>
    <col min="579" max="581" width="9.140625" style="1"/>
    <col min="582" max="584" width="9.28515625" style="1" bestFit="1" customWidth="1"/>
    <col min="585" max="587" width="9.140625" style="1"/>
    <col min="588" max="589" width="9.28515625" style="1" bestFit="1" customWidth="1"/>
    <col min="590" max="590" width="9.140625" style="1"/>
    <col min="591" max="592" width="9.28515625" style="1" bestFit="1" customWidth="1"/>
    <col min="593" max="593" width="9.140625" style="1"/>
    <col min="594" max="594" width="9.28515625" style="1" bestFit="1" customWidth="1"/>
    <col min="595" max="597" width="9.140625" style="1"/>
    <col min="598" max="600" width="9.28515625" style="1" bestFit="1" customWidth="1"/>
    <col min="601" max="603" width="9.140625" style="1"/>
    <col min="604" max="605" width="9.28515625" style="1" bestFit="1" customWidth="1"/>
    <col min="606" max="606" width="9.140625" style="1"/>
    <col min="607" max="608" width="9.28515625" style="1" bestFit="1" customWidth="1"/>
    <col min="609" max="609" width="9.140625" style="1"/>
    <col min="610" max="610" width="9.28515625" style="1" bestFit="1" customWidth="1"/>
    <col min="611" max="613" width="9.140625" style="1"/>
    <col min="614" max="616" width="9.28515625" style="1" bestFit="1" customWidth="1"/>
    <col min="617" max="619" width="9.140625" style="1"/>
    <col min="620" max="621" width="9.28515625" style="1" bestFit="1" customWidth="1"/>
    <col min="622" max="622" width="9.140625" style="1"/>
    <col min="623" max="624" width="9.28515625" style="1" bestFit="1" customWidth="1"/>
    <col min="625" max="625" width="9.140625" style="1"/>
    <col min="626" max="626" width="9.28515625" style="1" bestFit="1" customWidth="1"/>
    <col min="627" max="629" width="9.140625" style="1"/>
    <col min="630" max="632" width="9.28515625" style="1" bestFit="1" customWidth="1"/>
    <col min="633" max="635" width="9.140625" style="1"/>
    <col min="636" max="637" width="9.28515625" style="1" bestFit="1" customWidth="1"/>
    <col min="638" max="638" width="9.140625" style="1"/>
    <col min="639" max="640" width="9.28515625" style="1" bestFit="1" customWidth="1"/>
    <col min="641" max="641" width="9.140625" style="1"/>
    <col min="642" max="642" width="9.28515625" style="1" bestFit="1" customWidth="1"/>
    <col min="643" max="645" width="9.140625" style="1"/>
    <col min="646" max="648" width="9.28515625" style="1" bestFit="1" customWidth="1"/>
    <col min="649" max="651" width="9.140625" style="1"/>
    <col min="652" max="653" width="9.28515625" style="1" bestFit="1" customWidth="1"/>
    <col min="654" max="654" width="9.140625" style="1"/>
    <col min="655" max="656" width="9.28515625" style="1" bestFit="1" customWidth="1"/>
    <col min="657" max="657" width="9.140625" style="1"/>
    <col min="658" max="658" width="9.28515625" style="1" bestFit="1" customWidth="1"/>
    <col min="659" max="661" width="9.140625" style="1"/>
    <col min="662" max="664" width="9.28515625" style="1" bestFit="1" customWidth="1"/>
    <col min="665" max="667" width="9.140625" style="1"/>
    <col min="668" max="669" width="9.28515625" style="1" bestFit="1" customWidth="1"/>
    <col min="670" max="670" width="9.140625" style="1"/>
    <col min="671" max="672" width="9.28515625" style="1" bestFit="1" customWidth="1"/>
    <col min="673" max="673" width="9.140625" style="1"/>
    <col min="674" max="674" width="9.28515625" style="1" bestFit="1" customWidth="1"/>
    <col min="675" max="677" width="9.140625" style="1"/>
    <col min="678" max="680" width="9.28515625" style="1" bestFit="1" customWidth="1"/>
    <col min="681" max="683" width="9.140625" style="1"/>
    <col min="684" max="685" width="9.28515625" style="1" bestFit="1" customWidth="1"/>
    <col min="686" max="686" width="9.140625" style="1"/>
    <col min="687" max="688" width="9.28515625" style="1" bestFit="1" customWidth="1"/>
    <col min="689" max="689" width="9.140625" style="1"/>
    <col min="690" max="690" width="9.28515625" style="1" bestFit="1" customWidth="1"/>
    <col min="691" max="693" width="9.140625" style="1"/>
    <col min="694" max="696" width="9.28515625" style="1" bestFit="1" customWidth="1"/>
    <col min="697" max="699" width="9.140625" style="1"/>
    <col min="700" max="701" width="9.28515625" style="1" bestFit="1" customWidth="1"/>
    <col min="702" max="702" width="9.140625" style="1"/>
    <col min="703" max="704" width="9.28515625" style="1" bestFit="1" customWidth="1"/>
    <col min="705" max="705" width="9.140625" style="1"/>
    <col min="706" max="706" width="9.28515625" style="1" bestFit="1" customWidth="1"/>
    <col min="707" max="709" width="9.140625" style="1"/>
    <col min="710" max="712" width="9.28515625" style="1" bestFit="1" customWidth="1"/>
    <col min="713" max="715" width="9.140625" style="1"/>
    <col min="716" max="717" width="9.28515625" style="1" bestFit="1" customWidth="1"/>
    <col min="718" max="718" width="9.140625" style="1"/>
    <col min="719" max="720" width="9.28515625" style="1" bestFit="1" customWidth="1"/>
    <col min="721" max="721" width="9.140625" style="1"/>
    <col min="722" max="722" width="9.28515625" style="1" bestFit="1" customWidth="1"/>
    <col min="723" max="725" width="9.140625" style="1"/>
    <col min="726" max="728" width="9.28515625" style="1" bestFit="1" customWidth="1"/>
    <col min="729" max="731" width="9.140625" style="1"/>
    <col min="732" max="733" width="9.28515625" style="1" bestFit="1" customWidth="1"/>
    <col min="734" max="734" width="9.140625" style="1"/>
    <col min="735" max="736" width="9.28515625" style="1" bestFit="1" customWidth="1"/>
    <col min="737" max="737" width="9.140625" style="1"/>
    <col min="738" max="738" width="9.28515625" style="1" bestFit="1" customWidth="1"/>
    <col min="739" max="741" width="9.140625" style="1"/>
    <col min="742" max="744" width="9.28515625" style="1" bestFit="1" customWidth="1"/>
    <col min="745" max="747" width="9.140625" style="1"/>
    <col min="748" max="749" width="9.28515625" style="1" bestFit="1" customWidth="1"/>
    <col min="750" max="750" width="9.140625" style="1"/>
    <col min="751" max="752" width="9.28515625" style="1" bestFit="1" customWidth="1"/>
    <col min="753" max="753" width="9.140625" style="1"/>
    <col min="754" max="754" width="9.28515625" style="1" bestFit="1" customWidth="1"/>
    <col min="755" max="757" width="9.140625" style="1"/>
    <col min="758" max="760" width="9.28515625" style="1" bestFit="1" customWidth="1"/>
    <col min="761" max="763" width="9.140625" style="1"/>
    <col min="764" max="765" width="9.28515625" style="1" bestFit="1" customWidth="1"/>
    <col min="766" max="766" width="9.140625" style="1"/>
    <col min="767" max="768" width="9.28515625" style="1" bestFit="1" customWidth="1"/>
    <col min="769" max="769" width="9.140625" style="1"/>
    <col min="770" max="770" width="9.28515625" style="1" bestFit="1" customWidth="1"/>
    <col min="771" max="773" width="9.140625" style="1"/>
    <col min="774" max="776" width="9.28515625" style="1" bestFit="1" customWidth="1"/>
    <col min="777" max="779" width="9.140625" style="1"/>
    <col min="780" max="781" width="9.28515625" style="1" bestFit="1" customWidth="1"/>
    <col min="782" max="782" width="9.140625" style="1"/>
    <col min="783" max="784" width="9.28515625" style="1" bestFit="1" customWidth="1"/>
    <col min="785" max="785" width="9.140625" style="1"/>
    <col min="786" max="786" width="9.28515625" style="1" bestFit="1" customWidth="1"/>
    <col min="787" max="789" width="9.140625" style="1"/>
    <col min="790" max="792" width="9.28515625" style="1" bestFit="1" customWidth="1"/>
    <col min="793" max="795" width="9.140625" style="1"/>
    <col min="796" max="797" width="9.28515625" style="1" bestFit="1" customWidth="1"/>
    <col min="798" max="798" width="9.140625" style="1"/>
    <col min="799" max="800" width="9.28515625" style="1" bestFit="1" customWidth="1"/>
    <col min="801" max="801" width="9.140625" style="1"/>
    <col min="802" max="802" width="9.28515625" style="1" bestFit="1" customWidth="1"/>
    <col min="803" max="805" width="9.140625" style="1"/>
    <col min="806" max="808" width="9.28515625" style="1" bestFit="1" customWidth="1"/>
    <col min="809" max="811" width="9.140625" style="1"/>
    <col min="812" max="813" width="9.28515625" style="1" bestFit="1" customWidth="1"/>
    <col min="814" max="814" width="9.140625" style="1"/>
    <col min="815" max="816" width="9.28515625" style="1" bestFit="1" customWidth="1"/>
    <col min="817" max="817" width="9.140625" style="1"/>
    <col min="818" max="818" width="9.28515625" style="1" bestFit="1" customWidth="1"/>
    <col min="819" max="821" width="9.140625" style="1"/>
    <col min="822" max="824" width="9.28515625" style="1" bestFit="1" customWidth="1"/>
    <col min="825" max="827" width="9.140625" style="1"/>
    <col min="828" max="829" width="9.28515625" style="1" bestFit="1" customWidth="1"/>
    <col min="830" max="830" width="9.140625" style="1"/>
    <col min="831" max="832" width="9.28515625" style="1" bestFit="1" customWidth="1"/>
    <col min="833" max="833" width="9.140625" style="1"/>
    <col min="834" max="834" width="9.28515625" style="1" bestFit="1" customWidth="1"/>
    <col min="835" max="837" width="9.140625" style="1"/>
    <col min="838" max="840" width="9.28515625" style="1" bestFit="1" customWidth="1"/>
    <col min="841" max="843" width="9.140625" style="1"/>
    <col min="844" max="845" width="9.28515625" style="1" bestFit="1" customWidth="1"/>
    <col min="846" max="846" width="9.140625" style="1"/>
    <col min="847" max="848" width="9.28515625" style="1" bestFit="1" customWidth="1"/>
    <col min="849" max="849" width="9.140625" style="1"/>
    <col min="850" max="850" width="9.28515625" style="1" bestFit="1" customWidth="1"/>
    <col min="851" max="853" width="9.140625" style="1"/>
    <col min="854" max="856" width="9.28515625" style="1" bestFit="1" customWidth="1"/>
    <col min="857" max="859" width="9.140625" style="1"/>
    <col min="860" max="861" width="9.28515625" style="1" bestFit="1" customWidth="1"/>
    <col min="862" max="862" width="9.140625" style="1"/>
    <col min="863" max="864" width="9.28515625" style="1" bestFit="1" customWidth="1"/>
    <col min="865" max="865" width="9.140625" style="1"/>
    <col min="866" max="866" width="9.28515625" style="1" bestFit="1" customWidth="1"/>
    <col min="867" max="869" width="9.140625" style="1"/>
    <col min="870" max="872" width="9.28515625" style="1" bestFit="1" customWidth="1"/>
    <col min="873" max="875" width="9.140625" style="1"/>
    <col min="876" max="877" width="9.28515625" style="1" bestFit="1" customWidth="1"/>
    <col min="878" max="878" width="9.140625" style="1"/>
    <col min="879" max="880" width="9.28515625" style="1" bestFit="1" customWidth="1"/>
    <col min="881" max="881" width="9.140625" style="1"/>
    <col min="882" max="882" width="9.28515625" style="1" bestFit="1" customWidth="1"/>
    <col min="883" max="885" width="9.140625" style="1"/>
    <col min="886" max="888" width="9.28515625" style="1" bestFit="1" customWidth="1"/>
    <col min="889" max="891" width="9.140625" style="1"/>
    <col min="892" max="893" width="9.28515625" style="1" bestFit="1" customWidth="1"/>
    <col min="894" max="894" width="9.140625" style="1"/>
    <col min="895" max="896" width="9.28515625" style="1" bestFit="1" customWidth="1"/>
    <col min="897" max="897" width="9.140625" style="1"/>
    <col min="898" max="898" width="9.28515625" style="1" bestFit="1" customWidth="1"/>
    <col min="899" max="901" width="9.140625" style="1"/>
    <col min="902" max="904" width="9.28515625" style="1" bestFit="1" customWidth="1"/>
    <col min="905" max="907" width="9.140625" style="1"/>
    <col min="908" max="909" width="9.28515625" style="1" bestFit="1" customWidth="1"/>
    <col min="910" max="910" width="9.140625" style="1"/>
    <col min="911" max="912" width="9.28515625" style="1" bestFit="1" customWidth="1"/>
    <col min="913" max="913" width="9.140625" style="1"/>
    <col min="914" max="914" width="9.28515625" style="1" bestFit="1" customWidth="1"/>
    <col min="915" max="917" width="9.140625" style="1"/>
    <col min="918" max="920" width="9.28515625" style="1" bestFit="1" customWidth="1"/>
    <col min="921" max="923" width="9.140625" style="1"/>
    <col min="924" max="925" width="9.28515625" style="1" bestFit="1" customWidth="1"/>
    <col min="926" max="926" width="9.140625" style="1"/>
    <col min="927" max="928" width="9.28515625" style="1" bestFit="1" customWidth="1"/>
    <col min="929" max="929" width="9.140625" style="1"/>
    <col min="930" max="930" width="9.28515625" style="1" bestFit="1" customWidth="1"/>
    <col min="931" max="933" width="9.140625" style="1"/>
    <col min="934" max="936" width="9.28515625" style="1" bestFit="1" customWidth="1"/>
    <col min="937" max="939" width="9.140625" style="1"/>
    <col min="940" max="941" width="9.28515625" style="1" bestFit="1" customWidth="1"/>
    <col min="942" max="942" width="9.140625" style="1"/>
    <col min="943" max="944" width="9.28515625" style="1" bestFit="1" customWidth="1"/>
    <col min="945" max="945" width="9.140625" style="1"/>
    <col min="946" max="946" width="9.28515625" style="1" bestFit="1" customWidth="1"/>
    <col min="947" max="949" width="9.140625" style="1"/>
    <col min="950" max="952" width="9.28515625" style="1" bestFit="1" customWidth="1"/>
    <col min="953" max="955" width="9.140625" style="1"/>
    <col min="956" max="957" width="9.28515625" style="1" bestFit="1" customWidth="1"/>
    <col min="958" max="958" width="9.140625" style="1"/>
    <col min="959" max="960" width="9.28515625" style="1" bestFit="1" customWidth="1"/>
    <col min="961" max="961" width="9.140625" style="1"/>
    <col min="962" max="962" width="9.28515625" style="1" bestFit="1" customWidth="1"/>
    <col min="963" max="965" width="9.140625" style="1"/>
    <col min="966" max="968" width="9.28515625" style="1" bestFit="1" customWidth="1"/>
    <col min="969" max="971" width="9.140625" style="1"/>
    <col min="972" max="973" width="9.28515625" style="1" bestFit="1" customWidth="1"/>
    <col min="974" max="974" width="9.140625" style="1"/>
    <col min="975" max="976" width="9.28515625" style="1" bestFit="1" customWidth="1"/>
    <col min="977" max="977" width="9.140625" style="1"/>
    <col min="978" max="978" width="9.28515625" style="1" bestFit="1" customWidth="1"/>
    <col min="979" max="981" width="9.140625" style="1"/>
    <col min="982" max="984" width="9.28515625" style="1" bestFit="1" customWidth="1"/>
    <col min="985" max="987" width="9.140625" style="1"/>
    <col min="988" max="989" width="9.28515625" style="1" bestFit="1" customWidth="1"/>
    <col min="990" max="990" width="9.140625" style="1"/>
    <col min="991" max="992" width="9.28515625" style="1" bestFit="1" customWidth="1"/>
    <col min="993" max="993" width="9.140625" style="1"/>
    <col min="994" max="994" width="9.28515625" style="1" bestFit="1" customWidth="1"/>
    <col min="995" max="997" width="9.140625" style="1"/>
    <col min="998" max="1000" width="9.28515625" style="1" bestFit="1" customWidth="1"/>
    <col min="1001" max="1003" width="9.140625" style="1"/>
    <col min="1004" max="1005" width="9.28515625" style="1" bestFit="1" customWidth="1"/>
    <col min="1006" max="1006" width="9.140625" style="1"/>
    <col min="1007" max="1008" width="9.28515625" style="1" bestFit="1" customWidth="1"/>
    <col min="1009" max="1009" width="9.140625" style="1"/>
    <col min="1010" max="1010" width="9.28515625" style="1" bestFit="1" customWidth="1"/>
    <col min="1011" max="1013" width="9.140625" style="1"/>
    <col min="1014" max="1016" width="9.28515625" style="1" bestFit="1" customWidth="1"/>
    <col min="1017" max="1019" width="9.140625" style="1"/>
    <col min="1020" max="1021" width="9.28515625" style="1" bestFit="1" customWidth="1"/>
    <col min="1022" max="1022" width="9.140625" style="1"/>
    <col min="1023" max="1024" width="9.28515625" style="1" bestFit="1" customWidth="1"/>
    <col min="1025" max="1025" width="9.140625" style="1"/>
    <col min="1026" max="1026" width="9.28515625" style="1" bestFit="1" customWidth="1"/>
    <col min="1027" max="1029" width="9.140625" style="1"/>
    <col min="1030" max="1032" width="9.28515625" style="1" bestFit="1" customWidth="1"/>
    <col min="1033" max="1035" width="9.140625" style="1"/>
    <col min="1036" max="1037" width="9.28515625" style="1" bestFit="1" customWidth="1"/>
    <col min="1038" max="1038" width="9.140625" style="1"/>
    <col min="1039" max="1040" width="9.28515625" style="1" bestFit="1" customWidth="1"/>
    <col min="1041" max="1041" width="9.140625" style="1"/>
    <col min="1042" max="1042" width="9.28515625" style="1" bestFit="1" customWidth="1"/>
    <col min="1043" max="1045" width="9.140625" style="1"/>
    <col min="1046" max="1048" width="9.28515625" style="1" bestFit="1" customWidth="1"/>
    <col min="1049" max="1051" width="9.140625" style="1"/>
    <col min="1052" max="1053" width="9.28515625" style="1" bestFit="1" customWidth="1"/>
    <col min="1054" max="1054" width="9.140625" style="1"/>
    <col min="1055" max="1056" width="9.28515625" style="1" bestFit="1" customWidth="1"/>
    <col min="1057" max="1057" width="9.140625" style="1"/>
    <col min="1058" max="1058" width="9.28515625" style="1" bestFit="1" customWidth="1"/>
    <col min="1059" max="1061" width="9.140625" style="1"/>
    <col min="1062" max="1064" width="9.28515625" style="1" bestFit="1" customWidth="1"/>
    <col min="1065" max="1067" width="9.140625" style="1"/>
    <col min="1068" max="1069" width="9.28515625" style="1" bestFit="1" customWidth="1"/>
    <col min="1070" max="1070" width="9.140625" style="1"/>
    <col min="1071" max="1072" width="9.28515625" style="1" bestFit="1" customWidth="1"/>
    <col min="1073" max="1073" width="9.140625" style="1"/>
    <col min="1074" max="1074" width="9.28515625" style="1" bestFit="1" customWidth="1"/>
    <col min="1075" max="1077" width="9.140625" style="1"/>
    <col min="1078" max="1080" width="9.28515625" style="1" bestFit="1" customWidth="1"/>
    <col min="1081" max="1083" width="9.140625" style="1"/>
    <col min="1084" max="1085" width="9.28515625" style="1" bestFit="1" customWidth="1"/>
    <col min="1086" max="1086" width="9.140625" style="1"/>
    <col min="1087" max="1088" width="9.28515625" style="1" bestFit="1" customWidth="1"/>
    <col min="1089" max="1089" width="9.140625" style="1"/>
    <col min="1090" max="1090" width="9.28515625" style="1" bestFit="1" customWidth="1"/>
    <col min="1091" max="1093" width="9.140625" style="1"/>
    <col min="1094" max="1096" width="9.28515625" style="1" bestFit="1" customWidth="1"/>
    <col min="1097" max="1099" width="9.140625" style="1"/>
    <col min="1100" max="1101" width="9.28515625" style="1" bestFit="1" customWidth="1"/>
    <col min="1102" max="1102" width="9.140625" style="1"/>
    <col min="1103" max="1104" width="9.28515625" style="1" bestFit="1" customWidth="1"/>
    <col min="1105" max="1105" width="9.140625" style="1"/>
    <col min="1106" max="1106" width="9.28515625" style="1" bestFit="1" customWidth="1"/>
    <col min="1107" max="1109" width="9.140625" style="1"/>
    <col min="1110" max="1112" width="9.28515625" style="1" bestFit="1" customWidth="1"/>
    <col min="1113" max="1115" width="9.140625" style="1"/>
    <col min="1116" max="1117" width="9.28515625" style="1" bestFit="1" customWidth="1"/>
    <col min="1118" max="1118" width="9.140625" style="1"/>
    <col min="1119" max="1120" width="9.28515625" style="1" bestFit="1" customWidth="1"/>
    <col min="1121" max="1121" width="9.140625" style="1"/>
    <col min="1122" max="1122" width="9.28515625" style="1" bestFit="1" customWidth="1"/>
    <col min="1123" max="1125" width="9.140625" style="1"/>
    <col min="1126" max="1128" width="9.28515625" style="1" bestFit="1" customWidth="1"/>
    <col min="1129" max="1131" width="9.140625" style="1"/>
    <col min="1132" max="1133" width="9.28515625" style="1" bestFit="1" customWidth="1"/>
    <col min="1134" max="1134" width="9.140625" style="1"/>
    <col min="1135" max="1136" width="9.28515625" style="1" bestFit="1" customWidth="1"/>
    <col min="1137" max="1137" width="9.140625" style="1"/>
    <col min="1138" max="1138" width="9.28515625" style="1" bestFit="1" customWidth="1"/>
    <col min="1139" max="1141" width="9.140625" style="1"/>
    <col min="1142" max="1144" width="9.28515625" style="1" bestFit="1" customWidth="1"/>
    <col min="1145" max="1147" width="9.140625" style="1"/>
    <col min="1148" max="1149" width="9.28515625" style="1" bestFit="1" customWidth="1"/>
    <col min="1150" max="1150" width="9.140625" style="1"/>
    <col min="1151" max="1152" width="9.28515625" style="1" bestFit="1" customWidth="1"/>
    <col min="1153" max="1153" width="9.140625" style="1"/>
    <col min="1154" max="1154" width="9.28515625" style="1" bestFit="1" customWidth="1"/>
    <col min="1155" max="1157" width="9.140625" style="1"/>
    <col min="1158" max="1160" width="9.28515625" style="1" bestFit="1" customWidth="1"/>
    <col min="1161" max="1163" width="9.140625" style="1"/>
    <col min="1164" max="1165" width="9.28515625" style="1" bestFit="1" customWidth="1"/>
    <col min="1166" max="1166" width="9.140625" style="1"/>
    <col min="1167" max="1168" width="9.28515625" style="1" bestFit="1" customWidth="1"/>
    <col min="1169" max="1169" width="9.140625" style="1"/>
    <col min="1170" max="1170" width="9.28515625" style="1" bestFit="1" customWidth="1"/>
    <col min="1171" max="1173" width="9.140625" style="1"/>
    <col min="1174" max="1176" width="9.28515625" style="1" bestFit="1" customWidth="1"/>
    <col min="1177" max="1179" width="9.140625" style="1"/>
    <col min="1180" max="1181" width="9.28515625" style="1" bestFit="1" customWidth="1"/>
    <col min="1182" max="1182" width="9.140625" style="1"/>
    <col min="1183" max="1184" width="9.28515625" style="1" bestFit="1" customWidth="1"/>
    <col min="1185" max="1185" width="9.140625" style="1"/>
    <col min="1186" max="1186" width="9.28515625" style="1" bestFit="1" customWidth="1"/>
    <col min="1187" max="1189" width="9.140625" style="1"/>
    <col min="1190" max="1192" width="9.28515625" style="1" bestFit="1" customWidth="1"/>
    <col min="1193" max="1195" width="9.140625" style="1"/>
    <col min="1196" max="1197" width="9.28515625" style="1" bestFit="1" customWidth="1"/>
    <col min="1198" max="1198" width="9.140625" style="1"/>
    <col min="1199" max="1200" width="9.28515625" style="1" bestFit="1" customWidth="1"/>
    <col min="1201" max="1201" width="9.140625" style="1"/>
    <col min="1202" max="1202" width="9.28515625" style="1" bestFit="1" customWidth="1"/>
    <col min="1203" max="1205" width="9.140625" style="1"/>
    <col min="1206" max="1208" width="9.28515625" style="1" bestFit="1" customWidth="1"/>
    <col min="1209" max="1211" width="9.140625" style="1"/>
    <col min="1212" max="1213" width="9.28515625" style="1" bestFit="1" customWidth="1"/>
    <col min="1214" max="1214" width="9.140625" style="1"/>
    <col min="1215" max="1216" width="9.28515625" style="1" bestFit="1" customWidth="1"/>
    <col min="1217" max="1217" width="9.140625" style="1"/>
    <col min="1218" max="1218" width="9.28515625" style="1" bestFit="1" customWidth="1"/>
    <col min="1219" max="1221" width="9.140625" style="1"/>
    <col min="1222" max="1224" width="9.28515625" style="1" bestFit="1" customWidth="1"/>
    <col min="1225" max="1227" width="9.140625" style="1"/>
    <col min="1228" max="1229" width="9.28515625" style="1" bestFit="1" customWidth="1"/>
    <col min="1230" max="1230" width="9.140625" style="1"/>
    <col min="1231" max="1232" width="9.28515625" style="1" bestFit="1" customWidth="1"/>
    <col min="1233" max="1233" width="9.140625" style="1"/>
    <col min="1234" max="1234" width="9.28515625" style="1" bestFit="1" customWidth="1"/>
    <col min="1235" max="1237" width="9.140625" style="1"/>
    <col min="1238" max="1240" width="9.28515625" style="1" bestFit="1" customWidth="1"/>
    <col min="1241" max="1243" width="9.140625" style="1"/>
    <col min="1244" max="1245" width="9.28515625" style="1" bestFit="1" customWidth="1"/>
    <col min="1246" max="1246" width="9.140625" style="1"/>
    <col min="1247" max="1248" width="9.28515625" style="1" bestFit="1" customWidth="1"/>
    <col min="1249" max="1249" width="9.140625" style="1"/>
    <col min="1250" max="1250" width="9.28515625" style="1" bestFit="1" customWidth="1"/>
    <col min="1251" max="1253" width="9.140625" style="1"/>
    <col min="1254" max="1256" width="9.28515625" style="1" bestFit="1" customWidth="1"/>
    <col min="1257" max="1259" width="9.140625" style="1"/>
    <col min="1260" max="1261" width="9.28515625" style="1" bestFit="1" customWidth="1"/>
    <col min="1262" max="1262" width="9.140625" style="1"/>
    <col min="1263" max="1264" width="9.28515625" style="1" bestFit="1" customWidth="1"/>
    <col min="1265" max="1265" width="9.140625" style="1"/>
    <col min="1266" max="1266" width="9.28515625" style="1" bestFit="1" customWidth="1"/>
    <col min="1267" max="1269" width="9.140625" style="1"/>
    <col min="1270" max="1272" width="9.28515625" style="1" bestFit="1" customWidth="1"/>
    <col min="1273" max="1275" width="9.140625" style="1"/>
    <col min="1276" max="1277" width="9.28515625" style="1" bestFit="1" customWidth="1"/>
    <col min="1278" max="1278" width="9.140625" style="1"/>
    <col min="1279" max="1280" width="9.28515625" style="1" bestFit="1" customWidth="1"/>
    <col min="1281" max="1281" width="9.140625" style="1"/>
    <col min="1282" max="1282" width="9.28515625" style="1" bestFit="1" customWidth="1"/>
    <col min="1283" max="1285" width="9.140625" style="1"/>
    <col min="1286" max="1288" width="9.28515625" style="1" bestFit="1" customWidth="1"/>
    <col min="1289" max="1291" width="9.140625" style="1"/>
    <col min="1292" max="1293" width="9.28515625" style="1" bestFit="1" customWidth="1"/>
    <col min="1294" max="1294" width="9.140625" style="1"/>
    <col min="1295" max="1296" width="9.28515625" style="1" bestFit="1" customWidth="1"/>
    <col min="1297" max="1297" width="9.140625" style="1"/>
    <col min="1298" max="1298" width="9.28515625" style="1" bestFit="1" customWidth="1"/>
    <col min="1299" max="1301" width="9.140625" style="1"/>
    <col min="1302" max="1304" width="9.28515625" style="1" bestFit="1" customWidth="1"/>
    <col min="1305" max="1307" width="9.140625" style="1"/>
    <col min="1308" max="1309" width="9.28515625" style="1" bestFit="1" customWidth="1"/>
    <col min="1310" max="1310" width="9.140625" style="1"/>
    <col min="1311" max="1312" width="9.28515625" style="1" bestFit="1" customWidth="1"/>
    <col min="1313" max="1313" width="9.140625" style="1"/>
    <col min="1314" max="1314" width="9.28515625" style="1" bestFit="1" customWidth="1"/>
    <col min="1315" max="1317" width="9.140625" style="1"/>
    <col min="1318" max="1320" width="9.28515625" style="1" bestFit="1" customWidth="1"/>
    <col min="1321" max="1323" width="9.140625" style="1"/>
    <col min="1324" max="1325" width="9.28515625" style="1" bestFit="1" customWidth="1"/>
    <col min="1326" max="1326" width="9.140625" style="1"/>
    <col min="1327" max="1328" width="9.28515625" style="1" bestFit="1" customWidth="1"/>
    <col min="1329" max="1329" width="9.140625" style="1"/>
    <col min="1330" max="1330" width="9.28515625" style="1" bestFit="1" customWidth="1"/>
    <col min="1331" max="1333" width="9.140625" style="1"/>
    <col min="1334" max="1336" width="9.28515625" style="1" bestFit="1" customWidth="1"/>
    <col min="1337" max="1339" width="9.140625" style="1"/>
    <col min="1340" max="1341" width="9.28515625" style="1" bestFit="1" customWidth="1"/>
    <col min="1342" max="1342" width="9.140625" style="1"/>
    <col min="1343" max="1344" width="9.28515625" style="1" bestFit="1" customWidth="1"/>
    <col min="1345" max="1345" width="9.140625" style="1"/>
    <col min="1346" max="1346" width="9.28515625" style="1" bestFit="1" customWidth="1"/>
    <col min="1347" max="1349" width="9.140625" style="1"/>
    <col min="1350" max="1352" width="9.28515625" style="1" bestFit="1" customWidth="1"/>
    <col min="1353" max="1355" width="9.140625" style="1"/>
    <col min="1356" max="1357" width="9.28515625" style="1" bestFit="1" customWidth="1"/>
    <col min="1358" max="1358" width="9.140625" style="1"/>
    <col min="1359" max="1360" width="9.28515625" style="1" bestFit="1" customWidth="1"/>
    <col min="1361" max="1361" width="9.140625" style="1"/>
    <col min="1362" max="1362" width="9.28515625" style="1" bestFit="1" customWidth="1"/>
    <col min="1363" max="1365" width="9.140625" style="1"/>
    <col min="1366" max="1368" width="9.28515625" style="1" bestFit="1" customWidth="1"/>
    <col min="1369" max="1371" width="9.140625" style="1"/>
    <col min="1372" max="1373" width="9.28515625" style="1" bestFit="1" customWidth="1"/>
    <col min="1374" max="1374" width="9.140625" style="1"/>
    <col min="1375" max="1376" width="9.28515625" style="1" bestFit="1" customWidth="1"/>
    <col min="1377" max="1377" width="9.140625" style="1"/>
    <col min="1378" max="1378" width="9.28515625" style="1" bestFit="1" customWidth="1"/>
    <col min="1379" max="1381" width="9.140625" style="1"/>
    <col min="1382" max="1384" width="9.28515625" style="1" bestFit="1" customWidth="1"/>
    <col min="1385" max="1387" width="9.140625" style="1"/>
    <col min="1388" max="1389" width="9.28515625" style="1" bestFit="1" customWidth="1"/>
    <col min="1390" max="1390" width="9.140625" style="1"/>
    <col min="1391" max="1392" width="9.28515625" style="1" bestFit="1" customWidth="1"/>
    <col min="1393" max="1393" width="9.140625" style="1"/>
    <col min="1394" max="1394" width="9.28515625" style="1" bestFit="1" customWidth="1"/>
    <col min="1395" max="1397" width="9.140625" style="1"/>
    <col min="1398" max="1400" width="9.28515625" style="1" bestFit="1" customWidth="1"/>
    <col min="1401" max="1403" width="9.140625" style="1"/>
    <col min="1404" max="1405" width="9.28515625" style="1" bestFit="1" customWidth="1"/>
    <col min="1406" max="1406" width="9.140625" style="1"/>
    <col min="1407" max="1408" width="9.28515625" style="1" bestFit="1" customWidth="1"/>
    <col min="1409" max="1409" width="9.140625" style="1"/>
    <col min="1410" max="1410" width="9.28515625" style="1" bestFit="1" customWidth="1"/>
    <col min="1411" max="1413" width="9.140625" style="1"/>
    <col min="1414" max="1416" width="9.28515625" style="1" bestFit="1" customWidth="1"/>
    <col min="1417" max="1419" width="9.140625" style="1"/>
    <col min="1420" max="1421" width="9.28515625" style="1" bestFit="1" customWidth="1"/>
    <col min="1422" max="1422" width="9.140625" style="1"/>
    <col min="1423" max="1424" width="9.28515625" style="1" bestFit="1" customWidth="1"/>
    <col min="1425" max="1425" width="9.140625" style="1"/>
    <col min="1426" max="1426" width="9.28515625" style="1" bestFit="1" customWidth="1"/>
    <col min="1427" max="1429" width="9.140625" style="1"/>
    <col min="1430" max="1432" width="9.28515625" style="1" bestFit="1" customWidth="1"/>
    <col min="1433" max="1435" width="9.140625" style="1"/>
    <col min="1436" max="1437" width="9.28515625" style="1" bestFit="1" customWidth="1"/>
    <col min="1438" max="1438" width="9.140625" style="1"/>
    <col min="1439" max="1440" width="9.28515625" style="1" bestFit="1" customWidth="1"/>
    <col min="1441" max="1441" width="9.140625" style="1"/>
    <col min="1442" max="1442" width="9.28515625" style="1" bestFit="1" customWidth="1"/>
    <col min="1443" max="1445" width="9.140625" style="1"/>
    <col min="1446" max="1448" width="9.28515625" style="1" bestFit="1" customWidth="1"/>
    <col min="1449" max="1451" width="9.140625" style="1"/>
    <col min="1452" max="1453" width="9.28515625" style="1" bestFit="1" customWidth="1"/>
    <col min="1454" max="1454" width="9.140625" style="1"/>
    <col min="1455" max="1456" width="9.28515625" style="1" bestFit="1" customWidth="1"/>
    <col min="1457" max="1457" width="9.140625" style="1"/>
    <col min="1458" max="1458" width="9.28515625" style="1" bestFit="1" customWidth="1"/>
    <col min="1459" max="1461" width="9.140625" style="1"/>
    <col min="1462" max="1464" width="9.28515625" style="1" bestFit="1" customWidth="1"/>
    <col min="1465" max="1467" width="9.140625" style="1"/>
    <col min="1468" max="1469" width="9.28515625" style="1" bestFit="1" customWidth="1"/>
    <col min="1470" max="1470" width="9.140625" style="1"/>
    <col min="1471" max="1472" width="9.28515625" style="1" bestFit="1" customWidth="1"/>
    <col min="1473" max="1473" width="9.140625" style="1"/>
    <col min="1474" max="1474" width="9.28515625" style="1" bestFit="1" customWidth="1"/>
    <col min="1475" max="1477" width="9.140625" style="1"/>
    <col min="1478" max="1480" width="9.28515625" style="1" bestFit="1" customWidth="1"/>
    <col min="1481" max="1483" width="9.140625" style="1"/>
    <col min="1484" max="1485" width="9.28515625" style="1" bestFit="1" customWidth="1"/>
    <col min="1486" max="1486" width="9.140625" style="1"/>
    <col min="1487" max="1488" width="9.28515625" style="1" bestFit="1" customWidth="1"/>
    <col min="1489" max="1489" width="9.140625" style="1"/>
    <col min="1490" max="1490" width="9.28515625" style="1" bestFit="1" customWidth="1"/>
    <col min="1491" max="1493" width="9.140625" style="1"/>
    <col min="1494" max="1496" width="9.28515625" style="1" bestFit="1" customWidth="1"/>
    <col min="1497" max="1499" width="9.140625" style="1"/>
    <col min="1500" max="1501" width="9.28515625" style="1" bestFit="1" customWidth="1"/>
    <col min="1502" max="1502" width="9.140625" style="1"/>
    <col min="1503" max="1504" width="9.28515625" style="1" bestFit="1" customWidth="1"/>
    <col min="1505" max="1505" width="9.140625" style="1"/>
    <col min="1506" max="1506" width="9.28515625" style="1" bestFit="1" customWidth="1"/>
    <col min="1507" max="1509" width="9.140625" style="1"/>
    <col min="1510" max="1512" width="9.28515625" style="1" bestFit="1" customWidth="1"/>
    <col min="1513" max="1515" width="9.140625" style="1"/>
    <col min="1516" max="1517" width="9.28515625" style="1" bestFit="1" customWidth="1"/>
    <col min="1518" max="1518" width="9.140625" style="1"/>
    <col min="1519" max="1520" width="9.28515625" style="1" bestFit="1" customWidth="1"/>
    <col min="1521" max="1521" width="9.140625" style="1"/>
    <col min="1522" max="1522" width="9.28515625" style="1" bestFit="1" customWidth="1"/>
    <col min="1523" max="1525" width="9.140625" style="1"/>
    <col min="1526" max="1528" width="9.28515625" style="1" bestFit="1" customWidth="1"/>
    <col min="1529" max="1531" width="9.140625" style="1"/>
    <col min="1532" max="1533" width="9.28515625" style="1" bestFit="1" customWidth="1"/>
    <col min="1534" max="1534" width="9.140625" style="1"/>
    <col min="1535" max="1536" width="9.28515625" style="1" bestFit="1" customWidth="1"/>
    <col min="1537" max="1537" width="9.140625" style="1"/>
    <col min="1538" max="1538" width="9.28515625" style="1" bestFit="1" customWidth="1"/>
    <col min="1539" max="1541" width="9.140625" style="1"/>
    <col min="1542" max="1544" width="9.28515625" style="1" bestFit="1" customWidth="1"/>
    <col min="1545" max="1547" width="9.140625" style="1"/>
    <col min="1548" max="1549" width="9.28515625" style="1" bestFit="1" customWidth="1"/>
    <col min="1550" max="1550" width="9.140625" style="1"/>
    <col min="1551" max="1552" width="9.28515625" style="1" bestFit="1" customWidth="1"/>
    <col min="1553" max="1553" width="9.140625" style="1"/>
    <col min="1554" max="1554" width="9.28515625" style="1" bestFit="1" customWidth="1"/>
    <col min="1555" max="1557" width="9.140625" style="1"/>
    <col min="1558" max="1560" width="9.28515625" style="1" bestFit="1" customWidth="1"/>
    <col min="1561" max="1563" width="9.140625" style="1"/>
    <col min="1564" max="1565" width="9.28515625" style="1" bestFit="1" customWidth="1"/>
    <col min="1566" max="1566" width="9.140625" style="1"/>
    <col min="1567" max="1568" width="9.28515625" style="1" bestFit="1" customWidth="1"/>
    <col min="1569" max="1569" width="9.140625" style="1"/>
    <col min="1570" max="1570" width="9.28515625" style="1" bestFit="1" customWidth="1"/>
    <col min="1571" max="1573" width="9.140625" style="1"/>
    <col min="1574" max="1576" width="9.28515625" style="1" bestFit="1" customWidth="1"/>
    <col min="1577" max="1579" width="9.140625" style="1"/>
    <col min="1580" max="1581" width="9.28515625" style="1" bestFit="1" customWidth="1"/>
    <col min="1582" max="1582" width="9.140625" style="1"/>
    <col min="1583" max="1584" width="9.28515625" style="1" bestFit="1" customWidth="1"/>
    <col min="1585" max="1585" width="9.140625" style="1"/>
    <col min="1586" max="1586" width="9.28515625" style="1" bestFit="1" customWidth="1"/>
    <col min="1587" max="1589" width="9.140625" style="1"/>
    <col min="1590" max="1592" width="9.28515625" style="1" bestFit="1" customWidth="1"/>
    <col min="1593" max="1595" width="9.140625" style="1"/>
    <col min="1596" max="1597" width="9.28515625" style="1" bestFit="1" customWidth="1"/>
    <col min="1598" max="1598" width="9.140625" style="1"/>
    <col min="1599" max="1600" width="9.28515625" style="1" bestFit="1" customWidth="1"/>
    <col min="1601" max="1601" width="9.140625" style="1"/>
    <col min="1602" max="1602" width="9.28515625" style="1" bestFit="1" customWidth="1"/>
    <col min="1603" max="1605" width="9.140625" style="1"/>
    <col min="1606" max="1608" width="9.28515625" style="1" bestFit="1" customWidth="1"/>
    <col min="1609" max="1611" width="9.140625" style="1"/>
    <col min="1612" max="1613" width="9.28515625" style="1" bestFit="1" customWidth="1"/>
    <col min="1614" max="1614" width="9.140625" style="1"/>
    <col min="1615" max="1616" width="9.28515625" style="1" bestFit="1" customWidth="1"/>
    <col min="1617" max="1617" width="9.140625" style="1"/>
    <col min="1618" max="1618" width="9.28515625" style="1" bestFit="1" customWidth="1"/>
    <col min="1619" max="1621" width="9.140625" style="1"/>
    <col min="1622" max="1624" width="9.28515625" style="1" bestFit="1" customWidth="1"/>
    <col min="1625" max="1627" width="9.140625" style="1"/>
    <col min="1628" max="1629" width="9.28515625" style="1" bestFit="1" customWidth="1"/>
    <col min="1630" max="1630" width="9.140625" style="1"/>
    <col min="1631" max="1632" width="9.28515625" style="1" bestFit="1" customWidth="1"/>
    <col min="1633" max="1633" width="9.140625" style="1"/>
    <col min="1634" max="1634" width="9.28515625" style="1" bestFit="1" customWidth="1"/>
    <col min="1635" max="1637" width="9.140625" style="1"/>
    <col min="1638" max="1640" width="9.28515625" style="1" bestFit="1" customWidth="1"/>
    <col min="1641" max="1643" width="9.140625" style="1"/>
    <col min="1644" max="1645" width="9.28515625" style="1" bestFit="1" customWidth="1"/>
    <col min="1646" max="1646" width="9.140625" style="1"/>
    <col min="1647" max="1648" width="9.28515625" style="1" bestFit="1" customWidth="1"/>
    <col min="1649" max="1649" width="9.140625" style="1"/>
    <col min="1650" max="1650" width="9.28515625" style="1" bestFit="1" customWidth="1"/>
    <col min="1651" max="1653" width="9.140625" style="1"/>
    <col min="1654" max="1656" width="9.28515625" style="1" bestFit="1" customWidth="1"/>
    <col min="1657" max="1659" width="9.140625" style="1"/>
    <col min="1660" max="1661" width="9.28515625" style="1" bestFit="1" customWidth="1"/>
    <col min="1662" max="1662" width="9.140625" style="1"/>
    <col min="1663" max="1664" width="9.28515625" style="1" bestFit="1" customWidth="1"/>
    <col min="1665" max="1665" width="9.140625" style="1"/>
    <col min="1666" max="1666" width="9.28515625" style="1" bestFit="1" customWidth="1"/>
    <col min="1667" max="1669" width="9.140625" style="1"/>
    <col min="1670" max="1672" width="9.28515625" style="1" bestFit="1" customWidth="1"/>
    <col min="1673" max="1675" width="9.140625" style="1"/>
    <col min="1676" max="1677" width="9.28515625" style="1" bestFit="1" customWidth="1"/>
    <col min="1678" max="1678" width="9.140625" style="1"/>
    <col min="1679" max="1680" width="9.28515625" style="1" bestFit="1" customWidth="1"/>
    <col min="1681" max="1681" width="9.140625" style="1"/>
    <col min="1682" max="1682" width="9.28515625" style="1" bestFit="1" customWidth="1"/>
    <col min="1683" max="1685" width="9.140625" style="1"/>
    <col min="1686" max="1688" width="9.28515625" style="1" bestFit="1" customWidth="1"/>
    <col min="1689" max="1691" width="9.140625" style="1"/>
    <col min="1692" max="1693" width="9.28515625" style="1" bestFit="1" customWidth="1"/>
    <col min="1694" max="1694" width="9.140625" style="1"/>
    <col min="1695" max="1696" width="9.28515625" style="1" bestFit="1" customWidth="1"/>
    <col min="1697" max="1697" width="9.140625" style="1"/>
    <col min="1698" max="1698" width="9.28515625" style="1" bestFit="1" customWidth="1"/>
    <col min="1699" max="1701" width="9.140625" style="1"/>
    <col min="1702" max="1704" width="9.28515625" style="1" bestFit="1" customWidth="1"/>
    <col min="1705" max="1707" width="9.140625" style="1"/>
    <col min="1708" max="1709" width="9.28515625" style="1" bestFit="1" customWidth="1"/>
    <col min="1710" max="1710" width="9.140625" style="1"/>
    <col min="1711" max="1712" width="9.28515625" style="1" bestFit="1" customWidth="1"/>
    <col min="1713" max="1713" width="9.140625" style="1"/>
    <col min="1714" max="1714" width="9.28515625" style="1" bestFit="1" customWidth="1"/>
    <col min="1715" max="1717" width="9.140625" style="1"/>
    <col min="1718" max="1720" width="9.28515625" style="1" bestFit="1" customWidth="1"/>
    <col min="1721" max="1723" width="9.140625" style="1"/>
    <col min="1724" max="1725" width="9.28515625" style="1" bestFit="1" customWidth="1"/>
    <col min="1726" max="1726" width="9.140625" style="1"/>
    <col min="1727" max="1728" width="9.28515625" style="1" bestFit="1" customWidth="1"/>
    <col min="1729" max="1729" width="9.140625" style="1"/>
    <col min="1730" max="1730" width="9.28515625" style="1" bestFit="1" customWidth="1"/>
    <col min="1731" max="1733" width="9.140625" style="1"/>
    <col min="1734" max="1736" width="9.28515625" style="1" bestFit="1" customWidth="1"/>
    <col min="1737" max="1739" width="9.140625" style="1"/>
    <col min="1740" max="1741" width="9.28515625" style="1" bestFit="1" customWidth="1"/>
    <col min="1742" max="1742" width="9.140625" style="1"/>
    <col min="1743" max="1744" width="9.28515625" style="1" bestFit="1" customWidth="1"/>
    <col min="1745" max="1745" width="9.140625" style="1"/>
    <col min="1746" max="1746" width="9.28515625" style="1" bestFit="1" customWidth="1"/>
    <col min="1747" max="1749" width="9.140625" style="1"/>
    <col min="1750" max="1752" width="9.28515625" style="1" bestFit="1" customWidth="1"/>
    <col min="1753" max="1755" width="9.140625" style="1"/>
    <col min="1756" max="1757" width="9.28515625" style="1" bestFit="1" customWidth="1"/>
    <col min="1758" max="1758" width="9.140625" style="1"/>
    <col min="1759" max="1760" width="9.28515625" style="1" bestFit="1" customWidth="1"/>
    <col min="1761" max="1761" width="9.140625" style="1"/>
    <col min="1762" max="1762" width="9.28515625" style="1" bestFit="1" customWidth="1"/>
    <col min="1763" max="1765" width="9.140625" style="1"/>
    <col min="1766" max="1768" width="9.28515625" style="1" bestFit="1" customWidth="1"/>
    <col min="1769" max="1771" width="9.140625" style="1"/>
    <col min="1772" max="1773" width="9.28515625" style="1" bestFit="1" customWidth="1"/>
    <col min="1774" max="1774" width="9.140625" style="1"/>
    <col min="1775" max="1776" width="9.28515625" style="1" bestFit="1" customWidth="1"/>
    <col min="1777" max="1777" width="9.140625" style="1"/>
    <col min="1778" max="1778" width="9.28515625" style="1" bestFit="1" customWidth="1"/>
    <col min="1779" max="1781" width="9.140625" style="1"/>
    <col min="1782" max="1784" width="9.28515625" style="1" bestFit="1" customWidth="1"/>
    <col min="1785" max="1787" width="9.140625" style="1"/>
    <col min="1788" max="1789" width="9.28515625" style="1" bestFit="1" customWidth="1"/>
    <col min="1790" max="1790" width="9.140625" style="1"/>
    <col min="1791" max="1792" width="9.28515625" style="1" bestFit="1" customWidth="1"/>
    <col min="1793" max="1793" width="9.140625" style="1"/>
    <col min="1794" max="1794" width="9.28515625" style="1" bestFit="1" customWidth="1"/>
    <col min="1795" max="1797" width="9.140625" style="1"/>
    <col min="1798" max="1800" width="9.28515625" style="1" bestFit="1" customWidth="1"/>
    <col min="1801" max="1803" width="9.140625" style="1"/>
    <col min="1804" max="1805" width="9.28515625" style="1" bestFit="1" customWidth="1"/>
    <col min="1806" max="1806" width="9.140625" style="1"/>
    <col min="1807" max="1808" width="9.28515625" style="1" bestFit="1" customWidth="1"/>
    <col min="1809" max="1809" width="9.140625" style="1"/>
    <col min="1810" max="1810" width="9.28515625" style="1" bestFit="1" customWidth="1"/>
    <col min="1811" max="1813" width="9.140625" style="1"/>
    <col min="1814" max="1816" width="9.28515625" style="1" bestFit="1" customWidth="1"/>
    <col min="1817" max="1819" width="9.140625" style="1"/>
    <col min="1820" max="1821" width="9.28515625" style="1" bestFit="1" customWidth="1"/>
    <col min="1822" max="1822" width="9.140625" style="1"/>
    <col min="1823" max="1824" width="9.28515625" style="1" bestFit="1" customWidth="1"/>
    <col min="1825" max="1825" width="9.140625" style="1"/>
    <col min="1826" max="1826" width="9.28515625" style="1" bestFit="1" customWidth="1"/>
    <col min="1827" max="1829" width="9.140625" style="1"/>
    <col min="1830" max="1832" width="9.28515625" style="1" bestFit="1" customWidth="1"/>
    <col min="1833" max="1835" width="9.140625" style="1"/>
    <col min="1836" max="1837" width="9.28515625" style="1" bestFit="1" customWidth="1"/>
    <col min="1838" max="1838" width="9.140625" style="1"/>
    <col min="1839" max="1840" width="9.28515625" style="1" bestFit="1" customWidth="1"/>
    <col min="1841" max="1841" width="9.140625" style="1"/>
    <col min="1842" max="1842" width="9.28515625" style="1" bestFit="1" customWidth="1"/>
    <col min="1843" max="1845" width="9.140625" style="1"/>
    <col min="1846" max="1848" width="9.28515625" style="1" bestFit="1" customWidth="1"/>
    <col min="1849" max="1851" width="9.140625" style="1"/>
    <col min="1852" max="1853" width="9.28515625" style="1" bestFit="1" customWidth="1"/>
    <col min="1854" max="1854" width="9.140625" style="1"/>
    <col min="1855" max="1856" width="9.28515625" style="1" bestFit="1" customWidth="1"/>
    <col min="1857" max="1857" width="9.140625" style="1"/>
    <col min="1858" max="1858" width="9.28515625" style="1" bestFit="1" customWidth="1"/>
    <col min="1859" max="1861" width="9.140625" style="1"/>
    <col min="1862" max="1864" width="9.28515625" style="1" bestFit="1" customWidth="1"/>
    <col min="1865" max="1867" width="9.140625" style="1"/>
    <col min="1868" max="1869" width="9.28515625" style="1" bestFit="1" customWidth="1"/>
    <col min="1870" max="1870" width="9.140625" style="1"/>
    <col min="1871" max="1872" width="9.28515625" style="1" bestFit="1" customWidth="1"/>
    <col min="1873" max="1873" width="9.140625" style="1"/>
    <col min="1874" max="1874" width="9.28515625" style="1" bestFit="1" customWidth="1"/>
    <col min="1875" max="1877" width="9.140625" style="1"/>
    <col min="1878" max="1880" width="9.28515625" style="1" bestFit="1" customWidth="1"/>
    <col min="1881" max="1883" width="9.140625" style="1"/>
    <col min="1884" max="1885" width="9.28515625" style="1" bestFit="1" customWidth="1"/>
    <col min="1886" max="1886" width="9.140625" style="1"/>
    <col min="1887" max="1888" width="9.28515625" style="1" bestFit="1" customWidth="1"/>
    <col min="1889" max="1889" width="9.140625" style="1"/>
    <col min="1890" max="1890" width="9.28515625" style="1" bestFit="1" customWidth="1"/>
    <col min="1891" max="1893" width="9.140625" style="1"/>
    <col min="1894" max="1896" width="9.28515625" style="1" bestFit="1" customWidth="1"/>
    <col min="1897" max="1899" width="9.140625" style="1"/>
    <col min="1900" max="1901" width="9.28515625" style="1" bestFit="1" customWidth="1"/>
    <col min="1902" max="1902" width="9.140625" style="1"/>
    <col min="1903" max="1904" width="9.28515625" style="1" bestFit="1" customWidth="1"/>
    <col min="1905" max="1905" width="9.140625" style="1"/>
    <col min="1906" max="1906" width="9.28515625" style="1" bestFit="1" customWidth="1"/>
    <col min="1907" max="1909" width="9.140625" style="1"/>
    <col min="1910" max="1912" width="9.28515625" style="1" bestFit="1" customWidth="1"/>
    <col min="1913" max="1915" width="9.140625" style="1"/>
    <col min="1916" max="1917" width="9.28515625" style="1" bestFit="1" customWidth="1"/>
    <col min="1918" max="1918" width="9.140625" style="1"/>
    <col min="1919" max="1920" width="9.28515625" style="1" bestFit="1" customWidth="1"/>
    <col min="1921" max="1921" width="9.140625" style="1"/>
    <col min="1922" max="1922" width="9.28515625" style="1" bestFit="1" customWidth="1"/>
    <col min="1923" max="1925" width="9.140625" style="1"/>
    <col min="1926" max="1928" width="9.28515625" style="1" bestFit="1" customWidth="1"/>
    <col min="1929" max="1931" width="9.140625" style="1"/>
    <col min="1932" max="1933" width="9.28515625" style="1" bestFit="1" customWidth="1"/>
    <col min="1934" max="1934" width="9.140625" style="1"/>
    <col min="1935" max="1936" width="9.28515625" style="1" bestFit="1" customWidth="1"/>
    <col min="1937" max="1937" width="9.140625" style="1"/>
    <col min="1938" max="1938" width="9.28515625" style="1" bestFit="1" customWidth="1"/>
    <col min="1939" max="1941" width="9.140625" style="1"/>
    <col min="1942" max="1944" width="9.28515625" style="1" bestFit="1" customWidth="1"/>
    <col min="1945" max="1947" width="9.140625" style="1"/>
    <col min="1948" max="1949" width="9.28515625" style="1" bestFit="1" customWidth="1"/>
    <col min="1950" max="1950" width="9.140625" style="1"/>
    <col min="1951" max="1952" width="9.28515625" style="1" bestFit="1" customWidth="1"/>
    <col min="1953" max="1953" width="9.140625" style="1"/>
    <col min="1954" max="1954" width="9.28515625" style="1" bestFit="1" customWidth="1"/>
    <col min="1955" max="1957" width="9.140625" style="1"/>
    <col min="1958" max="1960" width="9.28515625" style="1" bestFit="1" customWidth="1"/>
    <col min="1961" max="1963" width="9.140625" style="1"/>
    <col min="1964" max="1965" width="9.28515625" style="1" bestFit="1" customWidth="1"/>
    <col min="1966" max="1966" width="9.140625" style="1"/>
    <col min="1967" max="1968" width="9.28515625" style="1" bestFit="1" customWidth="1"/>
    <col min="1969" max="1969" width="9.140625" style="1"/>
    <col min="1970" max="1970" width="9.28515625" style="1" bestFit="1" customWidth="1"/>
    <col min="1971" max="1973" width="9.140625" style="1"/>
    <col min="1974" max="1976" width="9.28515625" style="1" bestFit="1" customWidth="1"/>
    <col min="1977" max="1979" width="9.140625" style="1"/>
    <col min="1980" max="1981" width="9.28515625" style="1" bestFit="1" customWidth="1"/>
    <col min="1982" max="1982" width="9.140625" style="1"/>
    <col min="1983" max="1984" width="9.28515625" style="1" bestFit="1" customWidth="1"/>
    <col min="1985" max="1985" width="9.140625" style="1"/>
    <col min="1986" max="1986" width="9.28515625" style="1" bestFit="1" customWidth="1"/>
    <col min="1987" max="1989" width="9.140625" style="1"/>
    <col min="1990" max="1992" width="9.28515625" style="1" bestFit="1" customWidth="1"/>
    <col min="1993" max="1995" width="9.140625" style="1"/>
    <col min="1996" max="1997" width="9.28515625" style="1" bestFit="1" customWidth="1"/>
    <col min="1998" max="1998" width="9.140625" style="1"/>
    <col min="1999" max="2000" width="9.28515625" style="1" bestFit="1" customWidth="1"/>
    <col min="2001" max="2001" width="9.140625" style="1"/>
    <col min="2002" max="2002" width="9.28515625" style="1" bestFit="1" customWidth="1"/>
    <col min="2003" max="2005" width="9.140625" style="1"/>
    <col min="2006" max="2008" width="9.28515625" style="1" bestFit="1" customWidth="1"/>
    <col min="2009" max="2011" width="9.140625" style="1"/>
    <col min="2012" max="2013" width="9.28515625" style="1" bestFit="1" customWidth="1"/>
    <col min="2014" max="2014" width="9.140625" style="1"/>
    <col min="2015" max="2016" width="9.28515625" style="1" bestFit="1" customWidth="1"/>
    <col min="2017" max="2017" width="9.140625" style="1"/>
    <col min="2018" max="2018" width="9.28515625" style="1" bestFit="1" customWidth="1"/>
    <col min="2019" max="2021" width="9.140625" style="1"/>
    <col min="2022" max="2024" width="9.28515625" style="1" bestFit="1" customWidth="1"/>
    <col min="2025" max="2027" width="9.140625" style="1"/>
    <col min="2028" max="2029" width="9.28515625" style="1" bestFit="1" customWidth="1"/>
    <col min="2030" max="2030" width="9.140625" style="1"/>
    <col min="2031" max="2032" width="9.28515625" style="1" bestFit="1" customWidth="1"/>
    <col min="2033" max="2033" width="9.140625" style="1"/>
    <col min="2034" max="2034" width="9.28515625" style="1" bestFit="1" customWidth="1"/>
    <col min="2035" max="2037" width="9.140625" style="1"/>
    <col min="2038" max="2040" width="9.28515625" style="1" bestFit="1" customWidth="1"/>
    <col min="2041" max="2043" width="9.140625" style="1"/>
    <col min="2044" max="2045" width="9.28515625" style="1" bestFit="1" customWidth="1"/>
    <col min="2046" max="2046" width="9.140625" style="1"/>
    <col min="2047" max="2048" width="9.28515625" style="1" bestFit="1" customWidth="1"/>
    <col min="2049" max="2049" width="9.140625" style="1"/>
    <col min="2050" max="2050" width="9.28515625" style="1" bestFit="1" customWidth="1"/>
    <col min="2051" max="2053" width="9.140625" style="1"/>
    <col min="2054" max="2056" width="9.28515625" style="1" bestFit="1" customWidth="1"/>
    <col min="2057" max="2059" width="9.140625" style="1"/>
    <col min="2060" max="2061" width="9.28515625" style="1" bestFit="1" customWidth="1"/>
    <col min="2062" max="2062" width="9.140625" style="1"/>
    <col min="2063" max="2064" width="9.28515625" style="1" bestFit="1" customWidth="1"/>
    <col min="2065" max="2065" width="9.140625" style="1"/>
    <col min="2066" max="2066" width="9.28515625" style="1" bestFit="1" customWidth="1"/>
    <col min="2067" max="2069" width="9.140625" style="1"/>
    <col min="2070" max="2072" width="9.28515625" style="1" bestFit="1" customWidth="1"/>
    <col min="2073" max="2075" width="9.140625" style="1"/>
    <col min="2076" max="2077" width="9.28515625" style="1" bestFit="1" customWidth="1"/>
    <col min="2078" max="2078" width="9.140625" style="1"/>
    <col min="2079" max="2080" width="9.28515625" style="1" bestFit="1" customWidth="1"/>
    <col min="2081" max="2081" width="9.140625" style="1"/>
    <col min="2082" max="2082" width="9.28515625" style="1" bestFit="1" customWidth="1"/>
    <col min="2083" max="2085" width="9.140625" style="1"/>
    <col min="2086" max="2088" width="9.28515625" style="1" bestFit="1" customWidth="1"/>
    <col min="2089" max="2091" width="9.140625" style="1"/>
    <col min="2092" max="2093" width="9.28515625" style="1" bestFit="1" customWidth="1"/>
    <col min="2094" max="2094" width="9.140625" style="1"/>
    <col min="2095" max="2096" width="9.28515625" style="1" bestFit="1" customWidth="1"/>
    <col min="2097" max="2097" width="9.140625" style="1"/>
    <col min="2098" max="2098" width="9.28515625" style="1" bestFit="1" customWidth="1"/>
    <col min="2099" max="2101" width="9.140625" style="1"/>
    <col min="2102" max="2104" width="9.28515625" style="1" bestFit="1" customWidth="1"/>
    <col min="2105" max="2107" width="9.140625" style="1"/>
    <col min="2108" max="2109" width="9.28515625" style="1" bestFit="1" customWidth="1"/>
    <col min="2110" max="2110" width="9.140625" style="1"/>
    <col min="2111" max="2112" width="9.28515625" style="1" bestFit="1" customWidth="1"/>
    <col min="2113" max="2113" width="9.140625" style="1"/>
    <col min="2114" max="2114" width="9.28515625" style="1" bestFit="1" customWidth="1"/>
    <col min="2115" max="2117" width="9.140625" style="1"/>
    <col min="2118" max="2120" width="9.28515625" style="1" bestFit="1" customWidth="1"/>
    <col min="2121" max="2123" width="9.140625" style="1"/>
    <col min="2124" max="2125" width="9.28515625" style="1" bestFit="1" customWidth="1"/>
    <col min="2126" max="2126" width="9.140625" style="1"/>
    <col min="2127" max="2128" width="9.28515625" style="1" bestFit="1" customWidth="1"/>
    <col min="2129" max="2129" width="9.140625" style="1"/>
    <col min="2130" max="2130" width="9.28515625" style="1" bestFit="1" customWidth="1"/>
    <col min="2131" max="2133" width="9.140625" style="1"/>
    <col min="2134" max="2136" width="9.28515625" style="1" bestFit="1" customWidth="1"/>
    <col min="2137" max="2139" width="9.140625" style="1"/>
    <col min="2140" max="2141" width="9.28515625" style="1" bestFit="1" customWidth="1"/>
    <col min="2142" max="2142" width="9.140625" style="1"/>
    <col min="2143" max="2144" width="9.28515625" style="1" bestFit="1" customWidth="1"/>
    <col min="2145" max="2145" width="9.140625" style="1"/>
    <col min="2146" max="2146" width="9.28515625" style="1" bestFit="1" customWidth="1"/>
    <col min="2147" max="2149" width="9.140625" style="1"/>
    <col min="2150" max="2152" width="9.28515625" style="1" bestFit="1" customWidth="1"/>
    <col min="2153" max="2155" width="9.140625" style="1"/>
    <col min="2156" max="2157" width="9.28515625" style="1" bestFit="1" customWidth="1"/>
    <col min="2158" max="2158" width="9.140625" style="1"/>
    <col min="2159" max="2160" width="9.28515625" style="1" bestFit="1" customWidth="1"/>
    <col min="2161" max="2161" width="9.140625" style="1"/>
    <col min="2162" max="2162" width="9.28515625" style="1" bestFit="1" customWidth="1"/>
    <col min="2163" max="2165" width="9.140625" style="1"/>
    <col min="2166" max="2168" width="9.28515625" style="1" bestFit="1" customWidth="1"/>
    <col min="2169" max="2171" width="9.140625" style="1"/>
    <col min="2172" max="2173" width="9.28515625" style="1" bestFit="1" customWidth="1"/>
    <col min="2174" max="2174" width="9.140625" style="1"/>
    <col min="2175" max="2176" width="9.28515625" style="1" bestFit="1" customWidth="1"/>
    <col min="2177" max="2177" width="9.140625" style="1"/>
    <col min="2178" max="2178" width="9.28515625" style="1" bestFit="1" customWidth="1"/>
    <col min="2179" max="2181" width="9.140625" style="1"/>
    <col min="2182" max="2184" width="9.28515625" style="1" bestFit="1" customWidth="1"/>
    <col min="2185" max="2187" width="9.140625" style="1"/>
    <col min="2188" max="2189" width="9.28515625" style="1" bestFit="1" customWidth="1"/>
    <col min="2190" max="2190" width="9.140625" style="1"/>
    <col min="2191" max="2192" width="9.28515625" style="1" bestFit="1" customWidth="1"/>
    <col min="2193" max="2193" width="9.140625" style="1"/>
    <col min="2194" max="2194" width="9.28515625" style="1" bestFit="1" customWidth="1"/>
    <col min="2195" max="2197" width="9.140625" style="1"/>
    <col min="2198" max="2200" width="9.28515625" style="1" bestFit="1" customWidth="1"/>
    <col min="2201" max="2203" width="9.140625" style="1"/>
    <col min="2204" max="2205" width="9.28515625" style="1" bestFit="1" customWidth="1"/>
    <col min="2206" max="2206" width="9.140625" style="1"/>
    <col min="2207" max="2208" width="9.28515625" style="1" bestFit="1" customWidth="1"/>
    <col min="2209" max="2209" width="9.140625" style="1"/>
    <col min="2210" max="2210" width="9.28515625" style="1" bestFit="1" customWidth="1"/>
    <col min="2211" max="2213" width="9.140625" style="1"/>
    <col min="2214" max="2216" width="9.28515625" style="1" bestFit="1" customWidth="1"/>
    <col min="2217" max="2219" width="9.140625" style="1"/>
    <col min="2220" max="2221" width="9.28515625" style="1" bestFit="1" customWidth="1"/>
    <col min="2222" max="2222" width="9.140625" style="1"/>
    <col min="2223" max="2224" width="9.28515625" style="1" bestFit="1" customWidth="1"/>
    <col min="2225" max="2225" width="9.140625" style="1"/>
    <col min="2226" max="2226" width="9.28515625" style="1" bestFit="1" customWidth="1"/>
    <col min="2227" max="2229" width="9.140625" style="1"/>
    <col min="2230" max="2232" width="9.28515625" style="1" bestFit="1" customWidth="1"/>
    <col min="2233" max="2235" width="9.140625" style="1"/>
    <col min="2236" max="2237" width="9.28515625" style="1" bestFit="1" customWidth="1"/>
    <col min="2238" max="2238" width="9.140625" style="1"/>
    <col min="2239" max="2240" width="9.28515625" style="1" bestFit="1" customWidth="1"/>
    <col min="2241" max="2241" width="9.140625" style="1"/>
    <col min="2242" max="2242" width="9.28515625" style="1" bestFit="1" customWidth="1"/>
    <col min="2243" max="2245" width="9.140625" style="1"/>
    <col min="2246" max="2248" width="9.28515625" style="1" bestFit="1" customWidth="1"/>
    <col min="2249" max="2251" width="9.140625" style="1"/>
    <col min="2252" max="2253" width="9.28515625" style="1" bestFit="1" customWidth="1"/>
    <col min="2254" max="2254" width="9.140625" style="1"/>
    <col min="2255" max="2256" width="9.28515625" style="1" bestFit="1" customWidth="1"/>
    <col min="2257" max="2257" width="9.140625" style="1"/>
    <col min="2258" max="2258" width="9.28515625" style="1" bestFit="1" customWidth="1"/>
    <col min="2259" max="2261" width="9.140625" style="1"/>
    <col min="2262" max="2264" width="9.28515625" style="1" bestFit="1" customWidth="1"/>
    <col min="2265" max="2267" width="9.140625" style="1"/>
    <col min="2268" max="2269" width="9.28515625" style="1" bestFit="1" customWidth="1"/>
    <col min="2270" max="2270" width="9.140625" style="1"/>
    <col min="2271" max="2272" width="9.28515625" style="1" bestFit="1" customWidth="1"/>
    <col min="2273" max="2273" width="9.140625" style="1"/>
    <col min="2274" max="2274" width="9.28515625" style="1" bestFit="1" customWidth="1"/>
    <col min="2275" max="2277" width="9.140625" style="1"/>
    <col min="2278" max="2280" width="9.28515625" style="1" bestFit="1" customWidth="1"/>
    <col min="2281" max="2283" width="9.140625" style="1"/>
    <col min="2284" max="2285" width="9.28515625" style="1" bestFit="1" customWidth="1"/>
    <col min="2286" max="2286" width="9.140625" style="1"/>
    <col min="2287" max="2288" width="9.28515625" style="1" bestFit="1" customWidth="1"/>
    <col min="2289" max="2289" width="9.140625" style="1"/>
    <col min="2290" max="2290" width="9.28515625" style="1" bestFit="1" customWidth="1"/>
    <col min="2291" max="2293" width="9.140625" style="1"/>
    <col min="2294" max="2296" width="9.28515625" style="1" bestFit="1" customWidth="1"/>
    <col min="2297" max="2299" width="9.140625" style="1"/>
    <col min="2300" max="2301" width="9.28515625" style="1" bestFit="1" customWidth="1"/>
    <col min="2302" max="2302" width="9.140625" style="1"/>
    <col min="2303" max="2304" width="9.28515625" style="1" bestFit="1" customWidth="1"/>
    <col min="2305" max="2305" width="9.140625" style="1"/>
    <col min="2306" max="2306" width="9.28515625" style="1" bestFit="1" customWidth="1"/>
    <col min="2307" max="2309" width="9.140625" style="1"/>
    <col min="2310" max="2312" width="9.28515625" style="1" bestFit="1" customWidth="1"/>
    <col min="2313" max="2315" width="9.140625" style="1"/>
    <col min="2316" max="2317" width="9.28515625" style="1" bestFit="1" customWidth="1"/>
    <col min="2318" max="2318" width="9.140625" style="1"/>
    <col min="2319" max="2320" width="9.28515625" style="1" bestFit="1" customWidth="1"/>
    <col min="2321" max="2321" width="9.140625" style="1"/>
    <col min="2322" max="2322" width="9.28515625" style="1" bestFit="1" customWidth="1"/>
    <col min="2323" max="2325" width="9.140625" style="1"/>
    <col min="2326" max="2328" width="9.28515625" style="1" bestFit="1" customWidth="1"/>
    <col min="2329" max="2331" width="9.140625" style="1"/>
    <col min="2332" max="2333" width="9.28515625" style="1" bestFit="1" customWidth="1"/>
    <col min="2334" max="2334" width="9.140625" style="1"/>
    <col min="2335" max="2336" width="9.28515625" style="1" bestFit="1" customWidth="1"/>
    <col min="2337" max="2337" width="9.140625" style="1"/>
    <col min="2338" max="2338" width="9.28515625" style="1" bestFit="1" customWidth="1"/>
    <col min="2339" max="2341" width="9.140625" style="1"/>
    <col min="2342" max="2344" width="9.28515625" style="1" bestFit="1" customWidth="1"/>
    <col min="2345" max="2347" width="9.140625" style="1"/>
    <col min="2348" max="2349" width="9.28515625" style="1" bestFit="1" customWidth="1"/>
    <col min="2350" max="2350" width="9.140625" style="1"/>
    <col min="2351" max="2352" width="9.28515625" style="1" bestFit="1" customWidth="1"/>
    <col min="2353" max="2353" width="9.140625" style="1"/>
    <col min="2354" max="2354" width="9.28515625" style="1" bestFit="1" customWidth="1"/>
    <col min="2355" max="2357" width="9.140625" style="1"/>
    <col min="2358" max="2360" width="9.28515625" style="1" bestFit="1" customWidth="1"/>
    <col min="2361" max="2363" width="9.140625" style="1"/>
    <col min="2364" max="2365" width="9.28515625" style="1" bestFit="1" customWidth="1"/>
    <col min="2366" max="2366" width="9.140625" style="1"/>
    <col min="2367" max="2368" width="9.28515625" style="1" bestFit="1" customWidth="1"/>
    <col min="2369" max="2369" width="9.140625" style="1"/>
    <col min="2370" max="2370" width="9.28515625" style="1" bestFit="1" customWidth="1"/>
    <col min="2371" max="2373" width="9.140625" style="1"/>
    <col min="2374" max="2376" width="9.28515625" style="1" bestFit="1" customWidth="1"/>
    <col min="2377" max="2379" width="9.140625" style="1"/>
    <col min="2380" max="2381" width="9.28515625" style="1" bestFit="1" customWidth="1"/>
    <col min="2382" max="2382" width="9.140625" style="1"/>
    <col min="2383" max="2384" width="9.28515625" style="1" bestFit="1" customWidth="1"/>
    <col min="2385" max="2385" width="9.140625" style="1"/>
    <col min="2386" max="2386" width="9.28515625" style="1" bestFit="1" customWidth="1"/>
    <col min="2387" max="2389" width="9.140625" style="1"/>
    <col min="2390" max="2392" width="9.28515625" style="1" bestFit="1" customWidth="1"/>
    <col min="2393" max="2395" width="9.140625" style="1"/>
    <col min="2396" max="2397" width="9.28515625" style="1" bestFit="1" customWidth="1"/>
    <col min="2398" max="2398" width="9.140625" style="1"/>
    <col min="2399" max="2400" width="9.28515625" style="1" bestFit="1" customWidth="1"/>
    <col min="2401" max="2401" width="9.140625" style="1"/>
    <col min="2402" max="2402" width="9.28515625" style="1" bestFit="1" customWidth="1"/>
    <col min="2403" max="2405" width="9.140625" style="1"/>
    <col min="2406" max="2408" width="9.28515625" style="1" bestFit="1" customWidth="1"/>
    <col min="2409" max="2411" width="9.140625" style="1"/>
    <col min="2412" max="2413" width="9.28515625" style="1" bestFit="1" customWidth="1"/>
    <col min="2414" max="2414" width="9.140625" style="1"/>
    <col min="2415" max="2416" width="9.28515625" style="1" bestFit="1" customWidth="1"/>
    <col min="2417" max="2417" width="9.140625" style="1"/>
    <col min="2418" max="2418" width="9.28515625" style="1" bestFit="1" customWidth="1"/>
    <col min="2419" max="2421" width="9.140625" style="1"/>
    <col min="2422" max="2424" width="9.28515625" style="1" bestFit="1" customWidth="1"/>
    <col min="2425" max="2427" width="9.140625" style="1"/>
    <col min="2428" max="2429" width="9.28515625" style="1" bestFit="1" customWidth="1"/>
    <col min="2430" max="2430" width="9.140625" style="1"/>
    <col min="2431" max="2432" width="9.28515625" style="1" bestFit="1" customWidth="1"/>
    <col min="2433" max="2433" width="9.140625" style="1"/>
    <col min="2434" max="2434" width="9.28515625" style="1" bestFit="1" customWidth="1"/>
    <col min="2435" max="2437" width="9.140625" style="1"/>
    <col min="2438" max="2440" width="9.28515625" style="1" bestFit="1" customWidth="1"/>
    <col min="2441" max="2443" width="9.140625" style="1"/>
    <col min="2444" max="2445" width="9.28515625" style="1" bestFit="1" customWidth="1"/>
    <col min="2446" max="2446" width="9.140625" style="1"/>
    <col min="2447" max="2448" width="9.28515625" style="1" bestFit="1" customWidth="1"/>
    <col min="2449" max="2449" width="9.140625" style="1"/>
    <col min="2450" max="2450" width="9.28515625" style="1" bestFit="1" customWidth="1"/>
    <col min="2451" max="2453" width="9.140625" style="1"/>
    <col min="2454" max="2456" width="9.28515625" style="1" bestFit="1" customWidth="1"/>
    <col min="2457" max="2459" width="9.140625" style="1"/>
    <col min="2460" max="2461" width="9.28515625" style="1" bestFit="1" customWidth="1"/>
    <col min="2462" max="2462" width="9.140625" style="1"/>
    <col min="2463" max="2464" width="9.28515625" style="1" bestFit="1" customWidth="1"/>
    <col min="2465" max="2465" width="9.140625" style="1"/>
    <col min="2466" max="2466" width="9.28515625" style="1" bestFit="1" customWidth="1"/>
    <col min="2467" max="2469" width="9.140625" style="1"/>
    <col min="2470" max="2472" width="9.28515625" style="1" bestFit="1" customWidth="1"/>
    <col min="2473" max="2475" width="9.140625" style="1"/>
    <col min="2476" max="2477" width="9.28515625" style="1" bestFit="1" customWidth="1"/>
    <col min="2478" max="2478" width="9.140625" style="1"/>
    <col min="2479" max="2480" width="9.28515625" style="1" bestFit="1" customWidth="1"/>
    <col min="2481" max="2481" width="9.140625" style="1"/>
    <col min="2482" max="2482" width="9.28515625" style="1" bestFit="1" customWidth="1"/>
    <col min="2483" max="2485" width="9.140625" style="1"/>
    <col min="2486" max="2488" width="9.28515625" style="1" bestFit="1" customWidth="1"/>
    <col min="2489" max="2491" width="9.140625" style="1"/>
    <col min="2492" max="2493" width="9.28515625" style="1" bestFit="1" customWidth="1"/>
    <col min="2494" max="2494" width="9.140625" style="1"/>
    <col min="2495" max="2496" width="9.28515625" style="1" bestFit="1" customWidth="1"/>
    <col min="2497" max="2497" width="9.140625" style="1"/>
    <col min="2498" max="2498" width="9.28515625" style="1" bestFit="1" customWidth="1"/>
    <col min="2499" max="2501" width="9.140625" style="1"/>
    <col min="2502" max="2504" width="9.28515625" style="1" bestFit="1" customWidth="1"/>
    <col min="2505" max="2507" width="9.140625" style="1"/>
    <col min="2508" max="2509" width="9.28515625" style="1" bestFit="1" customWidth="1"/>
    <col min="2510" max="2510" width="9.140625" style="1"/>
    <col min="2511" max="2512" width="9.28515625" style="1" bestFit="1" customWidth="1"/>
    <col min="2513" max="2513" width="9.140625" style="1"/>
    <col min="2514" max="2514" width="9.28515625" style="1" bestFit="1" customWidth="1"/>
    <col min="2515" max="2517" width="9.140625" style="1"/>
    <col min="2518" max="2520" width="9.28515625" style="1" bestFit="1" customWidth="1"/>
    <col min="2521" max="2523" width="9.140625" style="1"/>
    <col min="2524" max="2525" width="9.28515625" style="1" bestFit="1" customWidth="1"/>
    <col min="2526" max="2526" width="9.140625" style="1"/>
    <col min="2527" max="2528" width="9.28515625" style="1" bestFit="1" customWidth="1"/>
    <col min="2529" max="2529" width="9.140625" style="1"/>
    <col min="2530" max="2530" width="9.28515625" style="1" bestFit="1" customWidth="1"/>
    <col min="2531" max="2533" width="9.140625" style="1"/>
    <col min="2534" max="2536" width="9.28515625" style="1" bestFit="1" customWidth="1"/>
    <col min="2537" max="2539" width="9.140625" style="1"/>
    <col min="2540" max="2541" width="9.28515625" style="1" bestFit="1" customWidth="1"/>
    <col min="2542" max="2542" width="9.140625" style="1"/>
    <col min="2543" max="2544" width="9.28515625" style="1" bestFit="1" customWidth="1"/>
    <col min="2545" max="2545" width="9.140625" style="1"/>
    <col min="2546" max="2546" width="9.28515625" style="1" bestFit="1" customWidth="1"/>
    <col min="2547" max="2549" width="9.140625" style="1"/>
    <col min="2550" max="2552" width="9.28515625" style="1" bestFit="1" customWidth="1"/>
    <col min="2553" max="2555" width="9.140625" style="1"/>
    <col min="2556" max="2557" width="9.28515625" style="1" bestFit="1" customWidth="1"/>
    <col min="2558" max="2558" width="9.140625" style="1"/>
    <col min="2559" max="2560" width="9.28515625" style="1" bestFit="1" customWidth="1"/>
    <col min="2561" max="2561" width="9.140625" style="1"/>
    <col min="2562" max="2562" width="9.28515625" style="1" bestFit="1" customWidth="1"/>
    <col min="2563" max="2565" width="9.140625" style="1"/>
    <col min="2566" max="2568" width="9.28515625" style="1" bestFit="1" customWidth="1"/>
    <col min="2569" max="2571" width="9.140625" style="1"/>
    <col min="2572" max="2573" width="9.28515625" style="1" bestFit="1" customWidth="1"/>
    <col min="2574" max="2574" width="9.140625" style="1"/>
    <col min="2575" max="2576" width="9.28515625" style="1" bestFit="1" customWidth="1"/>
    <col min="2577" max="2577" width="9.140625" style="1"/>
    <col min="2578" max="2578" width="9.28515625" style="1" bestFit="1" customWidth="1"/>
    <col min="2579" max="2581" width="9.140625" style="1"/>
    <col min="2582" max="2584" width="9.28515625" style="1" bestFit="1" customWidth="1"/>
    <col min="2585" max="2587" width="9.140625" style="1"/>
    <col min="2588" max="2589" width="9.28515625" style="1" bestFit="1" customWidth="1"/>
    <col min="2590" max="2590" width="9.140625" style="1"/>
    <col min="2591" max="2592" width="9.28515625" style="1" bestFit="1" customWidth="1"/>
    <col min="2593" max="2593" width="9.140625" style="1"/>
    <col min="2594" max="2594" width="9.28515625" style="1" bestFit="1" customWidth="1"/>
    <col min="2595" max="2597" width="9.140625" style="1"/>
    <col min="2598" max="2600" width="9.28515625" style="1" bestFit="1" customWidth="1"/>
    <col min="2601" max="2603" width="9.140625" style="1"/>
    <col min="2604" max="2605" width="9.28515625" style="1" bestFit="1" customWidth="1"/>
    <col min="2606" max="2606" width="9.140625" style="1"/>
    <col min="2607" max="2608" width="9.28515625" style="1" bestFit="1" customWidth="1"/>
    <col min="2609" max="2609" width="9.140625" style="1"/>
    <col min="2610" max="2610" width="9.28515625" style="1" bestFit="1" customWidth="1"/>
    <col min="2611" max="2613" width="9.140625" style="1"/>
    <col min="2614" max="2616" width="9.28515625" style="1" bestFit="1" customWidth="1"/>
    <col min="2617" max="2619" width="9.140625" style="1"/>
    <col min="2620" max="2621" width="9.28515625" style="1" bestFit="1" customWidth="1"/>
    <col min="2622" max="2622" width="9.140625" style="1"/>
    <col min="2623" max="2624" width="9.28515625" style="1" bestFit="1" customWidth="1"/>
    <col min="2625" max="2625" width="9.140625" style="1"/>
    <col min="2626" max="2626" width="9.28515625" style="1" bestFit="1" customWidth="1"/>
    <col min="2627" max="2629" width="9.140625" style="1"/>
    <col min="2630" max="2632" width="9.28515625" style="1" bestFit="1" customWidth="1"/>
    <col min="2633" max="2635" width="9.140625" style="1"/>
    <col min="2636" max="2637" width="9.28515625" style="1" bestFit="1" customWidth="1"/>
    <col min="2638" max="2638" width="9.140625" style="1"/>
    <col min="2639" max="2640" width="9.28515625" style="1" bestFit="1" customWidth="1"/>
    <col min="2641" max="2641" width="9.140625" style="1"/>
    <col min="2642" max="2642" width="9.28515625" style="1" bestFit="1" customWidth="1"/>
    <col min="2643" max="2645" width="9.140625" style="1"/>
    <col min="2646" max="2648" width="9.28515625" style="1" bestFit="1" customWidth="1"/>
    <col min="2649" max="2651" width="9.140625" style="1"/>
    <col min="2652" max="2653" width="9.28515625" style="1" bestFit="1" customWidth="1"/>
    <col min="2654" max="2654" width="9.140625" style="1"/>
    <col min="2655" max="2656" width="9.28515625" style="1" bestFit="1" customWidth="1"/>
    <col min="2657" max="2657" width="9.140625" style="1"/>
    <col min="2658" max="2658" width="9.28515625" style="1" bestFit="1" customWidth="1"/>
    <col min="2659" max="2661" width="9.140625" style="1"/>
    <col min="2662" max="2664" width="9.28515625" style="1" bestFit="1" customWidth="1"/>
    <col min="2665" max="2667" width="9.140625" style="1"/>
    <col min="2668" max="2669" width="9.28515625" style="1" bestFit="1" customWidth="1"/>
    <col min="2670" max="2670" width="9.140625" style="1"/>
    <col min="2671" max="2672" width="9.28515625" style="1" bestFit="1" customWidth="1"/>
    <col min="2673" max="2673" width="9.140625" style="1"/>
    <col min="2674" max="2674" width="9.28515625" style="1" bestFit="1" customWidth="1"/>
    <col min="2675" max="2677" width="9.140625" style="1"/>
    <col min="2678" max="2680" width="9.28515625" style="1" bestFit="1" customWidth="1"/>
    <col min="2681" max="2683" width="9.140625" style="1"/>
    <col min="2684" max="2685" width="9.28515625" style="1" bestFit="1" customWidth="1"/>
    <col min="2686" max="2686" width="9.140625" style="1"/>
    <col min="2687" max="2688" width="9.28515625" style="1" bestFit="1" customWidth="1"/>
    <col min="2689" max="2689" width="9.140625" style="1"/>
    <col min="2690" max="2690" width="9.28515625" style="1" bestFit="1" customWidth="1"/>
    <col min="2691" max="2693" width="9.140625" style="1"/>
    <col min="2694" max="2696" width="9.28515625" style="1" bestFit="1" customWidth="1"/>
    <col min="2697" max="2699" width="9.140625" style="1"/>
    <col min="2700" max="2701" width="9.28515625" style="1" bestFit="1" customWidth="1"/>
    <col min="2702" max="2702" width="9.140625" style="1"/>
    <col min="2703" max="2704" width="9.28515625" style="1" bestFit="1" customWidth="1"/>
    <col min="2705" max="2705" width="9.140625" style="1"/>
    <col min="2706" max="2706" width="9.28515625" style="1" bestFit="1" customWidth="1"/>
    <col min="2707" max="2709" width="9.140625" style="1"/>
    <col min="2710" max="2712" width="9.28515625" style="1" bestFit="1" customWidth="1"/>
    <col min="2713" max="2715" width="9.140625" style="1"/>
    <col min="2716" max="2717" width="9.28515625" style="1" bestFit="1" customWidth="1"/>
    <col min="2718" max="2718" width="9.140625" style="1"/>
    <col min="2719" max="2720" width="9.28515625" style="1" bestFit="1" customWidth="1"/>
    <col min="2721" max="2721" width="9.140625" style="1"/>
    <col min="2722" max="2722" width="9.28515625" style="1" bestFit="1" customWidth="1"/>
    <col min="2723" max="2725" width="9.140625" style="1"/>
    <col min="2726" max="2728" width="9.28515625" style="1" bestFit="1" customWidth="1"/>
    <col min="2729" max="2731" width="9.140625" style="1"/>
    <col min="2732" max="2733" width="9.28515625" style="1" bestFit="1" customWidth="1"/>
    <col min="2734" max="2734" width="9.140625" style="1"/>
    <col min="2735" max="2736" width="9.28515625" style="1" bestFit="1" customWidth="1"/>
    <col min="2737" max="2737" width="9.140625" style="1"/>
    <col min="2738" max="2738" width="9.28515625" style="1" bestFit="1" customWidth="1"/>
    <col min="2739" max="2741" width="9.140625" style="1"/>
    <col min="2742" max="2744" width="9.28515625" style="1" bestFit="1" customWidth="1"/>
    <col min="2745" max="2747" width="9.140625" style="1"/>
    <col min="2748" max="2749" width="9.28515625" style="1" bestFit="1" customWidth="1"/>
    <col min="2750" max="2750" width="9.140625" style="1"/>
    <col min="2751" max="2752" width="9.28515625" style="1" bestFit="1" customWidth="1"/>
    <col min="2753" max="2753" width="9.140625" style="1"/>
    <col min="2754" max="2754" width="9.28515625" style="1" bestFit="1" customWidth="1"/>
    <col min="2755" max="2757" width="9.140625" style="1"/>
    <col min="2758" max="2760" width="9.28515625" style="1" bestFit="1" customWidth="1"/>
    <col min="2761" max="2763" width="9.140625" style="1"/>
    <col min="2764" max="2765" width="9.28515625" style="1" bestFit="1" customWidth="1"/>
    <col min="2766" max="2766" width="9.140625" style="1"/>
    <col min="2767" max="2768" width="9.28515625" style="1" bestFit="1" customWidth="1"/>
    <col min="2769" max="2769" width="9.140625" style="1"/>
    <col min="2770" max="2770" width="9.28515625" style="1" bestFit="1" customWidth="1"/>
    <col min="2771" max="2773" width="9.140625" style="1"/>
    <col min="2774" max="2776" width="9.28515625" style="1" bestFit="1" customWidth="1"/>
    <col min="2777" max="2779" width="9.140625" style="1"/>
    <col min="2780" max="2781" width="9.28515625" style="1" bestFit="1" customWidth="1"/>
    <col min="2782" max="2782" width="9.140625" style="1"/>
    <col min="2783" max="2784" width="9.28515625" style="1" bestFit="1" customWidth="1"/>
    <col min="2785" max="2785" width="9.140625" style="1"/>
    <col min="2786" max="2786" width="9.28515625" style="1" bestFit="1" customWidth="1"/>
    <col min="2787" max="2789" width="9.140625" style="1"/>
    <col min="2790" max="2792" width="9.28515625" style="1" bestFit="1" customWidth="1"/>
    <col min="2793" max="2795" width="9.140625" style="1"/>
    <col min="2796" max="2797" width="9.28515625" style="1" bestFit="1" customWidth="1"/>
    <col min="2798" max="2798" width="9.140625" style="1"/>
    <col min="2799" max="2800" width="9.28515625" style="1" bestFit="1" customWidth="1"/>
    <col min="2801" max="2801" width="9.140625" style="1"/>
    <col min="2802" max="2802" width="9.28515625" style="1" bestFit="1" customWidth="1"/>
    <col min="2803" max="2805" width="9.140625" style="1"/>
    <col min="2806" max="2808" width="9.28515625" style="1" bestFit="1" customWidth="1"/>
    <col min="2809" max="2811" width="9.140625" style="1"/>
    <col min="2812" max="2813" width="9.28515625" style="1" bestFit="1" customWidth="1"/>
    <col min="2814" max="2814" width="9.140625" style="1"/>
    <col min="2815" max="2816" width="9.28515625" style="1" bestFit="1" customWidth="1"/>
    <col min="2817" max="2817" width="9.140625" style="1"/>
    <col min="2818" max="2818" width="9.28515625" style="1" bestFit="1" customWidth="1"/>
    <col min="2819" max="2821" width="9.140625" style="1"/>
    <col min="2822" max="2824" width="9.28515625" style="1" bestFit="1" customWidth="1"/>
    <col min="2825" max="2827" width="9.140625" style="1"/>
    <col min="2828" max="2829" width="9.28515625" style="1" bestFit="1" customWidth="1"/>
    <col min="2830" max="2830" width="9.140625" style="1"/>
    <col min="2831" max="2832" width="9.28515625" style="1" bestFit="1" customWidth="1"/>
    <col min="2833" max="2833" width="9.140625" style="1"/>
    <col min="2834" max="2834" width="9.28515625" style="1" bestFit="1" customWidth="1"/>
    <col min="2835" max="2837" width="9.140625" style="1"/>
    <col min="2838" max="2840" width="9.28515625" style="1" bestFit="1" customWidth="1"/>
    <col min="2841" max="2843" width="9.140625" style="1"/>
    <col min="2844" max="2845" width="9.28515625" style="1" bestFit="1" customWidth="1"/>
    <col min="2846" max="2846" width="9.140625" style="1"/>
    <col min="2847" max="2848" width="9.28515625" style="1" bestFit="1" customWidth="1"/>
    <col min="2849" max="2849" width="9.140625" style="1"/>
    <col min="2850" max="2850" width="9.28515625" style="1" bestFit="1" customWidth="1"/>
    <col min="2851" max="2853" width="9.140625" style="1"/>
    <col min="2854" max="2856" width="9.28515625" style="1" bestFit="1" customWidth="1"/>
    <col min="2857" max="2859" width="9.140625" style="1"/>
    <col min="2860" max="2861" width="9.28515625" style="1" bestFit="1" customWidth="1"/>
    <col min="2862" max="2862" width="9.140625" style="1"/>
    <col min="2863" max="2864" width="9.28515625" style="1" bestFit="1" customWidth="1"/>
    <col min="2865" max="2865" width="9.140625" style="1"/>
    <col min="2866" max="2866" width="9.28515625" style="1" bestFit="1" customWidth="1"/>
    <col min="2867" max="2869" width="9.140625" style="1"/>
    <col min="2870" max="2872" width="9.28515625" style="1" bestFit="1" customWidth="1"/>
    <col min="2873" max="2875" width="9.140625" style="1"/>
    <col min="2876" max="2877" width="9.28515625" style="1" bestFit="1" customWidth="1"/>
    <col min="2878" max="2878" width="9.140625" style="1"/>
    <col min="2879" max="2880" width="9.28515625" style="1" bestFit="1" customWidth="1"/>
    <col min="2881" max="2881" width="9.140625" style="1"/>
    <col min="2882" max="2882" width="9.28515625" style="1" bestFit="1" customWidth="1"/>
    <col min="2883" max="2885" width="9.140625" style="1"/>
    <col min="2886" max="2888" width="9.28515625" style="1" bestFit="1" customWidth="1"/>
    <col min="2889" max="2891" width="9.140625" style="1"/>
    <col min="2892" max="2893" width="9.28515625" style="1" bestFit="1" customWidth="1"/>
    <col min="2894" max="2894" width="9.140625" style="1"/>
    <col min="2895" max="2896" width="9.28515625" style="1" bestFit="1" customWidth="1"/>
    <col min="2897" max="2897" width="9.140625" style="1"/>
    <col min="2898" max="2898" width="9.28515625" style="1" bestFit="1" customWidth="1"/>
    <col min="2899" max="2901" width="9.140625" style="1"/>
    <col min="2902" max="2904" width="9.28515625" style="1" bestFit="1" customWidth="1"/>
    <col min="2905" max="2907" width="9.140625" style="1"/>
    <col min="2908" max="2909" width="9.28515625" style="1" bestFit="1" customWidth="1"/>
    <col min="2910" max="2910" width="9.140625" style="1"/>
    <col min="2911" max="2912" width="9.28515625" style="1" bestFit="1" customWidth="1"/>
    <col min="2913" max="2913" width="9.140625" style="1"/>
    <col min="2914" max="2914" width="9.28515625" style="1" bestFit="1" customWidth="1"/>
    <col min="2915" max="2917" width="9.140625" style="1"/>
    <col min="2918" max="2920" width="9.28515625" style="1" bestFit="1" customWidth="1"/>
    <col min="2921" max="2923" width="9.140625" style="1"/>
    <col min="2924" max="2925" width="9.28515625" style="1" bestFit="1" customWidth="1"/>
    <col min="2926" max="2926" width="9.140625" style="1"/>
    <col min="2927" max="2928" width="9.28515625" style="1" bestFit="1" customWidth="1"/>
    <col min="2929" max="2929" width="9.140625" style="1"/>
    <col min="2930" max="2930" width="9.28515625" style="1" bestFit="1" customWidth="1"/>
    <col min="2931" max="2933" width="9.140625" style="1"/>
    <col min="2934" max="2936" width="9.28515625" style="1" bestFit="1" customWidth="1"/>
    <col min="2937" max="2939" width="9.140625" style="1"/>
    <col min="2940" max="2941" width="9.28515625" style="1" bestFit="1" customWidth="1"/>
    <col min="2942" max="2942" width="9.140625" style="1"/>
    <col min="2943" max="2944" width="9.28515625" style="1" bestFit="1" customWidth="1"/>
    <col min="2945" max="2945" width="9.140625" style="1"/>
    <col min="2946" max="2946" width="9.28515625" style="1" bestFit="1" customWidth="1"/>
    <col min="2947" max="2949" width="9.140625" style="1"/>
    <col min="2950" max="2952" width="9.28515625" style="1" bestFit="1" customWidth="1"/>
    <col min="2953" max="2955" width="9.140625" style="1"/>
    <col min="2956" max="2957" width="9.28515625" style="1" bestFit="1" customWidth="1"/>
    <col min="2958" max="2958" width="9.140625" style="1"/>
    <col min="2959" max="2960" width="9.28515625" style="1" bestFit="1" customWidth="1"/>
    <col min="2961" max="2961" width="9.140625" style="1"/>
    <col min="2962" max="2962" width="9.28515625" style="1" bestFit="1" customWidth="1"/>
    <col min="2963" max="2965" width="9.140625" style="1"/>
    <col min="2966" max="2968" width="9.28515625" style="1" bestFit="1" customWidth="1"/>
    <col min="2969" max="2971" width="9.140625" style="1"/>
    <col min="2972" max="2973" width="9.28515625" style="1" bestFit="1" customWidth="1"/>
    <col min="2974" max="2974" width="9.140625" style="1"/>
    <col min="2975" max="2976" width="9.28515625" style="1" bestFit="1" customWidth="1"/>
    <col min="2977" max="2977" width="9.140625" style="1"/>
    <col min="2978" max="2978" width="9.28515625" style="1" bestFit="1" customWidth="1"/>
    <col min="2979" max="2981" width="9.140625" style="1"/>
    <col min="2982" max="2984" width="9.28515625" style="1" bestFit="1" customWidth="1"/>
    <col min="2985" max="2987" width="9.140625" style="1"/>
    <col min="2988" max="2989" width="9.28515625" style="1" bestFit="1" customWidth="1"/>
    <col min="2990" max="2990" width="9.140625" style="1"/>
    <col min="2991" max="2992" width="9.28515625" style="1" bestFit="1" customWidth="1"/>
    <col min="2993" max="2993" width="9.140625" style="1"/>
    <col min="2994" max="2994" width="9.28515625" style="1" bestFit="1" customWidth="1"/>
    <col min="2995" max="2997" width="9.140625" style="1"/>
    <col min="2998" max="3000" width="9.28515625" style="1" bestFit="1" customWidth="1"/>
    <col min="3001" max="3003" width="9.140625" style="1"/>
    <col min="3004" max="3005" width="9.28515625" style="1" bestFit="1" customWidth="1"/>
    <col min="3006" max="3006" width="9.140625" style="1"/>
    <col min="3007" max="3008" width="9.28515625" style="1" bestFit="1" customWidth="1"/>
    <col min="3009" max="3009" width="9.140625" style="1"/>
    <col min="3010" max="3010" width="9.28515625" style="1" bestFit="1" customWidth="1"/>
    <col min="3011" max="3013" width="9.140625" style="1"/>
    <col min="3014" max="3016" width="9.28515625" style="1" bestFit="1" customWidth="1"/>
    <col min="3017" max="3019" width="9.140625" style="1"/>
    <col min="3020" max="3021" width="9.28515625" style="1" bestFit="1" customWidth="1"/>
    <col min="3022" max="3022" width="9.140625" style="1"/>
    <col min="3023" max="3024" width="9.28515625" style="1" bestFit="1" customWidth="1"/>
    <col min="3025" max="3025" width="9.140625" style="1"/>
    <col min="3026" max="3026" width="9.28515625" style="1" bestFit="1" customWidth="1"/>
    <col min="3027" max="3029" width="9.140625" style="1"/>
    <col min="3030" max="3032" width="9.28515625" style="1" bestFit="1" customWidth="1"/>
    <col min="3033" max="3035" width="9.140625" style="1"/>
    <col min="3036" max="3037" width="9.28515625" style="1" bestFit="1" customWidth="1"/>
    <col min="3038" max="3038" width="9.140625" style="1"/>
    <col min="3039" max="3040" width="9.28515625" style="1" bestFit="1" customWidth="1"/>
    <col min="3041" max="3041" width="9.140625" style="1"/>
    <col min="3042" max="3042" width="9.28515625" style="1" bestFit="1" customWidth="1"/>
    <col min="3043" max="3045" width="9.140625" style="1"/>
    <col min="3046" max="3048" width="9.28515625" style="1" bestFit="1" customWidth="1"/>
    <col min="3049" max="3051" width="9.140625" style="1"/>
    <col min="3052" max="3053" width="9.28515625" style="1" bestFit="1" customWidth="1"/>
    <col min="3054" max="3054" width="9.140625" style="1"/>
    <col min="3055" max="3056" width="9.28515625" style="1" bestFit="1" customWidth="1"/>
    <col min="3057" max="3057" width="9.140625" style="1"/>
    <col min="3058" max="3058" width="9.28515625" style="1" bestFit="1" customWidth="1"/>
    <col min="3059" max="3061" width="9.140625" style="1"/>
    <col min="3062" max="3064" width="9.28515625" style="1" bestFit="1" customWidth="1"/>
    <col min="3065" max="3067" width="9.140625" style="1"/>
    <col min="3068" max="3069" width="9.28515625" style="1" bestFit="1" customWidth="1"/>
    <col min="3070" max="3070" width="9.140625" style="1"/>
    <col min="3071" max="3072" width="9.28515625" style="1" bestFit="1" customWidth="1"/>
    <col min="3073" max="3073" width="9.140625" style="1"/>
    <col min="3074" max="3074" width="9.28515625" style="1" bestFit="1" customWidth="1"/>
    <col min="3075" max="3077" width="9.140625" style="1"/>
    <col min="3078" max="3080" width="9.28515625" style="1" bestFit="1" customWidth="1"/>
    <col min="3081" max="3083" width="9.140625" style="1"/>
    <col min="3084" max="3085" width="9.28515625" style="1" bestFit="1" customWidth="1"/>
    <col min="3086" max="3086" width="9.140625" style="1"/>
    <col min="3087" max="3088" width="9.28515625" style="1" bestFit="1" customWidth="1"/>
    <col min="3089" max="3089" width="9.140625" style="1"/>
    <col min="3090" max="3090" width="9.28515625" style="1" bestFit="1" customWidth="1"/>
    <col min="3091" max="3093" width="9.140625" style="1"/>
    <col min="3094" max="3096" width="9.28515625" style="1" bestFit="1" customWidth="1"/>
    <col min="3097" max="3099" width="9.140625" style="1"/>
    <col min="3100" max="3101" width="9.28515625" style="1" bestFit="1" customWidth="1"/>
    <col min="3102" max="3102" width="9.140625" style="1"/>
    <col min="3103" max="3104" width="9.28515625" style="1" bestFit="1" customWidth="1"/>
    <col min="3105" max="3105" width="9.140625" style="1"/>
    <col min="3106" max="3106" width="9.28515625" style="1" bestFit="1" customWidth="1"/>
    <col min="3107" max="3109" width="9.140625" style="1"/>
    <col min="3110" max="3112" width="9.28515625" style="1" bestFit="1" customWidth="1"/>
    <col min="3113" max="3115" width="9.140625" style="1"/>
    <col min="3116" max="3117" width="9.28515625" style="1" bestFit="1" customWidth="1"/>
    <col min="3118" max="3118" width="9.140625" style="1"/>
    <col min="3119" max="3120" width="9.28515625" style="1" bestFit="1" customWidth="1"/>
    <col min="3121" max="3121" width="9.140625" style="1"/>
    <col min="3122" max="3122" width="9.28515625" style="1" bestFit="1" customWidth="1"/>
    <col min="3123" max="3125" width="9.140625" style="1"/>
    <col min="3126" max="3128" width="9.28515625" style="1" bestFit="1" customWidth="1"/>
    <col min="3129" max="3131" width="9.140625" style="1"/>
    <col min="3132" max="3133" width="9.28515625" style="1" bestFit="1" customWidth="1"/>
    <col min="3134" max="3134" width="9.140625" style="1"/>
    <col min="3135" max="3136" width="9.28515625" style="1" bestFit="1" customWidth="1"/>
    <col min="3137" max="3137" width="9.140625" style="1"/>
    <col min="3138" max="3138" width="9.28515625" style="1" bestFit="1" customWidth="1"/>
    <col min="3139" max="3141" width="9.140625" style="1"/>
    <col min="3142" max="3144" width="9.28515625" style="1" bestFit="1" customWidth="1"/>
    <col min="3145" max="3147" width="9.140625" style="1"/>
    <col min="3148" max="3149" width="9.28515625" style="1" bestFit="1" customWidth="1"/>
    <col min="3150" max="3150" width="9.140625" style="1"/>
    <col min="3151" max="3152" width="9.28515625" style="1" bestFit="1" customWidth="1"/>
    <col min="3153" max="3153" width="9.140625" style="1"/>
    <col min="3154" max="3154" width="9.28515625" style="1" bestFit="1" customWidth="1"/>
    <col min="3155" max="3157" width="9.140625" style="1"/>
    <col min="3158" max="3160" width="9.28515625" style="1" bestFit="1" customWidth="1"/>
    <col min="3161" max="3163" width="9.140625" style="1"/>
    <col min="3164" max="3165" width="9.28515625" style="1" bestFit="1" customWidth="1"/>
    <col min="3166" max="3166" width="9.140625" style="1"/>
    <col min="3167" max="3168" width="9.28515625" style="1" bestFit="1" customWidth="1"/>
    <col min="3169" max="3169" width="9.140625" style="1"/>
    <col min="3170" max="3170" width="9.28515625" style="1" bestFit="1" customWidth="1"/>
    <col min="3171" max="3173" width="9.140625" style="1"/>
    <col min="3174" max="3176" width="9.28515625" style="1" bestFit="1" customWidth="1"/>
    <col min="3177" max="3179" width="9.140625" style="1"/>
    <col min="3180" max="3181" width="9.28515625" style="1" bestFit="1" customWidth="1"/>
    <col min="3182" max="3182" width="9.140625" style="1"/>
    <col min="3183" max="3184" width="9.28515625" style="1" bestFit="1" customWidth="1"/>
    <col min="3185" max="3185" width="9.140625" style="1"/>
    <col min="3186" max="3186" width="9.28515625" style="1" bestFit="1" customWidth="1"/>
    <col min="3187" max="3189" width="9.140625" style="1"/>
    <col min="3190" max="3192" width="9.28515625" style="1" bestFit="1" customWidth="1"/>
    <col min="3193" max="3195" width="9.140625" style="1"/>
    <col min="3196" max="3197" width="9.28515625" style="1" bestFit="1" customWidth="1"/>
    <col min="3198" max="3198" width="9.140625" style="1"/>
    <col min="3199" max="3200" width="9.28515625" style="1" bestFit="1" customWidth="1"/>
    <col min="3201" max="3201" width="9.140625" style="1"/>
    <col min="3202" max="3202" width="9.28515625" style="1" bestFit="1" customWidth="1"/>
    <col min="3203" max="3205" width="9.140625" style="1"/>
    <col min="3206" max="3208" width="9.28515625" style="1" bestFit="1" customWidth="1"/>
    <col min="3209" max="3211" width="9.140625" style="1"/>
    <col min="3212" max="3213" width="9.28515625" style="1" bestFit="1" customWidth="1"/>
    <col min="3214" max="3214" width="9.140625" style="1"/>
    <col min="3215" max="3216" width="9.28515625" style="1" bestFit="1" customWidth="1"/>
    <col min="3217" max="3217" width="9.140625" style="1"/>
    <col min="3218" max="3218" width="9.28515625" style="1" bestFit="1" customWidth="1"/>
    <col min="3219" max="3221" width="9.140625" style="1"/>
    <col min="3222" max="3224" width="9.28515625" style="1" bestFit="1" customWidth="1"/>
    <col min="3225" max="3227" width="9.140625" style="1"/>
    <col min="3228" max="3229" width="9.28515625" style="1" bestFit="1" customWidth="1"/>
    <col min="3230" max="3230" width="9.140625" style="1"/>
    <col min="3231" max="3232" width="9.28515625" style="1" bestFit="1" customWidth="1"/>
    <col min="3233" max="3233" width="9.140625" style="1"/>
    <col min="3234" max="3234" width="9.28515625" style="1" bestFit="1" customWidth="1"/>
    <col min="3235" max="3237" width="9.140625" style="1"/>
    <col min="3238" max="3240" width="9.28515625" style="1" bestFit="1" customWidth="1"/>
    <col min="3241" max="3243" width="9.140625" style="1"/>
    <col min="3244" max="3245" width="9.28515625" style="1" bestFit="1" customWidth="1"/>
    <col min="3246" max="3246" width="9.140625" style="1"/>
    <col min="3247" max="3248" width="9.28515625" style="1" bestFit="1" customWidth="1"/>
    <col min="3249" max="3249" width="9.140625" style="1"/>
    <col min="3250" max="3250" width="9.28515625" style="1" bestFit="1" customWidth="1"/>
    <col min="3251" max="3253" width="9.140625" style="1"/>
    <col min="3254" max="3256" width="9.28515625" style="1" bestFit="1" customWidth="1"/>
    <col min="3257" max="3259" width="9.140625" style="1"/>
    <col min="3260" max="3261" width="9.28515625" style="1" bestFit="1" customWidth="1"/>
    <col min="3262" max="3262" width="9.140625" style="1"/>
    <col min="3263" max="3264" width="9.28515625" style="1" bestFit="1" customWidth="1"/>
    <col min="3265" max="3265" width="9.140625" style="1"/>
    <col min="3266" max="3266" width="9.28515625" style="1" bestFit="1" customWidth="1"/>
    <col min="3267" max="3269" width="9.140625" style="1"/>
    <col min="3270" max="3272" width="9.28515625" style="1" bestFit="1" customWidth="1"/>
    <col min="3273" max="3275" width="9.140625" style="1"/>
    <col min="3276" max="3277" width="9.28515625" style="1" bestFit="1" customWidth="1"/>
    <col min="3278" max="3278" width="9.140625" style="1"/>
    <col min="3279" max="3280" width="9.28515625" style="1" bestFit="1" customWidth="1"/>
    <col min="3281" max="3281" width="9.140625" style="1"/>
    <col min="3282" max="3282" width="9.28515625" style="1" bestFit="1" customWidth="1"/>
    <col min="3283" max="3285" width="9.140625" style="1"/>
    <col min="3286" max="3288" width="9.28515625" style="1" bestFit="1" customWidth="1"/>
    <col min="3289" max="3291" width="9.140625" style="1"/>
    <col min="3292" max="3293" width="9.28515625" style="1" bestFit="1" customWidth="1"/>
    <col min="3294" max="3294" width="9.140625" style="1"/>
    <col min="3295" max="3296" width="9.28515625" style="1" bestFit="1" customWidth="1"/>
    <col min="3297" max="3297" width="9.140625" style="1"/>
    <col min="3298" max="3298" width="9.28515625" style="1" bestFit="1" customWidth="1"/>
    <col min="3299" max="3301" width="9.140625" style="1"/>
    <col min="3302" max="3304" width="9.28515625" style="1" bestFit="1" customWidth="1"/>
    <col min="3305" max="3307" width="9.140625" style="1"/>
    <col min="3308" max="3309" width="9.28515625" style="1" bestFit="1" customWidth="1"/>
    <col min="3310" max="3310" width="9.140625" style="1"/>
    <col min="3311" max="3312" width="9.28515625" style="1" bestFit="1" customWidth="1"/>
    <col min="3313" max="3313" width="9.140625" style="1"/>
    <col min="3314" max="3314" width="9.28515625" style="1" bestFit="1" customWidth="1"/>
    <col min="3315" max="3317" width="9.140625" style="1"/>
    <col min="3318" max="3320" width="9.28515625" style="1" bestFit="1" customWidth="1"/>
    <col min="3321" max="3323" width="9.140625" style="1"/>
    <col min="3324" max="3325" width="9.28515625" style="1" bestFit="1" customWidth="1"/>
    <col min="3326" max="3326" width="9.140625" style="1"/>
    <col min="3327" max="3328" width="9.28515625" style="1" bestFit="1" customWidth="1"/>
    <col min="3329" max="3329" width="9.140625" style="1"/>
    <col min="3330" max="3330" width="9.28515625" style="1" bestFit="1" customWidth="1"/>
    <col min="3331" max="3333" width="9.140625" style="1"/>
    <col min="3334" max="3336" width="9.28515625" style="1" bestFit="1" customWidth="1"/>
    <col min="3337" max="3339" width="9.140625" style="1"/>
    <col min="3340" max="3341" width="9.28515625" style="1" bestFit="1" customWidth="1"/>
    <col min="3342" max="3342" width="9.140625" style="1"/>
    <col min="3343" max="3344" width="9.28515625" style="1" bestFit="1" customWidth="1"/>
    <col min="3345" max="3345" width="9.140625" style="1"/>
    <col min="3346" max="3346" width="9.28515625" style="1" bestFit="1" customWidth="1"/>
    <col min="3347" max="3349" width="9.140625" style="1"/>
    <col min="3350" max="3352" width="9.28515625" style="1" bestFit="1" customWidth="1"/>
    <col min="3353" max="3355" width="9.140625" style="1"/>
    <col min="3356" max="3357" width="9.28515625" style="1" bestFit="1" customWidth="1"/>
    <col min="3358" max="3358" width="9.140625" style="1"/>
    <col min="3359" max="3360" width="9.28515625" style="1" bestFit="1" customWidth="1"/>
    <col min="3361" max="3361" width="9.140625" style="1"/>
    <col min="3362" max="3362" width="9.28515625" style="1" bestFit="1" customWidth="1"/>
    <col min="3363" max="3365" width="9.140625" style="1"/>
    <col min="3366" max="3368" width="9.28515625" style="1" bestFit="1" customWidth="1"/>
    <col min="3369" max="3371" width="9.140625" style="1"/>
    <col min="3372" max="3373" width="9.28515625" style="1" bestFit="1" customWidth="1"/>
    <col min="3374" max="3374" width="9.140625" style="1"/>
    <col min="3375" max="3376" width="9.28515625" style="1" bestFit="1" customWidth="1"/>
    <col min="3377" max="3377" width="9.140625" style="1"/>
    <col min="3378" max="3378" width="9.28515625" style="1" bestFit="1" customWidth="1"/>
    <col min="3379" max="3381" width="9.140625" style="1"/>
    <col min="3382" max="3384" width="9.28515625" style="1" bestFit="1" customWidth="1"/>
    <col min="3385" max="3387" width="9.140625" style="1"/>
    <col min="3388" max="3389" width="9.28515625" style="1" bestFit="1" customWidth="1"/>
    <col min="3390" max="3390" width="9.140625" style="1"/>
    <col min="3391" max="3392" width="9.28515625" style="1" bestFit="1" customWidth="1"/>
    <col min="3393" max="3393" width="9.140625" style="1"/>
    <col min="3394" max="3394" width="9.28515625" style="1" bestFit="1" customWidth="1"/>
    <col min="3395" max="3397" width="9.140625" style="1"/>
    <col min="3398" max="3400" width="9.28515625" style="1" bestFit="1" customWidth="1"/>
    <col min="3401" max="3403" width="9.140625" style="1"/>
    <col min="3404" max="3405" width="9.28515625" style="1" bestFit="1" customWidth="1"/>
    <col min="3406" max="3406" width="9.140625" style="1"/>
    <col min="3407" max="3408" width="9.28515625" style="1" bestFit="1" customWidth="1"/>
    <col min="3409" max="3409" width="9.140625" style="1"/>
    <col min="3410" max="3410" width="9.28515625" style="1" bestFit="1" customWidth="1"/>
    <col min="3411" max="3413" width="9.140625" style="1"/>
    <col min="3414" max="3416" width="9.28515625" style="1" bestFit="1" customWidth="1"/>
    <col min="3417" max="3419" width="9.140625" style="1"/>
    <col min="3420" max="3421" width="9.28515625" style="1" bestFit="1" customWidth="1"/>
    <col min="3422" max="3422" width="9.140625" style="1"/>
    <col min="3423" max="3424" width="9.28515625" style="1" bestFit="1" customWidth="1"/>
    <col min="3425" max="3425" width="9.140625" style="1"/>
    <col min="3426" max="3426" width="9.28515625" style="1" bestFit="1" customWidth="1"/>
    <col min="3427" max="3429" width="9.140625" style="1"/>
    <col min="3430" max="3432" width="9.28515625" style="1" bestFit="1" customWidth="1"/>
    <col min="3433" max="3435" width="9.140625" style="1"/>
    <col min="3436" max="3437" width="9.28515625" style="1" bestFit="1" customWidth="1"/>
    <col min="3438" max="3438" width="9.140625" style="1"/>
    <col min="3439" max="3440" width="9.28515625" style="1" bestFit="1" customWidth="1"/>
    <col min="3441" max="3441" width="9.140625" style="1"/>
    <col min="3442" max="3442" width="9.28515625" style="1" bestFit="1" customWidth="1"/>
    <col min="3443" max="3445" width="9.140625" style="1"/>
    <col min="3446" max="3448" width="9.28515625" style="1" bestFit="1" customWidth="1"/>
    <col min="3449" max="3451" width="9.140625" style="1"/>
    <col min="3452" max="3453" width="9.28515625" style="1" bestFit="1" customWidth="1"/>
    <col min="3454" max="3454" width="9.140625" style="1"/>
    <col min="3455" max="3456" width="9.28515625" style="1" bestFit="1" customWidth="1"/>
    <col min="3457" max="3457" width="9.140625" style="1"/>
    <col min="3458" max="3458" width="9.28515625" style="1" bestFit="1" customWidth="1"/>
    <col min="3459" max="3461" width="9.140625" style="1"/>
    <col min="3462" max="3464" width="9.28515625" style="1" bestFit="1" customWidth="1"/>
    <col min="3465" max="3467" width="9.140625" style="1"/>
    <col min="3468" max="3469" width="9.28515625" style="1" bestFit="1" customWidth="1"/>
    <col min="3470" max="3470" width="9.140625" style="1"/>
    <col min="3471" max="3472" width="9.28515625" style="1" bestFit="1" customWidth="1"/>
    <col min="3473" max="3473" width="9.140625" style="1"/>
    <col min="3474" max="3474" width="9.28515625" style="1" bestFit="1" customWidth="1"/>
    <col min="3475" max="3477" width="9.140625" style="1"/>
    <col min="3478" max="3480" width="9.28515625" style="1" bestFit="1" customWidth="1"/>
    <col min="3481" max="3483" width="9.140625" style="1"/>
    <col min="3484" max="3485" width="9.28515625" style="1" bestFit="1" customWidth="1"/>
    <col min="3486" max="3486" width="9.140625" style="1"/>
    <col min="3487" max="3488" width="9.28515625" style="1" bestFit="1" customWidth="1"/>
    <col min="3489" max="3489" width="9.140625" style="1"/>
    <col min="3490" max="3490" width="9.28515625" style="1" bestFit="1" customWidth="1"/>
    <col min="3491" max="3493" width="9.140625" style="1"/>
    <col min="3494" max="3496" width="9.28515625" style="1" bestFit="1" customWidth="1"/>
    <col min="3497" max="3499" width="9.140625" style="1"/>
    <col min="3500" max="3501" width="9.28515625" style="1" bestFit="1" customWidth="1"/>
    <col min="3502" max="3502" width="9.140625" style="1"/>
    <col min="3503" max="3504" width="9.28515625" style="1" bestFit="1" customWidth="1"/>
    <col min="3505" max="3505" width="9.140625" style="1"/>
    <col min="3506" max="3506" width="9.28515625" style="1" bestFit="1" customWidth="1"/>
    <col min="3507" max="3509" width="9.140625" style="1"/>
    <col min="3510" max="3512" width="9.28515625" style="1" bestFit="1" customWidth="1"/>
    <col min="3513" max="3515" width="9.140625" style="1"/>
    <col min="3516" max="3517" width="9.28515625" style="1" bestFit="1" customWidth="1"/>
    <col min="3518" max="3518" width="9.140625" style="1"/>
    <col min="3519" max="3520" width="9.28515625" style="1" bestFit="1" customWidth="1"/>
    <col min="3521" max="3521" width="9.140625" style="1"/>
    <col min="3522" max="3522" width="9.28515625" style="1" bestFit="1" customWidth="1"/>
    <col min="3523" max="3525" width="9.140625" style="1"/>
    <col min="3526" max="3528" width="9.28515625" style="1" bestFit="1" customWidth="1"/>
    <col min="3529" max="3531" width="9.140625" style="1"/>
    <col min="3532" max="3533" width="9.28515625" style="1" bestFit="1" customWidth="1"/>
    <col min="3534" max="3534" width="9.140625" style="1"/>
    <col min="3535" max="3536" width="9.28515625" style="1" bestFit="1" customWidth="1"/>
    <col min="3537" max="3537" width="9.140625" style="1"/>
    <col min="3538" max="3538" width="9.28515625" style="1" bestFit="1" customWidth="1"/>
    <col min="3539" max="3541" width="9.140625" style="1"/>
    <col min="3542" max="3544" width="9.28515625" style="1" bestFit="1" customWidth="1"/>
    <col min="3545" max="3547" width="9.140625" style="1"/>
    <col min="3548" max="3549" width="9.28515625" style="1" bestFit="1" customWidth="1"/>
    <col min="3550" max="3550" width="9.140625" style="1"/>
    <col min="3551" max="3552" width="9.28515625" style="1" bestFit="1" customWidth="1"/>
    <col min="3553" max="3553" width="9.140625" style="1"/>
    <col min="3554" max="3554" width="9.28515625" style="1" bestFit="1" customWidth="1"/>
    <col min="3555" max="3557" width="9.140625" style="1"/>
    <col min="3558" max="3560" width="9.28515625" style="1" bestFit="1" customWidth="1"/>
    <col min="3561" max="3563" width="9.140625" style="1"/>
    <col min="3564" max="3565" width="9.28515625" style="1" bestFit="1" customWidth="1"/>
    <col min="3566" max="3566" width="9.140625" style="1"/>
    <col min="3567" max="3568" width="9.28515625" style="1" bestFit="1" customWidth="1"/>
    <col min="3569" max="3569" width="9.140625" style="1"/>
    <col min="3570" max="3570" width="9.28515625" style="1" bestFit="1" customWidth="1"/>
    <col min="3571" max="3573" width="9.140625" style="1"/>
    <col min="3574" max="3576" width="9.28515625" style="1" bestFit="1" customWidth="1"/>
    <col min="3577" max="3579" width="9.140625" style="1"/>
    <col min="3580" max="3581" width="9.28515625" style="1" bestFit="1" customWidth="1"/>
    <col min="3582" max="3582" width="9.140625" style="1"/>
    <col min="3583" max="3584" width="9.28515625" style="1" bestFit="1" customWidth="1"/>
    <col min="3585" max="3585" width="9.140625" style="1"/>
    <col min="3586" max="3586" width="9.28515625" style="1" bestFit="1" customWidth="1"/>
    <col min="3587" max="3589" width="9.140625" style="1"/>
    <col min="3590" max="3592" width="9.28515625" style="1" bestFit="1" customWidth="1"/>
    <col min="3593" max="3595" width="9.140625" style="1"/>
    <col min="3596" max="3597" width="9.28515625" style="1" bestFit="1" customWidth="1"/>
    <col min="3598" max="3598" width="9.140625" style="1"/>
    <col min="3599" max="3600" width="9.28515625" style="1" bestFit="1" customWidth="1"/>
    <col min="3601" max="3601" width="9.140625" style="1"/>
    <col min="3602" max="3602" width="9.28515625" style="1" bestFit="1" customWidth="1"/>
    <col min="3603" max="3605" width="9.140625" style="1"/>
    <col min="3606" max="3608" width="9.28515625" style="1" bestFit="1" customWidth="1"/>
    <col min="3609" max="3611" width="9.140625" style="1"/>
    <col min="3612" max="3613" width="9.28515625" style="1" bestFit="1" customWidth="1"/>
    <col min="3614" max="3614" width="9.140625" style="1"/>
    <col min="3615" max="3616" width="9.28515625" style="1" bestFit="1" customWidth="1"/>
    <col min="3617" max="3617" width="9.140625" style="1"/>
    <col min="3618" max="3618" width="9.28515625" style="1" bestFit="1" customWidth="1"/>
    <col min="3619" max="3621" width="9.140625" style="1"/>
    <col min="3622" max="3624" width="9.28515625" style="1" bestFit="1" customWidth="1"/>
    <col min="3625" max="3627" width="9.140625" style="1"/>
    <col min="3628" max="3629" width="9.28515625" style="1" bestFit="1" customWidth="1"/>
    <col min="3630" max="3630" width="9.140625" style="1"/>
    <col min="3631" max="3632" width="9.28515625" style="1" bestFit="1" customWidth="1"/>
    <col min="3633" max="3633" width="9.140625" style="1"/>
    <col min="3634" max="3634" width="9.28515625" style="1" bestFit="1" customWidth="1"/>
    <col min="3635" max="3637" width="9.140625" style="1"/>
    <col min="3638" max="3640" width="9.28515625" style="1" bestFit="1" customWidth="1"/>
    <col min="3641" max="3643" width="9.140625" style="1"/>
    <col min="3644" max="3645" width="9.28515625" style="1" bestFit="1" customWidth="1"/>
    <col min="3646" max="3646" width="9.140625" style="1"/>
    <col min="3647" max="3648" width="9.28515625" style="1" bestFit="1" customWidth="1"/>
    <col min="3649" max="3649" width="9.140625" style="1"/>
    <col min="3650" max="3650" width="9.28515625" style="1" bestFit="1" customWidth="1"/>
    <col min="3651" max="3653" width="9.140625" style="1"/>
    <col min="3654" max="3656" width="9.28515625" style="1" bestFit="1" customWidth="1"/>
    <col min="3657" max="3659" width="9.140625" style="1"/>
    <col min="3660" max="3661" width="9.28515625" style="1" bestFit="1" customWidth="1"/>
    <col min="3662" max="3662" width="9.140625" style="1"/>
    <col min="3663" max="3664" width="9.28515625" style="1" bestFit="1" customWidth="1"/>
    <col min="3665" max="3665" width="9.140625" style="1"/>
    <col min="3666" max="3666" width="9.28515625" style="1" bestFit="1" customWidth="1"/>
    <col min="3667" max="3669" width="9.140625" style="1"/>
    <col min="3670" max="3672" width="9.28515625" style="1" bestFit="1" customWidth="1"/>
    <col min="3673" max="3675" width="9.140625" style="1"/>
    <col min="3676" max="3677" width="9.28515625" style="1" bestFit="1" customWidth="1"/>
    <col min="3678" max="3678" width="9.140625" style="1"/>
    <col min="3679" max="3680" width="9.28515625" style="1" bestFit="1" customWidth="1"/>
    <col min="3681" max="3681" width="9.140625" style="1"/>
    <col min="3682" max="3682" width="9.28515625" style="1" bestFit="1" customWidth="1"/>
    <col min="3683" max="3685" width="9.140625" style="1"/>
    <col min="3686" max="3688" width="9.28515625" style="1" bestFit="1" customWidth="1"/>
    <col min="3689" max="3691" width="9.140625" style="1"/>
    <col min="3692" max="3693" width="9.28515625" style="1" bestFit="1" customWidth="1"/>
    <col min="3694" max="3694" width="9.140625" style="1"/>
    <col min="3695" max="3696" width="9.28515625" style="1" bestFit="1" customWidth="1"/>
    <col min="3697" max="3697" width="9.140625" style="1"/>
    <col min="3698" max="3698" width="9.28515625" style="1" bestFit="1" customWidth="1"/>
    <col min="3699" max="3701" width="9.140625" style="1"/>
    <col min="3702" max="3704" width="9.28515625" style="1" bestFit="1" customWidth="1"/>
    <col min="3705" max="3707" width="9.140625" style="1"/>
    <col min="3708" max="3709" width="9.28515625" style="1" bestFit="1" customWidth="1"/>
    <col min="3710" max="3710" width="9.140625" style="1"/>
    <col min="3711" max="3712" width="9.28515625" style="1" bestFit="1" customWidth="1"/>
    <col min="3713" max="3713" width="9.140625" style="1"/>
    <col min="3714" max="3714" width="9.28515625" style="1" bestFit="1" customWidth="1"/>
    <col min="3715" max="3717" width="9.140625" style="1"/>
    <col min="3718" max="3720" width="9.28515625" style="1" bestFit="1" customWidth="1"/>
    <col min="3721" max="3723" width="9.140625" style="1"/>
    <col min="3724" max="3725" width="9.28515625" style="1" bestFit="1" customWidth="1"/>
    <col min="3726" max="3726" width="9.140625" style="1"/>
    <col min="3727" max="3728" width="9.28515625" style="1" bestFit="1" customWidth="1"/>
    <col min="3729" max="3729" width="9.140625" style="1"/>
    <col min="3730" max="3730" width="9.28515625" style="1" bestFit="1" customWidth="1"/>
    <col min="3731" max="3733" width="9.140625" style="1"/>
    <col min="3734" max="3736" width="9.28515625" style="1" bestFit="1" customWidth="1"/>
    <col min="3737" max="3739" width="9.140625" style="1"/>
    <col min="3740" max="3741" width="9.28515625" style="1" bestFit="1" customWidth="1"/>
    <col min="3742" max="3742" width="9.140625" style="1"/>
    <col min="3743" max="3744" width="9.28515625" style="1" bestFit="1" customWidth="1"/>
    <col min="3745" max="3745" width="9.140625" style="1"/>
    <col min="3746" max="3746" width="9.28515625" style="1" bestFit="1" customWidth="1"/>
    <col min="3747" max="3749" width="9.140625" style="1"/>
    <col min="3750" max="3752" width="9.28515625" style="1" bestFit="1" customWidth="1"/>
    <col min="3753" max="3755" width="9.140625" style="1"/>
    <col min="3756" max="3757" width="9.28515625" style="1" bestFit="1" customWidth="1"/>
    <col min="3758" max="3758" width="9.140625" style="1"/>
    <col min="3759" max="3760" width="9.28515625" style="1" bestFit="1" customWidth="1"/>
    <col min="3761" max="3761" width="9.140625" style="1"/>
    <col min="3762" max="3762" width="9.28515625" style="1" bestFit="1" customWidth="1"/>
    <col min="3763" max="3765" width="9.140625" style="1"/>
    <col min="3766" max="3768" width="9.28515625" style="1" bestFit="1" customWidth="1"/>
    <col min="3769" max="3771" width="9.140625" style="1"/>
    <col min="3772" max="3773" width="9.28515625" style="1" bestFit="1" customWidth="1"/>
    <col min="3774" max="3774" width="9.140625" style="1"/>
    <col min="3775" max="3776" width="9.28515625" style="1" bestFit="1" customWidth="1"/>
    <col min="3777" max="3777" width="9.140625" style="1"/>
    <col min="3778" max="3778" width="9.28515625" style="1" bestFit="1" customWidth="1"/>
    <col min="3779" max="3781" width="9.140625" style="1"/>
    <col min="3782" max="3784" width="9.28515625" style="1" bestFit="1" customWidth="1"/>
    <col min="3785" max="3787" width="9.140625" style="1"/>
    <col min="3788" max="3789" width="9.28515625" style="1" bestFit="1" customWidth="1"/>
    <col min="3790" max="3790" width="9.140625" style="1"/>
    <col min="3791" max="3792" width="9.28515625" style="1" bestFit="1" customWidth="1"/>
    <col min="3793" max="3793" width="9.140625" style="1"/>
    <col min="3794" max="3794" width="9.28515625" style="1" bestFit="1" customWidth="1"/>
    <col min="3795" max="3797" width="9.140625" style="1"/>
    <col min="3798" max="3800" width="9.28515625" style="1" bestFit="1" customWidth="1"/>
    <col min="3801" max="3803" width="9.140625" style="1"/>
    <col min="3804" max="3805" width="9.28515625" style="1" bestFit="1" customWidth="1"/>
    <col min="3806" max="3806" width="9.140625" style="1"/>
    <col min="3807" max="3808" width="9.28515625" style="1" bestFit="1" customWidth="1"/>
    <col min="3809" max="3809" width="9.140625" style="1"/>
    <col min="3810" max="3810" width="9.28515625" style="1" bestFit="1" customWidth="1"/>
    <col min="3811" max="3813" width="9.140625" style="1"/>
    <col min="3814" max="3816" width="9.28515625" style="1" bestFit="1" customWidth="1"/>
    <col min="3817" max="3819" width="9.140625" style="1"/>
    <col min="3820" max="3821" width="9.28515625" style="1" bestFit="1" customWidth="1"/>
    <col min="3822" max="3822" width="9.140625" style="1"/>
    <col min="3823" max="3824" width="9.28515625" style="1" bestFit="1" customWidth="1"/>
    <col min="3825" max="3825" width="9.140625" style="1"/>
    <col min="3826" max="3826" width="9.28515625" style="1" bestFit="1" customWidth="1"/>
    <col min="3827" max="3829" width="9.140625" style="1"/>
    <col min="3830" max="3832" width="9.28515625" style="1" bestFit="1" customWidth="1"/>
    <col min="3833" max="3835" width="9.140625" style="1"/>
    <col min="3836" max="3837" width="9.28515625" style="1" bestFit="1" customWidth="1"/>
    <col min="3838" max="3838" width="9.140625" style="1"/>
    <col min="3839" max="3840" width="9.28515625" style="1" bestFit="1" customWidth="1"/>
    <col min="3841" max="3841" width="9.140625" style="1"/>
    <col min="3842" max="3842" width="9.28515625" style="1" bestFit="1" customWidth="1"/>
    <col min="3843" max="3845" width="9.140625" style="1"/>
    <col min="3846" max="3848" width="9.28515625" style="1" bestFit="1" customWidth="1"/>
    <col min="3849" max="3851" width="9.140625" style="1"/>
    <col min="3852" max="3853" width="9.28515625" style="1" bestFit="1" customWidth="1"/>
    <col min="3854" max="3854" width="9.140625" style="1"/>
    <col min="3855" max="3856" width="9.28515625" style="1" bestFit="1" customWidth="1"/>
    <col min="3857" max="3857" width="9.140625" style="1"/>
    <col min="3858" max="3858" width="9.28515625" style="1" bestFit="1" customWidth="1"/>
    <col min="3859" max="3861" width="9.140625" style="1"/>
    <col min="3862" max="3864" width="9.28515625" style="1" bestFit="1" customWidth="1"/>
    <col min="3865" max="3867" width="9.140625" style="1"/>
    <col min="3868" max="3869" width="9.28515625" style="1" bestFit="1" customWidth="1"/>
    <col min="3870" max="3870" width="9.140625" style="1"/>
    <col min="3871" max="3872" width="9.28515625" style="1" bestFit="1" customWidth="1"/>
    <col min="3873" max="3873" width="9.140625" style="1"/>
    <col min="3874" max="3874" width="9.28515625" style="1" bestFit="1" customWidth="1"/>
    <col min="3875" max="3877" width="9.140625" style="1"/>
    <col min="3878" max="3880" width="9.28515625" style="1" bestFit="1" customWidth="1"/>
    <col min="3881" max="3883" width="9.140625" style="1"/>
    <col min="3884" max="3885" width="9.28515625" style="1" bestFit="1" customWidth="1"/>
    <col min="3886" max="3886" width="9.140625" style="1"/>
    <col min="3887" max="3888" width="9.28515625" style="1" bestFit="1" customWidth="1"/>
    <col min="3889" max="3889" width="9.140625" style="1"/>
    <col min="3890" max="3890" width="9.28515625" style="1" bestFit="1" customWidth="1"/>
    <col min="3891" max="3893" width="9.140625" style="1"/>
    <col min="3894" max="3896" width="9.28515625" style="1" bestFit="1" customWidth="1"/>
    <col min="3897" max="3899" width="9.140625" style="1"/>
    <col min="3900" max="3901" width="9.28515625" style="1" bestFit="1" customWidth="1"/>
    <col min="3902" max="3902" width="9.140625" style="1"/>
    <col min="3903" max="3904" width="9.28515625" style="1" bestFit="1" customWidth="1"/>
    <col min="3905" max="3905" width="9.140625" style="1"/>
    <col min="3906" max="3906" width="9.28515625" style="1" bestFit="1" customWidth="1"/>
    <col min="3907" max="3909" width="9.140625" style="1"/>
    <col min="3910" max="3912" width="9.28515625" style="1" bestFit="1" customWidth="1"/>
    <col min="3913" max="3915" width="9.140625" style="1"/>
    <col min="3916" max="3917" width="9.28515625" style="1" bestFit="1" customWidth="1"/>
    <col min="3918" max="3918" width="9.140625" style="1"/>
    <col min="3919" max="3920" width="9.28515625" style="1" bestFit="1" customWidth="1"/>
    <col min="3921" max="3921" width="9.140625" style="1"/>
    <col min="3922" max="3922" width="9.28515625" style="1" bestFit="1" customWidth="1"/>
    <col min="3923" max="3925" width="9.140625" style="1"/>
    <col min="3926" max="3928" width="9.28515625" style="1" bestFit="1" customWidth="1"/>
    <col min="3929" max="3931" width="9.140625" style="1"/>
    <col min="3932" max="3933" width="9.28515625" style="1" bestFit="1" customWidth="1"/>
    <col min="3934" max="3934" width="9.140625" style="1"/>
    <col min="3935" max="3936" width="9.28515625" style="1" bestFit="1" customWidth="1"/>
    <col min="3937" max="3937" width="9.140625" style="1"/>
    <col min="3938" max="3938" width="9.28515625" style="1" bestFit="1" customWidth="1"/>
    <col min="3939" max="3941" width="9.140625" style="1"/>
    <col min="3942" max="3944" width="9.28515625" style="1" bestFit="1" customWidth="1"/>
    <col min="3945" max="3947" width="9.140625" style="1"/>
    <col min="3948" max="3949" width="9.28515625" style="1" bestFit="1" customWidth="1"/>
    <col min="3950" max="3950" width="9.140625" style="1"/>
    <col min="3951" max="3952" width="9.28515625" style="1" bestFit="1" customWidth="1"/>
    <col min="3953" max="3953" width="9.140625" style="1"/>
    <col min="3954" max="3954" width="9.28515625" style="1" bestFit="1" customWidth="1"/>
    <col min="3955" max="3957" width="9.140625" style="1"/>
    <col min="3958" max="3960" width="9.28515625" style="1" bestFit="1" customWidth="1"/>
    <col min="3961" max="3963" width="9.140625" style="1"/>
    <col min="3964" max="3965" width="9.28515625" style="1" bestFit="1" customWidth="1"/>
    <col min="3966" max="3966" width="9.140625" style="1"/>
    <col min="3967" max="3968" width="9.28515625" style="1" bestFit="1" customWidth="1"/>
    <col min="3969" max="3969" width="9.140625" style="1"/>
    <col min="3970" max="3970" width="9.28515625" style="1" bestFit="1" customWidth="1"/>
    <col min="3971" max="3973" width="9.140625" style="1"/>
    <col min="3974" max="3976" width="9.28515625" style="1" bestFit="1" customWidth="1"/>
    <col min="3977" max="3979" width="9.140625" style="1"/>
    <col min="3980" max="3981" width="9.28515625" style="1" bestFit="1" customWidth="1"/>
    <col min="3982" max="3982" width="9.140625" style="1"/>
    <col min="3983" max="3984" width="9.28515625" style="1" bestFit="1" customWidth="1"/>
    <col min="3985" max="3985" width="9.140625" style="1"/>
    <col min="3986" max="3986" width="9.28515625" style="1" bestFit="1" customWidth="1"/>
    <col min="3987" max="3989" width="9.140625" style="1"/>
    <col min="3990" max="3992" width="9.28515625" style="1" bestFit="1" customWidth="1"/>
    <col min="3993" max="3995" width="9.140625" style="1"/>
    <col min="3996" max="3997" width="9.28515625" style="1" bestFit="1" customWidth="1"/>
    <col min="3998" max="3998" width="9.140625" style="1"/>
    <col min="3999" max="4000" width="9.28515625" style="1" bestFit="1" customWidth="1"/>
    <col min="4001" max="4001" width="9.140625" style="1"/>
    <col min="4002" max="4002" width="9.28515625" style="1" bestFit="1" customWidth="1"/>
    <col min="4003" max="4005" width="9.140625" style="1"/>
    <col min="4006" max="4008" width="9.28515625" style="1" bestFit="1" customWidth="1"/>
    <col min="4009" max="4011" width="9.140625" style="1"/>
    <col min="4012" max="4013" width="9.28515625" style="1" bestFit="1" customWidth="1"/>
    <col min="4014" max="4014" width="9.140625" style="1"/>
    <col min="4015" max="4016" width="9.28515625" style="1" bestFit="1" customWidth="1"/>
    <col min="4017" max="4017" width="9.140625" style="1"/>
    <col min="4018" max="4018" width="9.28515625" style="1" bestFit="1" customWidth="1"/>
    <col min="4019" max="4021" width="9.140625" style="1"/>
    <col min="4022" max="4024" width="9.28515625" style="1" bestFit="1" customWidth="1"/>
    <col min="4025" max="4027" width="9.140625" style="1"/>
    <col min="4028" max="4029" width="9.28515625" style="1" bestFit="1" customWidth="1"/>
    <col min="4030" max="4030" width="9.140625" style="1"/>
    <col min="4031" max="4032" width="9.28515625" style="1" bestFit="1" customWidth="1"/>
    <col min="4033" max="4033" width="9.140625" style="1"/>
    <col min="4034" max="4034" width="9.28515625" style="1" bestFit="1" customWidth="1"/>
    <col min="4035" max="4037" width="9.140625" style="1"/>
    <col min="4038" max="4040" width="9.28515625" style="1" bestFit="1" customWidth="1"/>
    <col min="4041" max="4043" width="9.140625" style="1"/>
    <col min="4044" max="4045" width="9.28515625" style="1" bestFit="1" customWidth="1"/>
    <col min="4046" max="4046" width="9.140625" style="1"/>
    <col min="4047" max="4048" width="9.28515625" style="1" bestFit="1" customWidth="1"/>
    <col min="4049" max="4049" width="9.140625" style="1"/>
    <col min="4050" max="4050" width="9.28515625" style="1" bestFit="1" customWidth="1"/>
    <col min="4051" max="4053" width="9.140625" style="1"/>
    <col min="4054" max="4056" width="9.28515625" style="1" bestFit="1" customWidth="1"/>
    <col min="4057" max="4059" width="9.140625" style="1"/>
    <col min="4060" max="4061" width="9.28515625" style="1" bestFit="1" customWidth="1"/>
    <col min="4062" max="4062" width="9.140625" style="1"/>
    <col min="4063" max="4064" width="9.28515625" style="1" bestFit="1" customWidth="1"/>
    <col min="4065" max="4065" width="9.140625" style="1"/>
    <col min="4066" max="4066" width="9.28515625" style="1" bestFit="1" customWidth="1"/>
    <col min="4067" max="4069" width="9.140625" style="1"/>
    <col min="4070" max="4072" width="9.28515625" style="1" bestFit="1" customWidth="1"/>
    <col min="4073" max="4075" width="9.140625" style="1"/>
    <col min="4076" max="4077" width="9.28515625" style="1" bestFit="1" customWidth="1"/>
    <col min="4078" max="4078" width="9.140625" style="1"/>
    <col min="4079" max="4080" width="9.28515625" style="1" bestFit="1" customWidth="1"/>
    <col min="4081" max="4081" width="9.140625" style="1"/>
    <col min="4082" max="4082" width="9.28515625" style="1" bestFit="1" customWidth="1"/>
    <col min="4083" max="4085" width="9.140625" style="1"/>
    <col min="4086" max="4088" width="9.28515625" style="1" bestFit="1" customWidth="1"/>
    <col min="4089" max="4091" width="9.140625" style="1"/>
    <col min="4092" max="4093" width="9.28515625" style="1" bestFit="1" customWidth="1"/>
    <col min="4094" max="4094" width="9.140625" style="1"/>
    <col min="4095" max="4096" width="9.28515625" style="1" bestFit="1" customWidth="1"/>
    <col min="4097" max="4097" width="9.140625" style="1"/>
    <col min="4098" max="4098" width="9.28515625" style="1" bestFit="1" customWidth="1"/>
    <col min="4099" max="4101" width="9.140625" style="1"/>
    <col min="4102" max="4104" width="9.28515625" style="1" bestFit="1" customWidth="1"/>
    <col min="4105" max="4107" width="9.140625" style="1"/>
    <col min="4108" max="4109" width="9.28515625" style="1" bestFit="1" customWidth="1"/>
    <col min="4110" max="4110" width="9.140625" style="1"/>
    <col min="4111" max="4112" width="9.28515625" style="1" bestFit="1" customWidth="1"/>
    <col min="4113" max="4113" width="9.140625" style="1"/>
    <col min="4114" max="4114" width="9.28515625" style="1" bestFit="1" customWidth="1"/>
    <col min="4115" max="4117" width="9.140625" style="1"/>
    <col min="4118" max="4120" width="9.28515625" style="1" bestFit="1" customWidth="1"/>
    <col min="4121" max="4123" width="9.140625" style="1"/>
    <col min="4124" max="4125" width="9.28515625" style="1" bestFit="1" customWidth="1"/>
    <col min="4126" max="4126" width="9.140625" style="1"/>
    <col min="4127" max="4128" width="9.28515625" style="1" bestFit="1" customWidth="1"/>
    <col min="4129" max="4129" width="9.140625" style="1"/>
    <col min="4130" max="4130" width="9.28515625" style="1" bestFit="1" customWidth="1"/>
    <col min="4131" max="4133" width="9.140625" style="1"/>
    <col min="4134" max="4136" width="9.28515625" style="1" bestFit="1" customWidth="1"/>
    <col min="4137" max="4139" width="9.140625" style="1"/>
    <col min="4140" max="4141" width="9.28515625" style="1" bestFit="1" customWidth="1"/>
    <col min="4142" max="4142" width="9.140625" style="1"/>
    <col min="4143" max="4144" width="9.28515625" style="1" bestFit="1" customWidth="1"/>
    <col min="4145" max="4145" width="9.140625" style="1"/>
    <col min="4146" max="4146" width="9.28515625" style="1" bestFit="1" customWidth="1"/>
    <col min="4147" max="4149" width="9.140625" style="1"/>
    <col min="4150" max="4152" width="9.28515625" style="1" bestFit="1" customWidth="1"/>
    <col min="4153" max="4155" width="9.140625" style="1"/>
    <col min="4156" max="4157" width="9.28515625" style="1" bestFit="1" customWidth="1"/>
    <col min="4158" max="4158" width="9.140625" style="1"/>
    <col min="4159" max="4160" width="9.28515625" style="1" bestFit="1" customWidth="1"/>
    <col min="4161" max="4161" width="9.140625" style="1"/>
    <col min="4162" max="4162" width="9.28515625" style="1" bestFit="1" customWidth="1"/>
    <col min="4163" max="4165" width="9.140625" style="1"/>
    <col min="4166" max="4168" width="9.28515625" style="1" bestFit="1" customWidth="1"/>
    <col min="4169" max="4171" width="9.140625" style="1"/>
    <col min="4172" max="4173" width="9.28515625" style="1" bestFit="1" customWidth="1"/>
    <col min="4174" max="4174" width="9.140625" style="1"/>
    <col min="4175" max="4176" width="9.28515625" style="1" bestFit="1" customWidth="1"/>
    <col min="4177" max="4177" width="9.140625" style="1"/>
    <col min="4178" max="4178" width="9.28515625" style="1" bestFit="1" customWidth="1"/>
    <col min="4179" max="4181" width="9.140625" style="1"/>
    <col min="4182" max="4184" width="9.28515625" style="1" bestFit="1" customWidth="1"/>
    <col min="4185" max="4187" width="9.140625" style="1"/>
    <col min="4188" max="4189" width="9.28515625" style="1" bestFit="1" customWidth="1"/>
    <col min="4190" max="4190" width="9.140625" style="1"/>
    <col min="4191" max="4192" width="9.28515625" style="1" bestFit="1" customWidth="1"/>
    <col min="4193" max="4193" width="9.140625" style="1"/>
    <col min="4194" max="4194" width="9.28515625" style="1" bestFit="1" customWidth="1"/>
    <col min="4195" max="4197" width="9.140625" style="1"/>
    <col min="4198" max="4200" width="9.28515625" style="1" bestFit="1" customWidth="1"/>
    <col min="4201" max="4203" width="9.140625" style="1"/>
    <col min="4204" max="4205" width="9.28515625" style="1" bestFit="1" customWidth="1"/>
    <col min="4206" max="4206" width="9.140625" style="1"/>
    <col min="4207" max="4208" width="9.28515625" style="1" bestFit="1" customWidth="1"/>
    <col min="4209" max="4209" width="9.140625" style="1"/>
    <col min="4210" max="4210" width="9.28515625" style="1" bestFit="1" customWidth="1"/>
    <col min="4211" max="4213" width="9.140625" style="1"/>
    <col min="4214" max="4216" width="9.28515625" style="1" bestFit="1" customWidth="1"/>
    <col min="4217" max="4219" width="9.140625" style="1"/>
    <col min="4220" max="4221" width="9.28515625" style="1" bestFit="1" customWidth="1"/>
    <col min="4222" max="4222" width="9.140625" style="1"/>
    <col min="4223" max="4224" width="9.28515625" style="1" bestFit="1" customWidth="1"/>
    <col min="4225" max="4225" width="9.140625" style="1"/>
    <col min="4226" max="4226" width="9.28515625" style="1" bestFit="1" customWidth="1"/>
    <col min="4227" max="4229" width="9.140625" style="1"/>
    <col min="4230" max="4232" width="9.28515625" style="1" bestFit="1" customWidth="1"/>
    <col min="4233" max="4235" width="9.140625" style="1"/>
    <col min="4236" max="4237" width="9.28515625" style="1" bestFit="1" customWidth="1"/>
    <col min="4238" max="4238" width="9.140625" style="1"/>
    <col min="4239" max="4240" width="9.28515625" style="1" bestFit="1" customWidth="1"/>
    <col min="4241" max="4241" width="9.140625" style="1"/>
    <col min="4242" max="4242" width="9.28515625" style="1" bestFit="1" customWidth="1"/>
    <col min="4243" max="4245" width="9.140625" style="1"/>
    <col min="4246" max="4248" width="9.28515625" style="1" bestFit="1" customWidth="1"/>
    <col min="4249" max="4251" width="9.140625" style="1"/>
    <col min="4252" max="4253" width="9.28515625" style="1" bestFit="1" customWidth="1"/>
    <col min="4254" max="4254" width="9.140625" style="1"/>
    <col min="4255" max="4256" width="9.28515625" style="1" bestFit="1" customWidth="1"/>
    <col min="4257" max="4257" width="9.140625" style="1"/>
    <col min="4258" max="4258" width="9.28515625" style="1" bestFit="1" customWidth="1"/>
    <col min="4259" max="4261" width="9.140625" style="1"/>
    <col min="4262" max="4264" width="9.28515625" style="1" bestFit="1" customWidth="1"/>
    <col min="4265" max="4267" width="9.140625" style="1"/>
    <col min="4268" max="4269" width="9.28515625" style="1" bestFit="1" customWidth="1"/>
    <col min="4270" max="4270" width="9.140625" style="1"/>
    <col min="4271" max="4272" width="9.28515625" style="1" bestFit="1" customWidth="1"/>
    <col min="4273" max="4273" width="9.140625" style="1"/>
    <col min="4274" max="4274" width="9.28515625" style="1" bestFit="1" customWidth="1"/>
    <col min="4275" max="4277" width="9.140625" style="1"/>
    <col min="4278" max="4280" width="9.28515625" style="1" bestFit="1" customWidth="1"/>
    <col min="4281" max="4283" width="9.140625" style="1"/>
    <col min="4284" max="4285" width="9.28515625" style="1" bestFit="1" customWidth="1"/>
    <col min="4286" max="4286" width="9.140625" style="1"/>
    <col min="4287" max="4288" width="9.28515625" style="1" bestFit="1" customWidth="1"/>
    <col min="4289" max="4289" width="9.140625" style="1"/>
    <col min="4290" max="4290" width="9.28515625" style="1" bestFit="1" customWidth="1"/>
    <col min="4291" max="4293" width="9.140625" style="1"/>
    <col min="4294" max="4296" width="9.28515625" style="1" bestFit="1" customWidth="1"/>
    <col min="4297" max="4299" width="9.140625" style="1"/>
    <col min="4300" max="4301" width="9.28515625" style="1" bestFit="1" customWidth="1"/>
    <col min="4302" max="4302" width="9.140625" style="1"/>
    <col min="4303" max="4304" width="9.28515625" style="1" bestFit="1" customWidth="1"/>
    <col min="4305" max="4305" width="9.140625" style="1"/>
    <col min="4306" max="4306" width="9.28515625" style="1" bestFit="1" customWidth="1"/>
    <col min="4307" max="4309" width="9.140625" style="1"/>
    <col min="4310" max="4312" width="9.28515625" style="1" bestFit="1" customWidth="1"/>
    <col min="4313" max="4315" width="9.140625" style="1"/>
    <col min="4316" max="4317" width="9.28515625" style="1" bestFit="1" customWidth="1"/>
    <col min="4318" max="4318" width="9.140625" style="1"/>
    <col min="4319" max="4320" width="9.28515625" style="1" bestFit="1" customWidth="1"/>
    <col min="4321" max="4321" width="9.140625" style="1"/>
    <col min="4322" max="4322" width="9.28515625" style="1" bestFit="1" customWidth="1"/>
    <col min="4323" max="4325" width="9.140625" style="1"/>
    <col min="4326" max="4328" width="9.28515625" style="1" bestFit="1" customWidth="1"/>
    <col min="4329" max="4331" width="9.140625" style="1"/>
    <col min="4332" max="4333" width="9.28515625" style="1" bestFit="1" customWidth="1"/>
    <col min="4334" max="4334" width="9.140625" style="1"/>
    <col min="4335" max="4336" width="9.28515625" style="1" bestFit="1" customWidth="1"/>
    <col min="4337" max="4337" width="9.140625" style="1"/>
    <col min="4338" max="4338" width="9.28515625" style="1" bestFit="1" customWidth="1"/>
    <col min="4339" max="4341" width="9.140625" style="1"/>
    <col min="4342" max="4344" width="9.28515625" style="1" bestFit="1" customWidth="1"/>
    <col min="4345" max="4347" width="9.140625" style="1"/>
    <col min="4348" max="4349" width="9.28515625" style="1" bestFit="1" customWidth="1"/>
    <col min="4350" max="4350" width="9.140625" style="1"/>
    <col min="4351" max="4352" width="9.28515625" style="1" bestFit="1" customWidth="1"/>
    <col min="4353" max="4353" width="9.140625" style="1"/>
    <col min="4354" max="4354" width="9.28515625" style="1" bestFit="1" customWidth="1"/>
    <col min="4355" max="4357" width="9.140625" style="1"/>
    <col min="4358" max="4360" width="9.28515625" style="1" bestFit="1" customWidth="1"/>
    <col min="4361" max="4363" width="9.140625" style="1"/>
    <col min="4364" max="4365" width="9.28515625" style="1" bestFit="1" customWidth="1"/>
    <col min="4366" max="4366" width="9.140625" style="1"/>
    <col min="4367" max="4368" width="9.28515625" style="1" bestFit="1" customWidth="1"/>
    <col min="4369" max="4369" width="9.140625" style="1"/>
    <col min="4370" max="4370" width="9.28515625" style="1" bestFit="1" customWidth="1"/>
    <col min="4371" max="4373" width="9.140625" style="1"/>
    <col min="4374" max="4376" width="9.28515625" style="1" bestFit="1" customWidth="1"/>
    <col min="4377" max="4379" width="9.140625" style="1"/>
    <col min="4380" max="4381" width="9.28515625" style="1" bestFit="1" customWidth="1"/>
    <col min="4382" max="4382" width="9.140625" style="1"/>
    <col min="4383" max="4384" width="9.28515625" style="1" bestFit="1" customWidth="1"/>
    <col min="4385" max="4385" width="9.140625" style="1"/>
    <col min="4386" max="4386" width="9.28515625" style="1" bestFit="1" customWidth="1"/>
    <col min="4387" max="4389" width="9.140625" style="1"/>
    <col min="4390" max="4392" width="9.28515625" style="1" bestFit="1" customWidth="1"/>
    <col min="4393" max="4395" width="9.140625" style="1"/>
    <col min="4396" max="4397" width="9.28515625" style="1" bestFit="1" customWidth="1"/>
    <col min="4398" max="4398" width="9.140625" style="1"/>
    <col min="4399" max="4400" width="9.28515625" style="1" bestFit="1" customWidth="1"/>
    <col min="4401" max="4401" width="9.140625" style="1"/>
    <col min="4402" max="4402" width="9.28515625" style="1" bestFit="1" customWidth="1"/>
    <col min="4403" max="4405" width="9.140625" style="1"/>
    <col min="4406" max="4408" width="9.28515625" style="1" bestFit="1" customWidth="1"/>
    <col min="4409" max="4411" width="9.140625" style="1"/>
    <col min="4412" max="4413" width="9.28515625" style="1" bestFit="1" customWidth="1"/>
    <col min="4414" max="4414" width="9.140625" style="1"/>
    <col min="4415" max="4416" width="9.28515625" style="1" bestFit="1" customWidth="1"/>
    <col min="4417" max="4417" width="9.140625" style="1"/>
    <col min="4418" max="4418" width="9.28515625" style="1" bestFit="1" customWidth="1"/>
    <col min="4419" max="4421" width="9.140625" style="1"/>
    <col min="4422" max="4424" width="9.28515625" style="1" bestFit="1" customWidth="1"/>
    <col min="4425" max="4427" width="9.140625" style="1"/>
    <col min="4428" max="4429" width="9.28515625" style="1" bestFit="1" customWidth="1"/>
    <col min="4430" max="4430" width="9.140625" style="1"/>
    <col min="4431" max="4432" width="9.28515625" style="1" bestFit="1" customWidth="1"/>
    <col min="4433" max="4433" width="9.140625" style="1"/>
    <col min="4434" max="4434" width="9.28515625" style="1" bestFit="1" customWidth="1"/>
    <col min="4435" max="4437" width="9.140625" style="1"/>
    <col min="4438" max="4440" width="9.28515625" style="1" bestFit="1" customWidth="1"/>
    <col min="4441" max="4443" width="9.140625" style="1"/>
    <col min="4444" max="4445" width="9.28515625" style="1" bestFit="1" customWidth="1"/>
    <col min="4446" max="4446" width="9.140625" style="1"/>
    <col min="4447" max="4448" width="9.28515625" style="1" bestFit="1" customWidth="1"/>
    <col min="4449" max="4449" width="9.140625" style="1"/>
    <col min="4450" max="4450" width="9.28515625" style="1" bestFit="1" customWidth="1"/>
    <col min="4451" max="4453" width="9.140625" style="1"/>
    <col min="4454" max="4456" width="9.28515625" style="1" bestFit="1" customWidth="1"/>
    <col min="4457" max="4459" width="9.140625" style="1"/>
    <col min="4460" max="4461" width="9.28515625" style="1" bestFit="1" customWidth="1"/>
    <col min="4462" max="4462" width="9.140625" style="1"/>
    <col min="4463" max="4464" width="9.28515625" style="1" bestFit="1" customWidth="1"/>
    <col min="4465" max="4465" width="9.140625" style="1"/>
    <col min="4466" max="4466" width="9.28515625" style="1" bestFit="1" customWidth="1"/>
    <col min="4467" max="4469" width="9.140625" style="1"/>
    <col min="4470" max="4472" width="9.28515625" style="1" bestFit="1" customWidth="1"/>
    <col min="4473" max="4475" width="9.140625" style="1"/>
    <col min="4476" max="4477" width="9.28515625" style="1" bestFit="1" customWidth="1"/>
    <col min="4478" max="4478" width="9.140625" style="1"/>
    <col min="4479" max="4480" width="9.28515625" style="1" bestFit="1" customWidth="1"/>
    <col min="4481" max="4481" width="9.140625" style="1"/>
    <col min="4482" max="4482" width="9.28515625" style="1" bestFit="1" customWidth="1"/>
    <col min="4483" max="4485" width="9.140625" style="1"/>
    <col min="4486" max="4488" width="9.28515625" style="1" bestFit="1" customWidth="1"/>
    <col min="4489" max="4491" width="9.140625" style="1"/>
    <col min="4492" max="4493" width="9.28515625" style="1" bestFit="1" customWidth="1"/>
    <col min="4494" max="4494" width="9.140625" style="1"/>
    <col min="4495" max="4496" width="9.28515625" style="1" bestFit="1" customWidth="1"/>
    <col min="4497" max="4497" width="9.140625" style="1"/>
    <col min="4498" max="4498" width="9.28515625" style="1" bestFit="1" customWidth="1"/>
    <col min="4499" max="4501" width="9.140625" style="1"/>
    <col min="4502" max="4504" width="9.28515625" style="1" bestFit="1" customWidth="1"/>
    <col min="4505" max="4507" width="9.140625" style="1"/>
    <col min="4508" max="4509" width="9.28515625" style="1" bestFit="1" customWidth="1"/>
    <col min="4510" max="4510" width="9.140625" style="1"/>
    <col min="4511" max="4512" width="9.28515625" style="1" bestFit="1" customWidth="1"/>
    <col min="4513" max="4513" width="9.140625" style="1"/>
    <col min="4514" max="4514" width="9.28515625" style="1" bestFit="1" customWidth="1"/>
    <col min="4515" max="4517" width="9.140625" style="1"/>
    <col min="4518" max="4520" width="9.28515625" style="1" bestFit="1" customWidth="1"/>
    <col min="4521" max="4523" width="9.140625" style="1"/>
    <col min="4524" max="4525" width="9.28515625" style="1" bestFit="1" customWidth="1"/>
    <col min="4526" max="4526" width="9.140625" style="1"/>
    <col min="4527" max="4528" width="9.28515625" style="1" bestFit="1" customWidth="1"/>
    <col min="4529" max="4529" width="9.140625" style="1"/>
    <col min="4530" max="4530" width="9.28515625" style="1" bestFit="1" customWidth="1"/>
    <col min="4531" max="4533" width="9.140625" style="1"/>
    <col min="4534" max="4536" width="9.28515625" style="1" bestFit="1" customWidth="1"/>
    <col min="4537" max="4539" width="9.140625" style="1"/>
    <col min="4540" max="4541" width="9.28515625" style="1" bestFit="1" customWidth="1"/>
    <col min="4542" max="4542" width="9.140625" style="1"/>
    <col min="4543" max="4544" width="9.28515625" style="1" bestFit="1" customWidth="1"/>
    <col min="4545" max="4545" width="9.140625" style="1"/>
    <col min="4546" max="4546" width="9.28515625" style="1" bestFit="1" customWidth="1"/>
    <col min="4547" max="4549" width="9.140625" style="1"/>
    <col min="4550" max="4552" width="9.28515625" style="1" bestFit="1" customWidth="1"/>
    <col min="4553" max="4555" width="9.140625" style="1"/>
    <col min="4556" max="4557" width="9.28515625" style="1" bestFit="1" customWidth="1"/>
    <col min="4558" max="4558" width="9.140625" style="1"/>
    <col min="4559" max="4560" width="9.28515625" style="1" bestFit="1" customWidth="1"/>
    <col min="4561" max="4561" width="9.140625" style="1"/>
    <col min="4562" max="4562" width="9.28515625" style="1" bestFit="1" customWidth="1"/>
    <col min="4563" max="4565" width="9.140625" style="1"/>
    <col min="4566" max="4568" width="9.28515625" style="1" bestFit="1" customWidth="1"/>
    <col min="4569" max="4571" width="9.140625" style="1"/>
    <col min="4572" max="4573" width="9.28515625" style="1" bestFit="1" customWidth="1"/>
    <col min="4574" max="4574" width="9.140625" style="1"/>
    <col min="4575" max="4576" width="9.28515625" style="1" bestFit="1" customWidth="1"/>
    <col min="4577" max="4577" width="9.140625" style="1"/>
    <col min="4578" max="4578" width="9.28515625" style="1" bestFit="1" customWidth="1"/>
    <col min="4579" max="4581" width="9.140625" style="1"/>
    <col min="4582" max="4584" width="9.28515625" style="1" bestFit="1" customWidth="1"/>
    <col min="4585" max="4587" width="9.140625" style="1"/>
    <col min="4588" max="4589" width="9.28515625" style="1" bestFit="1" customWidth="1"/>
    <col min="4590" max="4590" width="9.140625" style="1"/>
    <col min="4591" max="4592" width="9.28515625" style="1" bestFit="1" customWidth="1"/>
    <col min="4593" max="4593" width="9.140625" style="1"/>
    <col min="4594" max="4594" width="9.28515625" style="1" bestFit="1" customWidth="1"/>
    <col min="4595" max="4597" width="9.140625" style="1"/>
    <col min="4598" max="4600" width="9.28515625" style="1" bestFit="1" customWidth="1"/>
    <col min="4601" max="4603" width="9.140625" style="1"/>
    <col min="4604" max="4605" width="9.28515625" style="1" bestFit="1" customWidth="1"/>
    <col min="4606" max="4606" width="9.140625" style="1"/>
    <col min="4607" max="4608" width="9.28515625" style="1" bestFit="1" customWidth="1"/>
    <col min="4609" max="4609" width="9.140625" style="1"/>
    <col min="4610" max="4610" width="9.28515625" style="1" bestFit="1" customWidth="1"/>
    <col min="4611" max="4613" width="9.140625" style="1"/>
    <col min="4614" max="4616" width="9.28515625" style="1" bestFit="1" customWidth="1"/>
    <col min="4617" max="4619" width="9.140625" style="1"/>
    <col min="4620" max="4621" width="9.28515625" style="1" bestFit="1" customWidth="1"/>
    <col min="4622" max="4622" width="9.140625" style="1"/>
    <col min="4623" max="4624" width="9.28515625" style="1" bestFit="1" customWidth="1"/>
    <col min="4625" max="4625" width="9.140625" style="1"/>
    <col min="4626" max="4626" width="9.28515625" style="1" bestFit="1" customWidth="1"/>
    <col min="4627" max="4629" width="9.140625" style="1"/>
    <col min="4630" max="4632" width="9.28515625" style="1" bestFit="1" customWidth="1"/>
    <col min="4633" max="4635" width="9.140625" style="1"/>
    <col min="4636" max="4637" width="9.28515625" style="1" bestFit="1" customWidth="1"/>
    <col min="4638" max="4638" width="9.140625" style="1"/>
    <col min="4639" max="4640" width="9.28515625" style="1" bestFit="1" customWidth="1"/>
    <col min="4641" max="4641" width="9.140625" style="1"/>
    <col min="4642" max="4642" width="9.28515625" style="1" bestFit="1" customWidth="1"/>
    <col min="4643" max="4645" width="9.140625" style="1"/>
    <col min="4646" max="4648" width="9.28515625" style="1" bestFit="1" customWidth="1"/>
    <col min="4649" max="4651" width="9.140625" style="1"/>
    <col min="4652" max="4653" width="9.28515625" style="1" bestFit="1" customWidth="1"/>
    <col min="4654" max="4654" width="9.140625" style="1"/>
    <col min="4655" max="4656" width="9.28515625" style="1" bestFit="1" customWidth="1"/>
    <col min="4657" max="4657" width="9.140625" style="1"/>
    <col min="4658" max="4658" width="9.28515625" style="1" bestFit="1" customWidth="1"/>
    <col min="4659" max="4661" width="9.140625" style="1"/>
    <col min="4662" max="4664" width="9.28515625" style="1" bestFit="1" customWidth="1"/>
    <col min="4665" max="4667" width="9.140625" style="1"/>
    <col min="4668" max="4669" width="9.28515625" style="1" bestFit="1" customWidth="1"/>
    <col min="4670" max="4670" width="9.140625" style="1"/>
    <col min="4671" max="4672" width="9.28515625" style="1" bestFit="1" customWidth="1"/>
    <col min="4673" max="4673" width="9.140625" style="1"/>
    <col min="4674" max="4674" width="9.28515625" style="1" bestFit="1" customWidth="1"/>
    <col min="4675" max="4677" width="9.140625" style="1"/>
    <col min="4678" max="4680" width="9.28515625" style="1" bestFit="1" customWidth="1"/>
    <col min="4681" max="4683" width="9.140625" style="1"/>
    <col min="4684" max="4685" width="9.28515625" style="1" bestFit="1" customWidth="1"/>
    <col min="4686" max="4686" width="9.140625" style="1"/>
    <col min="4687" max="4688" width="9.28515625" style="1" bestFit="1" customWidth="1"/>
    <col min="4689" max="4689" width="9.140625" style="1"/>
    <col min="4690" max="4690" width="9.28515625" style="1" bestFit="1" customWidth="1"/>
    <col min="4691" max="4693" width="9.140625" style="1"/>
    <col min="4694" max="4696" width="9.28515625" style="1" bestFit="1" customWidth="1"/>
    <col min="4697" max="4699" width="9.140625" style="1"/>
    <col min="4700" max="4701" width="9.28515625" style="1" bestFit="1" customWidth="1"/>
    <col min="4702" max="4702" width="9.140625" style="1"/>
    <col min="4703" max="4704" width="9.28515625" style="1" bestFit="1" customWidth="1"/>
    <col min="4705" max="4705" width="9.140625" style="1"/>
    <col min="4706" max="4706" width="9.28515625" style="1" bestFit="1" customWidth="1"/>
    <col min="4707" max="4709" width="9.140625" style="1"/>
    <col min="4710" max="4712" width="9.28515625" style="1" bestFit="1" customWidth="1"/>
    <col min="4713" max="4715" width="9.140625" style="1"/>
    <col min="4716" max="4717" width="9.28515625" style="1" bestFit="1" customWidth="1"/>
    <col min="4718" max="4718" width="9.140625" style="1"/>
    <col min="4719" max="4720" width="9.28515625" style="1" bestFit="1" customWidth="1"/>
    <col min="4721" max="4721" width="9.140625" style="1"/>
    <col min="4722" max="4722" width="9.28515625" style="1" bestFit="1" customWidth="1"/>
    <col min="4723" max="4725" width="9.140625" style="1"/>
    <col min="4726" max="4728" width="9.28515625" style="1" bestFit="1" customWidth="1"/>
    <col min="4729" max="4731" width="9.140625" style="1"/>
    <col min="4732" max="4733" width="9.28515625" style="1" bestFit="1" customWidth="1"/>
    <col min="4734" max="4734" width="9.140625" style="1"/>
    <col min="4735" max="4736" width="9.28515625" style="1" bestFit="1" customWidth="1"/>
    <col min="4737" max="4737" width="9.140625" style="1"/>
    <col min="4738" max="4738" width="9.28515625" style="1" bestFit="1" customWidth="1"/>
    <col min="4739" max="4741" width="9.140625" style="1"/>
    <col min="4742" max="4744" width="9.28515625" style="1" bestFit="1" customWidth="1"/>
    <col min="4745" max="4747" width="9.140625" style="1"/>
    <col min="4748" max="4749" width="9.28515625" style="1" bestFit="1" customWidth="1"/>
    <col min="4750" max="4750" width="9.140625" style="1"/>
    <col min="4751" max="4752" width="9.28515625" style="1" bestFit="1" customWidth="1"/>
    <col min="4753" max="4753" width="9.140625" style="1"/>
    <col min="4754" max="4754" width="9.28515625" style="1" bestFit="1" customWidth="1"/>
    <col min="4755" max="4757" width="9.140625" style="1"/>
    <col min="4758" max="4760" width="9.28515625" style="1" bestFit="1" customWidth="1"/>
    <col min="4761" max="4763" width="9.140625" style="1"/>
    <col min="4764" max="4765" width="9.28515625" style="1" bestFit="1" customWidth="1"/>
    <col min="4766" max="4766" width="9.140625" style="1"/>
    <col min="4767" max="4768" width="9.28515625" style="1" bestFit="1" customWidth="1"/>
    <col min="4769" max="4769" width="9.140625" style="1"/>
    <col min="4770" max="4770" width="9.28515625" style="1" bestFit="1" customWidth="1"/>
    <col min="4771" max="4773" width="9.140625" style="1"/>
    <col min="4774" max="4776" width="9.28515625" style="1" bestFit="1" customWidth="1"/>
    <col min="4777" max="4779" width="9.140625" style="1"/>
    <col min="4780" max="4781" width="9.28515625" style="1" bestFit="1" customWidth="1"/>
    <col min="4782" max="4782" width="9.140625" style="1"/>
    <col min="4783" max="4784" width="9.28515625" style="1" bestFit="1" customWidth="1"/>
    <col min="4785" max="4785" width="9.140625" style="1"/>
    <col min="4786" max="4786" width="9.28515625" style="1" bestFit="1" customWidth="1"/>
    <col min="4787" max="4789" width="9.140625" style="1"/>
    <col min="4790" max="4792" width="9.28515625" style="1" bestFit="1" customWidth="1"/>
    <col min="4793" max="4795" width="9.140625" style="1"/>
    <col min="4796" max="4797" width="9.28515625" style="1" bestFit="1" customWidth="1"/>
    <col min="4798" max="4798" width="9.140625" style="1"/>
    <col min="4799" max="4800" width="9.28515625" style="1" bestFit="1" customWidth="1"/>
    <col min="4801" max="4801" width="9.140625" style="1"/>
    <col min="4802" max="4802" width="9.28515625" style="1" bestFit="1" customWidth="1"/>
    <col min="4803" max="4805" width="9.140625" style="1"/>
    <col min="4806" max="4808" width="9.28515625" style="1" bestFit="1" customWidth="1"/>
    <col min="4809" max="4811" width="9.140625" style="1"/>
    <col min="4812" max="4813" width="9.28515625" style="1" bestFit="1" customWidth="1"/>
    <col min="4814" max="4814" width="9.140625" style="1"/>
    <col min="4815" max="4816" width="9.28515625" style="1" bestFit="1" customWidth="1"/>
    <col min="4817" max="4817" width="9.140625" style="1"/>
    <col min="4818" max="4818" width="9.28515625" style="1" bestFit="1" customWidth="1"/>
    <col min="4819" max="4821" width="9.140625" style="1"/>
    <col min="4822" max="4824" width="9.28515625" style="1" bestFit="1" customWidth="1"/>
    <col min="4825" max="4827" width="9.140625" style="1"/>
    <col min="4828" max="4829" width="9.28515625" style="1" bestFit="1" customWidth="1"/>
    <col min="4830" max="4830" width="9.140625" style="1"/>
    <col min="4831" max="4832" width="9.28515625" style="1" bestFit="1" customWidth="1"/>
    <col min="4833" max="4833" width="9.140625" style="1"/>
    <col min="4834" max="4834" width="9.28515625" style="1" bestFit="1" customWidth="1"/>
    <col min="4835" max="4837" width="9.140625" style="1"/>
    <col min="4838" max="4840" width="9.28515625" style="1" bestFit="1" customWidth="1"/>
    <col min="4841" max="4843" width="9.140625" style="1"/>
    <col min="4844" max="4845" width="9.28515625" style="1" bestFit="1" customWidth="1"/>
    <col min="4846" max="4846" width="9.140625" style="1"/>
    <col min="4847" max="4848" width="9.28515625" style="1" bestFit="1" customWidth="1"/>
    <col min="4849" max="4849" width="9.140625" style="1"/>
    <col min="4850" max="4850" width="9.28515625" style="1" bestFit="1" customWidth="1"/>
    <col min="4851" max="4853" width="9.140625" style="1"/>
    <col min="4854" max="4856" width="9.28515625" style="1" bestFit="1" customWidth="1"/>
    <col min="4857" max="4859" width="9.140625" style="1"/>
    <col min="4860" max="4861" width="9.28515625" style="1" bestFit="1" customWidth="1"/>
    <col min="4862" max="4862" width="9.140625" style="1"/>
    <col min="4863" max="4864" width="9.28515625" style="1" bestFit="1" customWidth="1"/>
    <col min="4865" max="4865" width="9.140625" style="1"/>
    <col min="4866" max="4866" width="9.28515625" style="1" bestFit="1" customWidth="1"/>
    <col min="4867" max="4869" width="9.140625" style="1"/>
    <col min="4870" max="4872" width="9.28515625" style="1" bestFit="1" customWidth="1"/>
    <col min="4873" max="4875" width="9.140625" style="1"/>
    <col min="4876" max="4877" width="9.28515625" style="1" bestFit="1" customWidth="1"/>
    <col min="4878" max="4878" width="9.140625" style="1"/>
    <col min="4879" max="4880" width="9.28515625" style="1" bestFit="1" customWidth="1"/>
    <col min="4881" max="4881" width="9.140625" style="1"/>
    <col min="4882" max="4882" width="9.28515625" style="1" bestFit="1" customWidth="1"/>
    <col min="4883" max="4885" width="9.140625" style="1"/>
    <col min="4886" max="4888" width="9.28515625" style="1" bestFit="1" customWidth="1"/>
    <col min="4889" max="4891" width="9.140625" style="1"/>
    <col min="4892" max="4893" width="9.28515625" style="1" bestFit="1" customWidth="1"/>
    <col min="4894" max="4894" width="9.140625" style="1"/>
    <col min="4895" max="4896" width="9.28515625" style="1" bestFit="1" customWidth="1"/>
    <col min="4897" max="4897" width="9.140625" style="1"/>
    <col min="4898" max="4898" width="9.28515625" style="1" bestFit="1" customWidth="1"/>
    <col min="4899" max="4901" width="9.140625" style="1"/>
    <col min="4902" max="4904" width="9.28515625" style="1" bestFit="1" customWidth="1"/>
    <col min="4905" max="4907" width="9.140625" style="1"/>
    <col min="4908" max="4909" width="9.28515625" style="1" bestFit="1" customWidth="1"/>
    <col min="4910" max="4910" width="9.140625" style="1"/>
    <col min="4911" max="4912" width="9.28515625" style="1" bestFit="1" customWidth="1"/>
    <col min="4913" max="4913" width="9.140625" style="1"/>
    <col min="4914" max="4914" width="9.28515625" style="1" bestFit="1" customWidth="1"/>
    <col min="4915" max="4917" width="9.140625" style="1"/>
    <col min="4918" max="4920" width="9.28515625" style="1" bestFit="1" customWidth="1"/>
    <col min="4921" max="4923" width="9.140625" style="1"/>
    <col min="4924" max="4925" width="9.28515625" style="1" bestFit="1" customWidth="1"/>
    <col min="4926" max="4926" width="9.140625" style="1"/>
    <col min="4927" max="4928" width="9.28515625" style="1" bestFit="1" customWidth="1"/>
    <col min="4929" max="4929" width="9.140625" style="1"/>
    <col min="4930" max="4930" width="9.28515625" style="1" bestFit="1" customWidth="1"/>
    <col min="4931" max="4933" width="9.140625" style="1"/>
    <col min="4934" max="4936" width="9.28515625" style="1" bestFit="1" customWidth="1"/>
    <col min="4937" max="4939" width="9.140625" style="1"/>
    <col min="4940" max="4941" width="9.28515625" style="1" bestFit="1" customWidth="1"/>
    <col min="4942" max="4942" width="9.140625" style="1"/>
    <col min="4943" max="4944" width="9.28515625" style="1" bestFit="1" customWidth="1"/>
    <col min="4945" max="4945" width="9.140625" style="1"/>
    <col min="4946" max="4946" width="9.28515625" style="1" bestFit="1" customWidth="1"/>
    <col min="4947" max="4949" width="9.140625" style="1"/>
    <col min="4950" max="4952" width="9.28515625" style="1" bestFit="1" customWidth="1"/>
    <col min="4953" max="4955" width="9.140625" style="1"/>
    <col min="4956" max="4957" width="9.28515625" style="1" bestFit="1" customWidth="1"/>
    <col min="4958" max="4958" width="9.140625" style="1"/>
    <col min="4959" max="4960" width="9.28515625" style="1" bestFit="1" customWidth="1"/>
    <col min="4961" max="4961" width="9.140625" style="1"/>
    <col min="4962" max="4962" width="9.28515625" style="1" bestFit="1" customWidth="1"/>
    <col min="4963" max="4965" width="9.140625" style="1"/>
    <col min="4966" max="4968" width="9.28515625" style="1" bestFit="1" customWidth="1"/>
    <col min="4969" max="4971" width="9.140625" style="1"/>
    <col min="4972" max="4973" width="9.28515625" style="1" bestFit="1" customWidth="1"/>
    <col min="4974" max="4974" width="9.140625" style="1"/>
    <col min="4975" max="4976" width="9.28515625" style="1" bestFit="1" customWidth="1"/>
    <col min="4977" max="4977" width="9.140625" style="1"/>
    <col min="4978" max="4978" width="9.28515625" style="1" bestFit="1" customWidth="1"/>
    <col min="4979" max="4981" width="9.140625" style="1"/>
    <col min="4982" max="4984" width="9.28515625" style="1" bestFit="1" customWidth="1"/>
    <col min="4985" max="4987" width="9.140625" style="1"/>
    <col min="4988" max="4989" width="9.28515625" style="1" bestFit="1" customWidth="1"/>
    <col min="4990" max="4990" width="9.140625" style="1"/>
    <col min="4991" max="4992" width="9.28515625" style="1" bestFit="1" customWidth="1"/>
    <col min="4993" max="4993" width="9.140625" style="1"/>
    <col min="4994" max="4994" width="9.28515625" style="1" bestFit="1" customWidth="1"/>
    <col min="4995" max="4997" width="9.140625" style="1"/>
    <col min="4998" max="5000" width="9.28515625" style="1" bestFit="1" customWidth="1"/>
    <col min="5001" max="5003" width="9.140625" style="1"/>
    <col min="5004" max="5005" width="9.28515625" style="1" bestFit="1" customWidth="1"/>
    <col min="5006" max="5006" width="9.140625" style="1"/>
    <col min="5007" max="5008" width="9.28515625" style="1" bestFit="1" customWidth="1"/>
    <col min="5009" max="5009" width="9.140625" style="1"/>
    <col min="5010" max="5010" width="9.28515625" style="1" bestFit="1" customWidth="1"/>
    <col min="5011" max="5013" width="9.140625" style="1"/>
    <col min="5014" max="5016" width="9.28515625" style="1" bestFit="1" customWidth="1"/>
    <col min="5017" max="5019" width="9.140625" style="1"/>
    <col min="5020" max="5021" width="9.28515625" style="1" bestFit="1" customWidth="1"/>
    <col min="5022" max="5022" width="9.140625" style="1"/>
    <col min="5023" max="5024" width="9.28515625" style="1" bestFit="1" customWidth="1"/>
    <col min="5025" max="5025" width="9.140625" style="1"/>
    <col min="5026" max="5026" width="9.28515625" style="1" bestFit="1" customWidth="1"/>
    <col min="5027" max="5029" width="9.140625" style="1"/>
    <col min="5030" max="5032" width="9.28515625" style="1" bestFit="1" customWidth="1"/>
    <col min="5033" max="5035" width="9.140625" style="1"/>
    <col min="5036" max="5037" width="9.28515625" style="1" bestFit="1" customWidth="1"/>
    <col min="5038" max="5038" width="9.140625" style="1"/>
    <col min="5039" max="5040" width="9.28515625" style="1" bestFit="1" customWidth="1"/>
    <col min="5041" max="5041" width="9.140625" style="1"/>
    <col min="5042" max="5042" width="9.28515625" style="1" bestFit="1" customWidth="1"/>
    <col min="5043" max="5045" width="9.140625" style="1"/>
    <col min="5046" max="5048" width="9.28515625" style="1" bestFit="1" customWidth="1"/>
    <col min="5049" max="5051" width="9.140625" style="1"/>
    <col min="5052" max="5053" width="9.28515625" style="1" bestFit="1" customWidth="1"/>
    <col min="5054" max="5054" width="9.140625" style="1"/>
    <col min="5055" max="5056" width="9.28515625" style="1" bestFit="1" customWidth="1"/>
    <col min="5057" max="5057" width="9.140625" style="1"/>
    <col min="5058" max="5058" width="9.28515625" style="1" bestFit="1" customWidth="1"/>
    <col min="5059" max="5061" width="9.140625" style="1"/>
    <col min="5062" max="5064" width="9.28515625" style="1" bestFit="1" customWidth="1"/>
    <col min="5065" max="5067" width="9.140625" style="1"/>
    <col min="5068" max="5069" width="9.28515625" style="1" bestFit="1" customWidth="1"/>
    <col min="5070" max="5070" width="9.140625" style="1"/>
    <col min="5071" max="5072" width="9.28515625" style="1" bestFit="1" customWidth="1"/>
    <col min="5073" max="5073" width="9.140625" style="1"/>
    <col min="5074" max="5074" width="9.28515625" style="1" bestFit="1" customWidth="1"/>
    <col min="5075" max="5077" width="9.140625" style="1"/>
    <col min="5078" max="5080" width="9.28515625" style="1" bestFit="1" customWidth="1"/>
    <col min="5081" max="5083" width="9.140625" style="1"/>
    <col min="5084" max="5085" width="9.28515625" style="1" bestFit="1" customWidth="1"/>
    <col min="5086" max="5086" width="9.140625" style="1"/>
    <col min="5087" max="5088" width="9.28515625" style="1" bestFit="1" customWidth="1"/>
    <col min="5089" max="5089" width="9.140625" style="1"/>
    <col min="5090" max="5090" width="9.28515625" style="1" bestFit="1" customWidth="1"/>
    <col min="5091" max="5093" width="9.140625" style="1"/>
    <col min="5094" max="5096" width="9.28515625" style="1" bestFit="1" customWidth="1"/>
    <col min="5097" max="5099" width="9.140625" style="1"/>
    <col min="5100" max="5101" width="9.28515625" style="1" bestFit="1" customWidth="1"/>
    <col min="5102" max="5102" width="9.140625" style="1"/>
    <col min="5103" max="5104" width="9.28515625" style="1" bestFit="1" customWidth="1"/>
    <col min="5105" max="5105" width="9.140625" style="1"/>
    <col min="5106" max="5106" width="9.28515625" style="1" bestFit="1" customWidth="1"/>
    <col min="5107" max="5109" width="9.140625" style="1"/>
    <col min="5110" max="5112" width="9.28515625" style="1" bestFit="1" customWidth="1"/>
    <col min="5113" max="5115" width="9.140625" style="1"/>
    <col min="5116" max="5117" width="9.28515625" style="1" bestFit="1" customWidth="1"/>
    <col min="5118" max="5118" width="9.140625" style="1"/>
    <col min="5119" max="5120" width="9.28515625" style="1" bestFit="1" customWidth="1"/>
    <col min="5121" max="5121" width="9.140625" style="1"/>
    <col min="5122" max="5122" width="9.28515625" style="1" bestFit="1" customWidth="1"/>
    <col min="5123" max="5125" width="9.140625" style="1"/>
    <col min="5126" max="5128" width="9.28515625" style="1" bestFit="1" customWidth="1"/>
    <col min="5129" max="5131" width="9.140625" style="1"/>
    <col min="5132" max="5133" width="9.28515625" style="1" bestFit="1" customWidth="1"/>
    <col min="5134" max="5134" width="9.140625" style="1"/>
    <col min="5135" max="5136" width="9.28515625" style="1" bestFit="1" customWidth="1"/>
    <col min="5137" max="5137" width="9.140625" style="1"/>
    <col min="5138" max="5138" width="9.28515625" style="1" bestFit="1" customWidth="1"/>
    <col min="5139" max="5141" width="9.140625" style="1"/>
    <col min="5142" max="5144" width="9.28515625" style="1" bestFit="1" customWidth="1"/>
    <col min="5145" max="5147" width="9.140625" style="1"/>
    <col min="5148" max="5149" width="9.28515625" style="1" bestFit="1" customWidth="1"/>
    <col min="5150" max="5150" width="9.140625" style="1"/>
    <col min="5151" max="5152" width="9.28515625" style="1" bestFit="1" customWidth="1"/>
    <col min="5153" max="5153" width="9.140625" style="1"/>
    <col min="5154" max="5154" width="9.28515625" style="1" bestFit="1" customWidth="1"/>
    <col min="5155" max="5157" width="9.140625" style="1"/>
    <col min="5158" max="5160" width="9.28515625" style="1" bestFit="1" customWidth="1"/>
    <col min="5161" max="5163" width="9.140625" style="1"/>
    <col min="5164" max="5165" width="9.28515625" style="1" bestFit="1" customWidth="1"/>
    <col min="5166" max="5166" width="9.140625" style="1"/>
    <col min="5167" max="5168" width="9.28515625" style="1" bestFit="1" customWidth="1"/>
    <col min="5169" max="5169" width="9.140625" style="1"/>
    <col min="5170" max="5170" width="9.28515625" style="1" bestFit="1" customWidth="1"/>
    <col min="5171" max="5173" width="9.140625" style="1"/>
    <col min="5174" max="5176" width="9.28515625" style="1" bestFit="1" customWidth="1"/>
    <col min="5177" max="5179" width="9.140625" style="1"/>
    <col min="5180" max="5181" width="9.28515625" style="1" bestFit="1" customWidth="1"/>
    <col min="5182" max="5182" width="9.140625" style="1"/>
    <col min="5183" max="5184" width="9.28515625" style="1" bestFit="1" customWidth="1"/>
    <col min="5185" max="5185" width="9.140625" style="1"/>
    <col min="5186" max="5186" width="9.28515625" style="1" bestFit="1" customWidth="1"/>
    <col min="5187" max="5189" width="9.140625" style="1"/>
    <col min="5190" max="5192" width="9.28515625" style="1" bestFit="1" customWidth="1"/>
    <col min="5193" max="5195" width="9.140625" style="1"/>
    <col min="5196" max="5197" width="9.28515625" style="1" bestFit="1" customWidth="1"/>
    <col min="5198" max="5198" width="9.140625" style="1"/>
    <col min="5199" max="5200" width="9.28515625" style="1" bestFit="1" customWidth="1"/>
    <col min="5201" max="5201" width="9.140625" style="1"/>
    <col min="5202" max="5202" width="9.28515625" style="1" bestFit="1" customWidth="1"/>
    <col min="5203" max="5205" width="9.140625" style="1"/>
    <col min="5206" max="5208" width="9.28515625" style="1" bestFit="1" customWidth="1"/>
    <col min="5209" max="5211" width="9.140625" style="1"/>
    <col min="5212" max="5213" width="9.28515625" style="1" bestFit="1" customWidth="1"/>
    <col min="5214" max="5214" width="9.140625" style="1"/>
    <col min="5215" max="5216" width="9.28515625" style="1" bestFit="1" customWidth="1"/>
    <col min="5217" max="5217" width="9.140625" style="1"/>
    <col min="5218" max="5218" width="9.28515625" style="1" bestFit="1" customWidth="1"/>
    <col min="5219" max="5221" width="9.140625" style="1"/>
    <col min="5222" max="5224" width="9.28515625" style="1" bestFit="1" customWidth="1"/>
    <col min="5225" max="5227" width="9.140625" style="1"/>
    <col min="5228" max="5229" width="9.28515625" style="1" bestFit="1" customWidth="1"/>
    <col min="5230" max="5230" width="9.140625" style="1"/>
    <col min="5231" max="5232" width="9.28515625" style="1" bestFit="1" customWidth="1"/>
    <col min="5233" max="5233" width="9.140625" style="1"/>
    <col min="5234" max="5234" width="9.28515625" style="1" bestFit="1" customWidth="1"/>
    <col min="5235" max="5237" width="9.140625" style="1"/>
    <col min="5238" max="5240" width="9.28515625" style="1" bestFit="1" customWidth="1"/>
    <col min="5241" max="5243" width="9.140625" style="1"/>
    <col min="5244" max="5245" width="9.28515625" style="1" bestFit="1" customWidth="1"/>
    <col min="5246" max="5246" width="9.140625" style="1"/>
    <col min="5247" max="5248" width="9.28515625" style="1" bestFit="1" customWidth="1"/>
    <col min="5249" max="5249" width="9.140625" style="1"/>
    <col min="5250" max="5250" width="9.28515625" style="1" bestFit="1" customWidth="1"/>
    <col min="5251" max="5253" width="9.140625" style="1"/>
    <col min="5254" max="5256" width="9.28515625" style="1" bestFit="1" customWidth="1"/>
    <col min="5257" max="5259" width="9.140625" style="1"/>
    <col min="5260" max="5261" width="9.28515625" style="1" bestFit="1" customWidth="1"/>
    <col min="5262" max="5262" width="9.140625" style="1"/>
    <col min="5263" max="5264" width="9.28515625" style="1" bestFit="1" customWidth="1"/>
    <col min="5265" max="5265" width="9.140625" style="1"/>
    <col min="5266" max="5266" width="9.28515625" style="1" bestFit="1" customWidth="1"/>
    <col min="5267" max="5269" width="9.140625" style="1"/>
    <col min="5270" max="5272" width="9.28515625" style="1" bestFit="1" customWidth="1"/>
    <col min="5273" max="5275" width="9.140625" style="1"/>
    <col min="5276" max="5277" width="9.28515625" style="1" bestFit="1" customWidth="1"/>
    <col min="5278" max="5278" width="9.140625" style="1"/>
    <col min="5279" max="5280" width="9.28515625" style="1" bestFit="1" customWidth="1"/>
    <col min="5281" max="5281" width="9.140625" style="1"/>
    <col min="5282" max="5282" width="9.28515625" style="1" bestFit="1" customWidth="1"/>
    <col min="5283" max="5285" width="9.140625" style="1"/>
    <col min="5286" max="5288" width="9.28515625" style="1" bestFit="1" customWidth="1"/>
    <col min="5289" max="5291" width="9.140625" style="1"/>
    <col min="5292" max="5293" width="9.28515625" style="1" bestFit="1" customWidth="1"/>
    <col min="5294" max="5294" width="9.140625" style="1"/>
    <col min="5295" max="5296" width="9.28515625" style="1" bestFit="1" customWidth="1"/>
    <col min="5297" max="5297" width="9.140625" style="1"/>
    <col min="5298" max="5298" width="9.28515625" style="1" bestFit="1" customWidth="1"/>
    <col min="5299" max="5301" width="9.140625" style="1"/>
    <col min="5302" max="5304" width="9.28515625" style="1" bestFit="1" customWidth="1"/>
    <col min="5305" max="5307" width="9.140625" style="1"/>
    <col min="5308" max="5309" width="9.28515625" style="1" bestFit="1" customWidth="1"/>
    <col min="5310" max="5310" width="9.140625" style="1"/>
    <col min="5311" max="5312" width="9.28515625" style="1" bestFit="1" customWidth="1"/>
    <col min="5313" max="5313" width="9.140625" style="1"/>
    <col min="5314" max="5314" width="9.28515625" style="1" bestFit="1" customWidth="1"/>
    <col min="5315" max="5317" width="9.140625" style="1"/>
    <col min="5318" max="5320" width="9.28515625" style="1" bestFit="1" customWidth="1"/>
    <col min="5321" max="5323" width="9.140625" style="1"/>
    <col min="5324" max="5325" width="9.28515625" style="1" bestFit="1" customWidth="1"/>
    <col min="5326" max="5326" width="9.140625" style="1"/>
    <col min="5327" max="5328" width="9.28515625" style="1" bestFit="1" customWidth="1"/>
    <col min="5329" max="5329" width="9.140625" style="1"/>
    <col min="5330" max="5330" width="9.28515625" style="1" bestFit="1" customWidth="1"/>
    <col min="5331" max="5333" width="9.140625" style="1"/>
    <col min="5334" max="5336" width="9.28515625" style="1" bestFit="1" customWidth="1"/>
    <col min="5337" max="5339" width="9.140625" style="1"/>
    <col min="5340" max="5341" width="9.28515625" style="1" bestFit="1" customWidth="1"/>
    <col min="5342" max="5342" width="9.140625" style="1"/>
    <col min="5343" max="5344" width="9.28515625" style="1" bestFit="1" customWidth="1"/>
    <col min="5345" max="5345" width="9.140625" style="1"/>
    <col min="5346" max="5346" width="9.28515625" style="1" bestFit="1" customWidth="1"/>
    <col min="5347" max="5349" width="9.140625" style="1"/>
    <col min="5350" max="5352" width="9.28515625" style="1" bestFit="1" customWidth="1"/>
    <col min="5353" max="5355" width="9.140625" style="1"/>
    <col min="5356" max="5357" width="9.28515625" style="1" bestFit="1" customWidth="1"/>
    <col min="5358" max="5358" width="9.140625" style="1"/>
    <col min="5359" max="5360" width="9.28515625" style="1" bestFit="1" customWidth="1"/>
    <col min="5361" max="5361" width="9.140625" style="1"/>
    <col min="5362" max="5362" width="9.28515625" style="1" bestFit="1" customWidth="1"/>
    <col min="5363" max="5365" width="9.140625" style="1"/>
    <col min="5366" max="5368" width="9.28515625" style="1" bestFit="1" customWidth="1"/>
    <col min="5369" max="5371" width="9.140625" style="1"/>
    <col min="5372" max="5373" width="9.28515625" style="1" bestFit="1" customWidth="1"/>
    <col min="5374" max="5374" width="9.140625" style="1"/>
    <col min="5375" max="5376" width="9.28515625" style="1" bestFit="1" customWidth="1"/>
    <col min="5377" max="5377" width="9.140625" style="1"/>
    <col min="5378" max="5378" width="9.28515625" style="1" bestFit="1" customWidth="1"/>
    <col min="5379" max="5381" width="9.140625" style="1"/>
    <col min="5382" max="5384" width="9.28515625" style="1" bestFit="1" customWidth="1"/>
    <col min="5385" max="5387" width="9.140625" style="1"/>
    <col min="5388" max="5389" width="9.28515625" style="1" bestFit="1" customWidth="1"/>
    <col min="5390" max="5390" width="9.140625" style="1"/>
    <col min="5391" max="5392" width="9.28515625" style="1" bestFit="1" customWidth="1"/>
    <col min="5393" max="5393" width="9.140625" style="1"/>
    <col min="5394" max="5394" width="9.28515625" style="1" bestFit="1" customWidth="1"/>
    <col min="5395" max="5397" width="9.140625" style="1"/>
    <col min="5398" max="5400" width="9.28515625" style="1" bestFit="1" customWidth="1"/>
    <col min="5401" max="5403" width="9.140625" style="1"/>
    <col min="5404" max="5405" width="9.28515625" style="1" bestFit="1" customWidth="1"/>
    <col min="5406" max="5406" width="9.140625" style="1"/>
    <col min="5407" max="5408" width="9.28515625" style="1" bestFit="1" customWidth="1"/>
    <col min="5409" max="5409" width="9.140625" style="1"/>
    <col min="5410" max="5410" width="9.28515625" style="1" bestFit="1" customWidth="1"/>
    <col min="5411" max="5413" width="9.140625" style="1"/>
    <col min="5414" max="5416" width="9.28515625" style="1" bestFit="1" customWidth="1"/>
    <col min="5417" max="5419" width="9.140625" style="1"/>
    <col min="5420" max="5421" width="9.28515625" style="1" bestFit="1" customWidth="1"/>
    <col min="5422" max="5422" width="9.140625" style="1"/>
    <col min="5423" max="5424" width="9.28515625" style="1" bestFit="1" customWidth="1"/>
    <col min="5425" max="5425" width="9.140625" style="1"/>
    <col min="5426" max="5426" width="9.28515625" style="1" bestFit="1" customWidth="1"/>
    <col min="5427" max="5429" width="9.140625" style="1"/>
    <col min="5430" max="5432" width="9.28515625" style="1" bestFit="1" customWidth="1"/>
    <col min="5433" max="5435" width="9.140625" style="1"/>
    <col min="5436" max="5437" width="9.28515625" style="1" bestFit="1" customWidth="1"/>
    <col min="5438" max="5438" width="9.140625" style="1"/>
    <col min="5439" max="5440" width="9.28515625" style="1" bestFit="1" customWidth="1"/>
    <col min="5441" max="5441" width="9.140625" style="1"/>
    <col min="5442" max="5442" width="9.28515625" style="1" bestFit="1" customWidth="1"/>
    <col min="5443" max="5445" width="9.140625" style="1"/>
    <col min="5446" max="5448" width="9.28515625" style="1" bestFit="1" customWidth="1"/>
    <col min="5449" max="5451" width="9.140625" style="1"/>
    <col min="5452" max="5453" width="9.28515625" style="1" bestFit="1" customWidth="1"/>
    <col min="5454" max="5454" width="9.140625" style="1"/>
    <col min="5455" max="5456" width="9.28515625" style="1" bestFit="1" customWidth="1"/>
    <col min="5457" max="5457" width="9.140625" style="1"/>
    <col min="5458" max="5458" width="9.28515625" style="1" bestFit="1" customWidth="1"/>
    <col min="5459" max="5461" width="9.140625" style="1"/>
    <col min="5462" max="5464" width="9.28515625" style="1" bestFit="1" customWidth="1"/>
    <col min="5465" max="5467" width="9.140625" style="1"/>
    <col min="5468" max="5469" width="9.28515625" style="1" bestFit="1" customWidth="1"/>
    <col min="5470" max="5470" width="9.140625" style="1"/>
    <col min="5471" max="5472" width="9.28515625" style="1" bestFit="1" customWidth="1"/>
    <col min="5473" max="5473" width="9.140625" style="1"/>
    <col min="5474" max="5474" width="9.28515625" style="1" bestFit="1" customWidth="1"/>
    <col min="5475" max="5477" width="9.140625" style="1"/>
    <col min="5478" max="5480" width="9.28515625" style="1" bestFit="1" customWidth="1"/>
    <col min="5481" max="5483" width="9.140625" style="1"/>
    <col min="5484" max="5485" width="9.28515625" style="1" bestFit="1" customWidth="1"/>
    <col min="5486" max="5486" width="9.140625" style="1"/>
    <col min="5487" max="5488" width="9.28515625" style="1" bestFit="1" customWidth="1"/>
    <col min="5489" max="5489" width="9.140625" style="1"/>
    <col min="5490" max="5490" width="9.28515625" style="1" bestFit="1" customWidth="1"/>
    <col min="5491" max="5493" width="9.140625" style="1"/>
    <col min="5494" max="5496" width="9.28515625" style="1" bestFit="1" customWidth="1"/>
    <col min="5497" max="5499" width="9.140625" style="1"/>
    <col min="5500" max="5501" width="9.28515625" style="1" bestFit="1" customWidth="1"/>
    <col min="5502" max="5502" width="9.140625" style="1"/>
    <col min="5503" max="5504" width="9.28515625" style="1" bestFit="1" customWidth="1"/>
    <col min="5505" max="5505" width="9.140625" style="1"/>
    <col min="5506" max="5506" width="9.28515625" style="1" bestFit="1" customWidth="1"/>
    <col min="5507" max="5509" width="9.140625" style="1"/>
    <col min="5510" max="5512" width="9.28515625" style="1" bestFit="1" customWidth="1"/>
    <col min="5513" max="5515" width="9.140625" style="1"/>
    <col min="5516" max="5517" width="9.28515625" style="1" bestFit="1" customWidth="1"/>
    <col min="5518" max="5518" width="9.140625" style="1"/>
    <col min="5519" max="5520" width="9.28515625" style="1" bestFit="1" customWidth="1"/>
    <col min="5521" max="5521" width="9.140625" style="1"/>
    <col min="5522" max="5522" width="9.28515625" style="1" bestFit="1" customWidth="1"/>
    <col min="5523" max="5525" width="9.140625" style="1"/>
    <col min="5526" max="5528" width="9.28515625" style="1" bestFit="1" customWidth="1"/>
    <col min="5529" max="5531" width="9.140625" style="1"/>
    <col min="5532" max="5533" width="9.28515625" style="1" bestFit="1" customWidth="1"/>
    <col min="5534" max="5534" width="9.140625" style="1"/>
    <col min="5535" max="5536" width="9.28515625" style="1" bestFit="1" customWidth="1"/>
    <col min="5537" max="5537" width="9.140625" style="1"/>
    <col min="5538" max="5538" width="9.28515625" style="1" bestFit="1" customWidth="1"/>
    <col min="5539" max="5541" width="9.140625" style="1"/>
    <col min="5542" max="5544" width="9.28515625" style="1" bestFit="1" customWidth="1"/>
    <col min="5545" max="5547" width="9.140625" style="1"/>
    <col min="5548" max="5549" width="9.28515625" style="1" bestFit="1" customWidth="1"/>
    <col min="5550" max="5550" width="9.140625" style="1"/>
    <col min="5551" max="5552" width="9.28515625" style="1" bestFit="1" customWidth="1"/>
    <col min="5553" max="5553" width="9.140625" style="1"/>
    <col min="5554" max="5554" width="9.28515625" style="1" bestFit="1" customWidth="1"/>
    <col min="5555" max="5557" width="9.140625" style="1"/>
    <col min="5558" max="5560" width="9.28515625" style="1" bestFit="1" customWidth="1"/>
    <col min="5561" max="5563" width="9.140625" style="1"/>
    <col min="5564" max="5565" width="9.28515625" style="1" bestFit="1" customWidth="1"/>
    <col min="5566" max="5566" width="9.140625" style="1"/>
    <col min="5567" max="5568" width="9.28515625" style="1" bestFit="1" customWidth="1"/>
    <col min="5569" max="5569" width="9.140625" style="1"/>
    <col min="5570" max="5570" width="9.28515625" style="1" bestFit="1" customWidth="1"/>
    <col min="5571" max="5573" width="9.140625" style="1"/>
    <col min="5574" max="5576" width="9.28515625" style="1" bestFit="1" customWidth="1"/>
    <col min="5577" max="5579" width="9.140625" style="1"/>
    <col min="5580" max="5581" width="9.28515625" style="1" bestFit="1" customWidth="1"/>
    <col min="5582" max="5582" width="9.140625" style="1"/>
    <col min="5583" max="5584" width="9.28515625" style="1" bestFit="1" customWidth="1"/>
    <col min="5585" max="5585" width="9.140625" style="1"/>
    <col min="5586" max="5586" width="9.28515625" style="1" bestFit="1" customWidth="1"/>
    <col min="5587" max="5589" width="9.140625" style="1"/>
    <col min="5590" max="5592" width="9.28515625" style="1" bestFit="1" customWidth="1"/>
    <col min="5593" max="5595" width="9.140625" style="1"/>
    <col min="5596" max="5597" width="9.28515625" style="1" bestFit="1" customWidth="1"/>
    <col min="5598" max="5598" width="9.140625" style="1"/>
    <col min="5599" max="5600" width="9.28515625" style="1" bestFit="1" customWidth="1"/>
    <col min="5601" max="5601" width="9.140625" style="1"/>
    <col min="5602" max="5602" width="9.28515625" style="1" bestFit="1" customWidth="1"/>
    <col min="5603" max="5605" width="9.140625" style="1"/>
    <col min="5606" max="5608" width="9.28515625" style="1" bestFit="1" customWidth="1"/>
    <col min="5609" max="5611" width="9.140625" style="1"/>
    <col min="5612" max="5613" width="9.28515625" style="1" bestFit="1" customWidth="1"/>
    <col min="5614" max="5614" width="9.140625" style="1"/>
    <col min="5615" max="5616" width="9.28515625" style="1" bestFit="1" customWidth="1"/>
    <col min="5617" max="5617" width="9.140625" style="1"/>
    <col min="5618" max="5618" width="9.28515625" style="1" bestFit="1" customWidth="1"/>
    <col min="5619" max="5621" width="9.140625" style="1"/>
    <col min="5622" max="5624" width="9.28515625" style="1" bestFit="1" customWidth="1"/>
    <col min="5625" max="5627" width="9.140625" style="1"/>
    <col min="5628" max="5629" width="9.28515625" style="1" bestFit="1" customWidth="1"/>
    <col min="5630" max="5630" width="9.140625" style="1"/>
    <col min="5631" max="5632" width="9.28515625" style="1" bestFit="1" customWidth="1"/>
    <col min="5633" max="5633" width="9.140625" style="1"/>
    <col min="5634" max="5634" width="9.28515625" style="1" bestFit="1" customWidth="1"/>
    <col min="5635" max="5637" width="9.140625" style="1"/>
    <col min="5638" max="5640" width="9.28515625" style="1" bestFit="1" customWidth="1"/>
    <col min="5641" max="5643" width="9.140625" style="1"/>
    <col min="5644" max="5645" width="9.28515625" style="1" bestFit="1" customWidth="1"/>
    <col min="5646" max="5646" width="9.140625" style="1"/>
    <col min="5647" max="5648" width="9.28515625" style="1" bestFit="1" customWidth="1"/>
    <col min="5649" max="5649" width="9.140625" style="1"/>
    <col min="5650" max="5650" width="9.28515625" style="1" bestFit="1" customWidth="1"/>
    <col min="5651" max="5653" width="9.140625" style="1"/>
    <col min="5654" max="5656" width="9.28515625" style="1" bestFit="1" customWidth="1"/>
    <col min="5657" max="5659" width="9.140625" style="1"/>
    <col min="5660" max="5661" width="9.28515625" style="1" bestFit="1" customWidth="1"/>
    <col min="5662" max="5662" width="9.140625" style="1"/>
    <col min="5663" max="5664" width="9.28515625" style="1" bestFit="1" customWidth="1"/>
    <col min="5665" max="5665" width="9.140625" style="1"/>
    <col min="5666" max="5666" width="9.28515625" style="1" bestFit="1" customWidth="1"/>
    <col min="5667" max="5669" width="9.140625" style="1"/>
    <col min="5670" max="5672" width="9.28515625" style="1" bestFit="1" customWidth="1"/>
    <col min="5673" max="5675" width="9.140625" style="1"/>
    <col min="5676" max="5677" width="9.28515625" style="1" bestFit="1" customWidth="1"/>
    <col min="5678" max="5678" width="9.140625" style="1"/>
    <col min="5679" max="5680" width="9.28515625" style="1" bestFit="1" customWidth="1"/>
    <col min="5681" max="5681" width="9.140625" style="1"/>
    <col min="5682" max="5682" width="9.28515625" style="1" bestFit="1" customWidth="1"/>
    <col min="5683" max="5685" width="9.140625" style="1"/>
    <col min="5686" max="5688" width="9.28515625" style="1" bestFit="1" customWidth="1"/>
    <col min="5689" max="5691" width="9.140625" style="1"/>
    <col min="5692" max="5693" width="9.28515625" style="1" bestFit="1" customWidth="1"/>
    <col min="5694" max="5694" width="9.140625" style="1"/>
    <col min="5695" max="5696" width="9.28515625" style="1" bestFit="1" customWidth="1"/>
    <col min="5697" max="5697" width="9.140625" style="1"/>
    <col min="5698" max="5698" width="9.28515625" style="1" bestFit="1" customWidth="1"/>
    <col min="5699" max="5701" width="9.140625" style="1"/>
    <col min="5702" max="5704" width="9.28515625" style="1" bestFit="1" customWidth="1"/>
    <col min="5705" max="5707" width="9.140625" style="1"/>
    <col min="5708" max="5709" width="9.28515625" style="1" bestFit="1" customWidth="1"/>
    <col min="5710" max="5710" width="9.140625" style="1"/>
    <col min="5711" max="5712" width="9.28515625" style="1" bestFit="1" customWidth="1"/>
    <col min="5713" max="5713" width="9.140625" style="1"/>
    <col min="5714" max="5714" width="9.28515625" style="1" bestFit="1" customWidth="1"/>
    <col min="5715" max="5717" width="9.140625" style="1"/>
    <col min="5718" max="5720" width="9.28515625" style="1" bestFit="1" customWidth="1"/>
    <col min="5721" max="5723" width="9.140625" style="1"/>
    <col min="5724" max="5725" width="9.28515625" style="1" bestFit="1" customWidth="1"/>
    <col min="5726" max="5726" width="9.140625" style="1"/>
    <col min="5727" max="5728" width="9.28515625" style="1" bestFit="1" customWidth="1"/>
    <col min="5729" max="5729" width="9.140625" style="1"/>
    <col min="5730" max="5730" width="9.28515625" style="1" bestFit="1" customWidth="1"/>
    <col min="5731" max="5733" width="9.140625" style="1"/>
    <col min="5734" max="5736" width="9.28515625" style="1" bestFit="1" customWidth="1"/>
    <col min="5737" max="5739" width="9.140625" style="1"/>
    <col min="5740" max="5741" width="9.28515625" style="1" bestFit="1" customWidth="1"/>
    <col min="5742" max="5742" width="9.140625" style="1"/>
    <col min="5743" max="5744" width="9.28515625" style="1" bestFit="1" customWidth="1"/>
    <col min="5745" max="5745" width="9.140625" style="1"/>
    <col min="5746" max="5746" width="9.28515625" style="1" bestFit="1" customWidth="1"/>
    <col min="5747" max="5749" width="9.140625" style="1"/>
    <col min="5750" max="5752" width="9.28515625" style="1" bestFit="1" customWidth="1"/>
    <col min="5753" max="5755" width="9.140625" style="1"/>
    <col min="5756" max="5757" width="9.28515625" style="1" bestFit="1" customWidth="1"/>
    <col min="5758" max="5758" width="9.140625" style="1"/>
    <col min="5759" max="5760" width="9.28515625" style="1" bestFit="1" customWidth="1"/>
    <col min="5761" max="5761" width="9.140625" style="1"/>
    <col min="5762" max="5762" width="9.28515625" style="1" bestFit="1" customWidth="1"/>
    <col min="5763" max="5765" width="9.140625" style="1"/>
    <col min="5766" max="5768" width="9.28515625" style="1" bestFit="1" customWidth="1"/>
    <col min="5769" max="5771" width="9.140625" style="1"/>
    <col min="5772" max="5773" width="9.28515625" style="1" bestFit="1" customWidth="1"/>
    <col min="5774" max="5774" width="9.140625" style="1"/>
    <col min="5775" max="5776" width="9.28515625" style="1" bestFit="1" customWidth="1"/>
    <col min="5777" max="5777" width="9.140625" style="1"/>
    <col min="5778" max="5778" width="9.28515625" style="1" bestFit="1" customWidth="1"/>
    <col min="5779" max="5781" width="9.140625" style="1"/>
    <col min="5782" max="5784" width="9.28515625" style="1" bestFit="1" customWidth="1"/>
    <col min="5785" max="5787" width="9.140625" style="1"/>
    <col min="5788" max="5789" width="9.28515625" style="1" bestFit="1" customWidth="1"/>
    <col min="5790" max="5790" width="9.140625" style="1"/>
    <col min="5791" max="5792" width="9.28515625" style="1" bestFit="1" customWidth="1"/>
    <col min="5793" max="5793" width="9.140625" style="1"/>
    <col min="5794" max="5794" width="9.28515625" style="1" bestFit="1" customWidth="1"/>
    <col min="5795" max="5797" width="9.140625" style="1"/>
    <col min="5798" max="5800" width="9.28515625" style="1" bestFit="1" customWidth="1"/>
    <col min="5801" max="5803" width="9.140625" style="1"/>
    <col min="5804" max="5805" width="9.28515625" style="1" bestFit="1" customWidth="1"/>
    <col min="5806" max="5806" width="9.140625" style="1"/>
    <col min="5807" max="5808" width="9.28515625" style="1" bestFit="1" customWidth="1"/>
    <col min="5809" max="5809" width="9.140625" style="1"/>
    <col min="5810" max="5810" width="9.28515625" style="1" bestFit="1" customWidth="1"/>
    <col min="5811" max="5813" width="9.140625" style="1"/>
    <col min="5814" max="5816" width="9.28515625" style="1" bestFit="1" customWidth="1"/>
    <col min="5817" max="5819" width="9.140625" style="1"/>
    <col min="5820" max="5821" width="9.28515625" style="1" bestFit="1" customWidth="1"/>
    <col min="5822" max="5822" width="9.140625" style="1"/>
    <col min="5823" max="5824" width="9.28515625" style="1" bestFit="1" customWidth="1"/>
    <col min="5825" max="5825" width="9.140625" style="1"/>
    <col min="5826" max="5826" width="9.28515625" style="1" bestFit="1" customWidth="1"/>
    <col min="5827" max="5829" width="9.140625" style="1"/>
    <col min="5830" max="5832" width="9.28515625" style="1" bestFit="1" customWidth="1"/>
    <col min="5833" max="5835" width="9.140625" style="1"/>
    <col min="5836" max="5837" width="9.28515625" style="1" bestFit="1" customWidth="1"/>
    <col min="5838" max="5838" width="9.140625" style="1"/>
    <col min="5839" max="5840" width="9.28515625" style="1" bestFit="1" customWidth="1"/>
    <col min="5841" max="5841" width="9.140625" style="1"/>
    <col min="5842" max="5842" width="9.28515625" style="1" bestFit="1" customWidth="1"/>
    <col min="5843" max="5845" width="9.140625" style="1"/>
    <col min="5846" max="5848" width="9.28515625" style="1" bestFit="1" customWidth="1"/>
    <col min="5849" max="5851" width="9.140625" style="1"/>
    <col min="5852" max="5853" width="9.28515625" style="1" bestFit="1" customWidth="1"/>
    <col min="5854" max="5854" width="9.140625" style="1"/>
    <col min="5855" max="5856" width="9.28515625" style="1" bestFit="1" customWidth="1"/>
    <col min="5857" max="5857" width="9.140625" style="1"/>
    <col min="5858" max="5858" width="9.28515625" style="1" bestFit="1" customWidth="1"/>
    <col min="5859" max="5861" width="9.140625" style="1"/>
    <col min="5862" max="5864" width="9.28515625" style="1" bestFit="1" customWidth="1"/>
    <col min="5865" max="5867" width="9.140625" style="1"/>
    <col min="5868" max="5869" width="9.28515625" style="1" bestFit="1" customWidth="1"/>
    <col min="5870" max="5870" width="9.140625" style="1"/>
    <col min="5871" max="5872" width="9.28515625" style="1" bestFit="1" customWidth="1"/>
    <col min="5873" max="5873" width="9.140625" style="1"/>
    <col min="5874" max="5874" width="9.28515625" style="1" bestFit="1" customWidth="1"/>
    <col min="5875" max="5877" width="9.140625" style="1"/>
    <col min="5878" max="5880" width="9.28515625" style="1" bestFit="1" customWidth="1"/>
    <col min="5881" max="5883" width="9.140625" style="1"/>
    <col min="5884" max="5885" width="9.28515625" style="1" bestFit="1" customWidth="1"/>
    <col min="5886" max="5886" width="9.140625" style="1"/>
    <col min="5887" max="5888" width="9.28515625" style="1" bestFit="1" customWidth="1"/>
    <col min="5889" max="5889" width="9.140625" style="1"/>
    <col min="5890" max="5890" width="9.28515625" style="1" bestFit="1" customWidth="1"/>
    <col min="5891" max="5893" width="9.140625" style="1"/>
    <col min="5894" max="5896" width="9.28515625" style="1" bestFit="1" customWidth="1"/>
    <col min="5897" max="5899" width="9.140625" style="1"/>
    <col min="5900" max="5901" width="9.28515625" style="1" bestFit="1" customWidth="1"/>
    <col min="5902" max="5902" width="9.140625" style="1"/>
    <col min="5903" max="5904" width="9.28515625" style="1" bestFit="1" customWidth="1"/>
    <col min="5905" max="5905" width="9.140625" style="1"/>
    <col min="5906" max="5906" width="9.28515625" style="1" bestFit="1" customWidth="1"/>
    <col min="5907" max="5909" width="9.140625" style="1"/>
    <col min="5910" max="5912" width="9.28515625" style="1" bestFit="1" customWidth="1"/>
    <col min="5913" max="5915" width="9.140625" style="1"/>
    <col min="5916" max="5917" width="9.28515625" style="1" bestFit="1" customWidth="1"/>
    <col min="5918" max="5918" width="9.140625" style="1"/>
    <col min="5919" max="5920" width="9.28515625" style="1" bestFit="1" customWidth="1"/>
    <col min="5921" max="5921" width="9.140625" style="1"/>
    <col min="5922" max="5922" width="9.28515625" style="1" bestFit="1" customWidth="1"/>
    <col min="5923" max="5925" width="9.140625" style="1"/>
    <col min="5926" max="5928" width="9.28515625" style="1" bestFit="1" customWidth="1"/>
    <col min="5929" max="5931" width="9.140625" style="1"/>
    <col min="5932" max="5933" width="9.28515625" style="1" bestFit="1" customWidth="1"/>
    <col min="5934" max="5934" width="9.140625" style="1"/>
    <col min="5935" max="5936" width="9.28515625" style="1" bestFit="1" customWidth="1"/>
    <col min="5937" max="5937" width="9.140625" style="1"/>
    <col min="5938" max="5938" width="9.28515625" style="1" bestFit="1" customWidth="1"/>
    <col min="5939" max="5941" width="9.140625" style="1"/>
    <col min="5942" max="5944" width="9.28515625" style="1" bestFit="1" customWidth="1"/>
    <col min="5945" max="5947" width="9.140625" style="1"/>
    <col min="5948" max="5949" width="9.28515625" style="1" bestFit="1" customWidth="1"/>
    <col min="5950" max="5950" width="9.140625" style="1"/>
    <col min="5951" max="5952" width="9.28515625" style="1" bestFit="1" customWidth="1"/>
    <col min="5953" max="5953" width="9.140625" style="1"/>
    <col min="5954" max="5954" width="9.28515625" style="1" bestFit="1" customWidth="1"/>
    <col min="5955" max="5957" width="9.140625" style="1"/>
    <col min="5958" max="5960" width="9.28515625" style="1" bestFit="1" customWidth="1"/>
    <col min="5961" max="5963" width="9.140625" style="1"/>
    <col min="5964" max="5965" width="9.28515625" style="1" bestFit="1" customWidth="1"/>
    <col min="5966" max="5966" width="9.140625" style="1"/>
    <col min="5967" max="5968" width="9.28515625" style="1" bestFit="1" customWidth="1"/>
    <col min="5969" max="5969" width="9.140625" style="1"/>
    <col min="5970" max="5970" width="9.28515625" style="1" bestFit="1" customWidth="1"/>
    <col min="5971" max="5973" width="9.140625" style="1"/>
    <col min="5974" max="5976" width="9.28515625" style="1" bestFit="1" customWidth="1"/>
    <col min="5977" max="5979" width="9.140625" style="1"/>
    <col min="5980" max="5981" width="9.28515625" style="1" bestFit="1" customWidth="1"/>
    <col min="5982" max="5982" width="9.140625" style="1"/>
    <col min="5983" max="5984" width="9.28515625" style="1" bestFit="1" customWidth="1"/>
    <col min="5985" max="5985" width="9.140625" style="1"/>
    <col min="5986" max="5986" width="9.28515625" style="1" bestFit="1" customWidth="1"/>
    <col min="5987" max="5989" width="9.140625" style="1"/>
    <col min="5990" max="5992" width="9.28515625" style="1" bestFit="1" customWidth="1"/>
    <col min="5993" max="5995" width="9.140625" style="1"/>
    <col min="5996" max="5997" width="9.28515625" style="1" bestFit="1" customWidth="1"/>
    <col min="5998" max="5998" width="9.140625" style="1"/>
    <col min="5999" max="6000" width="9.28515625" style="1" bestFit="1" customWidth="1"/>
    <col min="6001" max="6001" width="9.140625" style="1"/>
    <col min="6002" max="6002" width="9.28515625" style="1" bestFit="1" customWidth="1"/>
    <col min="6003" max="6005" width="9.140625" style="1"/>
    <col min="6006" max="6008" width="9.28515625" style="1" bestFit="1" customWidth="1"/>
    <col min="6009" max="6011" width="9.140625" style="1"/>
    <col min="6012" max="6013" width="9.28515625" style="1" bestFit="1" customWidth="1"/>
    <col min="6014" max="6014" width="9.140625" style="1"/>
    <col min="6015" max="6016" width="9.28515625" style="1" bestFit="1" customWidth="1"/>
    <col min="6017" max="6017" width="9.140625" style="1"/>
    <col min="6018" max="6018" width="9.28515625" style="1" bestFit="1" customWidth="1"/>
    <col min="6019" max="6021" width="9.140625" style="1"/>
    <col min="6022" max="6024" width="9.28515625" style="1" bestFit="1" customWidth="1"/>
    <col min="6025" max="6027" width="9.140625" style="1"/>
    <col min="6028" max="6029" width="9.28515625" style="1" bestFit="1" customWidth="1"/>
    <col min="6030" max="6030" width="9.140625" style="1"/>
    <col min="6031" max="6032" width="9.28515625" style="1" bestFit="1" customWidth="1"/>
    <col min="6033" max="6033" width="9.140625" style="1"/>
    <col min="6034" max="6034" width="9.28515625" style="1" bestFit="1" customWidth="1"/>
    <col min="6035" max="6037" width="9.140625" style="1"/>
    <col min="6038" max="6040" width="9.28515625" style="1" bestFit="1" customWidth="1"/>
    <col min="6041" max="6043" width="9.140625" style="1"/>
    <col min="6044" max="6045" width="9.28515625" style="1" bestFit="1" customWidth="1"/>
    <col min="6046" max="6046" width="9.140625" style="1"/>
    <col min="6047" max="6048" width="9.28515625" style="1" bestFit="1" customWidth="1"/>
    <col min="6049" max="6049" width="9.140625" style="1"/>
    <col min="6050" max="6050" width="9.28515625" style="1" bestFit="1" customWidth="1"/>
    <col min="6051" max="6053" width="9.140625" style="1"/>
    <col min="6054" max="6056" width="9.28515625" style="1" bestFit="1" customWidth="1"/>
    <col min="6057" max="6059" width="9.140625" style="1"/>
    <col min="6060" max="6061" width="9.28515625" style="1" bestFit="1" customWidth="1"/>
    <col min="6062" max="6062" width="9.140625" style="1"/>
    <col min="6063" max="6064" width="9.28515625" style="1" bestFit="1" customWidth="1"/>
    <col min="6065" max="6065" width="9.140625" style="1"/>
    <col min="6066" max="6066" width="9.28515625" style="1" bestFit="1" customWidth="1"/>
    <col min="6067" max="6069" width="9.140625" style="1"/>
    <col min="6070" max="6072" width="9.28515625" style="1" bestFit="1" customWidth="1"/>
    <col min="6073" max="6075" width="9.140625" style="1"/>
    <col min="6076" max="6077" width="9.28515625" style="1" bestFit="1" customWidth="1"/>
    <col min="6078" max="6078" width="9.140625" style="1"/>
    <col min="6079" max="6080" width="9.28515625" style="1" bestFit="1" customWidth="1"/>
    <col min="6081" max="6081" width="9.140625" style="1"/>
    <col min="6082" max="6082" width="9.28515625" style="1" bestFit="1" customWidth="1"/>
    <col min="6083" max="6085" width="9.140625" style="1"/>
    <col min="6086" max="6088" width="9.28515625" style="1" bestFit="1" customWidth="1"/>
    <col min="6089" max="6091" width="9.140625" style="1"/>
    <col min="6092" max="6093" width="9.28515625" style="1" bestFit="1" customWidth="1"/>
    <col min="6094" max="6094" width="9.140625" style="1"/>
    <col min="6095" max="6096" width="9.28515625" style="1" bestFit="1" customWidth="1"/>
    <col min="6097" max="6097" width="9.140625" style="1"/>
    <col min="6098" max="6098" width="9.28515625" style="1" bestFit="1" customWidth="1"/>
    <col min="6099" max="6101" width="9.140625" style="1"/>
    <col min="6102" max="6104" width="9.28515625" style="1" bestFit="1" customWidth="1"/>
    <col min="6105" max="6107" width="9.140625" style="1"/>
    <col min="6108" max="6109" width="9.28515625" style="1" bestFit="1" customWidth="1"/>
    <col min="6110" max="6110" width="9.140625" style="1"/>
    <col min="6111" max="6112" width="9.28515625" style="1" bestFit="1" customWidth="1"/>
    <col min="6113" max="6113" width="9.140625" style="1"/>
    <col min="6114" max="6114" width="9.28515625" style="1" bestFit="1" customWidth="1"/>
    <col min="6115" max="6117" width="9.140625" style="1"/>
    <col min="6118" max="6120" width="9.28515625" style="1" bestFit="1" customWidth="1"/>
    <col min="6121" max="6123" width="9.140625" style="1"/>
    <col min="6124" max="6125" width="9.28515625" style="1" bestFit="1" customWidth="1"/>
    <col min="6126" max="6126" width="9.140625" style="1"/>
    <col min="6127" max="6128" width="9.28515625" style="1" bestFit="1" customWidth="1"/>
    <col min="6129" max="6129" width="9.140625" style="1"/>
    <col min="6130" max="6130" width="9.28515625" style="1" bestFit="1" customWidth="1"/>
    <col min="6131" max="6133" width="9.140625" style="1"/>
    <col min="6134" max="6136" width="9.28515625" style="1" bestFit="1" customWidth="1"/>
    <col min="6137" max="6139" width="9.140625" style="1"/>
    <col min="6140" max="6141" width="9.28515625" style="1" bestFit="1" customWidth="1"/>
    <col min="6142" max="6142" width="9.140625" style="1"/>
    <col min="6143" max="6144" width="9.28515625" style="1" bestFit="1" customWidth="1"/>
    <col min="6145" max="6145" width="9.140625" style="1"/>
    <col min="6146" max="6146" width="9.28515625" style="1" bestFit="1" customWidth="1"/>
    <col min="6147" max="6149" width="9.140625" style="1"/>
    <col min="6150" max="6152" width="9.28515625" style="1" bestFit="1" customWidth="1"/>
    <col min="6153" max="6155" width="9.140625" style="1"/>
    <col min="6156" max="6157" width="9.28515625" style="1" bestFit="1" customWidth="1"/>
    <col min="6158" max="6158" width="9.140625" style="1"/>
    <col min="6159" max="6160" width="9.28515625" style="1" bestFit="1" customWidth="1"/>
    <col min="6161" max="6161" width="9.140625" style="1"/>
    <col min="6162" max="6162" width="9.28515625" style="1" bestFit="1" customWidth="1"/>
    <col min="6163" max="6165" width="9.140625" style="1"/>
    <col min="6166" max="6168" width="9.28515625" style="1" bestFit="1" customWidth="1"/>
    <col min="6169" max="6171" width="9.140625" style="1"/>
    <col min="6172" max="6173" width="9.28515625" style="1" bestFit="1" customWidth="1"/>
    <col min="6174" max="6174" width="9.140625" style="1"/>
    <col min="6175" max="6176" width="9.28515625" style="1" bestFit="1" customWidth="1"/>
    <col min="6177" max="6177" width="9.140625" style="1"/>
    <col min="6178" max="6178" width="9.28515625" style="1" bestFit="1" customWidth="1"/>
    <col min="6179" max="6181" width="9.140625" style="1"/>
    <col min="6182" max="6184" width="9.28515625" style="1" bestFit="1" customWidth="1"/>
    <col min="6185" max="6187" width="9.140625" style="1"/>
    <col min="6188" max="6189" width="9.28515625" style="1" bestFit="1" customWidth="1"/>
    <col min="6190" max="6190" width="9.140625" style="1"/>
    <col min="6191" max="6192" width="9.28515625" style="1" bestFit="1" customWidth="1"/>
    <col min="6193" max="6193" width="9.140625" style="1"/>
    <col min="6194" max="6194" width="9.28515625" style="1" bestFit="1" customWidth="1"/>
    <col min="6195" max="6197" width="9.140625" style="1"/>
    <col min="6198" max="6200" width="9.28515625" style="1" bestFit="1" customWidth="1"/>
    <col min="6201" max="6203" width="9.140625" style="1"/>
    <col min="6204" max="6205" width="9.28515625" style="1" bestFit="1" customWidth="1"/>
    <col min="6206" max="6206" width="9.140625" style="1"/>
    <col min="6207" max="6208" width="9.28515625" style="1" bestFit="1" customWidth="1"/>
    <col min="6209" max="6209" width="9.140625" style="1"/>
    <col min="6210" max="6210" width="9.28515625" style="1" bestFit="1" customWidth="1"/>
    <col min="6211" max="6213" width="9.140625" style="1"/>
    <col min="6214" max="6216" width="9.28515625" style="1" bestFit="1" customWidth="1"/>
    <col min="6217" max="6219" width="9.140625" style="1"/>
    <col min="6220" max="6221" width="9.28515625" style="1" bestFit="1" customWidth="1"/>
    <col min="6222" max="6222" width="9.140625" style="1"/>
    <col min="6223" max="6224" width="9.28515625" style="1" bestFit="1" customWidth="1"/>
    <col min="6225" max="6225" width="9.140625" style="1"/>
    <col min="6226" max="6226" width="9.28515625" style="1" bestFit="1" customWidth="1"/>
    <col min="6227" max="6229" width="9.140625" style="1"/>
    <col min="6230" max="6232" width="9.28515625" style="1" bestFit="1" customWidth="1"/>
    <col min="6233" max="6235" width="9.140625" style="1"/>
    <col min="6236" max="6237" width="9.28515625" style="1" bestFit="1" customWidth="1"/>
    <col min="6238" max="6238" width="9.140625" style="1"/>
    <col min="6239" max="6240" width="9.28515625" style="1" bestFit="1" customWidth="1"/>
    <col min="6241" max="6241" width="9.140625" style="1"/>
    <col min="6242" max="6242" width="9.28515625" style="1" bestFit="1" customWidth="1"/>
    <col min="6243" max="6245" width="9.140625" style="1"/>
    <col min="6246" max="6248" width="9.28515625" style="1" bestFit="1" customWidth="1"/>
    <col min="6249" max="6251" width="9.140625" style="1"/>
    <col min="6252" max="6253" width="9.28515625" style="1" bestFit="1" customWidth="1"/>
    <col min="6254" max="6254" width="9.140625" style="1"/>
    <col min="6255" max="6256" width="9.28515625" style="1" bestFit="1" customWidth="1"/>
    <col min="6257" max="6257" width="9.140625" style="1"/>
    <col min="6258" max="6258" width="9.28515625" style="1" bestFit="1" customWidth="1"/>
    <col min="6259" max="6261" width="9.140625" style="1"/>
    <col min="6262" max="6264" width="9.28515625" style="1" bestFit="1" customWidth="1"/>
    <col min="6265" max="6267" width="9.140625" style="1"/>
    <col min="6268" max="6269" width="9.28515625" style="1" bestFit="1" customWidth="1"/>
    <col min="6270" max="6270" width="9.140625" style="1"/>
    <col min="6271" max="6272" width="9.28515625" style="1" bestFit="1" customWidth="1"/>
    <col min="6273" max="6273" width="9.140625" style="1"/>
    <col min="6274" max="6274" width="9.28515625" style="1" bestFit="1" customWidth="1"/>
    <col min="6275" max="6277" width="9.140625" style="1"/>
    <col min="6278" max="6280" width="9.28515625" style="1" bestFit="1" customWidth="1"/>
    <col min="6281" max="6283" width="9.140625" style="1"/>
    <col min="6284" max="6285" width="9.28515625" style="1" bestFit="1" customWidth="1"/>
    <col min="6286" max="6286" width="9.140625" style="1"/>
    <col min="6287" max="6288" width="9.28515625" style="1" bestFit="1" customWidth="1"/>
    <col min="6289" max="6289" width="9.140625" style="1"/>
    <col min="6290" max="6290" width="9.28515625" style="1" bestFit="1" customWidth="1"/>
    <col min="6291" max="6293" width="9.140625" style="1"/>
    <col min="6294" max="6296" width="9.28515625" style="1" bestFit="1" customWidth="1"/>
    <col min="6297" max="6299" width="9.140625" style="1"/>
    <col min="6300" max="6301" width="9.28515625" style="1" bestFit="1" customWidth="1"/>
    <col min="6302" max="6302" width="9.140625" style="1"/>
    <col min="6303" max="6304" width="9.28515625" style="1" bestFit="1" customWidth="1"/>
    <col min="6305" max="6305" width="9.140625" style="1"/>
    <col min="6306" max="6306" width="9.28515625" style="1" bestFit="1" customWidth="1"/>
    <col min="6307" max="6309" width="9.140625" style="1"/>
    <col min="6310" max="6312" width="9.28515625" style="1" bestFit="1" customWidth="1"/>
    <col min="6313" max="6315" width="9.140625" style="1"/>
    <col min="6316" max="6317" width="9.28515625" style="1" bestFit="1" customWidth="1"/>
    <col min="6318" max="6318" width="9.140625" style="1"/>
    <col min="6319" max="6320" width="9.28515625" style="1" bestFit="1" customWidth="1"/>
    <col min="6321" max="6321" width="9.140625" style="1"/>
    <col min="6322" max="6322" width="9.28515625" style="1" bestFit="1" customWidth="1"/>
    <col min="6323" max="6325" width="9.140625" style="1"/>
    <col min="6326" max="6328" width="9.28515625" style="1" bestFit="1" customWidth="1"/>
    <col min="6329" max="6331" width="9.140625" style="1"/>
    <col min="6332" max="6333" width="9.28515625" style="1" bestFit="1" customWidth="1"/>
    <col min="6334" max="6334" width="9.140625" style="1"/>
    <col min="6335" max="6336" width="9.28515625" style="1" bestFit="1" customWidth="1"/>
    <col min="6337" max="6337" width="9.140625" style="1"/>
    <col min="6338" max="6338" width="9.28515625" style="1" bestFit="1" customWidth="1"/>
    <col min="6339" max="6341" width="9.140625" style="1"/>
    <col min="6342" max="6344" width="9.28515625" style="1" bestFit="1" customWidth="1"/>
    <col min="6345" max="6347" width="9.140625" style="1"/>
    <col min="6348" max="6349" width="9.28515625" style="1" bestFit="1" customWidth="1"/>
    <col min="6350" max="6350" width="9.140625" style="1"/>
    <col min="6351" max="6352" width="9.28515625" style="1" bestFit="1" customWidth="1"/>
    <col min="6353" max="6353" width="9.140625" style="1"/>
    <col min="6354" max="6354" width="9.28515625" style="1" bestFit="1" customWidth="1"/>
    <col min="6355" max="6357" width="9.140625" style="1"/>
    <col min="6358" max="6360" width="9.28515625" style="1" bestFit="1" customWidth="1"/>
    <col min="6361" max="6363" width="9.140625" style="1"/>
    <col min="6364" max="6365" width="9.28515625" style="1" bestFit="1" customWidth="1"/>
    <col min="6366" max="6366" width="9.140625" style="1"/>
    <col min="6367" max="6368" width="9.28515625" style="1" bestFit="1" customWidth="1"/>
    <col min="6369" max="6369" width="9.140625" style="1"/>
    <col min="6370" max="6370" width="9.28515625" style="1" bestFit="1" customWidth="1"/>
    <col min="6371" max="6373" width="9.140625" style="1"/>
    <col min="6374" max="6376" width="9.28515625" style="1" bestFit="1" customWidth="1"/>
    <col min="6377" max="6379" width="9.140625" style="1"/>
    <col min="6380" max="6381" width="9.28515625" style="1" bestFit="1" customWidth="1"/>
    <col min="6382" max="6382" width="9.140625" style="1"/>
    <col min="6383" max="6384" width="9.28515625" style="1" bestFit="1" customWidth="1"/>
    <col min="6385" max="6385" width="9.140625" style="1"/>
    <col min="6386" max="6386" width="9.28515625" style="1" bestFit="1" customWidth="1"/>
    <col min="6387" max="6389" width="9.140625" style="1"/>
    <col min="6390" max="6392" width="9.28515625" style="1" bestFit="1" customWidth="1"/>
    <col min="6393" max="6395" width="9.140625" style="1"/>
    <col min="6396" max="6397" width="9.28515625" style="1" bestFit="1" customWidth="1"/>
    <col min="6398" max="6398" width="9.140625" style="1"/>
    <col min="6399" max="6400" width="9.28515625" style="1" bestFit="1" customWidth="1"/>
    <col min="6401" max="6401" width="9.140625" style="1"/>
    <col min="6402" max="6402" width="9.28515625" style="1" bestFit="1" customWidth="1"/>
    <col min="6403" max="6405" width="9.140625" style="1"/>
    <col min="6406" max="6408" width="9.28515625" style="1" bestFit="1" customWidth="1"/>
    <col min="6409" max="6411" width="9.140625" style="1"/>
    <col min="6412" max="6413" width="9.28515625" style="1" bestFit="1" customWidth="1"/>
    <col min="6414" max="6414" width="9.140625" style="1"/>
    <col min="6415" max="6416" width="9.28515625" style="1" bestFit="1" customWidth="1"/>
    <col min="6417" max="6417" width="9.140625" style="1"/>
    <col min="6418" max="6418" width="9.28515625" style="1" bestFit="1" customWidth="1"/>
    <col min="6419" max="6421" width="9.140625" style="1"/>
    <col min="6422" max="6424" width="9.28515625" style="1" bestFit="1" customWidth="1"/>
    <col min="6425" max="6427" width="9.140625" style="1"/>
    <col min="6428" max="6429" width="9.28515625" style="1" bestFit="1" customWidth="1"/>
    <col min="6430" max="6430" width="9.140625" style="1"/>
    <col min="6431" max="6432" width="9.28515625" style="1" bestFit="1" customWidth="1"/>
    <col min="6433" max="6433" width="9.140625" style="1"/>
    <col min="6434" max="6434" width="9.28515625" style="1" bestFit="1" customWidth="1"/>
    <col min="6435" max="6437" width="9.140625" style="1"/>
    <col min="6438" max="6440" width="9.28515625" style="1" bestFit="1" customWidth="1"/>
    <col min="6441" max="6443" width="9.140625" style="1"/>
    <col min="6444" max="6445" width="9.28515625" style="1" bestFit="1" customWidth="1"/>
    <col min="6446" max="6446" width="9.140625" style="1"/>
    <col min="6447" max="6448" width="9.28515625" style="1" bestFit="1" customWidth="1"/>
    <col min="6449" max="6449" width="9.140625" style="1"/>
    <col min="6450" max="6450" width="9.28515625" style="1" bestFit="1" customWidth="1"/>
    <col min="6451" max="6453" width="9.140625" style="1"/>
    <col min="6454" max="6456" width="9.28515625" style="1" bestFit="1" customWidth="1"/>
    <col min="6457" max="6459" width="9.140625" style="1"/>
    <col min="6460" max="6461" width="9.28515625" style="1" bestFit="1" customWidth="1"/>
    <col min="6462" max="6462" width="9.140625" style="1"/>
    <col min="6463" max="6464" width="9.28515625" style="1" bestFit="1" customWidth="1"/>
    <col min="6465" max="6465" width="9.140625" style="1"/>
    <col min="6466" max="6466" width="9.28515625" style="1" bestFit="1" customWidth="1"/>
    <col min="6467" max="6469" width="9.140625" style="1"/>
    <col min="6470" max="6472" width="9.28515625" style="1" bestFit="1" customWidth="1"/>
    <col min="6473" max="6475" width="9.140625" style="1"/>
    <col min="6476" max="6477" width="9.28515625" style="1" bestFit="1" customWidth="1"/>
    <col min="6478" max="6478" width="9.140625" style="1"/>
    <col min="6479" max="6480" width="9.28515625" style="1" bestFit="1" customWidth="1"/>
    <col min="6481" max="6481" width="9.140625" style="1"/>
    <col min="6482" max="6482" width="9.28515625" style="1" bestFit="1" customWidth="1"/>
    <col min="6483" max="6485" width="9.140625" style="1"/>
    <col min="6486" max="6488" width="9.28515625" style="1" bestFit="1" customWidth="1"/>
    <col min="6489" max="6491" width="9.140625" style="1"/>
    <col min="6492" max="6493" width="9.28515625" style="1" bestFit="1" customWidth="1"/>
    <col min="6494" max="6494" width="9.140625" style="1"/>
    <col min="6495" max="6496" width="9.28515625" style="1" bestFit="1" customWidth="1"/>
    <col min="6497" max="6497" width="9.140625" style="1"/>
    <col min="6498" max="6498" width="9.28515625" style="1" bestFit="1" customWidth="1"/>
    <col min="6499" max="6501" width="9.140625" style="1"/>
    <col min="6502" max="6504" width="9.28515625" style="1" bestFit="1" customWidth="1"/>
    <col min="6505" max="6507" width="9.140625" style="1"/>
    <col min="6508" max="6509" width="9.28515625" style="1" bestFit="1" customWidth="1"/>
    <col min="6510" max="6510" width="9.140625" style="1"/>
    <col min="6511" max="6512" width="9.28515625" style="1" bestFit="1" customWidth="1"/>
    <col min="6513" max="6513" width="9.140625" style="1"/>
    <col min="6514" max="6514" width="9.28515625" style="1" bestFit="1" customWidth="1"/>
    <col min="6515" max="6517" width="9.140625" style="1"/>
    <col min="6518" max="6520" width="9.28515625" style="1" bestFit="1" customWidth="1"/>
    <col min="6521" max="6523" width="9.140625" style="1"/>
    <col min="6524" max="6525" width="9.28515625" style="1" bestFit="1" customWidth="1"/>
    <col min="6526" max="6526" width="9.140625" style="1"/>
    <col min="6527" max="6528" width="9.28515625" style="1" bestFit="1" customWidth="1"/>
    <col min="6529" max="6529" width="9.140625" style="1"/>
    <col min="6530" max="6530" width="9.28515625" style="1" bestFit="1" customWidth="1"/>
    <col min="6531" max="6533" width="9.140625" style="1"/>
    <col min="6534" max="6536" width="9.28515625" style="1" bestFit="1" customWidth="1"/>
    <col min="6537" max="6539" width="9.140625" style="1"/>
    <col min="6540" max="6541" width="9.28515625" style="1" bestFit="1" customWidth="1"/>
    <col min="6542" max="6542" width="9.140625" style="1"/>
    <col min="6543" max="6544" width="9.28515625" style="1" bestFit="1" customWidth="1"/>
    <col min="6545" max="6545" width="9.140625" style="1"/>
    <col min="6546" max="6546" width="9.28515625" style="1" bestFit="1" customWidth="1"/>
    <col min="6547" max="6549" width="9.140625" style="1"/>
    <col min="6550" max="6552" width="9.28515625" style="1" bestFit="1" customWidth="1"/>
    <col min="6553" max="6555" width="9.140625" style="1"/>
    <col min="6556" max="6557" width="9.28515625" style="1" bestFit="1" customWidth="1"/>
    <col min="6558" max="6558" width="9.140625" style="1"/>
    <col min="6559" max="6560" width="9.28515625" style="1" bestFit="1" customWidth="1"/>
    <col min="6561" max="6561" width="9.140625" style="1"/>
    <col min="6562" max="6562" width="9.28515625" style="1" bestFit="1" customWidth="1"/>
    <col min="6563" max="6565" width="9.140625" style="1"/>
    <col min="6566" max="6568" width="9.28515625" style="1" bestFit="1" customWidth="1"/>
    <col min="6569" max="6571" width="9.140625" style="1"/>
    <col min="6572" max="6573" width="9.28515625" style="1" bestFit="1" customWidth="1"/>
    <col min="6574" max="6574" width="9.140625" style="1"/>
    <col min="6575" max="6576" width="9.28515625" style="1" bestFit="1" customWidth="1"/>
    <col min="6577" max="6577" width="9.140625" style="1"/>
    <col min="6578" max="6578" width="9.28515625" style="1" bestFit="1" customWidth="1"/>
    <col min="6579" max="6581" width="9.140625" style="1"/>
    <col min="6582" max="6584" width="9.28515625" style="1" bestFit="1" customWidth="1"/>
    <col min="6585" max="6587" width="9.140625" style="1"/>
    <col min="6588" max="6589" width="9.28515625" style="1" bestFit="1" customWidth="1"/>
    <col min="6590" max="6590" width="9.140625" style="1"/>
    <col min="6591" max="6592" width="9.28515625" style="1" bestFit="1" customWidth="1"/>
    <col min="6593" max="6593" width="9.140625" style="1"/>
    <col min="6594" max="6594" width="9.28515625" style="1" bestFit="1" customWidth="1"/>
    <col min="6595" max="6597" width="9.140625" style="1"/>
    <col min="6598" max="6600" width="9.28515625" style="1" bestFit="1" customWidth="1"/>
    <col min="6601" max="6603" width="9.140625" style="1"/>
    <col min="6604" max="6605" width="9.28515625" style="1" bestFit="1" customWidth="1"/>
    <col min="6606" max="6606" width="9.140625" style="1"/>
    <col min="6607" max="6608" width="9.28515625" style="1" bestFit="1" customWidth="1"/>
    <col min="6609" max="6609" width="9.140625" style="1"/>
    <col min="6610" max="6610" width="9.28515625" style="1" bestFit="1" customWidth="1"/>
    <col min="6611" max="6613" width="9.140625" style="1"/>
    <col min="6614" max="6616" width="9.28515625" style="1" bestFit="1" customWidth="1"/>
    <col min="6617" max="6619" width="9.140625" style="1"/>
    <col min="6620" max="6621" width="9.28515625" style="1" bestFit="1" customWidth="1"/>
    <col min="6622" max="6622" width="9.140625" style="1"/>
    <col min="6623" max="6624" width="9.28515625" style="1" bestFit="1" customWidth="1"/>
    <col min="6625" max="6625" width="9.140625" style="1"/>
    <col min="6626" max="6626" width="9.28515625" style="1" bestFit="1" customWidth="1"/>
    <col min="6627" max="6629" width="9.140625" style="1"/>
    <col min="6630" max="6632" width="9.28515625" style="1" bestFit="1" customWidth="1"/>
    <col min="6633" max="6635" width="9.140625" style="1"/>
    <col min="6636" max="6637" width="9.28515625" style="1" bestFit="1" customWidth="1"/>
    <col min="6638" max="6638" width="9.140625" style="1"/>
    <col min="6639" max="6640" width="9.28515625" style="1" bestFit="1" customWidth="1"/>
    <col min="6641" max="6641" width="9.140625" style="1"/>
    <col min="6642" max="6642" width="9.28515625" style="1" bestFit="1" customWidth="1"/>
    <col min="6643" max="6645" width="9.140625" style="1"/>
    <col min="6646" max="6648" width="9.28515625" style="1" bestFit="1" customWidth="1"/>
    <col min="6649" max="6651" width="9.140625" style="1"/>
    <col min="6652" max="6653" width="9.28515625" style="1" bestFit="1" customWidth="1"/>
    <col min="6654" max="6654" width="9.140625" style="1"/>
    <col min="6655" max="6656" width="9.28515625" style="1" bestFit="1" customWidth="1"/>
    <col min="6657" max="6657" width="9.140625" style="1"/>
    <col min="6658" max="6658" width="9.28515625" style="1" bestFit="1" customWidth="1"/>
    <col min="6659" max="6661" width="9.140625" style="1"/>
    <col min="6662" max="6664" width="9.28515625" style="1" bestFit="1" customWidth="1"/>
    <col min="6665" max="6667" width="9.140625" style="1"/>
    <col min="6668" max="6669" width="9.28515625" style="1" bestFit="1" customWidth="1"/>
    <col min="6670" max="6670" width="9.140625" style="1"/>
    <col min="6671" max="6672" width="9.28515625" style="1" bestFit="1" customWidth="1"/>
    <col min="6673" max="6673" width="9.140625" style="1"/>
    <col min="6674" max="6674" width="9.28515625" style="1" bestFit="1" customWidth="1"/>
    <col min="6675" max="6677" width="9.140625" style="1"/>
    <col min="6678" max="6680" width="9.28515625" style="1" bestFit="1" customWidth="1"/>
    <col min="6681" max="6683" width="9.140625" style="1"/>
    <col min="6684" max="6685" width="9.28515625" style="1" bestFit="1" customWidth="1"/>
    <col min="6686" max="6686" width="9.140625" style="1"/>
    <col min="6687" max="6688" width="9.28515625" style="1" bestFit="1" customWidth="1"/>
    <col min="6689" max="6689" width="9.140625" style="1"/>
    <col min="6690" max="6690" width="9.28515625" style="1" bestFit="1" customWidth="1"/>
    <col min="6691" max="6693" width="9.140625" style="1"/>
    <col min="6694" max="6696" width="9.28515625" style="1" bestFit="1" customWidth="1"/>
    <col min="6697" max="6699" width="9.140625" style="1"/>
    <col min="6700" max="6701" width="9.28515625" style="1" bestFit="1" customWidth="1"/>
    <col min="6702" max="6702" width="9.140625" style="1"/>
    <col min="6703" max="6704" width="9.28515625" style="1" bestFit="1" customWidth="1"/>
    <col min="6705" max="6705" width="9.140625" style="1"/>
    <col min="6706" max="6706" width="9.28515625" style="1" bestFit="1" customWidth="1"/>
    <col min="6707" max="6709" width="9.140625" style="1"/>
    <col min="6710" max="6712" width="9.28515625" style="1" bestFit="1" customWidth="1"/>
    <col min="6713" max="6715" width="9.140625" style="1"/>
    <col min="6716" max="6717" width="9.28515625" style="1" bestFit="1" customWidth="1"/>
    <col min="6718" max="6718" width="9.140625" style="1"/>
    <col min="6719" max="6720" width="9.28515625" style="1" bestFit="1" customWidth="1"/>
    <col min="6721" max="6721" width="9.140625" style="1"/>
    <col min="6722" max="6722" width="9.28515625" style="1" bestFit="1" customWidth="1"/>
    <col min="6723" max="6725" width="9.140625" style="1"/>
    <col min="6726" max="6728" width="9.28515625" style="1" bestFit="1" customWidth="1"/>
    <col min="6729" max="6731" width="9.140625" style="1"/>
    <col min="6732" max="6733" width="9.28515625" style="1" bestFit="1" customWidth="1"/>
    <col min="6734" max="6734" width="9.140625" style="1"/>
    <col min="6735" max="6736" width="9.28515625" style="1" bestFit="1" customWidth="1"/>
    <col min="6737" max="6737" width="9.140625" style="1"/>
    <col min="6738" max="6738" width="9.28515625" style="1" bestFit="1" customWidth="1"/>
    <col min="6739" max="6741" width="9.140625" style="1"/>
    <col min="6742" max="6744" width="9.28515625" style="1" bestFit="1" customWidth="1"/>
    <col min="6745" max="6747" width="9.140625" style="1"/>
    <col min="6748" max="6749" width="9.28515625" style="1" bestFit="1" customWidth="1"/>
    <col min="6750" max="6750" width="9.140625" style="1"/>
    <col min="6751" max="6752" width="9.28515625" style="1" bestFit="1" customWidth="1"/>
    <col min="6753" max="6753" width="9.140625" style="1"/>
    <col min="6754" max="6754" width="9.28515625" style="1" bestFit="1" customWidth="1"/>
    <col min="6755" max="6757" width="9.140625" style="1"/>
    <col min="6758" max="6760" width="9.28515625" style="1" bestFit="1" customWidth="1"/>
    <col min="6761" max="6763" width="9.140625" style="1"/>
    <col min="6764" max="6765" width="9.28515625" style="1" bestFit="1" customWidth="1"/>
    <col min="6766" max="6766" width="9.140625" style="1"/>
    <col min="6767" max="6768" width="9.28515625" style="1" bestFit="1" customWidth="1"/>
    <col min="6769" max="6769" width="9.140625" style="1"/>
    <col min="6770" max="6770" width="9.28515625" style="1" bestFit="1" customWidth="1"/>
    <col min="6771" max="6773" width="9.140625" style="1"/>
    <col min="6774" max="6776" width="9.28515625" style="1" bestFit="1" customWidth="1"/>
    <col min="6777" max="6779" width="9.140625" style="1"/>
    <col min="6780" max="6781" width="9.28515625" style="1" bestFit="1" customWidth="1"/>
    <col min="6782" max="6782" width="9.140625" style="1"/>
    <col min="6783" max="6784" width="9.28515625" style="1" bestFit="1" customWidth="1"/>
    <col min="6785" max="6785" width="9.140625" style="1"/>
    <col min="6786" max="6786" width="9.28515625" style="1" bestFit="1" customWidth="1"/>
    <col min="6787" max="6789" width="9.140625" style="1"/>
    <col min="6790" max="6792" width="9.28515625" style="1" bestFit="1" customWidth="1"/>
    <col min="6793" max="6795" width="9.140625" style="1"/>
    <col min="6796" max="6797" width="9.28515625" style="1" bestFit="1" customWidth="1"/>
    <col min="6798" max="6798" width="9.140625" style="1"/>
    <col min="6799" max="6800" width="9.28515625" style="1" bestFit="1" customWidth="1"/>
    <col min="6801" max="6801" width="9.140625" style="1"/>
    <col min="6802" max="6802" width="9.28515625" style="1" bestFit="1" customWidth="1"/>
    <col min="6803" max="6805" width="9.140625" style="1"/>
    <col min="6806" max="6808" width="9.28515625" style="1" bestFit="1" customWidth="1"/>
    <col min="6809" max="6811" width="9.140625" style="1"/>
    <col min="6812" max="6813" width="9.28515625" style="1" bestFit="1" customWidth="1"/>
    <col min="6814" max="6814" width="9.140625" style="1"/>
    <col min="6815" max="6816" width="9.28515625" style="1" bestFit="1" customWidth="1"/>
    <col min="6817" max="6817" width="9.140625" style="1"/>
    <col min="6818" max="6818" width="9.28515625" style="1" bestFit="1" customWidth="1"/>
    <col min="6819" max="6821" width="9.140625" style="1"/>
    <col min="6822" max="6824" width="9.28515625" style="1" bestFit="1" customWidth="1"/>
    <col min="6825" max="6827" width="9.140625" style="1"/>
    <col min="6828" max="6829" width="9.28515625" style="1" bestFit="1" customWidth="1"/>
    <col min="6830" max="6830" width="9.140625" style="1"/>
    <col min="6831" max="6832" width="9.28515625" style="1" bestFit="1" customWidth="1"/>
    <col min="6833" max="6833" width="9.140625" style="1"/>
    <col min="6834" max="6834" width="9.28515625" style="1" bestFit="1" customWidth="1"/>
    <col min="6835" max="6837" width="9.140625" style="1"/>
    <col min="6838" max="6840" width="9.28515625" style="1" bestFit="1" customWidth="1"/>
    <col min="6841" max="6843" width="9.140625" style="1"/>
    <col min="6844" max="6845" width="9.28515625" style="1" bestFit="1" customWidth="1"/>
    <col min="6846" max="6846" width="9.140625" style="1"/>
    <col min="6847" max="6848" width="9.28515625" style="1" bestFit="1" customWidth="1"/>
    <col min="6849" max="6849" width="9.140625" style="1"/>
    <col min="6850" max="6850" width="9.28515625" style="1" bestFit="1" customWidth="1"/>
    <col min="6851" max="6853" width="9.140625" style="1"/>
    <col min="6854" max="6856" width="9.28515625" style="1" bestFit="1" customWidth="1"/>
    <col min="6857" max="6859" width="9.140625" style="1"/>
    <col min="6860" max="6861" width="9.28515625" style="1" bestFit="1" customWidth="1"/>
    <col min="6862" max="6862" width="9.140625" style="1"/>
    <col min="6863" max="6864" width="9.28515625" style="1" bestFit="1" customWidth="1"/>
    <col min="6865" max="6865" width="9.140625" style="1"/>
    <col min="6866" max="6866" width="9.28515625" style="1" bestFit="1" customWidth="1"/>
    <col min="6867" max="6869" width="9.140625" style="1"/>
    <col min="6870" max="6872" width="9.28515625" style="1" bestFit="1" customWidth="1"/>
    <col min="6873" max="6875" width="9.140625" style="1"/>
    <col min="6876" max="6877" width="9.28515625" style="1" bestFit="1" customWidth="1"/>
    <col min="6878" max="6878" width="9.140625" style="1"/>
    <col min="6879" max="6880" width="9.28515625" style="1" bestFit="1" customWidth="1"/>
    <col min="6881" max="6881" width="9.140625" style="1"/>
    <col min="6882" max="6882" width="9.28515625" style="1" bestFit="1" customWidth="1"/>
    <col min="6883" max="6885" width="9.140625" style="1"/>
    <col min="6886" max="6888" width="9.28515625" style="1" bestFit="1" customWidth="1"/>
    <col min="6889" max="6891" width="9.140625" style="1"/>
    <col min="6892" max="6893" width="9.28515625" style="1" bestFit="1" customWidth="1"/>
    <col min="6894" max="6894" width="9.140625" style="1"/>
    <col min="6895" max="6896" width="9.28515625" style="1" bestFit="1" customWidth="1"/>
    <col min="6897" max="6897" width="9.140625" style="1"/>
    <col min="6898" max="6898" width="9.28515625" style="1" bestFit="1" customWidth="1"/>
    <col min="6899" max="6901" width="9.140625" style="1"/>
    <col min="6902" max="6904" width="9.28515625" style="1" bestFit="1" customWidth="1"/>
    <col min="6905" max="6907" width="9.140625" style="1"/>
    <col min="6908" max="6909" width="9.28515625" style="1" bestFit="1" customWidth="1"/>
    <col min="6910" max="6910" width="9.140625" style="1"/>
    <col min="6911" max="6912" width="9.28515625" style="1" bestFit="1" customWidth="1"/>
    <col min="6913" max="6913" width="9.140625" style="1"/>
    <col min="6914" max="6914" width="9.28515625" style="1" bestFit="1" customWidth="1"/>
    <col min="6915" max="6917" width="9.140625" style="1"/>
    <col min="6918" max="6920" width="9.28515625" style="1" bestFit="1" customWidth="1"/>
    <col min="6921" max="6923" width="9.140625" style="1"/>
    <col min="6924" max="6925" width="9.28515625" style="1" bestFit="1" customWidth="1"/>
    <col min="6926" max="6926" width="9.140625" style="1"/>
    <col min="6927" max="6928" width="9.28515625" style="1" bestFit="1" customWidth="1"/>
    <col min="6929" max="6929" width="9.140625" style="1"/>
    <col min="6930" max="6930" width="9.28515625" style="1" bestFit="1" customWidth="1"/>
    <col min="6931" max="6933" width="9.140625" style="1"/>
    <col min="6934" max="6936" width="9.28515625" style="1" bestFit="1" customWidth="1"/>
    <col min="6937" max="6939" width="9.140625" style="1"/>
    <col min="6940" max="6941" width="9.28515625" style="1" bestFit="1" customWidth="1"/>
    <col min="6942" max="6942" width="9.140625" style="1"/>
    <col min="6943" max="6944" width="9.28515625" style="1" bestFit="1" customWidth="1"/>
    <col min="6945" max="6945" width="9.140625" style="1"/>
    <col min="6946" max="6946" width="9.28515625" style="1" bestFit="1" customWidth="1"/>
    <col min="6947" max="6949" width="9.140625" style="1"/>
    <col min="6950" max="6952" width="9.28515625" style="1" bestFit="1" customWidth="1"/>
    <col min="6953" max="6955" width="9.140625" style="1"/>
    <col min="6956" max="6957" width="9.28515625" style="1" bestFit="1" customWidth="1"/>
    <col min="6958" max="6958" width="9.140625" style="1"/>
    <col min="6959" max="6960" width="9.28515625" style="1" bestFit="1" customWidth="1"/>
    <col min="6961" max="6961" width="9.140625" style="1"/>
    <col min="6962" max="6962" width="9.28515625" style="1" bestFit="1" customWidth="1"/>
    <col min="6963" max="6965" width="9.140625" style="1"/>
    <col min="6966" max="6968" width="9.28515625" style="1" bestFit="1" customWidth="1"/>
    <col min="6969" max="6971" width="9.140625" style="1"/>
    <col min="6972" max="6973" width="9.28515625" style="1" bestFit="1" customWidth="1"/>
    <col min="6974" max="6974" width="9.140625" style="1"/>
    <col min="6975" max="6976" width="9.28515625" style="1" bestFit="1" customWidth="1"/>
    <col min="6977" max="6977" width="9.140625" style="1"/>
    <col min="6978" max="6978" width="9.28515625" style="1" bestFit="1" customWidth="1"/>
    <col min="6979" max="6981" width="9.140625" style="1"/>
    <col min="6982" max="6984" width="9.28515625" style="1" bestFit="1" customWidth="1"/>
    <col min="6985" max="6987" width="9.140625" style="1"/>
    <col min="6988" max="6989" width="9.28515625" style="1" bestFit="1" customWidth="1"/>
    <col min="6990" max="6990" width="9.140625" style="1"/>
    <col min="6991" max="6992" width="9.28515625" style="1" bestFit="1" customWidth="1"/>
    <col min="6993" max="6993" width="9.140625" style="1"/>
    <col min="6994" max="6994" width="9.28515625" style="1" bestFit="1" customWidth="1"/>
    <col min="6995" max="6997" width="9.140625" style="1"/>
    <col min="6998" max="7000" width="9.28515625" style="1" bestFit="1" customWidth="1"/>
    <col min="7001" max="7003" width="9.140625" style="1"/>
    <col min="7004" max="7005" width="9.28515625" style="1" bestFit="1" customWidth="1"/>
    <col min="7006" max="7006" width="9.140625" style="1"/>
    <col min="7007" max="7008" width="9.28515625" style="1" bestFit="1" customWidth="1"/>
    <col min="7009" max="7009" width="9.140625" style="1"/>
    <col min="7010" max="7010" width="9.28515625" style="1" bestFit="1" customWidth="1"/>
    <col min="7011" max="7013" width="9.140625" style="1"/>
    <col min="7014" max="7016" width="9.28515625" style="1" bestFit="1" customWidth="1"/>
    <col min="7017" max="7019" width="9.140625" style="1"/>
    <col min="7020" max="7021" width="9.28515625" style="1" bestFit="1" customWidth="1"/>
    <col min="7022" max="7022" width="9.140625" style="1"/>
    <col min="7023" max="7024" width="9.28515625" style="1" bestFit="1" customWidth="1"/>
    <col min="7025" max="7025" width="9.140625" style="1"/>
    <col min="7026" max="7026" width="9.28515625" style="1" bestFit="1" customWidth="1"/>
    <col min="7027" max="7029" width="9.140625" style="1"/>
    <col min="7030" max="7032" width="9.28515625" style="1" bestFit="1" customWidth="1"/>
    <col min="7033" max="7035" width="9.140625" style="1"/>
    <col min="7036" max="7037" width="9.28515625" style="1" bestFit="1" customWidth="1"/>
    <col min="7038" max="7038" width="9.140625" style="1"/>
    <col min="7039" max="7040" width="9.28515625" style="1" bestFit="1" customWidth="1"/>
    <col min="7041" max="7041" width="9.140625" style="1"/>
    <col min="7042" max="7042" width="9.28515625" style="1" bestFit="1" customWidth="1"/>
    <col min="7043" max="7045" width="9.140625" style="1"/>
    <col min="7046" max="7048" width="9.28515625" style="1" bestFit="1" customWidth="1"/>
    <col min="7049" max="7051" width="9.140625" style="1"/>
    <col min="7052" max="7053" width="9.28515625" style="1" bestFit="1" customWidth="1"/>
    <col min="7054" max="7054" width="9.140625" style="1"/>
    <col min="7055" max="7056" width="9.28515625" style="1" bestFit="1" customWidth="1"/>
    <col min="7057" max="7057" width="9.140625" style="1"/>
    <col min="7058" max="7058" width="9.28515625" style="1" bestFit="1" customWidth="1"/>
    <col min="7059" max="7061" width="9.140625" style="1"/>
    <col min="7062" max="7064" width="9.28515625" style="1" bestFit="1" customWidth="1"/>
    <col min="7065" max="7067" width="9.140625" style="1"/>
    <col min="7068" max="7069" width="9.28515625" style="1" bestFit="1" customWidth="1"/>
    <col min="7070" max="7070" width="9.140625" style="1"/>
    <col min="7071" max="7072" width="9.28515625" style="1" bestFit="1" customWidth="1"/>
    <col min="7073" max="7073" width="9.140625" style="1"/>
    <col min="7074" max="7074" width="9.28515625" style="1" bestFit="1" customWidth="1"/>
    <col min="7075" max="7077" width="9.140625" style="1"/>
    <col min="7078" max="7080" width="9.28515625" style="1" bestFit="1" customWidth="1"/>
    <col min="7081" max="7083" width="9.140625" style="1"/>
    <col min="7084" max="7085" width="9.28515625" style="1" bestFit="1" customWidth="1"/>
    <col min="7086" max="7086" width="9.140625" style="1"/>
    <col min="7087" max="7088" width="9.28515625" style="1" bestFit="1" customWidth="1"/>
    <col min="7089" max="7089" width="9.140625" style="1"/>
    <col min="7090" max="7090" width="9.28515625" style="1" bestFit="1" customWidth="1"/>
    <col min="7091" max="7093" width="9.140625" style="1"/>
    <col min="7094" max="7096" width="9.28515625" style="1" bestFit="1" customWidth="1"/>
    <col min="7097" max="7099" width="9.140625" style="1"/>
    <col min="7100" max="7101" width="9.28515625" style="1" bestFit="1" customWidth="1"/>
    <col min="7102" max="7102" width="9.140625" style="1"/>
    <col min="7103" max="7104" width="9.28515625" style="1" bestFit="1" customWidth="1"/>
    <col min="7105" max="7105" width="9.140625" style="1"/>
    <col min="7106" max="7106" width="9.28515625" style="1" bestFit="1" customWidth="1"/>
    <col min="7107" max="7109" width="9.140625" style="1"/>
    <col min="7110" max="7112" width="9.28515625" style="1" bestFit="1" customWidth="1"/>
    <col min="7113" max="7115" width="9.140625" style="1"/>
    <col min="7116" max="7117" width="9.28515625" style="1" bestFit="1" customWidth="1"/>
    <col min="7118" max="7118" width="9.140625" style="1"/>
    <col min="7119" max="7120" width="9.28515625" style="1" bestFit="1" customWidth="1"/>
    <col min="7121" max="7121" width="9.140625" style="1"/>
    <col min="7122" max="7122" width="9.28515625" style="1" bestFit="1" customWidth="1"/>
    <col min="7123" max="7125" width="9.140625" style="1"/>
    <col min="7126" max="7128" width="9.28515625" style="1" bestFit="1" customWidth="1"/>
    <col min="7129" max="7131" width="9.140625" style="1"/>
    <col min="7132" max="7133" width="9.28515625" style="1" bestFit="1" customWidth="1"/>
    <col min="7134" max="7134" width="9.140625" style="1"/>
    <col min="7135" max="7136" width="9.28515625" style="1" bestFit="1" customWidth="1"/>
    <col min="7137" max="7137" width="9.140625" style="1"/>
    <col min="7138" max="7138" width="9.28515625" style="1" bestFit="1" customWidth="1"/>
    <col min="7139" max="7141" width="9.140625" style="1"/>
    <col min="7142" max="7144" width="9.28515625" style="1" bestFit="1" customWidth="1"/>
    <col min="7145" max="7147" width="9.140625" style="1"/>
    <col min="7148" max="7149" width="9.28515625" style="1" bestFit="1" customWidth="1"/>
    <col min="7150" max="7150" width="9.140625" style="1"/>
    <col min="7151" max="7152" width="9.28515625" style="1" bestFit="1" customWidth="1"/>
    <col min="7153" max="7153" width="9.140625" style="1"/>
    <col min="7154" max="7154" width="9.28515625" style="1" bestFit="1" customWidth="1"/>
    <col min="7155" max="7157" width="9.140625" style="1"/>
    <col min="7158" max="7160" width="9.28515625" style="1" bestFit="1" customWidth="1"/>
    <col min="7161" max="7163" width="9.140625" style="1"/>
    <col min="7164" max="7165" width="9.28515625" style="1" bestFit="1" customWidth="1"/>
    <col min="7166" max="7166" width="9.140625" style="1"/>
    <col min="7167" max="7168" width="9.28515625" style="1" bestFit="1" customWidth="1"/>
    <col min="7169" max="7169" width="9.140625" style="1"/>
    <col min="7170" max="7170" width="9.28515625" style="1" bestFit="1" customWidth="1"/>
    <col min="7171" max="7173" width="9.140625" style="1"/>
    <col min="7174" max="7176" width="9.28515625" style="1" bestFit="1" customWidth="1"/>
    <col min="7177" max="7179" width="9.140625" style="1"/>
    <col min="7180" max="7181" width="9.28515625" style="1" bestFit="1" customWidth="1"/>
    <col min="7182" max="7182" width="9.140625" style="1"/>
    <col min="7183" max="7184" width="9.28515625" style="1" bestFit="1" customWidth="1"/>
    <col min="7185" max="7185" width="9.140625" style="1"/>
    <col min="7186" max="7186" width="9.28515625" style="1" bestFit="1" customWidth="1"/>
    <col min="7187" max="7189" width="9.140625" style="1"/>
    <col min="7190" max="7192" width="9.28515625" style="1" bestFit="1" customWidth="1"/>
    <col min="7193" max="7195" width="9.140625" style="1"/>
    <col min="7196" max="7197" width="9.28515625" style="1" bestFit="1" customWidth="1"/>
    <col min="7198" max="7198" width="9.140625" style="1"/>
    <col min="7199" max="7200" width="9.28515625" style="1" bestFit="1" customWidth="1"/>
    <col min="7201" max="7201" width="9.140625" style="1"/>
    <col min="7202" max="7202" width="9.28515625" style="1" bestFit="1" customWidth="1"/>
    <col min="7203" max="7205" width="9.140625" style="1"/>
    <col min="7206" max="7208" width="9.28515625" style="1" bestFit="1" customWidth="1"/>
    <col min="7209" max="7211" width="9.140625" style="1"/>
    <col min="7212" max="7213" width="9.28515625" style="1" bestFit="1" customWidth="1"/>
    <col min="7214" max="7214" width="9.140625" style="1"/>
    <col min="7215" max="7216" width="9.28515625" style="1" bestFit="1" customWidth="1"/>
    <col min="7217" max="7217" width="9.140625" style="1"/>
    <col min="7218" max="7218" width="9.28515625" style="1" bestFit="1" customWidth="1"/>
    <col min="7219" max="7221" width="9.140625" style="1"/>
    <col min="7222" max="7224" width="9.28515625" style="1" bestFit="1" customWidth="1"/>
    <col min="7225" max="7227" width="9.140625" style="1"/>
    <col min="7228" max="7229" width="9.28515625" style="1" bestFit="1" customWidth="1"/>
    <col min="7230" max="7230" width="9.140625" style="1"/>
    <col min="7231" max="7232" width="9.28515625" style="1" bestFit="1" customWidth="1"/>
    <col min="7233" max="7233" width="9.140625" style="1"/>
    <col min="7234" max="7234" width="9.28515625" style="1" bestFit="1" customWidth="1"/>
    <col min="7235" max="7237" width="9.140625" style="1"/>
    <col min="7238" max="7240" width="9.28515625" style="1" bestFit="1" customWidth="1"/>
    <col min="7241" max="7243" width="9.140625" style="1"/>
    <col min="7244" max="7245" width="9.28515625" style="1" bestFit="1" customWidth="1"/>
    <col min="7246" max="7246" width="9.140625" style="1"/>
    <col min="7247" max="7248" width="9.28515625" style="1" bestFit="1" customWidth="1"/>
    <col min="7249" max="7249" width="9.140625" style="1"/>
    <col min="7250" max="7250" width="9.28515625" style="1" bestFit="1" customWidth="1"/>
    <col min="7251" max="7253" width="9.140625" style="1"/>
    <col min="7254" max="7256" width="9.28515625" style="1" bestFit="1" customWidth="1"/>
    <col min="7257" max="7259" width="9.140625" style="1"/>
    <col min="7260" max="7261" width="9.28515625" style="1" bestFit="1" customWidth="1"/>
    <col min="7262" max="7262" width="9.140625" style="1"/>
    <col min="7263" max="7264" width="9.28515625" style="1" bestFit="1" customWidth="1"/>
    <col min="7265" max="7265" width="9.140625" style="1"/>
    <col min="7266" max="7266" width="9.28515625" style="1" bestFit="1" customWidth="1"/>
    <col min="7267" max="7269" width="9.140625" style="1"/>
    <col min="7270" max="7272" width="9.28515625" style="1" bestFit="1" customWidth="1"/>
    <col min="7273" max="7275" width="9.140625" style="1"/>
    <col min="7276" max="7277" width="9.28515625" style="1" bestFit="1" customWidth="1"/>
    <col min="7278" max="7278" width="9.140625" style="1"/>
    <col min="7279" max="7280" width="9.28515625" style="1" bestFit="1" customWidth="1"/>
    <col min="7281" max="7281" width="9.140625" style="1"/>
    <col min="7282" max="7282" width="9.28515625" style="1" bestFit="1" customWidth="1"/>
    <col min="7283" max="7285" width="9.140625" style="1"/>
    <col min="7286" max="7288" width="9.28515625" style="1" bestFit="1" customWidth="1"/>
    <col min="7289" max="7291" width="9.140625" style="1"/>
    <col min="7292" max="7293" width="9.28515625" style="1" bestFit="1" customWidth="1"/>
    <col min="7294" max="7294" width="9.140625" style="1"/>
    <col min="7295" max="7296" width="9.28515625" style="1" bestFit="1" customWidth="1"/>
    <col min="7297" max="7297" width="9.140625" style="1"/>
    <col min="7298" max="7298" width="9.28515625" style="1" bestFit="1" customWidth="1"/>
    <col min="7299" max="7301" width="9.140625" style="1"/>
    <col min="7302" max="7304" width="9.28515625" style="1" bestFit="1" customWidth="1"/>
    <col min="7305" max="7307" width="9.140625" style="1"/>
    <col min="7308" max="7309" width="9.28515625" style="1" bestFit="1" customWidth="1"/>
    <col min="7310" max="7310" width="9.140625" style="1"/>
    <col min="7311" max="7312" width="9.28515625" style="1" bestFit="1" customWidth="1"/>
    <col min="7313" max="7313" width="9.140625" style="1"/>
    <col min="7314" max="7314" width="9.28515625" style="1" bestFit="1" customWidth="1"/>
    <col min="7315" max="7317" width="9.140625" style="1"/>
    <col min="7318" max="7320" width="9.28515625" style="1" bestFit="1" customWidth="1"/>
    <col min="7321" max="7323" width="9.140625" style="1"/>
    <col min="7324" max="7325" width="9.28515625" style="1" bestFit="1" customWidth="1"/>
    <col min="7326" max="7326" width="9.140625" style="1"/>
    <col min="7327" max="7328" width="9.28515625" style="1" bestFit="1" customWidth="1"/>
    <col min="7329" max="7329" width="9.140625" style="1"/>
    <col min="7330" max="7330" width="9.28515625" style="1" bestFit="1" customWidth="1"/>
    <col min="7331" max="7333" width="9.140625" style="1"/>
    <col min="7334" max="7336" width="9.28515625" style="1" bestFit="1" customWidth="1"/>
    <col min="7337" max="7339" width="9.140625" style="1"/>
    <col min="7340" max="7341" width="9.28515625" style="1" bestFit="1" customWidth="1"/>
    <col min="7342" max="7342" width="9.140625" style="1"/>
    <col min="7343" max="7344" width="9.28515625" style="1" bestFit="1" customWidth="1"/>
    <col min="7345" max="7345" width="9.140625" style="1"/>
    <col min="7346" max="7346" width="9.28515625" style="1" bestFit="1" customWidth="1"/>
    <col min="7347" max="7349" width="9.140625" style="1"/>
    <col min="7350" max="7352" width="9.28515625" style="1" bestFit="1" customWidth="1"/>
    <col min="7353" max="7355" width="9.140625" style="1"/>
    <col min="7356" max="7357" width="9.28515625" style="1" bestFit="1" customWidth="1"/>
    <col min="7358" max="7358" width="9.140625" style="1"/>
    <col min="7359" max="7360" width="9.28515625" style="1" bestFit="1" customWidth="1"/>
    <col min="7361" max="7361" width="9.140625" style="1"/>
    <col min="7362" max="7362" width="9.28515625" style="1" bestFit="1" customWidth="1"/>
    <col min="7363" max="7365" width="9.140625" style="1"/>
    <col min="7366" max="7368" width="9.28515625" style="1" bestFit="1" customWidth="1"/>
    <col min="7369" max="7371" width="9.140625" style="1"/>
    <col min="7372" max="7373" width="9.28515625" style="1" bestFit="1" customWidth="1"/>
    <col min="7374" max="7374" width="9.140625" style="1"/>
    <col min="7375" max="7376" width="9.28515625" style="1" bestFit="1" customWidth="1"/>
    <col min="7377" max="7377" width="9.140625" style="1"/>
    <col min="7378" max="7378" width="9.28515625" style="1" bestFit="1" customWidth="1"/>
    <col min="7379" max="7381" width="9.140625" style="1"/>
    <col min="7382" max="7384" width="9.28515625" style="1" bestFit="1" customWidth="1"/>
    <col min="7385" max="7387" width="9.140625" style="1"/>
    <col min="7388" max="7389" width="9.28515625" style="1" bestFit="1" customWidth="1"/>
    <col min="7390" max="7390" width="9.140625" style="1"/>
    <col min="7391" max="7392" width="9.28515625" style="1" bestFit="1" customWidth="1"/>
    <col min="7393" max="7393" width="9.140625" style="1"/>
    <col min="7394" max="7394" width="9.28515625" style="1" bestFit="1" customWidth="1"/>
    <col min="7395" max="7397" width="9.140625" style="1"/>
    <col min="7398" max="7400" width="9.28515625" style="1" bestFit="1" customWidth="1"/>
    <col min="7401" max="7403" width="9.140625" style="1"/>
    <col min="7404" max="7405" width="9.28515625" style="1" bestFit="1" customWidth="1"/>
    <col min="7406" max="7406" width="9.140625" style="1"/>
    <col min="7407" max="7408" width="9.28515625" style="1" bestFit="1" customWidth="1"/>
    <col min="7409" max="7409" width="9.140625" style="1"/>
    <col min="7410" max="7410" width="9.28515625" style="1" bestFit="1" customWidth="1"/>
    <col min="7411" max="7413" width="9.140625" style="1"/>
    <col min="7414" max="7416" width="9.28515625" style="1" bestFit="1" customWidth="1"/>
    <col min="7417" max="7419" width="9.140625" style="1"/>
    <col min="7420" max="7421" width="9.28515625" style="1" bestFit="1" customWidth="1"/>
    <col min="7422" max="7422" width="9.140625" style="1"/>
    <col min="7423" max="7424" width="9.28515625" style="1" bestFit="1" customWidth="1"/>
    <col min="7425" max="7425" width="9.140625" style="1"/>
    <col min="7426" max="7426" width="9.28515625" style="1" bestFit="1" customWidth="1"/>
    <col min="7427" max="7429" width="9.140625" style="1"/>
    <col min="7430" max="7432" width="9.28515625" style="1" bestFit="1" customWidth="1"/>
    <col min="7433" max="7435" width="9.140625" style="1"/>
    <col min="7436" max="7437" width="9.28515625" style="1" bestFit="1" customWidth="1"/>
    <col min="7438" max="7438" width="9.140625" style="1"/>
    <col min="7439" max="7440" width="9.28515625" style="1" bestFit="1" customWidth="1"/>
    <col min="7441" max="7441" width="9.140625" style="1"/>
    <col min="7442" max="7442" width="9.28515625" style="1" bestFit="1" customWidth="1"/>
    <col min="7443" max="7445" width="9.140625" style="1"/>
    <col min="7446" max="7448" width="9.28515625" style="1" bestFit="1" customWidth="1"/>
    <col min="7449" max="7451" width="9.140625" style="1"/>
    <col min="7452" max="7453" width="9.28515625" style="1" bestFit="1" customWidth="1"/>
    <col min="7454" max="7454" width="9.140625" style="1"/>
    <col min="7455" max="7456" width="9.28515625" style="1" bestFit="1" customWidth="1"/>
    <col min="7457" max="7457" width="9.140625" style="1"/>
    <col min="7458" max="7458" width="9.28515625" style="1" bestFit="1" customWidth="1"/>
    <col min="7459" max="7461" width="9.140625" style="1"/>
    <col min="7462" max="7464" width="9.28515625" style="1" bestFit="1" customWidth="1"/>
    <col min="7465" max="7467" width="9.140625" style="1"/>
    <col min="7468" max="7469" width="9.28515625" style="1" bestFit="1" customWidth="1"/>
    <col min="7470" max="7470" width="9.140625" style="1"/>
    <col min="7471" max="7472" width="9.28515625" style="1" bestFit="1" customWidth="1"/>
    <col min="7473" max="7473" width="9.140625" style="1"/>
    <col min="7474" max="7474" width="9.28515625" style="1" bestFit="1" customWidth="1"/>
    <col min="7475" max="7477" width="9.140625" style="1"/>
    <col min="7478" max="7480" width="9.28515625" style="1" bestFit="1" customWidth="1"/>
    <col min="7481" max="7483" width="9.140625" style="1"/>
    <col min="7484" max="7485" width="9.28515625" style="1" bestFit="1" customWidth="1"/>
    <col min="7486" max="7486" width="9.140625" style="1"/>
    <col min="7487" max="7488" width="9.28515625" style="1" bestFit="1" customWidth="1"/>
    <col min="7489" max="7489" width="9.140625" style="1"/>
    <col min="7490" max="7490" width="9.28515625" style="1" bestFit="1" customWidth="1"/>
    <col min="7491" max="7493" width="9.140625" style="1"/>
    <col min="7494" max="7496" width="9.28515625" style="1" bestFit="1" customWidth="1"/>
    <col min="7497" max="7499" width="9.140625" style="1"/>
    <col min="7500" max="7501" width="9.28515625" style="1" bestFit="1" customWidth="1"/>
    <col min="7502" max="7502" width="9.140625" style="1"/>
    <col min="7503" max="7504" width="9.28515625" style="1" bestFit="1" customWidth="1"/>
    <col min="7505" max="7505" width="9.140625" style="1"/>
    <col min="7506" max="7506" width="9.28515625" style="1" bestFit="1" customWidth="1"/>
    <col min="7507" max="7509" width="9.140625" style="1"/>
    <col min="7510" max="7512" width="9.28515625" style="1" bestFit="1" customWidth="1"/>
    <col min="7513" max="7515" width="9.140625" style="1"/>
    <col min="7516" max="7517" width="9.28515625" style="1" bestFit="1" customWidth="1"/>
    <col min="7518" max="7518" width="9.140625" style="1"/>
    <col min="7519" max="7520" width="9.28515625" style="1" bestFit="1" customWidth="1"/>
    <col min="7521" max="7521" width="9.140625" style="1"/>
    <col min="7522" max="7522" width="9.28515625" style="1" bestFit="1" customWidth="1"/>
    <col min="7523" max="7525" width="9.140625" style="1"/>
    <col min="7526" max="7528" width="9.28515625" style="1" bestFit="1" customWidth="1"/>
    <col min="7529" max="7531" width="9.140625" style="1"/>
    <col min="7532" max="7533" width="9.28515625" style="1" bestFit="1" customWidth="1"/>
    <col min="7534" max="7534" width="9.140625" style="1"/>
    <col min="7535" max="7536" width="9.28515625" style="1" bestFit="1" customWidth="1"/>
    <col min="7537" max="7537" width="9.140625" style="1"/>
    <col min="7538" max="7538" width="9.28515625" style="1" bestFit="1" customWidth="1"/>
    <col min="7539" max="7541" width="9.140625" style="1"/>
    <col min="7542" max="7544" width="9.28515625" style="1" bestFit="1" customWidth="1"/>
    <col min="7545" max="7547" width="9.140625" style="1"/>
    <col min="7548" max="7549" width="9.28515625" style="1" bestFit="1" customWidth="1"/>
    <col min="7550" max="7550" width="9.140625" style="1"/>
    <col min="7551" max="7552" width="9.28515625" style="1" bestFit="1" customWidth="1"/>
    <col min="7553" max="7553" width="9.140625" style="1"/>
    <col min="7554" max="7554" width="9.28515625" style="1" bestFit="1" customWidth="1"/>
    <col min="7555" max="7557" width="9.140625" style="1"/>
    <col min="7558" max="7560" width="9.28515625" style="1" bestFit="1" customWidth="1"/>
    <col min="7561" max="7563" width="9.140625" style="1"/>
    <col min="7564" max="7565" width="9.28515625" style="1" bestFit="1" customWidth="1"/>
    <col min="7566" max="7566" width="9.140625" style="1"/>
    <col min="7567" max="7568" width="9.28515625" style="1" bestFit="1" customWidth="1"/>
    <col min="7569" max="7569" width="9.140625" style="1"/>
    <col min="7570" max="7570" width="9.28515625" style="1" bestFit="1" customWidth="1"/>
    <col min="7571" max="7573" width="9.140625" style="1"/>
    <col min="7574" max="7576" width="9.28515625" style="1" bestFit="1" customWidth="1"/>
    <col min="7577" max="7579" width="9.140625" style="1"/>
    <col min="7580" max="7581" width="9.28515625" style="1" bestFit="1" customWidth="1"/>
    <col min="7582" max="7582" width="9.140625" style="1"/>
    <col min="7583" max="7584" width="9.28515625" style="1" bestFit="1" customWidth="1"/>
    <col min="7585" max="7585" width="9.140625" style="1"/>
    <col min="7586" max="7586" width="9.28515625" style="1" bestFit="1" customWidth="1"/>
    <col min="7587" max="7589" width="9.140625" style="1"/>
    <col min="7590" max="7592" width="9.28515625" style="1" bestFit="1" customWidth="1"/>
    <col min="7593" max="7595" width="9.140625" style="1"/>
    <col min="7596" max="7597" width="9.28515625" style="1" bestFit="1" customWidth="1"/>
    <col min="7598" max="7598" width="9.140625" style="1"/>
    <col min="7599" max="7600" width="9.28515625" style="1" bestFit="1" customWidth="1"/>
    <col min="7601" max="7601" width="9.140625" style="1"/>
    <col min="7602" max="7602" width="9.28515625" style="1" bestFit="1" customWidth="1"/>
    <col min="7603" max="7605" width="9.140625" style="1"/>
    <col min="7606" max="7608" width="9.28515625" style="1" bestFit="1" customWidth="1"/>
    <col min="7609" max="7611" width="9.140625" style="1"/>
    <col min="7612" max="7613" width="9.28515625" style="1" bestFit="1" customWidth="1"/>
    <col min="7614" max="7614" width="9.140625" style="1"/>
    <col min="7615" max="7616" width="9.28515625" style="1" bestFit="1" customWidth="1"/>
    <col min="7617" max="7617" width="9.140625" style="1"/>
    <col min="7618" max="7618" width="9.28515625" style="1" bestFit="1" customWidth="1"/>
    <col min="7619" max="7621" width="9.140625" style="1"/>
    <col min="7622" max="7624" width="9.28515625" style="1" bestFit="1" customWidth="1"/>
    <col min="7625" max="7627" width="9.140625" style="1"/>
    <col min="7628" max="7629" width="9.28515625" style="1" bestFit="1" customWidth="1"/>
    <col min="7630" max="7630" width="9.140625" style="1"/>
    <col min="7631" max="7632" width="9.28515625" style="1" bestFit="1" customWidth="1"/>
    <col min="7633" max="7633" width="9.140625" style="1"/>
    <col min="7634" max="7634" width="9.28515625" style="1" bestFit="1" customWidth="1"/>
    <col min="7635" max="7637" width="9.140625" style="1"/>
    <col min="7638" max="7640" width="9.28515625" style="1" bestFit="1" customWidth="1"/>
    <col min="7641" max="7643" width="9.140625" style="1"/>
    <col min="7644" max="7645" width="9.28515625" style="1" bestFit="1" customWidth="1"/>
    <col min="7646" max="7646" width="9.140625" style="1"/>
    <col min="7647" max="7648" width="9.28515625" style="1" bestFit="1" customWidth="1"/>
    <col min="7649" max="7649" width="9.140625" style="1"/>
    <col min="7650" max="7650" width="9.28515625" style="1" bestFit="1" customWidth="1"/>
    <col min="7651" max="7653" width="9.140625" style="1"/>
    <col min="7654" max="7656" width="9.28515625" style="1" bestFit="1" customWidth="1"/>
    <col min="7657" max="7659" width="9.140625" style="1"/>
    <col min="7660" max="7661" width="9.28515625" style="1" bestFit="1" customWidth="1"/>
    <col min="7662" max="7662" width="9.140625" style="1"/>
    <col min="7663" max="7664" width="9.28515625" style="1" bestFit="1" customWidth="1"/>
    <col min="7665" max="7665" width="9.140625" style="1"/>
    <col min="7666" max="7666" width="9.28515625" style="1" bestFit="1" customWidth="1"/>
    <col min="7667" max="7669" width="9.140625" style="1"/>
    <col min="7670" max="7672" width="9.28515625" style="1" bestFit="1" customWidth="1"/>
    <col min="7673" max="7675" width="9.140625" style="1"/>
    <col min="7676" max="7677" width="9.28515625" style="1" bestFit="1" customWidth="1"/>
    <col min="7678" max="7678" width="9.140625" style="1"/>
    <col min="7679" max="7680" width="9.28515625" style="1" bestFit="1" customWidth="1"/>
    <col min="7681" max="7681" width="9.140625" style="1"/>
    <col min="7682" max="7682" width="9.28515625" style="1" bestFit="1" customWidth="1"/>
    <col min="7683" max="7685" width="9.140625" style="1"/>
    <col min="7686" max="7688" width="9.28515625" style="1" bestFit="1" customWidth="1"/>
    <col min="7689" max="7691" width="9.140625" style="1"/>
    <col min="7692" max="7693" width="9.28515625" style="1" bestFit="1" customWidth="1"/>
    <col min="7694" max="7694" width="9.140625" style="1"/>
    <col min="7695" max="7696" width="9.28515625" style="1" bestFit="1" customWidth="1"/>
    <col min="7697" max="7697" width="9.140625" style="1"/>
    <col min="7698" max="7698" width="9.28515625" style="1" bestFit="1" customWidth="1"/>
    <col min="7699" max="7701" width="9.140625" style="1"/>
    <col min="7702" max="7704" width="9.28515625" style="1" bestFit="1" customWidth="1"/>
    <col min="7705" max="7707" width="9.140625" style="1"/>
    <col min="7708" max="7709" width="9.28515625" style="1" bestFit="1" customWidth="1"/>
    <col min="7710" max="7710" width="9.140625" style="1"/>
    <col min="7711" max="7712" width="9.28515625" style="1" bestFit="1" customWidth="1"/>
    <col min="7713" max="7713" width="9.140625" style="1"/>
    <col min="7714" max="7714" width="9.28515625" style="1" bestFit="1" customWidth="1"/>
    <col min="7715" max="7717" width="9.140625" style="1"/>
    <col min="7718" max="7720" width="9.28515625" style="1" bestFit="1" customWidth="1"/>
    <col min="7721" max="7723" width="9.140625" style="1"/>
    <col min="7724" max="7725" width="9.28515625" style="1" bestFit="1" customWidth="1"/>
    <col min="7726" max="7726" width="9.140625" style="1"/>
    <col min="7727" max="7728" width="9.28515625" style="1" bestFit="1" customWidth="1"/>
    <col min="7729" max="7729" width="9.140625" style="1"/>
    <col min="7730" max="7730" width="9.28515625" style="1" bestFit="1" customWidth="1"/>
    <col min="7731" max="7733" width="9.140625" style="1"/>
    <col min="7734" max="7736" width="9.28515625" style="1" bestFit="1" customWidth="1"/>
    <col min="7737" max="7739" width="9.140625" style="1"/>
    <col min="7740" max="7741" width="9.28515625" style="1" bestFit="1" customWidth="1"/>
    <col min="7742" max="7742" width="9.140625" style="1"/>
    <col min="7743" max="7744" width="9.28515625" style="1" bestFit="1" customWidth="1"/>
    <col min="7745" max="7745" width="9.140625" style="1"/>
    <col min="7746" max="7746" width="9.28515625" style="1" bestFit="1" customWidth="1"/>
    <col min="7747" max="7749" width="9.140625" style="1"/>
    <col min="7750" max="7752" width="9.28515625" style="1" bestFit="1" customWidth="1"/>
    <col min="7753" max="7755" width="9.140625" style="1"/>
    <col min="7756" max="7757" width="9.28515625" style="1" bestFit="1" customWidth="1"/>
    <col min="7758" max="7758" width="9.140625" style="1"/>
    <col min="7759" max="7760" width="9.28515625" style="1" bestFit="1" customWidth="1"/>
    <col min="7761" max="7761" width="9.140625" style="1"/>
    <col min="7762" max="7762" width="9.28515625" style="1" bestFit="1" customWidth="1"/>
    <col min="7763" max="7765" width="9.140625" style="1"/>
    <col min="7766" max="7768" width="9.28515625" style="1" bestFit="1" customWidth="1"/>
    <col min="7769" max="7771" width="9.140625" style="1"/>
    <col min="7772" max="7773" width="9.28515625" style="1" bestFit="1" customWidth="1"/>
    <col min="7774" max="7774" width="9.140625" style="1"/>
    <col min="7775" max="7776" width="9.28515625" style="1" bestFit="1" customWidth="1"/>
    <col min="7777" max="7777" width="9.140625" style="1"/>
    <col min="7778" max="7778" width="9.28515625" style="1" bestFit="1" customWidth="1"/>
    <col min="7779" max="7781" width="9.140625" style="1"/>
    <col min="7782" max="7784" width="9.28515625" style="1" bestFit="1" customWidth="1"/>
    <col min="7785" max="7787" width="9.140625" style="1"/>
    <col min="7788" max="7789" width="9.28515625" style="1" bestFit="1" customWidth="1"/>
    <col min="7790" max="7790" width="9.140625" style="1"/>
    <col min="7791" max="7792" width="9.28515625" style="1" bestFit="1" customWidth="1"/>
    <col min="7793" max="7793" width="9.140625" style="1"/>
    <col min="7794" max="7794" width="9.28515625" style="1" bestFit="1" customWidth="1"/>
    <col min="7795" max="7797" width="9.140625" style="1"/>
    <col min="7798" max="7800" width="9.28515625" style="1" bestFit="1" customWidth="1"/>
    <col min="7801" max="7803" width="9.140625" style="1"/>
    <col min="7804" max="7805" width="9.28515625" style="1" bestFit="1" customWidth="1"/>
    <col min="7806" max="7806" width="9.140625" style="1"/>
    <col min="7807" max="7808" width="9.28515625" style="1" bestFit="1" customWidth="1"/>
    <col min="7809" max="7809" width="9.140625" style="1"/>
    <col min="7810" max="7810" width="9.28515625" style="1" bestFit="1" customWidth="1"/>
    <col min="7811" max="7813" width="9.140625" style="1"/>
    <col min="7814" max="7816" width="9.28515625" style="1" bestFit="1" customWidth="1"/>
    <col min="7817" max="7819" width="9.140625" style="1"/>
    <col min="7820" max="7821" width="9.28515625" style="1" bestFit="1" customWidth="1"/>
    <col min="7822" max="7822" width="9.140625" style="1"/>
    <col min="7823" max="7824" width="9.28515625" style="1" bestFit="1" customWidth="1"/>
    <col min="7825" max="7825" width="9.140625" style="1"/>
    <col min="7826" max="7826" width="9.28515625" style="1" bestFit="1" customWidth="1"/>
    <col min="7827" max="7829" width="9.140625" style="1"/>
    <col min="7830" max="7832" width="9.28515625" style="1" bestFit="1" customWidth="1"/>
    <col min="7833" max="7835" width="9.140625" style="1"/>
    <col min="7836" max="7837" width="9.28515625" style="1" bestFit="1" customWidth="1"/>
    <col min="7838" max="7838" width="9.140625" style="1"/>
    <col min="7839" max="7840" width="9.28515625" style="1" bestFit="1" customWidth="1"/>
    <col min="7841" max="7841" width="9.140625" style="1"/>
    <col min="7842" max="7842" width="9.28515625" style="1" bestFit="1" customWidth="1"/>
    <col min="7843" max="7845" width="9.140625" style="1"/>
    <col min="7846" max="7848" width="9.28515625" style="1" bestFit="1" customWidth="1"/>
    <col min="7849" max="7851" width="9.140625" style="1"/>
    <col min="7852" max="7853" width="9.28515625" style="1" bestFit="1" customWidth="1"/>
    <col min="7854" max="7854" width="9.140625" style="1"/>
    <col min="7855" max="7856" width="9.28515625" style="1" bestFit="1" customWidth="1"/>
    <col min="7857" max="7857" width="9.140625" style="1"/>
    <col min="7858" max="7858" width="9.28515625" style="1" bestFit="1" customWidth="1"/>
    <col min="7859" max="7861" width="9.140625" style="1"/>
    <col min="7862" max="7864" width="9.28515625" style="1" bestFit="1" customWidth="1"/>
    <col min="7865" max="7867" width="9.140625" style="1"/>
    <col min="7868" max="7869" width="9.28515625" style="1" bestFit="1" customWidth="1"/>
    <col min="7870" max="7870" width="9.140625" style="1"/>
    <col min="7871" max="7872" width="9.28515625" style="1" bestFit="1" customWidth="1"/>
    <col min="7873" max="7873" width="9.140625" style="1"/>
    <col min="7874" max="7874" width="9.28515625" style="1" bestFit="1" customWidth="1"/>
    <col min="7875" max="7877" width="9.140625" style="1"/>
    <col min="7878" max="7880" width="9.28515625" style="1" bestFit="1" customWidth="1"/>
    <col min="7881" max="7883" width="9.140625" style="1"/>
    <col min="7884" max="7885" width="9.28515625" style="1" bestFit="1" customWidth="1"/>
    <col min="7886" max="7886" width="9.140625" style="1"/>
    <col min="7887" max="7888" width="9.28515625" style="1" bestFit="1" customWidth="1"/>
    <col min="7889" max="7889" width="9.140625" style="1"/>
    <col min="7890" max="7890" width="9.28515625" style="1" bestFit="1" customWidth="1"/>
    <col min="7891" max="7893" width="9.140625" style="1"/>
    <col min="7894" max="7896" width="9.28515625" style="1" bestFit="1" customWidth="1"/>
    <col min="7897" max="7899" width="9.140625" style="1"/>
    <col min="7900" max="7901" width="9.28515625" style="1" bestFit="1" customWidth="1"/>
    <col min="7902" max="7902" width="9.140625" style="1"/>
    <col min="7903" max="7904" width="9.28515625" style="1" bestFit="1" customWidth="1"/>
    <col min="7905" max="7905" width="9.140625" style="1"/>
    <col min="7906" max="7906" width="9.28515625" style="1" bestFit="1" customWidth="1"/>
    <col min="7907" max="7909" width="9.140625" style="1"/>
    <col min="7910" max="7912" width="9.28515625" style="1" bestFit="1" customWidth="1"/>
    <col min="7913" max="7915" width="9.140625" style="1"/>
    <col min="7916" max="7917" width="9.28515625" style="1" bestFit="1" customWidth="1"/>
    <col min="7918" max="7918" width="9.140625" style="1"/>
    <col min="7919" max="7920" width="9.28515625" style="1" bestFit="1" customWidth="1"/>
    <col min="7921" max="7921" width="9.140625" style="1"/>
    <col min="7922" max="7922" width="9.28515625" style="1" bestFit="1" customWidth="1"/>
    <col min="7923" max="7925" width="9.140625" style="1"/>
    <col min="7926" max="7928" width="9.28515625" style="1" bestFit="1" customWidth="1"/>
    <col min="7929" max="7931" width="9.140625" style="1"/>
    <col min="7932" max="7933" width="9.28515625" style="1" bestFit="1" customWidth="1"/>
    <col min="7934" max="7934" width="9.140625" style="1"/>
    <col min="7935" max="7936" width="9.28515625" style="1" bestFit="1" customWidth="1"/>
    <col min="7937" max="7937" width="9.140625" style="1"/>
    <col min="7938" max="7938" width="9.28515625" style="1" bestFit="1" customWidth="1"/>
    <col min="7939" max="7941" width="9.140625" style="1"/>
    <col min="7942" max="7944" width="9.28515625" style="1" bestFit="1" customWidth="1"/>
    <col min="7945" max="7947" width="9.140625" style="1"/>
    <col min="7948" max="7949" width="9.28515625" style="1" bestFit="1" customWidth="1"/>
    <col min="7950" max="7950" width="9.140625" style="1"/>
    <col min="7951" max="7952" width="9.28515625" style="1" bestFit="1" customWidth="1"/>
    <col min="7953" max="7953" width="9.140625" style="1"/>
    <col min="7954" max="7954" width="9.28515625" style="1" bestFit="1" customWidth="1"/>
    <col min="7955" max="7957" width="9.140625" style="1"/>
    <col min="7958" max="7960" width="9.28515625" style="1" bestFit="1" customWidth="1"/>
    <col min="7961" max="7963" width="9.140625" style="1"/>
    <col min="7964" max="7965" width="9.28515625" style="1" bestFit="1" customWidth="1"/>
    <col min="7966" max="7966" width="9.140625" style="1"/>
    <col min="7967" max="7968" width="9.28515625" style="1" bestFit="1" customWidth="1"/>
    <col min="7969" max="7969" width="9.140625" style="1"/>
    <col min="7970" max="7970" width="9.28515625" style="1" bestFit="1" customWidth="1"/>
    <col min="7971" max="7973" width="9.140625" style="1"/>
    <col min="7974" max="7976" width="9.28515625" style="1" bestFit="1" customWidth="1"/>
    <col min="7977" max="7979" width="9.140625" style="1"/>
    <col min="7980" max="7981" width="9.28515625" style="1" bestFit="1" customWidth="1"/>
    <col min="7982" max="7982" width="9.140625" style="1"/>
    <col min="7983" max="7984" width="9.28515625" style="1" bestFit="1" customWidth="1"/>
    <col min="7985" max="7985" width="9.140625" style="1"/>
    <col min="7986" max="7986" width="9.28515625" style="1" bestFit="1" customWidth="1"/>
    <col min="7987" max="7989" width="9.140625" style="1"/>
    <col min="7990" max="7992" width="9.28515625" style="1" bestFit="1" customWidth="1"/>
    <col min="7993" max="7995" width="9.140625" style="1"/>
    <col min="7996" max="7997" width="9.28515625" style="1" bestFit="1" customWidth="1"/>
    <col min="7998" max="7998" width="9.140625" style="1"/>
    <col min="7999" max="8000" width="9.28515625" style="1" bestFit="1" customWidth="1"/>
    <col min="8001" max="8001" width="9.140625" style="1"/>
    <col min="8002" max="8002" width="9.28515625" style="1" bestFit="1" customWidth="1"/>
    <col min="8003" max="8005" width="9.140625" style="1"/>
    <col min="8006" max="8008" width="9.28515625" style="1" bestFit="1" customWidth="1"/>
    <col min="8009" max="8011" width="9.140625" style="1"/>
    <col min="8012" max="8013" width="9.28515625" style="1" bestFit="1" customWidth="1"/>
    <col min="8014" max="8014" width="9.140625" style="1"/>
    <col min="8015" max="8016" width="9.28515625" style="1" bestFit="1" customWidth="1"/>
    <col min="8017" max="8017" width="9.140625" style="1"/>
    <col min="8018" max="8018" width="9.28515625" style="1" bestFit="1" customWidth="1"/>
    <col min="8019" max="8021" width="9.140625" style="1"/>
    <col min="8022" max="8024" width="9.28515625" style="1" bestFit="1" customWidth="1"/>
    <col min="8025" max="8027" width="9.140625" style="1"/>
    <col min="8028" max="8029" width="9.28515625" style="1" bestFit="1" customWidth="1"/>
    <col min="8030" max="8030" width="9.140625" style="1"/>
    <col min="8031" max="8032" width="9.28515625" style="1" bestFit="1" customWidth="1"/>
    <col min="8033" max="8033" width="9.140625" style="1"/>
    <col min="8034" max="8034" width="9.28515625" style="1" bestFit="1" customWidth="1"/>
    <col min="8035" max="8037" width="9.140625" style="1"/>
    <col min="8038" max="8040" width="9.28515625" style="1" bestFit="1" customWidth="1"/>
    <col min="8041" max="8043" width="9.140625" style="1"/>
    <col min="8044" max="8045" width="9.28515625" style="1" bestFit="1" customWidth="1"/>
    <col min="8046" max="8046" width="9.140625" style="1"/>
    <col min="8047" max="8048" width="9.28515625" style="1" bestFit="1" customWidth="1"/>
    <col min="8049" max="8049" width="9.140625" style="1"/>
    <col min="8050" max="8050" width="9.28515625" style="1" bestFit="1" customWidth="1"/>
    <col min="8051" max="8053" width="9.140625" style="1"/>
    <col min="8054" max="8056" width="9.28515625" style="1" bestFit="1" customWidth="1"/>
    <col min="8057" max="8059" width="9.140625" style="1"/>
    <col min="8060" max="8061" width="9.28515625" style="1" bestFit="1" customWidth="1"/>
    <col min="8062" max="8062" width="9.140625" style="1"/>
    <col min="8063" max="8064" width="9.28515625" style="1" bestFit="1" customWidth="1"/>
    <col min="8065" max="8065" width="9.140625" style="1"/>
    <col min="8066" max="8066" width="9.28515625" style="1" bestFit="1" customWidth="1"/>
    <col min="8067" max="8069" width="9.140625" style="1"/>
    <col min="8070" max="8072" width="9.28515625" style="1" bestFit="1" customWidth="1"/>
    <col min="8073" max="8075" width="9.140625" style="1"/>
    <col min="8076" max="8077" width="9.28515625" style="1" bestFit="1" customWidth="1"/>
    <col min="8078" max="8078" width="9.140625" style="1"/>
    <col min="8079" max="8080" width="9.28515625" style="1" bestFit="1" customWidth="1"/>
    <col min="8081" max="8081" width="9.140625" style="1"/>
    <col min="8082" max="8082" width="9.28515625" style="1" bestFit="1" customWidth="1"/>
    <col min="8083" max="8085" width="9.140625" style="1"/>
    <col min="8086" max="8088" width="9.28515625" style="1" bestFit="1" customWidth="1"/>
    <col min="8089" max="8091" width="9.140625" style="1"/>
    <col min="8092" max="8093" width="9.28515625" style="1" bestFit="1" customWidth="1"/>
    <col min="8094" max="8094" width="9.140625" style="1"/>
    <col min="8095" max="8096" width="9.28515625" style="1" bestFit="1" customWidth="1"/>
    <col min="8097" max="8097" width="9.140625" style="1"/>
    <col min="8098" max="8098" width="9.28515625" style="1" bestFit="1" customWidth="1"/>
    <col min="8099" max="8101" width="9.140625" style="1"/>
    <col min="8102" max="8104" width="9.28515625" style="1" bestFit="1" customWidth="1"/>
    <col min="8105" max="8107" width="9.140625" style="1"/>
    <col min="8108" max="8109" width="9.28515625" style="1" bestFit="1" customWidth="1"/>
    <col min="8110" max="8110" width="9.140625" style="1"/>
    <col min="8111" max="8112" width="9.28515625" style="1" bestFit="1" customWidth="1"/>
    <col min="8113" max="8113" width="9.140625" style="1"/>
    <col min="8114" max="8114" width="9.28515625" style="1" bestFit="1" customWidth="1"/>
    <col min="8115" max="8117" width="9.140625" style="1"/>
    <col min="8118" max="8120" width="9.28515625" style="1" bestFit="1" customWidth="1"/>
    <col min="8121" max="8123" width="9.140625" style="1"/>
    <col min="8124" max="8125" width="9.28515625" style="1" bestFit="1" customWidth="1"/>
    <col min="8126" max="8126" width="9.140625" style="1"/>
    <col min="8127" max="8128" width="9.28515625" style="1" bestFit="1" customWidth="1"/>
    <col min="8129" max="8129" width="9.140625" style="1"/>
    <col min="8130" max="8130" width="9.28515625" style="1" bestFit="1" customWidth="1"/>
    <col min="8131" max="8133" width="9.140625" style="1"/>
    <col min="8134" max="8136" width="9.28515625" style="1" bestFit="1" customWidth="1"/>
    <col min="8137" max="8139" width="9.140625" style="1"/>
    <col min="8140" max="8141" width="9.28515625" style="1" bestFit="1" customWidth="1"/>
    <col min="8142" max="8142" width="9.140625" style="1"/>
    <col min="8143" max="8144" width="9.28515625" style="1" bestFit="1" customWidth="1"/>
    <col min="8145" max="8145" width="9.140625" style="1"/>
    <col min="8146" max="8146" width="9.28515625" style="1" bestFit="1" customWidth="1"/>
    <col min="8147" max="8149" width="9.140625" style="1"/>
    <col min="8150" max="8152" width="9.28515625" style="1" bestFit="1" customWidth="1"/>
    <col min="8153" max="8155" width="9.140625" style="1"/>
    <col min="8156" max="8157" width="9.28515625" style="1" bestFit="1" customWidth="1"/>
    <col min="8158" max="8158" width="9.140625" style="1"/>
    <col min="8159" max="8160" width="9.28515625" style="1" bestFit="1" customWidth="1"/>
    <col min="8161" max="8161" width="9.140625" style="1"/>
    <col min="8162" max="8162" width="9.28515625" style="1" bestFit="1" customWidth="1"/>
    <col min="8163" max="8165" width="9.140625" style="1"/>
    <col min="8166" max="8168" width="9.28515625" style="1" bestFit="1" customWidth="1"/>
    <col min="8169" max="8171" width="9.140625" style="1"/>
    <col min="8172" max="8173" width="9.28515625" style="1" bestFit="1" customWidth="1"/>
    <col min="8174" max="8174" width="9.140625" style="1"/>
    <col min="8175" max="8176" width="9.28515625" style="1" bestFit="1" customWidth="1"/>
    <col min="8177" max="8177" width="9.140625" style="1"/>
    <col min="8178" max="8178" width="9.28515625" style="1" bestFit="1" customWidth="1"/>
    <col min="8179" max="8181" width="9.140625" style="1"/>
    <col min="8182" max="8184" width="9.28515625" style="1" bestFit="1" customWidth="1"/>
    <col min="8185" max="8187" width="9.140625" style="1"/>
    <col min="8188" max="8189" width="9.28515625" style="1" bestFit="1" customWidth="1"/>
    <col min="8190" max="8190" width="9.140625" style="1"/>
    <col min="8191" max="8192" width="9.28515625" style="1" bestFit="1" customWidth="1"/>
    <col min="8193" max="8193" width="9.140625" style="1"/>
    <col min="8194" max="8194" width="9.28515625" style="1" bestFit="1" customWidth="1"/>
    <col min="8195" max="8197" width="9.140625" style="1"/>
    <col min="8198" max="8200" width="9.28515625" style="1" bestFit="1" customWidth="1"/>
    <col min="8201" max="8203" width="9.140625" style="1"/>
    <col min="8204" max="8205" width="9.28515625" style="1" bestFit="1" customWidth="1"/>
    <col min="8206" max="8206" width="9.140625" style="1"/>
    <col min="8207" max="8208" width="9.28515625" style="1" bestFit="1" customWidth="1"/>
    <col min="8209" max="8209" width="9.140625" style="1"/>
    <col min="8210" max="8210" width="9.28515625" style="1" bestFit="1" customWidth="1"/>
    <col min="8211" max="8213" width="9.140625" style="1"/>
    <col min="8214" max="8216" width="9.28515625" style="1" bestFit="1" customWidth="1"/>
    <col min="8217" max="8219" width="9.140625" style="1"/>
    <col min="8220" max="8221" width="9.28515625" style="1" bestFit="1" customWidth="1"/>
    <col min="8222" max="8222" width="9.140625" style="1"/>
    <col min="8223" max="8224" width="9.28515625" style="1" bestFit="1" customWidth="1"/>
    <col min="8225" max="8225" width="9.140625" style="1"/>
    <col min="8226" max="8226" width="9.28515625" style="1" bestFit="1" customWidth="1"/>
    <col min="8227" max="8229" width="9.140625" style="1"/>
    <col min="8230" max="8232" width="9.28515625" style="1" bestFit="1" customWidth="1"/>
    <col min="8233" max="8235" width="9.140625" style="1"/>
    <col min="8236" max="8237" width="9.28515625" style="1" bestFit="1" customWidth="1"/>
    <col min="8238" max="8238" width="9.140625" style="1"/>
    <col min="8239" max="8240" width="9.28515625" style="1" bestFit="1" customWidth="1"/>
    <col min="8241" max="8241" width="9.140625" style="1"/>
    <col min="8242" max="8242" width="9.28515625" style="1" bestFit="1" customWidth="1"/>
    <col min="8243" max="8245" width="9.140625" style="1"/>
    <col min="8246" max="8248" width="9.28515625" style="1" bestFit="1" customWidth="1"/>
    <col min="8249" max="8251" width="9.140625" style="1"/>
    <col min="8252" max="8253" width="9.28515625" style="1" bestFit="1" customWidth="1"/>
    <col min="8254" max="8254" width="9.140625" style="1"/>
    <col min="8255" max="8256" width="9.28515625" style="1" bestFit="1" customWidth="1"/>
    <col min="8257" max="8257" width="9.140625" style="1"/>
    <col min="8258" max="8258" width="9.28515625" style="1" bestFit="1" customWidth="1"/>
    <col min="8259" max="8261" width="9.140625" style="1"/>
    <col min="8262" max="8264" width="9.28515625" style="1" bestFit="1" customWidth="1"/>
    <col min="8265" max="8267" width="9.140625" style="1"/>
    <col min="8268" max="8269" width="9.28515625" style="1" bestFit="1" customWidth="1"/>
    <col min="8270" max="8270" width="9.140625" style="1"/>
    <col min="8271" max="8272" width="9.28515625" style="1" bestFit="1" customWidth="1"/>
    <col min="8273" max="8273" width="9.140625" style="1"/>
    <col min="8274" max="8274" width="9.28515625" style="1" bestFit="1" customWidth="1"/>
    <col min="8275" max="8277" width="9.140625" style="1"/>
    <col min="8278" max="8280" width="9.28515625" style="1" bestFit="1" customWidth="1"/>
    <col min="8281" max="8283" width="9.140625" style="1"/>
    <col min="8284" max="8285" width="9.28515625" style="1" bestFit="1" customWidth="1"/>
    <col min="8286" max="8286" width="9.140625" style="1"/>
    <col min="8287" max="8288" width="9.28515625" style="1" bestFit="1" customWidth="1"/>
    <col min="8289" max="8289" width="9.140625" style="1"/>
    <col min="8290" max="8290" width="9.28515625" style="1" bestFit="1" customWidth="1"/>
    <col min="8291" max="8293" width="9.140625" style="1"/>
    <col min="8294" max="8296" width="9.28515625" style="1" bestFit="1" customWidth="1"/>
    <col min="8297" max="8299" width="9.140625" style="1"/>
    <col min="8300" max="8301" width="9.28515625" style="1" bestFit="1" customWidth="1"/>
    <col min="8302" max="8302" width="9.140625" style="1"/>
    <col min="8303" max="8304" width="9.28515625" style="1" bestFit="1" customWidth="1"/>
    <col min="8305" max="8305" width="9.140625" style="1"/>
    <col min="8306" max="8306" width="9.28515625" style="1" bestFit="1" customWidth="1"/>
    <col min="8307" max="8309" width="9.140625" style="1"/>
    <col min="8310" max="8312" width="9.28515625" style="1" bestFit="1" customWidth="1"/>
    <col min="8313" max="8315" width="9.140625" style="1"/>
    <col min="8316" max="8317" width="9.28515625" style="1" bestFit="1" customWidth="1"/>
    <col min="8318" max="8318" width="9.140625" style="1"/>
    <col min="8319" max="8320" width="9.28515625" style="1" bestFit="1" customWidth="1"/>
    <col min="8321" max="8321" width="9.140625" style="1"/>
    <col min="8322" max="8322" width="9.28515625" style="1" bestFit="1" customWidth="1"/>
    <col min="8323" max="8325" width="9.140625" style="1"/>
    <col min="8326" max="8328" width="9.28515625" style="1" bestFit="1" customWidth="1"/>
    <col min="8329" max="8331" width="9.140625" style="1"/>
    <col min="8332" max="8333" width="9.28515625" style="1" bestFit="1" customWidth="1"/>
    <col min="8334" max="8334" width="9.140625" style="1"/>
    <col min="8335" max="8336" width="9.28515625" style="1" bestFit="1" customWidth="1"/>
    <col min="8337" max="8337" width="9.140625" style="1"/>
    <col min="8338" max="8338" width="9.28515625" style="1" bestFit="1" customWidth="1"/>
    <col min="8339" max="8341" width="9.140625" style="1"/>
    <col min="8342" max="8344" width="9.28515625" style="1" bestFit="1" customWidth="1"/>
    <col min="8345" max="8347" width="9.140625" style="1"/>
    <col min="8348" max="8349" width="9.28515625" style="1" bestFit="1" customWidth="1"/>
    <col min="8350" max="8350" width="9.140625" style="1"/>
    <col min="8351" max="8352" width="9.28515625" style="1" bestFit="1" customWidth="1"/>
    <col min="8353" max="8353" width="9.140625" style="1"/>
    <col min="8354" max="8354" width="9.28515625" style="1" bestFit="1" customWidth="1"/>
    <col min="8355" max="8357" width="9.140625" style="1"/>
    <col min="8358" max="8360" width="9.28515625" style="1" bestFit="1" customWidth="1"/>
    <col min="8361" max="8363" width="9.140625" style="1"/>
    <col min="8364" max="8365" width="9.28515625" style="1" bestFit="1" customWidth="1"/>
    <col min="8366" max="8366" width="9.140625" style="1"/>
    <col min="8367" max="8368" width="9.28515625" style="1" bestFit="1" customWidth="1"/>
    <col min="8369" max="8369" width="9.140625" style="1"/>
    <col min="8370" max="8370" width="9.28515625" style="1" bestFit="1" customWidth="1"/>
    <col min="8371" max="8373" width="9.140625" style="1"/>
    <col min="8374" max="8376" width="9.28515625" style="1" bestFit="1" customWidth="1"/>
    <col min="8377" max="8379" width="9.140625" style="1"/>
    <col min="8380" max="8381" width="9.28515625" style="1" bestFit="1" customWidth="1"/>
    <col min="8382" max="8382" width="9.140625" style="1"/>
    <col min="8383" max="8384" width="9.28515625" style="1" bestFit="1" customWidth="1"/>
    <col min="8385" max="8385" width="9.140625" style="1"/>
    <col min="8386" max="8386" width="9.28515625" style="1" bestFit="1" customWidth="1"/>
    <col min="8387" max="8389" width="9.140625" style="1"/>
    <col min="8390" max="8392" width="9.28515625" style="1" bestFit="1" customWidth="1"/>
    <col min="8393" max="8395" width="9.140625" style="1"/>
    <col min="8396" max="8397" width="9.28515625" style="1" bestFit="1" customWidth="1"/>
    <col min="8398" max="8398" width="9.140625" style="1"/>
    <col min="8399" max="8400" width="9.28515625" style="1" bestFit="1" customWidth="1"/>
    <col min="8401" max="8401" width="9.140625" style="1"/>
    <col min="8402" max="8402" width="9.28515625" style="1" bestFit="1" customWidth="1"/>
    <col min="8403" max="8405" width="9.140625" style="1"/>
    <col min="8406" max="8408" width="9.28515625" style="1" bestFit="1" customWidth="1"/>
    <col min="8409" max="8411" width="9.140625" style="1"/>
    <col min="8412" max="8413" width="9.28515625" style="1" bestFit="1" customWidth="1"/>
    <col min="8414" max="8414" width="9.140625" style="1"/>
    <col min="8415" max="8416" width="9.28515625" style="1" bestFit="1" customWidth="1"/>
    <col min="8417" max="8417" width="9.140625" style="1"/>
    <col min="8418" max="8418" width="9.28515625" style="1" bestFit="1" customWidth="1"/>
    <col min="8419" max="8421" width="9.140625" style="1"/>
    <col min="8422" max="8424" width="9.28515625" style="1" bestFit="1" customWidth="1"/>
    <col min="8425" max="8427" width="9.140625" style="1"/>
    <col min="8428" max="8429" width="9.28515625" style="1" bestFit="1" customWidth="1"/>
    <col min="8430" max="8430" width="9.140625" style="1"/>
    <col min="8431" max="8432" width="9.28515625" style="1" bestFit="1" customWidth="1"/>
    <col min="8433" max="8433" width="9.140625" style="1"/>
    <col min="8434" max="8434" width="9.28515625" style="1" bestFit="1" customWidth="1"/>
    <col min="8435" max="8437" width="9.140625" style="1"/>
    <col min="8438" max="8440" width="9.28515625" style="1" bestFit="1" customWidth="1"/>
    <col min="8441" max="8443" width="9.140625" style="1"/>
    <col min="8444" max="8445" width="9.28515625" style="1" bestFit="1" customWidth="1"/>
    <col min="8446" max="8446" width="9.140625" style="1"/>
    <col min="8447" max="8448" width="9.28515625" style="1" bestFit="1" customWidth="1"/>
    <col min="8449" max="8449" width="9.140625" style="1"/>
    <col min="8450" max="8450" width="9.28515625" style="1" bestFit="1" customWidth="1"/>
    <col min="8451" max="8453" width="9.140625" style="1"/>
    <col min="8454" max="8456" width="9.28515625" style="1" bestFit="1" customWidth="1"/>
    <col min="8457" max="8459" width="9.140625" style="1"/>
    <col min="8460" max="8461" width="9.28515625" style="1" bestFit="1" customWidth="1"/>
    <col min="8462" max="8462" width="9.140625" style="1"/>
    <col min="8463" max="8464" width="9.28515625" style="1" bestFit="1" customWidth="1"/>
    <col min="8465" max="8465" width="9.140625" style="1"/>
    <col min="8466" max="8466" width="9.28515625" style="1" bestFit="1" customWidth="1"/>
    <col min="8467" max="8469" width="9.140625" style="1"/>
    <col min="8470" max="8472" width="9.28515625" style="1" bestFit="1" customWidth="1"/>
    <col min="8473" max="8475" width="9.140625" style="1"/>
    <col min="8476" max="8477" width="9.28515625" style="1" bestFit="1" customWidth="1"/>
    <col min="8478" max="8478" width="9.140625" style="1"/>
    <col min="8479" max="8480" width="9.28515625" style="1" bestFit="1" customWidth="1"/>
    <col min="8481" max="8481" width="9.140625" style="1"/>
    <col min="8482" max="8482" width="9.28515625" style="1" bestFit="1" customWidth="1"/>
    <col min="8483" max="8485" width="9.140625" style="1"/>
    <col min="8486" max="8488" width="9.28515625" style="1" bestFit="1" customWidth="1"/>
    <col min="8489" max="8491" width="9.140625" style="1"/>
    <col min="8492" max="8493" width="9.28515625" style="1" bestFit="1" customWidth="1"/>
    <col min="8494" max="8494" width="9.140625" style="1"/>
    <col min="8495" max="8496" width="9.28515625" style="1" bestFit="1" customWidth="1"/>
    <col min="8497" max="8497" width="9.140625" style="1"/>
    <col min="8498" max="8498" width="9.28515625" style="1" bestFit="1" customWidth="1"/>
    <col min="8499" max="8501" width="9.140625" style="1"/>
    <col min="8502" max="8504" width="9.28515625" style="1" bestFit="1" customWidth="1"/>
    <col min="8505" max="8507" width="9.140625" style="1"/>
    <col min="8508" max="8509" width="9.28515625" style="1" bestFit="1" customWidth="1"/>
    <col min="8510" max="8510" width="9.140625" style="1"/>
    <col min="8511" max="8512" width="9.28515625" style="1" bestFit="1" customWidth="1"/>
    <col min="8513" max="8513" width="9.140625" style="1"/>
    <col min="8514" max="8514" width="9.28515625" style="1" bestFit="1" customWidth="1"/>
    <col min="8515" max="8517" width="9.140625" style="1"/>
    <col min="8518" max="8520" width="9.28515625" style="1" bestFit="1" customWidth="1"/>
    <col min="8521" max="8523" width="9.140625" style="1"/>
    <col min="8524" max="8525" width="9.28515625" style="1" bestFit="1" customWidth="1"/>
    <col min="8526" max="8526" width="9.140625" style="1"/>
    <col min="8527" max="8528" width="9.28515625" style="1" bestFit="1" customWidth="1"/>
    <col min="8529" max="8529" width="9.140625" style="1"/>
    <col min="8530" max="8530" width="9.28515625" style="1" bestFit="1" customWidth="1"/>
    <col min="8531" max="8533" width="9.140625" style="1"/>
    <col min="8534" max="8536" width="9.28515625" style="1" bestFit="1" customWidth="1"/>
    <col min="8537" max="8539" width="9.140625" style="1"/>
    <col min="8540" max="8541" width="9.28515625" style="1" bestFit="1" customWidth="1"/>
    <col min="8542" max="8542" width="9.140625" style="1"/>
    <col min="8543" max="8544" width="9.28515625" style="1" bestFit="1" customWidth="1"/>
    <col min="8545" max="8545" width="9.140625" style="1"/>
    <col min="8546" max="8546" width="9.28515625" style="1" bestFit="1" customWidth="1"/>
    <col min="8547" max="8549" width="9.140625" style="1"/>
    <col min="8550" max="8552" width="9.28515625" style="1" bestFit="1" customWidth="1"/>
    <col min="8553" max="8555" width="9.140625" style="1"/>
    <col min="8556" max="8557" width="9.28515625" style="1" bestFit="1" customWidth="1"/>
    <col min="8558" max="8558" width="9.140625" style="1"/>
    <col min="8559" max="8560" width="9.28515625" style="1" bestFit="1" customWidth="1"/>
    <col min="8561" max="8561" width="9.140625" style="1"/>
    <col min="8562" max="8562" width="9.28515625" style="1" bestFit="1" customWidth="1"/>
    <col min="8563" max="8565" width="9.140625" style="1"/>
    <col min="8566" max="8568" width="9.28515625" style="1" bestFit="1" customWidth="1"/>
    <col min="8569" max="8571" width="9.140625" style="1"/>
    <col min="8572" max="8573" width="9.28515625" style="1" bestFit="1" customWidth="1"/>
    <col min="8574" max="8574" width="9.140625" style="1"/>
    <col min="8575" max="8576" width="9.28515625" style="1" bestFit="1" customWidth="1"/>
    <col min="8577" max="8577" width="9.140625" style="1"/>
    <col min="8578" max="8578" width="9.28515625" style="1" bestFit="1" customWidth="1"/>
    <col min="8579" max="8581" width="9.140625" style="1"/>
    <col min="8582" max="8584" width="9.28515625" style="1" bestFit="1" customWidth="1"/>
    <col min="8585" max="8587" width="9.140625" style="1"/>
    <col min="8588" max="8589" width="9.28515625" style="1" bestFit="1" customWidth="1"/>
    <col min="8590" max="8590" width="9.140625" style="1"/>
    <col min="8591" max="8592" width="9.28515625" style="1" bestFit="1" customWidth="1"/>
    <col min="8593" max="8593" width="9.140625" style="1"/>
    <col min="8594" max="8594" width="9.28515625" style="1" bestFit="1" customWidth="1"/>
    <col min="8595" max="8597" width="9.140625" style="1"/>
    <col min="8598" max="8600" width="9.28515625" style="1" bestFit="1" customWidth="1"/>
    <col min="8601" max="8603" width="9.140625" style="1"/>
    <col min="8604" max="8605" width="9.28515625" style="1" bestFit="1" customWidth="1"/>
    <col min="8606" max="8606" width="9.140625" style="1"/>
    <col min="8607" max="8608" width="9.28515625" style="1" bestFit="1" customWidth="1"/>
    <col min="8609" max="8609" width="9.140625" style="1"/>
    <col min="8610" max="8610" width="9.28515625" style="1" bestFit="1" customWidth="1"/>
    <col min="8611" max="8613" width="9.140625" style="1"/>
    <col min="8614" max="8616" width="9.28515625" style="1" bestFit="1" customWidth="1"/>
    <col min="8617" max="8619" width="9.140625" style="1"/>
    <col min="8620" max="8621" width="9.28515625" style="1" bestFit="1" customWidth="1"/>
    <col min="8622" max="8622" width="9.140625" style="1"/>
    <col min="8623" max="8624" width="9.28515625" style="1" bestFit="1" customWidth="1"/>
    <col min="8625" max="8625" width="9.140625" style="1"/>
    <col min="8626" max="8626" width="9.28515625" style="1" bestFit="1" customWidth="1"/>
    <col min="8627" max="8629" width="9.140625" style="1"/>
    <col min="8630" max="8632" width="9.28515625" style="1" bestFit="1" customWidth="1"/>
    <col min="8633" max="8635" width="9.140625" style="1"/>
    <col min="8636" max="8637" width="9.28515625" style="1" bestFit="1" customWidth="1"/>
    <col min="8638" max="8638" width="9.140625" style="1"/>
    <col min="8639" max="8640" width="9.28515625" style="1" bestFit="1" customWidth="1"/>
    <col min="8641" max="8641" width="9.140625" style="1"/>
    <col min="8642" max="8642" width="9.28515625" style="1" bestFit="1" customWidth="1"/>
    <col min="8643" max="8645" width="9.140625" style="1"/>
    <col min="8646" max="8648" width="9.28515625" style="1" bestFit="1" customWidth="1"/>
    <col min="8649" max="8651" width="9.140625" style="1"/>
    <col min="8652" max="8653" width="9.28515625" style="1" bestFit="1" customWidth="1"/>
    <col min="8654" max="8654" width="9.140625" style="1"/>
    <col min="8655" max="8656" width="9.28515625" style="1" bestFit="1" customWidth="1"/>
    <col min="8657" max="8657" width="9.140625" style="1"/>
    <col min="8658" max="8658" width="9.28515625" style="1" bestFit="1" customWidth="1"/>
    <col min="8659" max="8661" width="9.140625" style="1"/>
    <col min="8662" max="8664" width="9.28515625" style="1" bestFit="1" customWidth="1"/>
    <col min="8665" max="8667" width="9.140625" style="1"/>
    <col min="8668" max="8669" width="9.28515625" style="1" bestFit="1" customWidth="1"/>
    <col min="8670" max="8670" width="9.140625" style="1"/>
    <col min="8671" max="8672" width="9.28515625" style="1" bestFit="1" customWidth="1"/>
    <col min="8673" max="8673" width="9.140625" style="1"/>
    <col min="8674" max="8674" width="9.28515625" style="1" bestFit="1" customWidth="1"/>
    <col min="8675" max="8677" width="9.140625" style="1"/>
    <col min="8678" max="8680" width="9.28515625" style="1" bestFit="1" customWidth="1"/>
    <col min="8681" max="8683" width="9.140625" style="1"/>
    <col min="8684" max="8685" width="9.28515625" style="1" bestFit="1" customWidth="1"/>
    <col min="8686" max="8686" width="9.140625" style="1"/>
    <col min="8687" max="8688" width="9.28515625" style="1" bestFit="1" customWidth="1"/>
    <col min="8689" max="8689" width="9.140625" style="1"/>
    <col min="8690" max="8690" width="9.28515625" style="1" bestFit="1" customWidth="1"/>
    <col min="8691" max="8693" width="9.140625" style="1"/>
    <col min="8694" max="8696" width="9.28515625" style="1" bestFit="1" customWidth="1"/>
    <col min="8697" max="8699" width="9.140625" style="1"/>
    <col min="8700" max="8701" width="9.28515625" style="1" bestFit="1" customWidth="1"/>
    <col min="8702" max="8702" width="9.140625" style="1"/>
    <col min="8703" max="8704" width="9.28515625" style="1" bestFit="1" customWidth="1"/>
    <col min="8705" max="8705" width="9.140625" style="1"/>
    <col min="8706" max="8706" width="9.28515625" style="1" bestFit="1" customWidth="1"/>
    <col min="8707" max="8709" width="9.140625" style="1"/>
    <col min="8710" max="8712" width="9.28515625" style="1" bestFit="1" customWidth="1"/>
    <col min="8713" max="8715" width="9.140625" style="1"/>
    <col min="8716" max="8717" width="9.28515625" style="1" bestFit="1" customWidth="1"/>
    <col min="8718" max="8718" width="9.140625" style="1"/>
    <col min="8719" max="8720" width="9.28515625" style="1" bestFit="1" customWidth="1"/>
    <col min="8721" max="8721" width="9.140625" style="1"/>
    <col min="8722" max="8722" width="9.28515625" style="1" bestFit="1" customWidth="1"/>
    <col min="8723" max="8725" width="9.140625" style="1"/>
    <col min="8726" max="8728" width="9.28515625" style="1" bestFit="1" customWidth="1"/>
    <col min="8729" max="8731" width="9.140625" style="1"/>
    <col min="8732" max="8733" width="9.28515625" style="1" bestFit="1" customWidth="1"/>
    <col min="8734" max="8734" width="9.140625" style="1"/>
    <col min="8735" max="8736" width="9.28515625" style="1" bestFit="1" customWidth="1"/>
    <col min="8737" max="8737" width="9.140625" style="1"/>
    <col min="8738" max="8738" width="9.28515625" style="1" bestFit="1" customWidth="1"/>
    <col min="8739" max="8741" width="9.140625" style="1"/>
    <col min="8742" max="8744" width="9.28515625" style="1" bestFit="1" customWidth="1"/>
    <col min="8745" max="8747" width="9.140625" style="1"/>
    <col min="8748" max="8749" width="9.28515625" style="1" bestFit="1" customWidth="1"/>
    <col min="8750" max="8750" width="9.140625" style="1"/>
    <col min="8751" max="8752" width="9.28515625" style="1" bestFit="1" customWidth="1"/>
    <col min="8753" max="8753" width="9.140625" style="1"/>
    <col min="8754" max="8754" width="9.28515625" style="1" bestFit="1" customWidth="1"/>
    <col min="8755" max="8757" width="9.140625" style="1"/>
    <col min="8758" max="8760" width="9.28515625" style="1" bestFit="1" customWidth="1"/>
    <col min="8761" max="8763" width="9.140625" style="1"/>
    <col min="8764" max="8765" width="9.28515625" style="1" bestFit="1" customWidth="1"/>
    <col min="8766" max="8766" width="9.140625" style="1"/>
    <col min="8767" max="8768" width="9.28515625" style="1" bestFit="1" customWidth="1"/>
    <col min="8769" max="8769" width="9.140625" style="1"/>
    <col min="8770" max="8770" width="9.28515625" style="1" bestFit="1" customWidth="1"/>
    <col min="8771" max="8773" width="9.140625" style="1"/>
    <col min="8774" max="8776" width="9.28515625" style="1" bestFit="1" customWidth="1"/>
    <col min="8777" max="8779" width="9.140625" style="1"/>
    <col min="8780" max="8781" width="9.28515625" style="1" bestFit="1" customWidth="1"/>
    <col min="8782" max="8782" width="9.140625" style="1"/>
    <col min="8783" max="8784" width="9.28515625" style="1" bestFit="1" customWidth="1"/>
    <col min="8785" max="8785" width="9.140625" style="1"/>
    <col min="8786" max="8786" width="9.28515625" style="1" bestFit="1" customWidth="1"/>
    <col min="8787" max="8789" width="9.140625" style="1"/>
    <col min="8790" max="8792" width="9.28515625" style="1" bestFit="1" customWidth="1"/>
    <col min="8793" max="8795" width="9.140625" style="1"/>
    <col min="8796" max="8797" width="9.28515625" style="1" bestFit="1" customWidth="1"/>
    <col min="8798" max="8798" width="9.140625" style="1"/>
    <col min="8799" max="8800" width="9.28515625" style="1" bestFit="1" customWidth="1"/>
    <col min="8801" max="8801" width="9.140625" style="1"/>
    <col min="8802" max="8802" width="9.28515625" style="1" bestFit="1" customWidth="1"/>
    <col min="8803" max="8805" width="9.140625" style="1"/>
    <col min="8806" max="8808" width="9.28515625" style="1" bestFit="1" customWidth="1"/>
    <col min="8809" max="8811" width="9.140625" style="1"/>
    <col min="8812" max="8813" width="9.28515625" style="1" bestFit="1" customWidth="1"/>
    <col min="8814" max="8814" width="9.140625" style="1"/>
    <col min="8815" max="8816" width="9.28515625" style="1" bestFit="1" customWidth="1"/>
    <col min="8817" max="8817" width="9.140625" style="1"/>
    <col min="8818" max="8818" width="9.28515625" style="1" bestFit="1" customWidth="1"/>
    <col min="8819" max="8821" width="9.140625" style="1"/>
    <col min="8822" max="8824" width="9.28515625" style="1" bestFit="1" customWidth="1"/>
    <col min="8825" max="8827" width="9.140625" style="1"/>
    <col min="8828" max="8829" width="9.28515625" style="1" bestFit="1" customWidth="1"/>
    <col min="8830" max="8830" width="9.140625" style="1"/>
    <col min="8831" max="8832" width="9.28515625" style="1" bestFit="1" customWidth="1"/>
    <col min="8833" max="8833" width="9.140625" style="1"/>
    <col min="8834" max="8834" width="9.28515625" style="1" bestFit="1" customWidth="1"/>
    <col min="8835" max="8837" width="9.140625" style="1"/>
    <col min="8838" max="8840" width="9.28515625" style="1" bestFit="1" customWidth="1"/>
    <col min="8841" max="8843" width="9.140625" style="1"/>
    <col min="8844" max="8845" width="9.28515625" style="1" bestFit="1" customWidth="1"/>
    <col min="8846" max="8846" width="9.140625" style="1"/>
    <col min="8847" max="8848" width="9.28515625" style="1" bestFit="1" customWidth="1"/>
    <col min="8849" max="8849" width="9.140625" style="1"/>
    <col min="8850" max="8850" width="9.28515625" style="1" bestFit="1" customWidth="1"/>
    <col min="8851" max="8853" width="9.140625" style="1"/>
    <col min="8854" max="8856" width="9.28515625" style="1" bestFit="1" customWidth="1"/>
    <col min="8857" max="8859" width="9.140625" style="1"/>
    <col min="8860" max="8861" width="9.28515625" style="1" bestFit="1" customWidth="1"/>
    <col min="8862" max="8862" width="9.140625" style="1"/>
    <col min="8863" max="8864" width="9.28515625" style="1" bestFit="1" customWidth="1"/>
    <col min="8865" max="8865" width="9.140625" style="1"/>
    <col min="8866" max="8866" width="9.28515625" style="1" bestFit="1" customWidth="1"/>
    <col min="8867" max="8869" width="9.140625" style="1"/>
    <col min="8870" max="8872" width="9.28515625" style="1" bestFit="1" customWidth="1"/>
    <col min="8873" max="8875" width="9.140625" style="1"/>
    <col min="8876" max="8877" width="9.28515625" style="1" bestFit="1" customWidth="1"/>
    <col min="8878" max="8878" width="9.140625" style="1"/>
    <col min="8879" max="8880" width="9.28515625" style="1" bestFit="1" customWidth="1"/>
    <col min="8881" max="8881" width="9.140625" style="1"/>
    <col min="8882" max="8882" width="9.28515625" style="1" bestFit="1" customWidth="1"/>
    <col min="8883" max="8885" width="9.140625" style="1"/>
    <col min="8886" max="8888" width="9.28515625" style="1" bestFit="1" customWidth="1"/>
    <col min="8889" max="8891" width="9.140625" style="1"/>
    <col min="8892" max="8893" width="9.28515625" style="1" bestFit="1" customWidth="1"/>
    <col min="8894" max="8894" width="9.140625" style="1"/>
    <col min="8895" max="8896" width="9.28515625" style="1" bestFit="1" customWidth="1"/>
    <col min="8897" max="8897" width="9.140625" style="1"/>
    <col min="8898" max="8898" width="9.28515625" style="1" bestFit="1" customWidth="1"/>
    <col min="8899" max="8901" width="9.140625" style="1"/>
    <col min="8902" max="8904" width="9.28515625" style="1" bestFit="1" customWidth="1"/>
    <col min="8905" max="8907" width="9.140625" style="1"/>
    <col min="8908" max="8909" width="9.28515625" style="1" bestFit="1" customWidth="1"/>
    <col min="8910" max="8910" width="9.140625" style="1"/>
    <col min="8911" max="8912" width="9.28515625" style="1" bestFit="1" customWidth="1"/>
    <col min="8913" max="8913" width="9.140625" style="1"/>
    <col min="8914" max="8914" width="9.28515625" style="1" bestFit="1" customWidth="1"/>
    <col min="8915" max="8917" width="9.140625" style="1"/>
    <col min="8918" max="8920" width="9.28515625" style="1" bestFit="1" customWidth="1"/>
    <col min="8921" max="8923" width="9.140625" style="1"/>
    <col min="8924" max="8925" width="9.28515625" style="1" bestFit="1" customWidth="1"/>
    <col min="8926" max="8926" width="9.140625" style="1"/>
    <col min="8927" max="8928" width="9.28515625" style="1" bestFit="1" customWidth="1"/>
    <col min="8929" max="8929" width="9.140625" style="1"/>
    <col min="8930" max="8930" width="9.28515625" style="1" bestFit="1" customWidth="1"/>
    <col min="8931" max="8933" width="9.140625" style="1"/>
    <col min="8934" max="8936" width="9.28515625" style="1" bestFit="1" customWidth="1"/>
    <col min="8937" max="8939" width="9.140625" style="1"/>
    <col min="8940" max="8941" width="9.28515625" style="1" bestFit="1" customWidth="1"/>
    <col min="8942" max="8942" width="9.140625" style="1"/>
    <col min="8943" max="8944" width="9.28515625" style="1" bestFit="1" customWidth="1"/>
    <col min="8945" max="8945" width="9.140625" style="1"/>
    <col min="8946" max="8946" width="9.28515625" style="1" bestFit="1" customWidth="1"/>
    <col min="8947" max="8949" width="9.140625" style="1"/>
    <col min="8950" max="8952" width="9.28515625" style="1" bestFit="1" customWidth="1"/>
    <col min="8953" max="8955" width="9.140625" style="1"/>
    <col min="8956" max="8957" width="9.28515625" style="1" bestFit="1" customWidth="1"/>
    <col min="8958" max="8958" width="9.140625" style="1"/>
    <col min="8959" max="8960" width="9.28515625" style="1" bestFit="1" customWidth="1"/>
    <col min="8961" max="8961" width="9.140625" style="1"/>
    <col min="8962" max="8962" width="9.28515625" style="1" bestFit="1" customWidth="1"/>
    <col min="8963" max="8965" width="9.140625" style="1"/>
    <col min="8966" max="8968" width="9.28515625" style="1" bestFit="1" customWidth="1"/>
    <col min="8969" max="8971" width="9.140625" style="1"/>
    <col min="8972" max="8973" width="9.28515625" style="1" bestFit="1" customWidth="1"/>
    <col min="8974" max="8974" width="9.140625" style="1"/>
    <col min="8975" max="8976" width="9.28515625" style="1" bestFit="1" customWidth="1"/>
    <col min="8977" max="8977" width="9.140625" style="1"/>
    <col min="8978" max="8978" width="9.28515625" style="1" bestFit="1" customWidth="1"/>
    <col min="8979" max="8981" width="9.140625" style="1"/>
    <col min="8982" max="8984" width="9.28515625" style="1" bestFit="1" customWidth="1"/>
    <col min="8985" max="8987" width="9.140625" style="1"/>
    <col min="8988" max="8989" width="9.28515625" style="1" bestFit="1" customWidth="1"/>
    <col min="8990" max="8990" width="9.140625" style="1"/>
    <col min="8991" max="8992" width="9.28515625" style="1" bestFit="1" customWidth="1"/>
    <col min="8993" max="8993" width="9.140625" style="1"/>
    <col min="8994" max="8994" width="9.28515625" style="1" bestFit="1" customWidth="1"/>
    <col min="8995" max="8997" width="9.140625" style="1"/>
    <col min="8998" max="9000" width="9.28515625" style="1" bestFit="1" customWidth="1"/>
    <col min="9001" max="9003" width="9.140625" style="1"/>
    <col min="9004" max="9005" width="9.28515625" style="1" bestFit="1" customWidth="1"/>
    <col min="9006" max="9006" width="9.140625" style="1"/>
    <col min="9007" max="9008" width="9.28515625" style="1" bestFit="1" customWidth="1"/>
    <col min="9009" max="9009" width="9.140625" style="1"/>
    <col min="9010" max="9010" width="9.28515625" style="1" bestFit="1" customWidth="1"/>
    <col min="9011" max="9013" width="9.140625" style="1"/>
    <col min="9014" max="9016" width="9.28515625" style="1" bestFit="1" customWidth="1"/>
    <col min="9017" max="9019" width="9.140625" style="1"/>
    <col min="9020" max="9021" width="9.28515625" style="1" bestFit="1" customWidth="1"/>
    <col min="9022" max="9022" width="9.140625" style="1"/>
    <col min="9023" max="9024" width="9.28515625" style="1" bestFit="1" customWidth="1"/>
    <col min="9025" max="9025" width="9.140625" style="1"/>
    <col min="9026" max="9026" width="9.28515625" style="1" bestFit="1" customWidth="1"/>
    <col min="9027" max="9029" width="9.140625" style="1"/>
    <col min="9030" max="9032" width="9.28515625" style="1" bestFit="1" customWidth="1"/>
    <col min="9033" max="9035" width="9.140625" style="1"/>
    <col min="9036" max="9037" width="9.28515625" style="1" bestFit="1" customWidth="1"/>
    <col min="9038" max="9038" width="9.140625" style="1"/>
    <col min="9039" max="9040" width="9.28515625" style="1" bestFit="1" customWidth="1"/>
    <col min="9041" max="9041" width="9.140625" style="1"/>
    <col min="9042" max="9042" width="9.28515625" style="1" bestFit="1" customWidth="1"/>
    <col min="9043" max="9045" width="9.140625" style="1"/>
    <col min="9046" max="9048" width="9.28515625" style="1" bestFit="1" customWidth="1"/>
    <col min="9049" max="9051" width="9.140625" style="1"/>
    <col min="9052" max="9053" width="9.28515625" style="1" bestFit="1" customWidth="1"/>
    <col min="9054" max="9054" width="9.140625" style="1"/>
    <col min="9055" max="9056" width="9.28515625" style="1" bestFit="1" customWidth="1"/>
    <col min="9057" max="9057" width="9.140625" style="1"/>
    <col min="9058" max="9058" width="9.28515625" style="1" bestFit="1" customWidth="1"/>
    <col min="9059" max="9061" width="9.140625" style="1"/>
    <col min="9062" max="9064" width="9.28515625" style="1" bestFit="1" customWidth="1"/>
    <col min="9065" max="9067" width="9.140625" style="1"/>
    <col min="9068" max="9069" width="9.28515625" style="1" bestFit="1" customWidth="1"/>
    <col min="9070" max="9070" width="9.140625" style="1"/>
    <col min="9071" max="9072" width="9.28515625" style="1" bestFit="1" customWidth="1"/>
    <col min="9073" max="9073" width="9.140625" style="1"/>
    <col min="9074" max="9074" width="9.28515625" style="1" bestFit="1" customWidth="1"/>
    <col min="9075" max="9077" width="9.140625" style="1"/>
    <col min="9078" max="9080" width="9.28515625" style="1" bestFit="1" customWidth="1"/>
    <col min="9081" max="9083" width="9.140625" style="1"/>
    <col min="9084" max="9085" width="9.28515625" style="1" bestFit="1" customWidth="1"/>
    <col min="9086" max="9086" width="9.140625" style="1"/>
    <col min="9087" max="9088" width="9.28515625" style="1" bestFit="1" customWidth="1"/>
    <col min="9089" max="9089" width="9.140625" style="1"/>
    <col min="9090" max="9090" width="9.28515625" style="1" bestFit="1" customWidth="1"/>
    <col min="9091" max="9093" width="9.140625" style="1"/>
    <col min="9094" max="9096" width="9.28515625" style="1" bestFit="1" customWidth="1"/>
    <col min="9097" max="9099" width="9.140625" style="1"/>
    <col min="9100" max="9101" width="9.28515625" style="1" bestFit="1" customWidth="1"/>
    <col min="9102" max="9102" width="9.140625" style="1"/>
    <col min="9103" max="9104" width="9.28515625" style="1" bestFit="1" customWidth="1"/>
    <col min="9105" max="9105" width="9.140625" style="1"/>
    <col min="9106" max="9106" width="9.28515625" style="1" bestFit="1" customWidth="1"/>
    <col min="9107" max="9109" width="9.140625" style="1"/>
    <col min="9110" max="9112" width="9.28515625" style="1" bestFit="1" customWidth="1"/>
    <col min="9113" max="9115" width="9.140625" style="1"/>
    <col min="9116" max="9117" width="9.28515625" style="1" bestFit="1" customWidth="1"/>
    <col min="9118" max="9118" width="9.140625" style="1"/>
    <col min="9119" max="9120" width="9.28515625" style="1" bestFit="1" customWidth="1"/>
    <col min="9121" max="9121" width="9.140625" style="1"/>
    <col min="9122" max="9122" width="9.28515625" style="1" bestFit="1" customWidth="1"/>
    <col min="9123" max="9125" width="9.140625" style="1"/>
    <col min="9126" max="9128" width="9.28515625" style="1" bestFit="1" customWidth="1"/>
    <col min="9129" max="9131" width="9.140625" style="1"/>
    <col min="9132" max="9133" width="9.28515625" style="1" bestFit="1" customWidth="1"/>
    <col min="9134" max="9134" width="9.140625" style="1"/>
    <col min="9135" max="9136" width="9.28515625" style="1" bestFit="1" customWidth="1"/>
    <col min="9137" max="9137" width="9.140625" style="1"/>
    <col min="9138" max="9138" width="9.28515625" style="1" bestFit="1" customWidth="1"/>
    <col min="9139" max="9141" width="9.140625" style="1"/>
    <col min="9142" max="9144" width="9.28515625" style="1" bestFit="1" customWidth="1"/>
    <col min="9145" max="9147" width="9.140625" style="1"/>
    <col min="9148" max="9149" width="9.28515625" style="1" bestFit="1" customWidth="1"/>
    <col min="9150" max="9150" width="9.140625" style="1"/>
    <col min="9151" max="9152" width="9.28515625" style="1" bestFit="1" customWidth="1"/>
    <col min="9153" max="9153" width="9.140625" style="1"/>
    <col min="9154" max="9154" width="9.28515625" style="1" bestFit="1" customWidth="1"/>
    <col min="9155" max="9157" width="9.140625" style="1"/>
    <col min="9158" max="9160" width="9.28515625" style="1" bestFit="1" customWidth="1"/>
    <col min="9161" max="9163" width="9.140625" style="1"/>
    <col min="9164" max="9165" width="9.28515625" style="1" bestFit="1" customWidth="1"/>
    <col min="9166" max="9166" width="9.140625" style="1"/>
    <col min="9167" max="9168" width="9.28515625" style="1" bestFit="1" customWidth="1"/>
    <col min="9169" max="9169" width="9.140625" style="1"/>
    <col min="9170" max="9170" width="9.28515625" style="1" bestFit="1" customWidth="1"/>
    <col min="9171" max="9173" width="9.140625" style="1"/>
    <col min="9174" max="9176" width="9.28515625" style="1" bestFit="1" customWidth="1"/>
    <col min="9177" max="9179" width="9.140625" style="1"/>
    <col min="9180" max="9181" width="9.28515625" style="1" bestFit="1" customWidth="1"/>
    <col min="9182" max="9182" width="9.140625" style="1"/>
    <col min="9183" max="9184" width="9.28515625" style="1" bestFit="1" customWidth="1"/>
    <col min="9185" max="9185" width="9.140625" style="1"/>
    <col min="9186" max="9186" width="9.28515625" style="1" bestFit="1" customWidth="1"/>
    <col min="9187" max="9189" width="9.140625" style="1"/>
    <col min="9190" max="9192" width="9.28515625" style="1" bestFit="1" customWidth="1"/>
    <col min="9193" max="9195" width="9.140625" style="1"/>
    <col min="9196" max="9197" width="9.28515625" style="1" bestFit="1" customWidth="1"/>
    <col min="9198" max="9198" width="9.140625" style="1"/>
    <col min="9199" max="9200" width="9.28515625" style="1" bestFit="1" customWidth="1"/>
    <col min="9201" max="9201" width="9.140625" style="1"/>
    <col min="9202" max="9202" width="9.28515625" style="1" bestFit="1" customWidth="1"/>
    <col min="9203" max="9205" width="9.140625" style="1"/>
    <col min="9206" max="9208" width="9.28515625" style="1" bestFit="1" customWidth="1"/>
    <col min="9209" max="9211" width="9.140625" style="1"/>
    <col min="9212" max="9213" width="9.28515625" style="1" bestFit="1" customWidth="1"/>
    <col min="9214" max="9214" width="9.140625" style="1"/>
    <col min="9215" max="9216" width="9.28515625" style="1" bestFit="1" customWidth="1"/>
    <col min="9217" max="9217" width="9.140625" style="1"/>
    <col min="9218" max="9218" width="9.28515625" style="1" bestFit="1" customWidth="1"/>
    <col min="9219" max="9221" width="9.140625" style="1"/>
    <col min="9222" max="9224" width="9.28515625" style="1" bestFit="1" customWidth="1"/>
    <col min="9225" max="9227" width="9.140625" style="1"/>
    <col min="9228" max="9229" width="9.28515625" style="1" bestFit="1" customWidth="1"/>
    <col min="9230" max="9230" width="9.140625" style="1"/>
    <col min="9231" max="9232" width="9.28515625" style="1" bestFit="1" customWidth="1"/>
    <col min="9233" max="9233" width="9.140625" style="1"/>
    <col min="9234" max="9234" width="9.28515625" style="1" bestFit="1" customWidth="1"/>
    <col min="9235" max="9237" width="9.140625" style="1"/>
    <col min="9238" max="9240" width="9.28515625" style="1" bestFit="1" customWidth="1"/>
    <col min="9241" max="9243" width="9.140625" style="1"/>
    <col min="9244" max="9245" width="9.28515625" style="1" bestFit="1" customWidth="1"/>
    <col min="9246" max="9246" width="9.140625" style="1"/>
    <col min="9247" max="9248" width="9.28515625" style="1" bestFit="1" customWidth="1"/>
    <col min="9249" max="9249" width="9.140625" style="1"/>
    <col min="9250" max="9250" width="9.28515625" style="1" bestFit="1" customWidth="1"/>
    <col min="9251" max="9253" width="9.140625" style="1"/>
    <col min="9254" max="9256" width="9.28515625" style="1" bestFit="1" customWidth="1"/>
    <col min="9257" max="9259" width="9.140625" style="1"/>
    <col min="9260" max="9261" width="9.28515625" style="1" bestFit="1" customWidth="1"/>
    <col min="9262" max="9262" width="9.140625" style="1"/>
    <col min="9263" max="9264" width="9.28515625" style="1" bestFit="1" customWidth="1"/>
    <col min="9265" max="9265" width="9.140625" style="1"/>
    <col min="9266" max="9266" width="9.28515625" style="1" bestFit="1" customWidth="1"/>
    <col min="9267" max="9269" width="9.140625" style="1"/>
    <col min="9270" max="9272" width="9.28515625" style="1" bestFit="1" customWidth="1"/>
    <col min="9273" max="9275" width="9.140625" style="1"/>
    <col min="9276" max="9277" width="9.28515625" style="1" bestFit="1" customWidth="1"/>
    <col min="9278" max="9278" width="9.140625" style="1"/>
    <col min="9279" max="9280" width="9.28515625" style="1" bestFit="1" customWidth="1"/>
    <col min="9281" max="9281" width="9.140625" style="1"/>
    <col min="9282" max="9282" width="9.28515625" style="1" bestFit="1" customWidth="1"/>
    <col min="9283" max="9285" width="9.140625" style="1"/>
    <col min="9286" max="9288" width="9.28515625" style="1" bestFit="1" customWidth="1"/>
    <col min="9289" max="9291" width="9.140625" style="1"/>
    <col min="9292" max="9293" width="9.28515625" style="1" bestFit="1" customWidth="1"/>
    <col min="9294" max="9294" width="9.140625" style="1"/>
    <col min="9295" max="9296" width="9.28515625" style="1" bestFit="1" customWidth="1"/>
    <col min="9297" max="9297" width="9.140625" style="1"/>
    <col min="9298" max="9298" width="9.28515625" style="1" bestFit="1" customWidth="1"/>
    <col min="9299" max="9301" width="9.140625" style="1"/>
    <col min="9302" max="9304" width="9.28515625" style="1" bestFit="1" customWidth="1"/>
    <col min="9305" max="9307" width="9.140625" style="1"/>
    <col min="9308" max="9309" width="9.28515625" style="1" bestFit="1" customWidth="1"/>
    <col min="9310" max="9310" width="9.140625" style="1"/>
    <col min="9311" max="9312" width="9.28515625" style="1" bestFit="1" customWidth="1"/>
    <col min="9313" max="9313" width="9.140625" style="1"/>
    <col min="9314" max="9314" width="9.28515625" style="1" bestFit="1" customWidth="1"/>
    <col min="9315" max="9317" width="9.140625" style="1"/>
    <col min="9318" max="9320" width="9.28515625" style="1" bestFit="1" customWidth="1"/>
    <col min="9321" max="9323" width="9.140625" style="1"/>
    <col min="9324" max="9325" width="9.28515625" style="1" bestFit="1" customWidth="1"/>
    <col min="9326" max="9326" width="9.140625" style="1"/>
    <col min="9327" max="9328" width="9.28515625" style="1" bestFit="1" customWidth="1"/>
    <col min="9329" max="9329" width="9.140625" style="1"/>
    <col min="9330" max="9330" width="9.28515625" style="1" bestFit="1" customWidth="1"/>
    <col min="9331" max="9333" width="9.140625" style="1"/>
    <col min="9334" max="9336" width="9.28515625" style="1" bestFit="1" customWidth="1"/>
    <col min="9337" max="9339" width="9.140625" style="1"/>
    <col min="9340" max="9341" width="9.28515625" style="1" bestFit="1" customWidth="1"/>
    <col min="9342" max="9342" width="9.140625" style="1"/>
    <col min="9343" max="9344" width="9.28515625" style="1" bestFit="1" customWidth="1"/>
    <col min="9345" max="9345" width="9.140625" style="1"/>
    <col min="9346" max="9346" width="9.28515625" style="1" bestFit="1" customWidth="1"/>
    <col min="9347" max="9349" width="9.140625" style="1"/>
    <col min="9350" max="9352" width="9.28515625" style="1" bestFit="1" customWidth="1"/>
    <col min="9353" max="9355" width="9.140625" style="1"/>
    <col min="9356" max="9357" width="9.28515625" style="1" bestFit="1" customWidth="1"/>
    <col min="9358" max="9358" width="9.140625" style="1"/>
    <col min="9359" max="9360" width="9.28515625" style="1" bestFit="1" customWidth="1"/>
    <col min="9361" max="9361" width="9.140625" style="1"/>
    <col min="9362" max="9362" width="9.28515625" style="1" bestFit="1" customWidth="1"/>
    <col min="9363" max="9365" width="9.140625" style="1"/>
    <col min="9366" max="9368" width="9.28515625" style="1" bestFit="1" customWidth="1"/>
    <col min="9369" max="9371" width="9.140625" style="1"/>
    <col min="9372" max="9373" width="9.28515625" style="1" bestFit="1" customWidth="1"/>
    <col min="9374" max="9374" width="9.140625" style="1"/>
    <col min="9375" max="9376" width="9.28515625" style="1" bestFit="1" customWidth="1"/>
    <col min="9377" max="9377" width="9.140625" style="1"/>
    <col min="9378" max="9378" width="9.28515625" style="1" bestFit="1" customWidth="1"/>
    <col min="9379" max="9381" width="9.140625" style="1"/>
    <col min="9382" max="9384" width="9.28515625" style="1" bestFit="1" customWidth="1"/>
    <col min="9385" max="9387" width="9.140625" style="1"/>
    <col min="9388" max="9389" width="9.28515625" style="1" bestFit="1" customWidth="1"/>
    <col min="9390" max="9390" width="9.140625" style="1"/>
    <col min="9391" max="9392" width="9.28515625" style="1" bestFit="1" customWidth="1"/>
    <col min="9393" max="9393" width="9.140625" style="1"/>
    <col min="9394" max="9394" width="9.28515625" style="1" bestFit="1" customWidth="1"/>
    <col min="9395" max="9397" width="9.140625" style="1"/>
    <col min="9398" max="9400" width="9.28515625" style="1" bestFit="1" customWidth="1"/>
    <col min="9401" max="9403" width="9.140625" style="1"/>
    <col min="9404" max="9405" width="9.28515625" style="1" bestFit="1" customWidth="1"/>
    <col min="9406" max="9406" width="9.140625" style="1"/>
    <col min="9407" max="9408" width="9.28515625" style="1" bestFit="1" customWidth="1"/>
    <col min="9409" max="9409" width="9.140625" style="1"/>
    <col min="9410" max="9410" width="9.28515625" style="1" bestFit="1" customWidth="1"/>
    <col min="9411" max="9413" width="9.140625" style="1"/>
    <col min="9414" max="9416" width="9.28515625" style="1" bestFit="1" customWidth="1"/>
    <col min="9417" max="9419" width="9.140625" style="1"/>
    <col min="9420" max="9421" width="9.28515625" style="1" bestFit="1" customWidth="1"/>
    <col min="9422" max="9422" width="9.140625" style="1"/>
    <col min="9423" max="9424" width="9.28515625" style="1" bestFit="1" customWidth="1"/>
    <col min="9425" max="9425" width="9.140625" style="1"/>
    <col min="9426" max="9426" width="9.28515625" style="1" bestFit="1" customWidth="1"/>
    <col min="9427" max="9429" width="9.140625" style="1"/>
    <col min="9430" max="9432" width="9.28515625" style="1" bestFit="1" customWidth="1"/>
    <col min="9433" max="9435" width="9.140625" style="1"/>
    <col min="9436" max="9437" width="9.28515625" style="1" bestFit="1" customWidth="1"/>
    <col min="9438" max="9438" width="9.140625" style="1"/>
    <col min="9439" max="9440" width="9.28515625" style="1" bestFit="1" customWidth="1"/>
    <col min="9441" max="9441" width="9.140625" style="1"/>
    <col min="9442" max="9442" width="9.28515625" style="1" bestFit="1" customWidth="1"/>
    <col min="9443" max="9445" width="9.140625" style="1"/>
    <col min="9446" max="9448" width="9.28515625" style="1" bestFit="1" customWidth="1"/>
    <col min="9449" max="9451" width="9.140625" style="1"/>
    <col min="9452" max="9453" width="9.28515625" style="1" bestFit="1" customWidth="1"/>
    <col min="9454" max="9454" width="9.140625" style="1"/>
    <col min="9455" max="9456" width="9.28515625" style="1" bestFit="1" customWidth="1"/>
    <col min="9457" max="9457" width="9.140625" style="1"/>
    <col min="9458" max="9458" width="9.28515625" style="1" bestFit="1" customWidth="1"/>
    <col min="9459" max="9461" width="9.140625" style="1"/>
    <col min="9462" max="9464" width="9.28515625" style="1" bestFit="1" customWidth="1"/>
    <col min="9465" max="9467" width="9.140625" style="1"/>
    <col min="9468" max="9469" width="9.28515625" style="1" bestFit="1" customWidth="1"/>
    <col min="9470" max="9470" width="9.140625" style="1"/>
    <col min="9471" max="9472" width="9.28515625" style="1" bestFit="1" customWidth="1"/>
    <col min="9473" max="9473" width="9.140625" style="1"/>
    <col min="9474" max="9474" width="9.28515625" style="1" bestFit="1" customWidth="1"/>
    <col min="9475" max="9477" width="9.140625" style="1"/>
    <col min="9478" max="9480" width="9.28515625" style="1" bestFit="1" customWidth="1"/>
    <col min="9481" max="9483" width="9.140625" style="1"/>
    <col min="9484" max="9485" width="9.28515625" style="1" bestFit="1" customWidth="1"/>
    <col min="9486" max="9486" width="9.140625" style="1"/>
    <col min="9487" max="9488" width="9.28515625" style="1" bestFit="1" customWidth="1"/>
    <col min="9489" max="9489" width="9.140625" style="1"/>
    <col min="9490" max="9490" width="9.28515625" style="1" bestFit="1" customWidth="1"/>
    <col min="9491" max="9493" width="9.140625" style="1"/>
    <col min="9494" max="9496" width="9.28515625" style="1" bestFit="1" customWidth="1"/>
    <col min="9497" max="9499" width="9.140625" style="1"/>
    <col min="9500" max="9501" width="9.28515625" style="1" bestFit="1" customWidth="1"/>
    <col min="9502" max="9502" width="9.140625" style="1"/>
    <col min="9503" max="9504" width="9.28515625" style="1" bestFit="1" customWidth="1"/>
    <col min="9505" max="9505" width="9.140625" style="1"/>
    <col min="9506" max="9506" width="9.28515625" style="1" bestFit="1" customWidth="1"/>
    <col min="9507" max="9509" width="9.140625" style="1"/>
    <col min="9510" max="9512" width="9.28515625" style="1" bestFit="1" customWidth="1"/>
    <col min="9513" max="9515" width="9.140625" style="1"/>
    <col min="9516" max="9517" width="9.28515625" style="1" bestFit="1" customWidth="1"/>
    <col min="9518" max="9518" width="9.140625" style="1"/>
    <col min="9519" max="9520" width="9.28515625" style="1" bestFit="1" customWidth="1"/>
    <col min="9521" max="9521" width="9.140625" style="1"/>
    <col min="9522" max="9522" width="9.28515625" style="1" bestFit="1" customWidth="1"/>
    <col min="9523" max="9525" width="9.140625" style="1"/>
    <col min="9526" max="9528" width="9.28515625" style="1" bestFit="1" customWidth="1"/>
    <col min="9529" max="9531" width="9.140625" style="1"/>
    <col min="9532" max="9533" width="9.28515625" style="1" bestFit="1" customWidth="1"/>
    <col min="9534" max="9534" width="9.140625" style="1"/>
    <col min="9535" max="9536" width="9.28515625" style="1" bestFit="1" customWidth="1"/>
    <col min="9537" max="9537" width="9.140625" style="1"/>
    <col min="9538" max="9538" width="9.28515625" style="1" bestFit="1" customWidth="1"/>
    <col min="9539" max="9541" width="9.140625" style="1"/>
    <col min="9542" max="9544" width="9.28515625" style="1" bestFit="1" customWidth="1"/>
    <col min="9545" max="9547" width="9.140625" style="1"/>
    <col min="9548" max="9549" width="9.28515625" style="1" bestFit="1" customWidth="1"/>
    <col min="9550" max="9550" width="9.140625" style="1"/>
    <col min="9551" max="9552" width="9.28515625" style="1" bestFit="1" customWidth="1"/>
    <col min="9553" max="9553" width="9.140625" style="1"/>
    <col min="9554" max="9554" width="9.28515625" style="1" bestFit="1" customWidth="1"/>
    <col min="9555" max="9557" width="9.140625" style="1"/>
    <col min="9558" max="9560" width="9.28515625" style="1" bestFit="1" customWidth="1"/>
    <col min="9561" max="9563" width="9.140625" style="1"/>
    <col min="9564" max="9565" width="9.28515625" style="1" bestFit="1" customWidth="1"/>
    <col min="9566" max="9566" width="9.140625" style="1"/>
    <col min="9567" max="9568" width="9.28515625" style="1" bestFit="1" customWidth="1"/>
    <col min="9569" max="9569" width="9.140625" style="1"/>
    <col min="9570" max="9570" width="9.28515625" style="1" bestFit="1" customWidth="1"/>
    <col min="9571" max="9573" width="9.140625" style="1"/>
    <col min="9574" max="9576" width="9.28515625" style="1" bestFit="1" customWidth="1"/>
    <col min="9577" max="9579" width="9.140625" style="1"/>
    <col min="9580" max="9581" width="9.28515625" style="1" bestFit="1" customWidth="1"/>
    <col min="9582" max="9582" width="9.140625" style="1"/>
    <col min="9583" max="9584" width="9.28515625" style="1" bestFit="1" customWidth="1"/>
    <col min="9585" max="9585" width="9.140625" style="1"/>
    <col min="9586" max="9586" width="9.28515625" style="1" bestFit="1" customWidth="1"/>
    <col min="9587" max="9589" width="9.140625" style="1"/>
    <col min="9590" max="9592" width="9.28515625" style="1" bestFit="1" customWidth="1"/>
    <col min="9593" max="9595" width="9.140625" style="1"/>
    <col min="9596" max="9597" width="9.28515625" style="1" bestFit="1" customWidth="1"/>
    <col min="9598" max="9598" width="9.140625" style="1"/>
    <col min="9599" max="9600" width="9.28515625" style="1" bestFit="1" customWidth="1"/>
    <col min="9601" max="9601" width="9.140625" style="1"/>
    <col min="9602" max="9602" width="9.28515625" style="1" bestFit="1" customWidth="1"/>
    <col min="9603" max="9605" width="9.140625" style="1"/>
    <col min="9606" max="9608" width="9.28515625" style="1" bestFit="1" customWidth="1"/>
    <col min="9609" max="9611" width="9.140625" style="1"/>
    <col min="9612" max="9613" width="9.28515625" style="1" bestFit="1" customWidth="1"/>
    <col min="9614" max="9614" width="9.140625" style="1"/>
    <col min="9615" max="9616" width="9.28515625" style="1" bestFit="1" customWidth="1"/>
    <col min="9617" max="9617" width="9.140625" style="1"/>
    <col min="9618" max="9618" width="9.28515625" style="1" bestFit="1" customWidth="1"/>
    <col min="9619" max="9621" width="9.140625" style="1"/>
    <col min="9622" max="9624" width="9.28515625" style="1" bestFit="1" customWidth="1"/>
    <col min="9625" max="9627" width="9.140625" style="1"/>
    <col min="9628" max="9629" width="9.28515625" style="1" bestFit="1" customWidth="1"/>
    <col min="9630" max="9630" width="9.140625" style="1"/>
    <col min="9631" max="9632" width="9.28515625" style="1" bestFit="1" customWidth="1"/>
    <col min="9633" max="9633" width="9.140625" style="1"/>
    <col min="9634" max="9634" width="9.28515625" style="1" bestFit="1" customWidth="1"/>
    <col min="9635" max="9637" width="9.140625" style="1"/>
    <col min="9638" max="9640" width="9.28515625" style="1" bestFit="1" customWidth="1"/>
    <col min="9641" max="9643" width="9.140625" style="1"/>
    <col min="9644" max="9645" width="9.28515625" style="1" bestFit="1" customWidth="1"/>
    <col min="9646" max="9646" width="9.140625" style="1"/>
    <col min="9647" max="9648" width="9.28515625" style="1" bestFit="1" customWidth="1"/>
    <col min="9649" max="9649" width="9.140625" style="1"/>
    <col min="9650" max="9650" width="9.28515625" style="1" bestFit="1" customWidth="1"/>
    <col min="9651" max="9653" width="9.140625" style="1"/>
    <col min="9654" max="9656" width="9.28515625" style="1" bestFit="1" customWidth="1"/>
    <col min="9657" max="9659" width="9.140625" style="1"/>
    <col min="9660" max="9661" width="9.28515625" style="1" bestFit="1" customWidth="1"/>
    <col min="9662" max="9662" width="9.140625" style="1"/>
    <col min="9663" max="9664" width="9.28515625" style="1" bestFit="1" customWidth="1"/>
    <col min="9665" max="9665" width="9.140625" style="1"/>
    <col min="9666" max="9666" width="9.28515625" style="1" bestFit="1" customWidth="1"/>
    <col min="9667" max="9669" width="9.140625" style="1"/>
    <col min="9670" max="9672" width="9.28515625" style="1" bestFit="1" customWidth="1"/>
    <col min="9673" max="9675" width="9.140625" style="1"/>
    <col min="9676" max="9677" width="9.28515625" style="1" bestFit="1" customWidth="1"/>
    <col min="9678" max="9678" width="9.140625" style="1"/>
    <col min="9679" max="9680" width="9.28515625" style="1" bestFit="1" customWidth="1"/>
    <col min="9681" max="9681" width="9.140625" style="1"/>
    <col min="9682" max="9682" width="9.28515625" style="1" bestFit="1" customWidth="1"/>
    <col min="9683" max="9685" width="9.140625" style="1"/>
    <col min="9686" max="9688" width="9.28515625" style="1" bestFit="1" customWidth="1"/>
    <col min="9689" max="9691" width="9.140625" style="1"/>
    <col min="9692" max="9693" width="9.28515625" style="1" bestFit="1" customWidth="1"/>
    <col min="9694" max="9694" width="9.140625" style="1"/>
    <col min="9695" max="9696" width="9.28515625" style="1" bestFit="1" customWidth="1"/>
    <col min="9697" max="9697" width="9.140625" style="1"/>
    <col min="9698" max="9698" width="9.28515625" style="1" bestFit="1" customWidth="1"/>
    <col min="9699" max="9701" width="9.140625" style="1"/>
    <col min="9702" max="9704" width="9.28515625" style="1" bestFit="1" customWidth="1"/>
    <col min="9705" max="9707" width="9.140625" style="1"/>
    <col min="9708" max="9709" width="9.28515625" style="1" bestFit="1" customWidth="1"/>
    <col min="9710" max="9710" width="9.140625" style="1"/>
    <col min="9711" max="9712" width="9.28515625" style="1" bestFit="1" customWidth="1"/>
    <col min="9713" max="9713" width="9.140625" style="1"/>
    <col min="9714" max="9714" width="9.28515625" style="1" bestFit="1" customWidth="1"/>
    <col min="9715" max="9717" width="9.140625" style="1"/>
    <col min="9718" max="9720" width="9.28515625" style="1" bestFit="1" customWidth="1"/>
    <col min="9721" max="9723" width="9.140625" style="1"/>
    <col min="9724" max="9725" width="9.28515625" style="1" bestFit="1" customWidth="1"/>
    <col min="9726" max="9726" width="9.140625" style="1"/>
    <col min="9727" max="9728" width="9.28515625" style="1" bestFit="1" customWidth="1"/>
    <col min="9729" max="9729" width="9.140625" style="1"/>
    <col min="9730" max="9730" width="9.28515625" style="1" bestFit="1" customWidth="1"/>
    <col min="9731" max="9733" width="9.140625" style="1"/>
    <col min="9734" max="9736" width="9.28515625" style="1" bestFit="1" customWidth="1"/>
    <col min="9737" max="9739" width="9.140625" style="1"/>
    <col min="9740" max="9741" width="9.28515625" style="1" bestFit="1" customWidth="1"/>
    <col min="9742" max="9742" width="9.140625" style="1"/>
    <col min="9743" max="9744" width="9.28515625" style="1" bestFit="1" customWidth="1"/>
    <col min="9745" max="9745" width="9.140625" style="1"/>
    <col min="9746" max="9746" width="9.28515625" style="1" bestFit="1" customWidth="1"/>
    <col min="9747" max="9749" width="9.140625" style="1"/>
    <col min="9750" max="9752" width="9.28515625" style="1" bestFit="1" customWidth="1"/>
    <col min="9753" max="9755" width="9.140625" style="1"/>
    <col min="9756" max="9757" width="9.28515625" style="1" bestFit="1" customWidth="1"/>
    <col min="9758" max="9758" width="9.140625" style="1"/>
    <col min="9759" max="9760" width="9.28515625" style="1" bestFit="1" customWidth="1"/>
    <col min="9761" max="9761" width="9.140625" style="1"/>
    <col min="9762" max="9762" width="9.28515625" style="1" bestFit="1" customWidth="1"/>
    <col min="9763" max="9765" width="9.140625" style="1"/>
    <col min="9766" max="9768" width="9.28515625" style="1" bestFit="1" customWidth="1"/>
    <col min="9769" max="9771" width="9.140625" style="1"/>
    <col min="9772" max="9773" width="9.28515625" style="1" bestFit="1" customWidth="1"/>
    <col min="9774" max="9774" width="9.140625" style="1"/>
    <col min="9775" max="9776" width="9.28515625" style="1" bestFit="1" customWidth="1"/>
    <col min="9777" max="9777" width="9.140625" style="1"/>
    <col min="9778" max="9778" width="9.28515625" style="1" bestFit="1" customWidth="1"/>
    <col min="9779" max="9781" width="9.140625" style="1"/>
    <col min="9782" max="9784" width="9.28515625" style="1" bestFit="1" customWidth="1"/>
    <col min="9785" max="9787" width="9.140625" style="1"/>
    <col min="9788" max="9789" width="9.28515625" style="1" bestFit="1" customWidth="1"/>
    <col min="9790" max="9790" width="9.140625" style="1"/>
    <col min="9791" max="9792" width="9.28515625" style="1" bestFit="1" customWidth="1"/>
    <col min="9793" max="9793" width="9.140625" style="1"/>
    <col min="9794" max="9794" width="9.28515625" style="1" bestFit="1" customWidth="1"/>
    <col min="9795" max="9797" width="9.140625" style="1"/>
    <col min="9798" max="9800" width="9.28515625" style="1" bestFit="1" customWidth="1"/>
    <col min="9801" max="9803" width="9.140625" style="1"/>
    <col min="9804" max="9805" width="9.28515625" style="1" bestFit="1" customWidth="1"/>
    <col min="9806" max="9806" width="9.140625" style="1"/>
    <col min="9807" max="9808" width="9.28515625" style="1" bestFit="1" customWidth="1"/>
    <col min="9809" max="9809" width="9.140625" style="1"/>
    <col min="9810" max="9810" width="9.28515625" style="1" bestFit="1" customWidth="1"/>
    <col min="9811" max="9813" width="9.140625" style="1"/>
    <col min="9814" max="9816" width="9.28515625" style="1" bestFit="1" customWidth="1"/>
    <col min="9817" max="9819" width="9.140625" style="1"/>
    <col min="9820" max="9821" width="9.28515625" style="1" bestFit="1" customWidth="1"/>
    <col min="9822" max="9822" width="9.140625" style="1"/>
    <col min="9823" max="9824" width="9.28515625" style="1" bestFit="1" customWidth="1"/>
    <col min="9825" max="9825" width="9.140625" style="1"/>
    <col min="9826" max="9826" width="9.28515625" style="1" bestFit="1" customWidth="1"/>
    <col min="9827" max="9829" width="9.140625" style="1"/>
    <col min="9830" max="9832" width="9.28515625" style="1" bestFit="1" customWidth="1"/>
    <col min="9833" max="9835" width="9.140625" style="1"/>
    <col min="9836" max="9837" width="9.28515625" style="1" bestFit="1" customWidth="1"/>
    <col min="9838" max="9838" width="9.140625" style="1"/>
    <col min="9839" max="9840" width="9.28515625" style="1" bestFit="1" customWidth="1"/>
    <col min="9841" max="9841" width="9.140625" style="1"/>
    <col min="9842" max="9842" width="9.28515625" style="1" bestFit="1" customWidth="1"/>
    <col min="9843" max="9845" width="9.140625" style="1"/>
    <col min="9846" max="9848" width="9.28515625" style="1" bestFit="1" customWidth="1"/>
    <col min="9849" max="9851" width="9.140625" style="1"/>
    <col min="9852" max="9853" width="9.28515625" style="1" bestFit="1" customWidth="1"/>
    <col min="9854" max="9854" width="9.140625" style="1"/>
    <col min="9855" max="9856" width="9.28515625" style="1" bestFit="1" customWidth="1"/>
    <col min="9857" max="9857" width="9.140625" style="1"/>
    <col min="9858" max="9858" width="9.28515625" style="1" bestFit="1" customWidth="1"/>
    <col min="9859" max="9861" width="9.140625" style="1"/>
    <col min="9862" max="9864" width="9.28515625" style="1" bestFit="1" customWidth="1"/>
    <col min="9865" max="9867" width="9.140625" style="1"/>
    <col min="9868" max="9869" width="9.28515625" style="1" bestFit="1" customWidth="1"/>
    <col min="9870" max="9870" width="9.140625" style="1"/>
    <col min="9871" max="9872" width="9.28515625" style="1" bestFit="1" customWidth="1"/>
    <col min="9873" max="9873" width="9.140625" style="1"/>
    <col min="9874" max="9874" width="9.28515625" style="1" bestFit="1" customWidth="1"/>
    <col min="9875" max="9877" width="9.140625" style="1"/>
    <col min="9878" max="9880" width="9.28515625" style="1" bestFit="1" customWidth="1"/>
    <col min="9881" max="9883" width="9.140625" style="1"/>
    <col min="9884" max="9885" width="9.28515625" style="1" bestFit="1" customWidth="1"/>
    <col min="9886" max="9886" width="9.140625" style="1"/>
    <col min="9887" max="9888" width="9.28515625" style="1" bestFit="1" customWidth="1"/>
    <col min="9889" max="9889" width="9.140625" style="1"/>
    <col min="9890" max="9890" width="9.28515625" style="1" bestFit="1" customWidth="1"/>
    <col min="9891" max="9893" width="9.140625" style="1"/>
    <col min="9894" max="9896" width="9.28515625" style="1" bestFit="1" customWidth="1"/>
    <col min="9897" max="9899" width="9.140625" style="1"/>
    <col min="9900" max="9901" width="9.28515625" style="1" bestFit="1" customWidth="1"/>
    <col min="9902" max="9902" width="9.140625" style="1"/>
    <col min="9903" max="9904" width="9.28515625" style="1" bestFit="1" customWidth="1"/>
    <col min="9905" max="9905" width="9.140625" style="1"/>
    <col min="9906" max="9906" width="9.28515625" style="1" bestFit="1" customWidth="1"/>
    <col min="9907" max="9909" width="9.140625" style="1"/>
    <col min="9910" max="9912" width="9.28515625" style="1" bestFit="1" customWidth="1"/>
    <col min="9913" max="9915" width="9.140625" style="1"/>
    <col min="9916" max="9917" width="9.28515625" style="1" bestFit="1" customWidth="1"/>
    <col min="9918" max="9918" width="9.140625" style="1"/>
    <col min="9919" max="9920" width="9.28515625" style="1" bestFit="1" customWidth="1"/>
    <col min="9921" max="9921" width="9.140625" style="1"/>
    <col min="9922" max="9922" width="9.28515625" style="1" bestFit="1" customWidth="1"/>
    <col min="9923" max="9925" width="9.140625" style="1"/>
    <col min="9926" max="9928" width="9.28515625" style="1" bestFit="1" customWidth="1"/>
    <col min="9929" max="9931" width="9.140625" style="1"/>
    <col min="9932" max="9933" width="9.28515625" style="1" bestFit="1" customWidth="1"/>
    <col min="9934" max="9934" width="9.140625" style="1"/>
    <col min="9935" max="9936" width="9.28515625" style="1" bestFit="1" customWidth="1"/>
    <col min="9937" max="9937" width="9.140625" style="1"/>
    <col min="9938" max="9938" width="9.28515625" style="1" bestFit="1" customWidth="1"/>
    <col min="9939" max="9941" width="9.140625" style="1"/>
    <col min="9942" max="9944" width="9.28515625" style="1" bestFit="1" customWidth="1"/>
    <col min="9945" max="9947" width="9.140625" style="1"/>
    <col min="9948" max="9949" width="9.28515625" style="1" bestFit="1" customWidth="1"/>
    <col min="9950" max="9950" width="9.140625" style="1"/>
    <col min="9951" max="9952" width="9.28515625" style="1" bestFit="1" customWidth="1"/>
    <col min="9953" max="9953" width="9.140625" style="1"/>
    <col min="9954" max="9954" width="9.28515625" style="1" bestFit="1" customWidth="1"/>
    <col min="9955" max="9957" width="9.140625" style="1"/>
    <col min="9958" max="9960" width="9.28515625" style="1" bestFit="1" customWidth="1"/>
    <col min="9961" max="9963" width="9.140625" style="1"/>
    <col min="9964" max="9965" width="9.28515625" style="1" bestFit="1" customWidth="1"/>
    <col min="9966" max="9966" width="9.140625" style="1"/>
    <col min="9967" max="9968" width="9.28515625" style="1" bestFit="1" customWidth="1"/>
    <col min="9969" max="9969" width="9.140625" style="1"/>
    <col min="9970" max="9970" width="9.28515625" style="1" bestFit="1" customWidth="1"/>
    <col min="9971" max="9973" width="9.140625" style="1"/>
    <col min="9974" max="9976" width="9.28515625" style="1" bestFit="1" customWidth="1"/>
    <col min="9977" max="9979" width="9.140625" style="1"/>
    <col min="9980" max="9981" width="9.28515625" style="1" bestFit="1" customWidth="1"/>
    <col min="9982" max="9982" width="9.140625" style="1"/>
    <col min="9983" max="9984" width="9.28515625" style="1" bestFit="1" customWidth="1"/>
    <col min="9985" max="9985" width="9.140625" style="1"/>
    <col min="9986" max="9986" width="9.28515625" style="1" bestFit="1" customWidth="1"/>
    <col min="9987" max="9989" width="9.140625" style="1"/>
    <col min="9990" max="9992" width="9.28515625" style="1" bestFit="1" customWidth="1"/>
    <col min="9993" max="9995" width="9.140625" style="1"/>
    <col min="9996" max="9997" width="9.28515625" style="1" bestFit="1" customWidth="1"/>
    <col min="9998" max="9998" width="9.140625" style="1"/>
    <col min="9999" max="10000" width="9.28515625" style="1" bestFit="1" customWidth="1"/>
    <col min="10001" max="10001" width="9.140625" style="1"/>
    <col min="10002" max="10002" width="9.28515625" style="1" bestFit="1" customWidth="1"/>
    <col min="10003" max="10005" width="9.140625" style="1"/>
    <col min="10006" max="10008" width="9.28515625" style="1" bestFit="1" customWidth="1"/>
    <col min="10009" max="10011" width="9.140625" style="1"/>
    <col min="10012" max="10013" width="9.28515625" style="1" bestFit="1" customWidth="1"/>
    <col min="10014" max="10014" width="9.140625" style="1"/>
    <col min="10015" max="10016" width="9.28515625" style="1" bestFit="1" customWidth="1"/>
    <col min="10017" max="10017" width="9.140625" style="1"/>
    <col min="10018" max="10018" width="9.28515625" style="1" bestFit="1" customWidth="1"/>
    <col min="10019" max="10021" width="9.140625" style="1"/>
    <col min="10022" max="10024" width="9.28515625" style="1" bestFit="1" customWidth="1"/>
    <col min="10025" max="10027" width="9.140625" style="1"/>
    <col min="10028" max="10029" width="9.28515625" style="1" bestFit="1" customWidth="1"/>
    <col min="10030" max="10030" width="9.140625" style="1"/>
    <col min="10031" max="10032" width="9.28515625" style="1" bestFit="1" customWidth="1"/>
    <col min="10033" max="10033" width="9.140625" style="1"/>
    <col min="10034" max="10034" width="9.28515625" style="1" bestFit="1" customWidth="1"/>
    <col min="10035" max="10037" width="9.140625" style="1"/>
    <col min="10038" max="10040" width="9.28515625" style="1" bestFit="1" customWidth="1"/>
    <col min="10041" max="10043" width="9.140625" style="1"/>
    <col min="10044" max="10045" width="9.28515625" style="1" bestFit="1" customWidth="1"/>
    <col min="10046" max="10046" width="9.140625" style="1"/>
    <col min="10047" max="10048" width="9.28515625" style="1" bestFit="1" customWidth="1"/>
    <col min="10049" max="10049" width="9.140625" style="1"/>
    <col min="10050" max="10050" width="9.28515625" style="1" bestFit="1" customWidth="1"/>
    <col min="10051" max="10053" width="9.140625" style="1"/>
    <col min="10054" max="10056" width="9.28515625" style="1" bestFit="1" customWidth="1"/>
    <col min="10057" max="10059" width="9.140625" style="1"/>
    <col min="10060" max="10061" width="9.28515625" style="1" bestFit="1" customWidth="1"/>
    <col min="10062" max="10062" width="9.140625" style="1"/>
    <col min="10063" max="10064" width="9.28515625" style="1" bestFit="1" customWidth="1"/>
    <col min="10065" max="10065" width="9.140625" style="1"/>
    <col min="10066" max="10066" width="9.28515625" style="1" bestFit="1" customWidth="1"/>
    <col min="10067" max="10069" width="9.140625" style="1"/>
    <col min="10070" max="10072" width="9.28515625" style="1" bestFit="1" customWidth="1"/>
    <col min="10073" max="10075" width="9.140625" style="1"/>
    <col min="10076" max="10077" width="9.28515625" style="1" bestFit="1" customWidth="1"/>
    <col min="10078" max="10078" width="9.140625" style="1"/>
    <col min="10079" max="10080" width="9.28515625" style="1" bestFit="1" customWidth="1"/>
    <col min="10081" max="10081" width="9.140625" style="1"/>
    <col min="10082" max="10082" width="9.28515625" style="1" bestFit="1" customWidth="1"/>
    <col min="10083" max="10085" width="9.140625" style="1"/>
    <col min="10086" max="10088" width="9.28515625" style="1" bestFit="1" customWidth="1"/>
    <col min="10089" max="10091" width="9.140625" style="1"/>
    <col min="10092" max="10093" width="9.28515625" style="1" bestFit="1" customWidth="1"/>
    <col min="10094" max="10094" width="9.140625" style="1"/>
    <col min="10095" max="10096" width="9.28515625" style="1" bestFit="1" customWidth="1"/>
    <col min="10097" max="10097" width="9.140625" style="1"/>
    <col min="10098" max="10098" width="9.28515625" style="1" bestFit="1" customWidth="1"/>
    <col min="10099" max="10101" width="9.140625" style="1"/>
    <col min="10102" max="10104" width="9.28515625" style="1" bestFit="1" customWidth="1"/>
    <col min="10105" max="10107" width="9.140625" style="1"/>
    <col min="10108" max="10109" width="9.28515625" style="1" bestFit="1" customWidth="1"/>
    <col min="10110" max="10110" width="9.140625" style="1"/>
    <col min="10111" max="10112" width="9.28515625" style="1" bestFit="1" customWidth="1"/>
    <col min="10113" max="10113" width="9.140625" style="1"/>
    <col min="10114" max="10114" width="9.28515625" style="1" bestFit="1" customWidth="1"/>
    <col min="10115" max="10117" width="9.140625" style="1"/>
    <col min="10118" max="10120" width="9.28515625" style="1" bestFit="1" customWidth="1"/>
    <col min="10121" max="10123" width="9.140625" style="1"/>
    <col min="10124" max="10125" width="9.28515625" style="1" bestFit="1" customWidth="1"/>
    <col min="10126" max="10126" width="9.140625" style="1"/>
    <col min="10127" max="10128" width="9.28515625" style="1" bestFit="1" customWidth="1"/>
    <col min="10129" max="10129" width="9.140625" style="1"/>
    <col min="10130" max="10130" width="9.28515625" style="1" bestFit="1" customWidth="1"/>
    <col min="10131" max="10133" width="9.140625" style="1"/>
    <col min="10134" max="10136" width="9.28515625" style="1" bestFit="1" customWidth="1"/>
    <col min="10137" max="10139" width="9.140625" style="1"/>
    <col min="10140" max="10141" width="9.28515625" style="1" bestFit="1" customWidth="1"/>
    <col min="10142" max="10142" width="9.140625" style="1"/>
    <col min="10143" max="10144" width="9.28515625" style="1" bestFit="1" customWidth="1"/>
    <col min="10145" max="10145" width="9.140625" style="1"/>
    <col min="10146" max="10146" width="9.28515625" style="1" bestFit="1" customWidth="1"/>
    <col min="10147" max="10149" width="9.140625" style="1"/>
    <col min="10150" max="10152" width="9.28515625" style="1" bestFit="1" customWidth="1"/>
    <col min="10153" max="10155" width="9.140625" style="1"/>
    <col min="10156" max="10157" width="9.28515625" style="1" bestFit="1" customWidth="1"/>
    <col min="10158" max="10158" width="9.140625" style="1"/>
    <col min="10159" max="10160" width="9.28515625" style="1" bestFit="1" customWidth="1"/>
    <col min="10161" max="10161" width="9.140625" style="1"/>
    <col min="10162" max="10162" width="9.28515625" style="1" bestFit="1" customWidth="1"/>
    <col min="10163" max="10165" width="9.140625" style="1"/>
    <col min="10166" max="10168" width="9.28515625" style="1" bestFit="1" customWidth="1"/>
    <col min="10169" max="10171" width="9.140625" style="1"/>
    <col min="10172" max="10173" width="9.28515625" style="1" bestFit="1" customWidth="1"/>
    <col min="10174" max="10174" width="9.140625" style="1"/>
    <col min="10175" max="10176" width="9.28515625" style="1" bestFit="1" customWidth="1"/>
    <col min="10177" max="10177" width="9.140625" style="1"/>
    <col min="10178" max="10178" width="9.28515625" style="1" bestFit="1" customWidth="1"/>
    <col min="10179" max="10181" width="9.140625" style="1"/>
    <col min="10182" max="10184" width="9.28515625" style="1" bestFit="1" customWidth="1"/>
    <col min="10185" max="10187" width="9.140625" style="1"/>
    <col min="10188" max="10189" width="9.28515625" style="1" bestFit="1" customWidth="1"/>
    <col min="10190" max="10190" width="9.140625" style="1"/>
    <col min="10191" max="10192" width="9.28515625" style="1" bestFit="1" customWidth="1"/>
    <col min="10193" max="10193" width="9.140625" style="1"/>
    <col min="10194" max="10194" width="9.28515625" style="1" bestFit="1" customWidth="1"/>
    <col min="10195" max="10197" width="9.140625" style="1"/>
    <col min="10198" max="10200" width="9.28515625" style="1" bestFit="1" customWidth="1"/>
    <col min="10201" max="10203" width="9.140625" style="1"/>
    <col min="10204" max="10205" width="9.28515625" style="1" bestFit="1" customWidth="1"/>
    <col min="10206" max="10206" width="9.140625" style="1"/>
    <col min="10207" max="10208" width="9.28515625" style="1" bestFit="1" customWidth="1"/>
    <col min="10209" max="10209" width="9.140625" style="1"/>
    <col min="10210" max="10210" width="9.28515625" style="1" bestFit="1" customWidth="1"/>
    <col min="10211" max="10213" width="9.140625" style="1"/>
    <col min="10214" max="10216" width="9.28515625" style="1" bestFit="1" customWidth="1"/>
    <col min="10217" max="10219" width="9.140625" style="1"/>
    <col min="10220" max="10221" width="9.28515625" style="1" bestFit="1" customWidth="1"/>
    <col min="10222" max="10222" width="9.140625" style="1"/>
    <col min="10223" max="10224" width="9.28515625" style="1" bestFit="1" customWidth="1"/>
    <col min="10225" max="10225" width="9.140625" style="1"/>
    <col min="10226" max="10226" width="9.28515625" style="1" bestFit="1" customWidth="1"/>
    <col min="10227" max="10229" width="9.140625" style="1"/>
    <col min="10230" max="10232" width="9.28515625" style="1" bestFit="1" customWidth="1"/>
    <col min="10233" max="10235" width="9.140625" style="1"/>
    <col min="10236" max="10237" width="9.28515625" style="1" bestFit="1" customWidth="1"/>
    <col min="10238" max="10238" width="9.140625" style="1"/>
    <col min="10239" max="10240" width="9.28515625" style="1" bestFit="1" customWidth="1"/>
    <col min="10241" max="10241" width="9.140625" style="1"/>
    <col min="10242" max="10242" width="9.28515625" style="1" bestFit="1" customWidth="1"/>
    <col min="10243" max="10245" width="9.140625" style="1"/>
    <col min="10246" max="10248" width="9.28515625" style="1" bestFit="1" customWidth="1"/>
    <col min="10249" max="10251" width="9.140625" style="1"/>
    <col min="10252" max="10253" width="9.28515625" style="1" bestFit="1" customWidth="1"/>
    <col min="10254" max="10254" width="9.140625" style="1"/>
    <col min="10255" max="10256" width="9.28515625" style="1" bestFit="1" customWidth="1"/>
    <col min="10257" max="10257" width="9.140625" style="1"/>
    <col min="10258" max="10258" width="9.28515625" style="1" bestFit="1" customWidth="1"/>
    <col min="10259" max="10261" width="9.140625" style="1"/>
    <col min="10262" max="10264" width="9.28515625" style="1" bestFit="1" customWidth="1"/>
    <col min="10265" max="10267" width="9.140625" style="1"/>
    <col min="10268" max="10269" width="9.28515625" style="1" bestFit="1" customWidth="1"/>
    <col min="10270" max="10270" width="9.140625" style="1"/>
    <col min="10271" max="10272" width="9.28515625" style="1" bestFit="1" customWidth="1"/>
    <col min="10273" max="10273" width="9.140625" style="1"/>
    <col min="10274" max="10274" width="9.28515625" style="1" bestFit="1" customWidth="1"/>
    <col min="10275" max="10277" width="9.140625" style="1"/>
    <col min="10278" max="10280" width="9.28515625" style="1" bestFit="1" customWidth="1"/>
    <col min="10281" max="10283" width="9.140625" style="1"/>
    <col min="10284" max="10285" width="9.28515625" style="1" bestFit="1" customWidth="1"/>
    <col min="10286" max="10286" width="9.140625" style="1"/>
    <col min="10287" max="10288" width="9.28515625" style="1" bestFit="1" customWidth="1"/>
    <col min="10289" max="10289" width="9.140625" style="1"/>
    <col min="10290" max="10290" width="9.28515625" style="1" bestFit="1" customWidth="1"/>
    <col min="10291" max="10293" width="9.140625" style="1"/>
    <col min="10294" max="10296" width="9.28515625" style="1" bestFit="1" customWidth="1"/>
    <col min="10297" max="10299" width="9.140625" style="1"/>
    <col min="10300" max="10301" width="9.28515625" style="1" bestFit="1" customWidth="1"/>
    <col min="10302" max="10302" width="9.140625" style="1"/>
    <col min="10303" max="10304" width="9.28515625" style="1" bestFit="1" customWidth="1"/>
    <col min="10305" max="10305" width="9.140625" style="1"/>
    <col min="10306" max="10306" width="9.28515625" style="1" bestFit="1" customWidth="1"/>
    <col min="10307" max="10309" width="9.140625" style="1"/>
    <col min="10310" max="10312" width="9.28515625" style="1" bestFit="1" customWidth="1"/>
    <col min="10313" max="10315" width="9.140625" style="1"/>
    <col min="10316" max="10317" width="9.28515625" style="1" bestFit="1" customWidth="1"/>
    <col min="10318" max="10318" width="9.140625" style="1"/>
    <col min="10319" max="10320" width="9.28515625" style="1" bestFit="1" customWidth="1"/>
    <col min="10321" max="10321" width="9.140625" style="1"/>
    <col min="10322" max="10322" width="9.28515625" style="1" bestFit="1" customWidth="1"/>
    <col min="10323" max="10325" width="9.140625" style="1"/>
    <col min="10326" max="10328" width="9.28515625" style="1" bestFit="1" customWidth="1"/>
    <col min="10329" max="10331" width="9.140625" style="1"/>
    <col min="10332" max="10333" width="9.28515625" style="1" bestFit="1" customWidth="1"/>
    <col min="10334" max="10334" width="9.140625" style="1"/>
    <col min="10335" max="10336" width="9.28515625" style="1" bestFit="1" customWidth="1"/>
    <col min="10337" max="10337" width="9.140625" style="1"/>
    <col min="10338" max="10338" width="9.28515625" style="1" bestFit="1" customWidth="1"/>
    <col min="10339" max="10341" width="9.140625" style="1"/>
    <col min="10342" max="10344" width="9.28515625" style="1" bestFit="1" customWidth="1"/>
    <col min="10345" max="10347" width="9.140625" style="1"/>
    <col min="10348" max="10349" width="9.28515625" style="1" bestFit="1" customWidth="1"/>
    <col min="10350" max="10350" width="9.140625" style="1"/>
    <col min="10351" max="10352" width="9.28515625" style="1" bestFit="1" customWidth="1"/>
    <col min="10353" max="10353" width="9.140625" style="1"/>
    <col min="10354" max="10354" width="9.28515625" style="1" bestFit="1" customWidth="1"/>
    <col min="10355" max="10357" width="9.140625" style="1"/>
    <col min="10358" max="10360" width="9.28515625" style="1" bestFit="1" customWidth="1"/>
    <col min="10361" max="10363" width="9.140625" style="1"/>
    <col min="10364" max="10365" width="9.28515625" style="1" bestFit="1" customWidth="1"/>
    <col min="10366" max="10366" width="9.140625" style="1"/>
    <col min="10367" max="10368" width="9.28515625" style="1" bestFit="1" customWidth="1"/>
    <col min="10369" max="10369" width="9.140625" style="1"/>
    <col min="10370" max="10370" width="9.28515625" style="1" bestFit="1" customWidth="1"/>
    <col min="10371" max="10373" width="9.140625" style="1"/>
    <col min="10374" max="10376" width="9.28515625" style="1" bestFit="1" customWidth="1"/>
    <col min="10377" max="10379" width="9.140625" style="1"/>
    <col min="10380" max="10381" width="9.28515625" style="1" bestFit="1" customWidth="1"/>
    <col min="10382" max="10382" width="9.140625" style="1"/>
    <col min="10383" max="10384" width="9.28515625" style="1" bestFit="1" customWidth="1"/>
    <col min="10385" max="10385" width="9.140625" style="1"/>
    <col min="10386" max="10386" width="9.28515625" style="1" bestFit="1" customWidth="1"/>
    <col min="10387" max="10389" width="9.140625" style="1"/>
    <col min="10390" max="10392" width="9.28515625" style="1" bestFit="1" customWidth="1"/>
    <col min="10393" max="10395" width="9.140625" style="1"/>
    <col min="10396" max="10397" width="9.28515625" style="1" bestFit="1" customWidth="1"/>
    <col min="10398" max="10398" width="9.140625" style="1"/>
    <col min="10399" max="10400" width="9.28515625" style="1" bestFit="1" customWidth="1"/>
    <col min="10401" max="10401" width="9.140625" style="1"/>
    <col min="10402" max="10402" width="9.28515625" style="1" bestFit="1" customWidth="1"/>
    <col min="10403" max="10405" width="9.140625" style="1"/>
    <col min="10406" max="10408" width="9.28515625" style="1" bestFit="1" customWidth="1"/>
    <col min="10409" max="10411" width="9.140625" style="1"/>
    <col min="10412" max="10413" width="9.28515625" style="1" bestFit="1" customWidth="1"/>
    <col min="10414" max="10414" width="9.140625" style="1"/>
    <col min="10415" max="10416" width="9.28515625" style="1" bestFit="1" customWidth="1"/>
    <col min="10417" max="10417" width="9.140625" style="1"/>
    <col min="10418" max="10418" width="9.28515625" style="1" bestFit="1" customWidth="1"/>
    <col min="10419" max="10421" width="9.140625" style="1"/>
    <col min="10422" max="10424" width="9.28515625" style="1" bestFit="1" customWidth="1"/>
    <col min="10425" max="10427" width="9.140625" style="1"/>
    <col min="10428" max="10429" width="9.28515625" style="1" bestFit="1" customWidth="1"/>
    <col min="10430" max="10430" width="9.140625" style="1"/>
    <col min="10431" max="10432" width="9.28515625" style="1" bestFit="1" customWidth="1"/>
    <col min="10433" max="10433" width="9.140625" style="1"/>
    <col min="10434" max="10434" width="9.28515625" style="1" bestFit="1" customWidth="1"/>
    <col min="10435" max="10437" width="9.140625" style="1"/>
    <col min="10438" max="10440" width="9.28515625" style="1" bestFit="1" customWidth="1"/>
    <col min="10441" max="10443" width="9.140625" style="1"/>
    <col min="10444" max="10445" width="9.28515625" style="1" bestFit="1" customWidth="1"/>
    <col min="10446" max="10446" width="9.140625" style="1"/>
    <col min="10447" max="10448" width="9.28515625" style="1" bestFit="1" customWidth="1"/>
    <col min="10449" max="10449" width="9.140625" style="1"/>
    <col min="10450" max="10450" width="9.28515625" style="1" bestFit="1" customWidth="1"/>
    <col min="10451" max="10453" width="9.140625" style="1"/>
    <col min="10454" max="10456" width="9.28515625" style="1" bestFit="1" customWidth="1"/>
    <col min="10457" max="10459" width="9.140625" style="1"/>
    <col min="10460" max="10461" width="9.28515625" style="1" bestFit="1" customWidth="1"/>
    <col min="10462" max="10462" width="9.140625" style="1"/>
    <col min="10463" max="10464" width="9.28515625" style="1" bestFit="1" customWidth="1"/>
    <col min="10465" max="10465" width="9.140625" style="1"/>
    <col min="10466" max="10466" width="9.28515625" style="1" bestFit="1" customWidth="1"/>
    <col min="10467" max="10469" width="9.140625" style="1"/>
    <col min="10470" max="10472" width="9.28515625" style="1" bestFit="1" customWidth="1"/>
    <col min="10473" max="10475" width="9.140625" style="1"/>
    <col min="10476" max="10477" width="9.28515625" style="1" bestFit="1" customWidth="1"/>
    <col min="10478" max="10478" width="9.140625" style="1"/>
    <col min="10479" max="10480" width="9.28515625" style="1" bestFit="1" customWidth="1"/>
    <col min="10481" max="10481" width="9.140625" style="1"/>
    <col min="10482" max="10482" width="9.28515625" style="1" bestFit="1" customWidth="1"/>
    <col min="10483" max="10485" width="9.140625" style="1"/>
    <col min="10486" max="10488" width="9.28515625" style="1" bestFit="1" customWidth="1"/>
    <col min="10489" max="10491" width="9.140625" style="1"/>
    <col min="10492" max="10493" width="9.28515625" style="1" bestFit="1" customWidth="1"/>
    <col min="10494" max="10494" width="9.140625" style="1"/>
    <col min="10495" max="10496" width="9.28515625" style="1" bestFit="1" customWidth="1"/>
    <col min="10497" max="10497" width="9.140625" style="1"/>
    <col min="10498" max="10498" width="9.28515625" style="1" bestFit="1" customWidth="1"/>
    <col min="10499" max="10501" width="9.140625" style="1"/>
    <col min="10502" max="10504" width="9.28515625" style="1" bestFit="1" customWidth="1"/>
    <col min="10505" max="10507" width="9.140625" style="1"/>
    <col min="10508" max="10509" width="9.28515625" style="1" bestFit="1" customWidth="1"/>
    <col min="10510" max="10510" width="9.140625" style="1"/>
    <col min="10511" max="10512" width="9.28515625" style="1" bestFit="1" customWidth="1"/>
    <col min="10513" max="10513" width="9.140625" style="1"/>
    <col min="10514" max="10514" width="9.28515625" style="1" bestFit="1" customWidth="1"/>
    <col min="10515" max="10517" width="9.140625" style="1"/>
    <col min="10518" max="10520" width="9.28515625" style="1" bestFit="1" customWidth="1"/>
    <col min="10521" max="10523" width="9.140625" style="1"/>
    <col min="10524" max="10525" width="9.28515625" style="1" bestFit="1" customWidth="1"/>
    <col min="10526" max="10526" width="9.140625" style="1"/>
    <col min="10527" max="10528" width="9.28515625" style="1" bestFit="1" customWidth="1"/>
    <col min="10529" max="10529" width="9.140625" style="1"/>
    <col min="10530" max="10530" width="9.28515625" style="1" bestFit="1" customWidth="1"/>
    <col min="10531" max="10533" width="9.140625" style="1"/>
    <col min="10534" max="10536" width="9.28515625" style="1" bestFit="1" customWidth="1"/>
    <col min="10537" max="10539" width="9.140625" style="1"/>
    <col min="10540" max="10541" width="9.28515625" style="1" bestFit="1" customWidth="1"/>
    <col min="10542" max="10542" width="9.140625" style="1"/>
    <col min="10543" max="10544" width="9.28515625" style="1" bestFit="1" customWidth="1"/>
    <col min="10545" max="10545" width="9.140625" style="1"/>
    <col min="10546" max="10546" width="9.28515625" style="1" bestFit="1" customWidth="1"/>
    <col min="10547" max="10549" width="9.140625" style="1"/>
    <col min="10550" max="10552" width="9.28515625" style="1" bestFit="1" customWidth="1"/>
    <col min="10553" max="10555" width="9.140625" style="1"/>
    <col min="10556" max="10557" width="9.28515625" style="1" bestFit="1" customWidth="1"/>
    <col min="10558" max="10558" width="9.140625" style="1"/>
    <col min="10559" max="10560" width="9.28515625" style="1" bestFit="1" customWidth="1"/>
    <col min="10561" max="10561" width="9.140625" style="1"/>
    <col min="10562" max="10562" width="9.28515625" style="1" bestFit="1" customWidth="1"/>
    <col min="10563" max="10565" width="9.140625" style="1"/>
    <col min="10566" max="10568" width="9.28515625" style="1" bestFit="1" customWidth="1"/>
    <col min="10569" max="10571" width="9.140625" style="1"/>
    <col min="10572" max="10573" width="9.28515625" style="1" bestFit="1" customWidth="1"/>
    <col min="10574" max="10574" width="9.140625" style="1"/>
    <col min="10575" max="10576" width="9.28515625" style="1" bestFit="1" customWidth="1"/>
    <col min="10577" max="10577" width="9.140625" style="1"/>
    <col min="10578" max="10578" width="9.28515625" style="1" bestFit="1" customWidth="1"/>
    <col min="10579" max="10581" width="9.140625" style="1"/>
    <col min="10582" max="10584" width="9.28515625" style="1" bestFit="1" customWidth="1"/>
    <col min="10585" max="10587" width="9.140625" style="1"/>
    <col min="10588" max="10589" width="9.28515625" style="1" bestFit="1" customWidth="1"/>
    <col min="10590" max="10590" width="9.140625" style="1"/>
    <col min="10591" max="10592" width="9.28515625" style="1" bestFit="1" customWidth="1"/>
    <col min="10593" max="10593" width="9.140625" style="1"/>
    <col min="10594" max="10594" width="9.28515625" style="1" bestFit="1" customWidth="1"/>
    <col min="10595" max="10597" width="9.140625" style="1"/>
    <col min="10598" max="10600" width="9.28515625" style="1" bestFit="1" customWidth="1"/>
    <col min="10601" max="10603" width="9.140625" style="1"/>
    <col min="10604" max="10605" width="9.28515625" style="1" bestFit="1" customWidth="1"/>
    <col min="10606" max="10606" width="9.140625" style="1"/>
    <col min="10607" max="10608" width="9.28515625" style="1" bestFit="1" customWidth="1"/>
    <col min="10609" max="10609" width="9.140625" style="1"/>
    <col min="10610" max="10610" width="9.28515625" style="1" bestFit="1" customWidth="1"/>
    <col min="10611" max="10613" width="9.140625" style="1"/>
    <col min="10614" max="10616" width="9.28515625" style="1" bestFit="1" customWidth="1"/>
    <col min="10617" max="10619" width="9.140625" style="1"/>
    <col min="10620" max="10621" width="9.28515625" style="1" bestFit="1" customWidth="1"/>
    <col min="10622" max="10622" width="9.140625" style="1"/>
    <col min="10623" max="10624" width="9.28515625" style="1" bestFit="1" customWidth="1"/>
    <col min="10625" max="10625" width="9.140625" style="1"/>
    <col min="10626" max="10626" width="9.28515625" style="1" bestFit="1" customWidth="1"/>
    <col min="10627" max="10629" width="9.140625" style="1"/>
    <col min="10630" max="10632" width="9.28515625" style="1" bestFit="1" customWidth="1"/>
    <col min="10633" max="10635" width="9.140625" style="1"/>
    <col min="10636" max="10637" width="9.28515625" style="1" bestFit="1" customWidth="1"/>
    <col min="10638" max="10638" width="9.140625" style="1"/>
    <col min="10639" max="10640" width="9.28515625" style="1" bestFit="1" customWidth="1"/>
    <col min="10641" max="10641" width="9.140625" style="1"/>
    <col min="10642" max="10642" width="9.28515625" style="1" bestFit="1" customWidth="1"/>
    <col min="10643" max="10645" width="9.140625" style="1"/>
    <col min="10646" max="10648" width="9.28515625" style="1" bestFit="1" customWidth="1"/>
    <col min="10649" max="10651" width="9.140625" style="1"/>
    <col min="10652" max="10653" width="9.28515625" style="1" bestFit="1" customWidth="1"/>
    <col min="10654" max="10654" width="9.140625" style="1"/>
    <col min="10655" max="10656" width="9.28515625" style="1" bestFit="1" customWidth="1"/>
    <col min="10657" max="10657" width="9.140625" style="1"/>
    <col min="10658" max="10658" width="9.28515625" style="1" bestFit="1" customWidth="1"/>
    <col min="10659" max="10661" width="9.140625" style="1"/>
    <col min="10662" max="10664" width="9.28515625" style="1" bestFit="1" customWidth="1"/>
    <col min="10665" max="10667" width="9.140625" style="1"/>
    <col min="10668" max="10669" width="9.28515625" style="1" bestFit="1" customWidth="1"/>
    <col min="10670" max="10670" width="9.140625" style="1"/>
    <col min="10671" max="10672" width="9.28515625" style="1" bestFit="1" customWidth="1"/>
    <col min="10673" max="10673" width="9.140625" style="1"/>
    <col min="10674" max="10674" width="9.28515625" style="1" bestFit="1" customWidth="1"/>
    <col min="10675" max="10677" width="9.140625" style="1"/>
    <col min="10678" max="10680" width="9.28515625" style="1" bestFit="1" customWidth="1"/>
    <col min="10681" max="10683" width="9.140625" style="1"/>
    <col min="10684" max="10685" width="9.28515625" style="1" bestFit="1" customWidth="1"/>
    <col min="10686" max="10686" width="9.140625" style="1"/>
    <col min="10687" max="10688" width="9.28515625" style="1" bestFit="1" customWidth="1"/>
    <col min="10689" max="10689" width="9.140625" style="1"/>
    <col min="10690" max="10690" width="9.28515625" style="1" bestFit="1" customWidth="1"/>
    <col min="10691" max="10693" width="9.140625" style="1"/>
    <col min="10694" max="10696" width="9.28515625" style="1" bestFit="1" customWidth="1"/>
    <col min="10697" max="10699" width="9.140625" style="1"/>
    <col min="10700" max="10701" width="9.28515625" style="1" bestFit="1" customWidth="1"/>
    <col min="10702" max="10702" width="9.140625" style="1"/>
    <col min="10703" max="10704" width="9.28515625" style="1" bestFit="1" customWidth="1"/>
    <col min="10705" max="10705" width="9.140625" style="1"/>
    <col min="10706" max="10706" width="9.28515625" style="1" bestFit="1" customWidth="1"/>
    <col min="10707" max="10709" width="9.140625" style="1"/>
    <col min="10710" max="10712" width="9.28515625" style="1" bestFit="1" customWidth="1"/>
    <col min="10713" max="10715" width="9.140625" style="1"/>
    <col min="10716" max="10717" width="9.28515625" style="1" bestFit="1" customWidth="1"/>
    <col min="10718" max="10718" width="9.140625" style="1"/>
    <col min="10719" max="10720" width="9.28515625" style="1" bestFit="1" customWidth="1"/>
    <col min="10721" max="10721" width="9.140625" style="1"/>
    <col min="10722" max="10722" width="9.28515625" style="1" bestFit="1" customWidth="1"/>
    <col min="10723" max="10725" width="9.140625" style="1"/>
    <col min="10726" max="10728" width="9.28515625" style="1" bestFit="1" customWidth="1"/>
    <col min="10729" max="10731" width="9.140625" style="1"/>
    <col min="10732" max="10733" width="9.28515625" style="1" bestFit="1" customWidth="1"/>
    <col min="10734" max="10734" width="9.140625" style="1"/>
    <col min="10735" max="10736" width="9.28515625" style="1" bestFit="1" customWidth="1"/>
    <col min="10737" max="10737" width="9.140625" style="1"/>
    <col min="10738" max="10738" width="9.28515625" style="1" bestFit="1" customWidth="1"/>
    <col min="10739" max="10741" width="9.140625" style="1"/>
    <col min="10742" max="10744" width="9.28515625" style="1" bestFit="1" customWidth="1"/>
    <col min="10745" max="10747" width="9.140625" style="1"/>
    <col min="10748" max="10749" width="9.28515625" style="1" bestFit="1" customWidth="1"/>
    <col min="10750" max="10750" width="9.140625" style="1"/>
    <col min="10751" max="10752" width="9.28515625" style="1" bestFit="1" customWidth="1"/>
    <col min="10753" max="10753" width="9.140625" style="1"/>
    <col min="10754" max="10754" width="9.28515625" style="1" bestFit="1" customWidth="1"/>
    <col min="10755" max="10757" width="9.140625" style="1"/>
    <col min="10758" max="10760" width="9.28515625" style="1" bestFit="1" customWidth="1"/>
    <col min="10761" max="10763" width="9.140625" style="1"/>
    <col min="10764" max="10765" width="9.28515625" style="1" bestFit="1" customWidth="1"/>
    <col min="10766" max="10766" width="9.140625" style="1"/>
    <col min="10767" max="10768" width="9.28515625" style="1" bestFit="1" customWidth="1"/>
    <col min="10769" max="10769" width="9.140625" style="1"/>
    <col min="10770" max="10770" width="9.28515625" style="1" bestFit="1" customWidth="1"/>
    <col min="10771" max="10773" width="9.140625" style="1"/>
    <col min="10774" max="10776" width="9.28515625" style="1" bestFit="1" customWidth="1"/>
    <col min="10777" max="10779" width="9.140625" style="1"/>
    <col min="10780" max="10781" width="9.28515625" style="1" bestFit="1" customWidth="1"/>
    <col min="10782" max="10782" width="9.140625" style="1"/>
    <col min="10783" max="10784" width="9.28515625" style="1" bestFit="1" customWidth="1"/>
    <col min="10785" max="10785" width="9.140625" style="1"/>
    <col min="10786" max="10786" width="9.28515625" style="1" bestFit="1" customWidth="1"/>
    <col min="10787" max="10789" width="9.140625" style="1"/>
    <col min="10790" max="10792" width="9.28515625" style="1" bestFit="1" customWidth="1"/>
    <col min="10793" max="10795" width="9.140625" style="1"/>
    <col min="10796" max="10797" width="9.28515625" style="1" bestFit="1" customWidth="1"/>
    <col min="10798" max="10798" width="9.140625" style="1"/>
    <col min="10799" max="10800" width="9.28515625" style="1" bestFit="1" customWidth="1"/>
    <col min="10801" max="10801" width="9.140625" style="1"/>
    <col min="10802" max="10802" width="9.28515625" style="1" bestFit="1" customWidth="1"/>
    <col min="10803" max="10805" width="9.140625" style="1"/>
    <col min="10806" max="10808" width="9.28515625" style="1" bestFit="1" customWidth="1"/>
    <col min="10809" max="10811" width="9.140625" style="1"/>
    <col min="10812" max="10813" width="9.28515625" style="1" bestFit="1" customWidth="1"/>
    <col min="10814" max="10814" width="9.140625" style="1"/>
    <col min="10815" max="10816" width="9.28515625" style="1" bestFit="1" customWidth="1"/>
    <col min="10817" max="10817" width="9.140625" style="1"/>
    <col min="10818" max="10818" width="9.28515625" style="1" bestFit="1" customWidth="1"/>
    <col min="10819" max="10821" width="9.140625" style="1"/>
    <col min="10822" max="10824" width="9.28515625" style="1" bestFit="1" customWidth="1"/>
    <col min="10825" max="10827" width="9.140625" style="1"/>
    <col min="10828" max="10829" width="9.28515625" style="1" bestFit="1" customWidth="1"/>
    <col min="10830" max="10830" width="9.140625" style="1"/>
    <col min="10831" max="10832" width="9.28515625" style="1" bestFit="1" customWidth="1"/>
    <col min="10833" max="10833" width="9.140625" style="1"/>
    <col min="10834" max="10834" width="9.28515625" style="1" bestFit="1" customWidth="1"/>
    <col min="10835" max="10837" width="9.140625" style="1"/>
    <col min="10838" max="10840" width="9.28515625" style="1" bestFit="1" customWidth="1"/>
    <col min="10841" max="10843" width="9.140625" style="1"/>
    <col min="10844" max="10845" width="9.28515625" style="1" bestFit="1" customWidth="1"/>
    <col min="10846" max="10846" width="9.140625" style="1"/>
    <col min="10847" max="10848" width="9.28515625" style="1" bestFit="1" customWidth="1"/>
    <col min="10849" max="10849" width="9.140625" style="1"/>
    <col min="10850" max="10850" width="9.28515625" style="1" bestFit="1" customWidth="1"/>
    <col min="10851" max="10853" width="9.140625" style="1"/>
    <col min="10854" max="10856" width="9.28515625" style="1" bestFit="1" customWidth="1"/>
    <col min="10857" max="10859" width="9.140625" style="1"/>
    <col min="10860" max="10861" width="9.28515625" style="1" bestFit="1" customWidth="1"/>
    <col min="10862" max="10862" width="9.140625" style="1"/>
    <col min="10863" max="10864" width="9.28515625" style="1" bestFit="1" customWidth="1"/>
    <col min="10865" max="10865" width="9.140625" style="1"/>
    <col min="10866" max="10866" width="9.28515625" style="1" bestFit="1" customWidth="1"/>
    <col min="10867" max="10869" width="9.140625" style="1"/>
    <col min="10870" max="10872" width="9.28515625" style="1" bestFit="1" customWidth="1"/>
    <col min="10873" max="10875" width="9.140625" style="1"/>
    <col min="10876" max="10877" width="9.28515625" style="1" bestFit="1" customWidth="1"/>
    <col min="10878" max="10878" width="9.140625" style="1"/>
    <col min="10879" max="10880" width="9.28515625" style="1" bestFit="1" customWidth="1"/>
    <col min="10881" max="10881" width="9.140625" style="1"/>
    <col min="10882" max="10882" width="9.28515625" style="1" bestFit="1" customWidth="1"/>
    <col min="10883" max="10885" width="9.140625" style="1"/>
    <col min="10886" max="10888" width="9.28515625" style="1" bestFit="1" customWidth="1"/>
    <col min="10889" max="10891" width="9.140625" style="1"/>
    <col min="10892" max="10893" width="9.28515625" style="1" bestFit="1" customWidth="1"/>
    <col min="10894" max="10894" width="9.140625" style="1"/>
    <col min="10895" max="10896" width="9.28515625" style="1" bestFit="1" customWidth="1"/>
    <col min="10897" max="10897" width="9.140625" style="1"/>
    <col min="10898" max="10898" width="9.28515625" style="1" bestFit="1" customWidth="1"/>
    <col min="10899" max="10901" width="9.140625" style="1"/>
    <col min="10902" max="10904" width="9.28515625" style="1" bestFit="1" customWidth="1"/>
    <col min="10905" max="10907" width="9.140625" style="1"/>
    <col min="10908" max="10909" width="9.28515625" style="1" bestFit="1" customWidth="1"/>
    <col min="10910" max="10910" width="9.140625" style="1"/>
    <col min="10911" max="10912" width="9.28515625" style="1" bestFit="1" customWidth="1"/>
    <col min="10913" max="10913" width="9.140625" style="1"/>
    <col min="10914" max="10914" width="9.28515625" style="1" bestFit="1" customWidth="1"/>
    <col min="10915" max="10917" width="9.140625" style="1"/>
    <col min="10918" max="10920" width="9.28515625" style="1" bestFit="1" customWidth="1"/>
    <col min="10921" max="10923" width="9.140625" style="1"/>
    <col min="10924" max="10925" width="9.28515625" style="1" bestFit="1" customWidth="1"/>
    <col min="10926" max="10926" width="9.140625" style="1"/>
    <col min="10927" max="10928" width="9.28515625" style="1" bestFit="1" customWidth="1"/>
    <col min="10929" max="10929" width="9.140625" style="1"/>
    <col min="10930" max="10930" width="9.28515625" style="1" bestFit="1" customWidth="1"/>
    <col min="10931" max="10933" width="9.140625" style="1"/>
    <col min="10934" max="10936" width="9.28515625" style="1" bestFit="1" customWidth="1"/>
    <col min="10937" max="10939" width="9.140625" style="1"/>
    <col min="10940" max="10941" width="9.28515625" style="1" bestFit="1" customWidth="1"/>
    <col min="10942" max="10942" width="9.140625" style="1"/>
    <col min="10943" max="10944" width="9.28515625" style="1" bestFit="1" customWidth="1"/>
    <col min="10945" max="10945" width="9.140625" style="1"/>
    <col min="10946" max="10946" width="9.28515625" style="1" bestFit="1" customWidth="1"/>
    <col min="10947" max="10949" width="9.140625" style="1"/>
    <col min="10950" max="10952" width="9.28515625" style="1" bestFit="1" customWidth="1"/>
    <col min="10953" max="10955" width="9.140625" style="1"/>
    <col min="10956" max="10957" width="9.28515625" style="1" bestFit="1" customWidth="1"/>
    <col min="10958" max="10958" width="9.140625" style="1"/>
    <col min="10959" max="10960" width="9.28515625" style="1" bestFit="1" customWidth="1"/>
    <col min="10961" max="10961" width="9.140625" style="1"/>
    <col min="10962" max="10962" width="9.28515625" style="1" bestFit="1" customWidth="1"/>
    <col min="10963" max="10965" width="9.140625" style="1"/>
    <col min="10966" max="10968" width="9.28515625" style="1" bestFit="1" customWidth="1"/>
    <col min="10969" max="10971" width="9.140625" style="1"/>
    <col min="10972" max="10973" width="9.28515625" style="1" bestFit="1" customWidth="1"/>
    <col min="10974" max="10974" width="9.140625" style="1"/>
    <col min="10975" max="10976" width="9.28515625" style="1" bestFit="1" customWidth="1"/>
    <col min="10977" max="10977" width="9.140625" style="1"/>
    <col min="10978" max="10978" width="9.28515625" style="1" bestFit="1" customWidth="1"/>
    <col min="10979" max="10981" width="9.140625" style="1"/>
    <col min="10982" max="10984" width="9.28515625" style="1" bestFit="1" customWidth="1"/>
    <col min="10985" max="10987" width="9.140625" style="1"/>
    <col min="10988" max="10989" width="9.28515625" style="1" bestFit="1" customWidth="1"/>
    <col min="10990" max="10990" width="9.140625" style="1"/>
    <col min="10991" max="10992" width="9.28515625" style="1" bestFit="1" customWidth="1"/>
    <col min="10993" max="10993" width="9.140625" style="1"/>
    <col min="10994" max="10994" width="9.28515625" style="1" bestFit="1" customWidth="1"/>
    <col min="10995" max="10997" width="9.140625" style="1"/>
    <col min="10998" max="11000" width="9.28515625" style="1" bestFit="1" customWidth="1"/>
    <col min="11001" max="11003" width="9.140625" style="1"/>
    <col min="11004" max="11005" width="9.28515625" style="1" bestFit="1" customWidth="1"/>
    <col min="11006" max="11006" width="9.140625" style="1"/>
    <col min="11007" max="11008" width="9.28515625" style="1" bestFit="1" customWidth="1"/>
    <col min="11009" max="11009" width="9.140625" style="1"/>
    <col min="11010" max="11010" width="9.28515625" style="1" bestFit="1" customWidth="1"/>
    <col min="11011" max="11013" width="9.140625" style="1"/>
    <col min="11014" max="11016" width="9.28515625" style="1" bestFit="1" customWidth="1"/>
    <col min="11017" max="11019" width="9.140625" style="1"/>
    <col min="11020" max="11021" width="9.28515625" style="1" bestFit="1" customWidth="1"/>
    <col min="11022" max="11022" width="9.140625" style="1"/>
    <col min="11023" max="11024" width="9.28515625" style="1" bestFit="1" customWidth="1"/>
    <col min="11025" max="11025" width="9.140625" style="1"/>
    <col min="11026" max="11026" width="9.28515625" style="1" bestFit="1" customWidth="1"/>
    <col min="11027" max="11029" width="9.140625" style="1"/>
    <col min="11030" max="11032" width="9.28515625" style="1" bestFit="1" customWidth="1"/>
    <col min="11033" max="11035" width="9.140625" style="1"/>
    <col min="11036" max="11037" width="9.28515625" style="1" bestFit="1" customWidth="1"/>
    <col min="11038" max="11038" width="9.140625" style="1"/>
    <col min="11039" max="11040" width="9.28515625" style="1" bestFit="1" customWidth="1"/>
    <col min="11041" max="11041" width="9.140625" style="1"/>
    <col min="11042" max="11042" width="9.28515625" style="1" bestFit="1" customWidth="1"/>
    <col min="11043" max="11045" width="9.140625" style="1"/>
    <col min="11046" max="11048" width="9.28515625" style="1" bestFit="1" customWidth="1"/>
    <col min="11049" max="11051" width="9.140625" style="1"/>
    <col min="11052" max="11053" width="9.28515625" style="1" bestFit="1" customWidth="1"/>
    <col min="11054" max="11054" width="9.140625" style="1"/>
    <col min="11055" max="11056" width="9.28515625" style="1" bestFit="1" customWidth="1"/>
    <col min="11057" max="11057" width="9.140625" style="1"/>
    <col min="11058" max="11058" width="9.28515625" style="1" bestFit="1" customWidth="1"/>
    <col min="11059" max="11061" width="9.140625" style="1"/>
    <col min="11062" max="11064" width="9.28515625" style="1" bestFit="1" customWidth="1"/>
    <col min="11065" max="11067" width="9.140625" style="1"/>
    <col min="11068" max="11069" width="9.28515625" style="1" bestFit="1" customWidth="1"/>
    <col min="11070" max="11070" width="9.140625" style="1"/>
    <col min="11071" max="11072" width="9.28515625" style="1" bestFit="1" customWidth="1"/>
    <col min="11073" max="11073" width="9.140625" style="1"/>
    <col min="11074" max="11074" width="9.28515625" style="1" bestFit="1" customWidth="1"/>
    <col min="11075" max="11077" width="9.140625" style="1"/>
    <col min="11078" max="11080" width="9.28515625" style="1" bestFit="1" customWidth="1"/>
    <col min="11081" max="11083" width="9.140625" style="1"/>
    <col min="11084" max="11085" width="9.28515625" style="1" bestFit="1" customWidth="1"/>
    <col min="11086" max="11086" width="9.140625" style="1"/>
    <col min="11087" max="11088" width="9.28515625" style="1" bestFit="1" customWidth="1"/>
    <col min="11089" max="11089" width="9.140625" style="1"/>
    <col min="11090" max="11090" width="9.28515625" style="1" bestFit="1" customWidth="1"/>
    <col min="11091" max="11093" width="9.140625" style="1"/>
    <col min="11094" max="11096" width="9.28515625" style="1" bestFit="1" customWidth="1"/>
    <col min="11097" max="11099" width="9.140625" style="1"/>
    <col min="11100" max="11101" width="9.28515625" style="1" bestFit="1" customWidth="1"/>
    <col min="11102" max="11102" width="9.140625" style="1"/>
    <col min="11103" max="11104" width="9.28515625" style="1" bestFit="1" customWidth="1"/>
    <col min="11105" max="11105" width="9.140625" style="1"/>
    <col min="11106" max="11106" width="9.28515625" style="1" bestFit="1" customWidth="1"/>
    <col min="11107" max="11109" width="9.140625" style="1"/>
    <col min="11110" max="11112" width="9.28515625" style="1" bestFit="1" customWidth="1"/>
    <col min="11113" max="11115" width="9.140625" style="1"/>
    <col min="11116" max="11117" width="9.28515625" style="1" bestFit="1" customWidth="1"/>
    <col min="11118" max="11118" width="9.140625" style="1"/>
    <col min="11119" max="11120" width="9.28515625" style="1" bestFit="1" customWidth="1"/>
    <col min="11121" max="11121" width="9.140625" style="1"/>
    <col min="11122" max="11122" width="9.28515625" style="1" bestFit="1" customWidth="1"/>
    <col min="11123" max="11125" width="9.140625" style="1"/>
    <col min="11126" max="11128" width="9.28515625" style="1" bestFit="1" customWidth="1"/>
    <col min="11129" max="11131" width="9.140625" style="1"/>
    <col min="11132" max="11133" width="9.28515625" style="1" bestFit="1" customWidth="1"/>
    <col min="11134" max="11134" width="9.140625" style="1"/>
    <col min="11135" max="11136" width="9.28515625" style="1" bestFit="1" customWidth="1"/>
    <col min="11137" max="11137" width="9.140625" style="1"/>
    <col min="11138" max="11138" width="9.28515625" style="1" bestFit="1" customWidth="1"/>
    <col min="11139" max="11141" width="9.140625" style="1"/>
    <col min="11142" max="11144" width="9.28515625" style="1" bestFit="1" customWidth="1"/>
    <col min="11145" max="11147" width="9.140625" style="1"/>
    <col min="11148" max="11149" width="9.28515625" style="1" bestFit="1" customWidth="1"/>
    <col min="11150" max="11150" width="9.140625" style="1"/>
    <col min="11151" max="11152" width="9.28515625" style="1" bestFit="1" customWidth="1"/>
    <col min="11153" max="11153" width="9.140625" style="1"/>
    <col min="11154" max="11154" width="9.28515625" style="1" bestFit="1" customWidth="1"/>
    <col min="11155" max="11157" width="9.140625" style="1"/>
    <col min="11158" max="11160" width="9.28515625" style="1" bestFit="1" customWidth="1"/>
    <col min="11161" max="11163" width="9.140625" style="1"/>
    <col min="11164" max="11165" width="9.28515625" style="1" bestFit="1" customWidth="1"/>
    <col min="11166" max="11166" width="9.140625" style="1"/>
    <col min="11167" max="11168" width="9.28515625" style="1" bestFit="1" customWidth="1"/>
    <col min="11169" max="11169" width="9.140625" style="1"/>
    <col min="11170" max="11170" width="9.28515625" style="1" bestFit="1" customWidth="1"/>
    <col min="11171" max="11173" width="9.140625" style="1"/>
    <col min="11174" max="11176" width="9.28515625" style="1" bestFit="1" customWidth="1"/>
    <col min="11177" max="11179" width="9.140625" style="1"/>
    <col min="11180" max="11181" width="9.28515625" style="1" bestFit="1" customWidth="1"/>
    <col min="11182" max="11182" width="9.140625" style="1"/>
    <col min="11183" max="11184" width="9.28515625" style="1" bestFit="1" customWidth="1"/>
    <col min="11185" max="11185" width="9.140625" style="1"/>
    <col min="11186" max="11186" width="9.28515625" style="1" bestFit="1" customWidth="1"/>
    <col min="11187" max="11189" width="9.140625" style="1"/>
    <col min="11190" max="11192" width="9.28515625" style="1" bestFit="1" customWidth="1"/>
    <col min="11193" max="11195" width="9.140625" style="1"/>
    <col min="11196" max="11197" width="9.28515625" style="1" bestFit="1" customWidth="1"/>
    <col min="11198" max="11198" width="9.140625" style="1"/>
    <col min="11199" max="11200" width="9.28515625" style="1" bestFit="1" customWidth="1"/>
    <col min="11201" max="11201" width="9.140625" style="1"/>
    <col min="11202" max="11202" width="9.28515625" style="1" bestFit="1" customWidth="1"/>
    <col min="11203" max="11205" width="9.140625" style="1"/>
    <col min="11206" max="11208" width="9.28515625" style="1" bestFit="1" customWidth="1"/>
    <col min="11209" max="11211" width="9.140625" style="1"/>
    <col min="11212" max="11213" width="9.28515625" style="1" bestFit="1" customWidth="1"/>
    <col min="11214" max="11214" width="9.140625" style="1"/>
    <col min="11215" max="11216" width="9.28515625" style="1" bestFit="1" customWidth="1"/>
    <col min="11217" max="11217" width="9.140625" style="1"/>
    <col min="11218" max="11218" width="9.28515625" style="1" bestFit="1" customWidth="1"/>
    <col min="11219" max="11221" width="9.140625" style="1"/>
    <col min="11222" max="11224" width="9.28515625" style="1" bestFit="1" customWidth="1"/>
    <col min="11225" max="11227" width="9.140625" style="1"/>
    <col min="11228" max="11229" width="9.28515625" style="1" bestFit="1" customWidth="1"/>
    <col min="11230" max="11230" width="9.140625" style="1"/>
    <col min="11231" max="11232" width="9.28515625" style="1" bestFit="1" customWidth="1"/>
    <col min="11233" max="11233" width="9.140625" style="1"/>
    <col min="11234" max="11234" width="9.28515625" style="1" bestFit="1" customWidth="1"/>
    <col min="11235" max="11237" width="9.140625" style="1"/>
    <col min="11238" max="11240" width="9.28515625" style="1" bestFit="1" customWidth="1"/>
    <col min="11241" max="11243" width="9.140625" style="1"/>
    <col min="11244" max="11245" width="9.28515625" style="1" bestFit="1" customWidth="1"/>
    <col min="11246" max="11246" width="9.140625" style="1"/>
    <col min="11247" max="11248" width="9.28515625" style="1" bestFit="1" customWidth="1"/>
    <col min="11249" max="11249" width="9.140625" style="1"/>
    <col min="11250" max="11250" width="9.28515625" style="1" bestFit="1" customWidth="1"/>
    <col min="11251" max="11253" width="9.140625" style="1"/>
    <col min="11254" max="11256" width="9.28515625" style="1" bestFit="1" customWidth="1"/>
    <col min="11257" max="11259" width="9.140625" style="1"/>
    <col min="11260" max="11261" width="9.28515625" style="1" bestFit="1" customWidth="1"/>
    <col min="11262" max="11262" width="9.140625" style="1"/>
    <col min="11263" max="11264" width="9.28515625" style="1" bestFit="1" customWidth="1"/>
    <col min="11265" max="11265" width="9.140625" style="1"/>
    <col min="11266" max="11266" width="9.28515625" style="1" bestFit="1" customWidth="1"/>
    <col min="11267" max="11269" width="9.140625" style="1"/>
    <col min="11270" max="11272" width="9.28515625" style="1" bestFit="1" customWidth="1"/>
    <col min="11273" max="11275" width="9.140625" style="1"/>
    <col min="11276" max="11277" width="9.28515625" style="1" bestFit="1" customWidth="1"/>
    <col min="11278" max="11278" width="9.140625" style="1"/>
    <col min="11279" max="11280" width="9.28515625" style="1" bestFit="1" customWidth="1"/>
    <col min="11281" max="11281" width="9.140625" style="1"/>
    <col min="11282" max="11282" width="9.28515625" style="1" bestFit="1" customWidth="1"/>
    <col min="11283" max="11285" width="9.140625" style="1"/>
    <col min="11286" max="11288" width="9.28515625" style="1" bestFit="1" customWidth="1"/>
    <col min="11289" max="11291" width="9.140625" style="1"/>
    <col min="11292" max="11293" width="9.28515625" style="1" bestFit="1" customWidth="1"/>
    <col min="11294" max="11294" width="9.140625" style="1"/>
    <col min="11295" max="11296" width="9.28515625" style="1" bestFit="1" customWidth="1"/>
    <col min="11297" max="11297" width="9.140625" style="1"/>
    <col min="11298" max="11298" width="9.28515625" style="1" bestFit="1" customWidth="1"/>
    <col min="11299" max="11301" width="9.140625" style="1"/>
    <col min="11302" max="11304" width="9.28515625" style="1" bestFit="1" customWidth="1"/>
    <col min="11305" max="11307" width="9.140625" style="1"/>
    <col min="11308" max="11309" width="9.28515625" style="1" bestFit="1" customWidth="1"/>
    <col min="11310" max="11310" width="9.140625" style="1"/>
    <col min="11311" max="11312" width="9.28515625" style="1" bestFit="1" customWidth="1"/>
    <col min="11313" max="11313" width="9.140625" style="1"/>
    <col min="11314" max="11314" width="9.28515625" style="1" bestFit="1" customWidth="1"/>
    <col min="11315" max="11317" width="9.140625" style="1"/>
    <col min="11318" max="11320" width="9.28515625" style="1" bestFit="1" customWidth="1"/>
    <col min="11321" max="11323" width="9.140625" style="1"/>
    <col min="11324" max="11325" width="9.28515625" style="1" bestFit="1" customWidth="1"/>
    <col min="11326" max="11326" width="9.140625" style="1"/>
    <col min="11327" max="11328" width="9.28515625" style="1" bestFit="1" customWidth="1"/>
    <col min="11329" max="11329" width="9.140625" style="1"/>
    <col min="11330" max="11330" width="9.28515625" style="1" bestFit="1" customWidth="1"/>
    <col min="11331" max="11333" width="9.140625" style="1"/>
    <col min="11334" max="11336" width="9.28515625" style="1" bestFit="1" customWidth="1"/>
    <col min="11337" max="11339" width="9.140625" style="1"/>
    <col min="11340" max="11341" width="9.28515625" style="1" bestFit="1" customWidth="1"/>
    <col min="11342" max="11342" width="9.140625" style="1"/>
    <col min="11343" max="11344" width="9.28515625" style="1" bestFit="1" customWidth="1"/>
    <col min="11345" max="11345" width="9.140625" style="1"/>
    <col min="11346" max="11346" width="9.28515625" style="1" bestFit="1" customWidth="1"/>
    <col min="11347" max="11349" width="9.140625" style="1"/>
    <col min="11350" max="11352" width="9.28515625" style="1" bestFit="1" customWidth="1"/>
    <col min="11353" max="11355" width="9.140625" style="1"/>
    <col min="11356" max="11357" width="9.28515625" style="1" bestFit="1" customWidth="1"/>
    <col min="11358" max="11358" width="9.140625" style="1"/>
    <col min="11359" max="11360" width="9.28515625" style="1" bestFit="1" customWidth="1"/>
    <col min="11361" max="11361" width="9.140625" style="1"/>
    <col min="11362" max="11362" width="9.28515625" style="1" bestFit="1" customWidth="1"/>
    <col min="11363" max="11365" width="9.140625" style="1"/>
    <col min="11366" max="11368" width="9.28515625" style="1" bestFit="1" customWidth="1"/>
    <col min="11369" max="11371" width="9.140625" style="1"/>
    <col min="11372" max="11373" width="9.28515625" style="1" bestFit="1" customWidth="1"/>
    <col min="11374" max="11374" width="9.140625" style="1"/>
    <col min="11375" max="11376" width="9.28515625" style="1" bestFit="1" customWidth="1"/>
    <col min="11377" max="11377" width="9.140625" style="1"/>
    <col min="11378" max="11378" width="9.28515625" style="1" bestFit="1" customWidth="1"/>
    <col min="11379" max="11381" width="9.140625" style="1"/>
    <col min="11382" max="11384" width="9.28515625" style="1" bestFit="1" customWidth="1"/>
    <col min="11385" max="11387" width="9.140625" style="1"/>
    <col min="11388" max="11389" width="9.28515625" style="1" bestFit="1" customWidth="1"/>
    <col min="11390" max="11390" width="9.140625" style="1"/>
    <col min="11391" max="11392" width="9.28515625" style="1" bestFit="1" customWidth="1"/>
    <col min="11393" max="11393" width="9.140625" style="1"/>
    <col min="11394" max="11394" width="9.28515625" style="1" bestFit="1" customWidth="1"/>
    <col min="11395" max="11397" width="9.140625" style="1"/>
    <col min="11398" max="11400" width="9.28515625" style="1" bestFit="1" customWidth="1"/>
    <col min="11401" max="11403" width="9.140625" style="1"/>
    <col min="11404" max="11405" width="9.28515625" style="1" bestFit="1" customWidth="1"/>
    <col min="11406" max="11406" width="9.140625" style="1"/>
    <col min="11407" max="11408" width="9.28515625" style="1" bestFit="1" customWidth="1"/>
    <col min="11409" max="11409" width="9.140625" style="1"/>
    <col min="11410" max="11410" width="9.28515625" style="1" bestFit="1" customWidth="1"/>
    <col min="11411" max="11413" width="9.140625" style="1"/>
    <col min="11414" max="11416" width="9.28515625" style="1" bestFit="1" customWidth="1"/>
    <col min="11417" max="11419" width="9.140625" style="1"/>
    <col min="11420" max="11421" width="9.28515625" style="1" bestFit="1" customWidth="1"/>
    <col min="11422" max="11422" width="9.140625" style="1"/>
    <col min="11423" max="11424" width="9.28515625" style="1" bestFit="1" customWidth="1"/>
    <col min="11425" max="11425" width="9.140625" style="1"/>
    <col min="11426" max="11426" width="9.28515625" style="1" bestFit="1" customWidth="1"/>
    <col min="11427" max="11429" width="9.140625" style="1"/>
    <col min="11430" max="11432" width="9.28515625" style="1" bestFit="1" customWidth="1"/>
    <col min="11433" max="11435" width="9.140625" style="1"/>
    <col min="11436" max="11437" width="9.28515625" style="1" bestFit="1" customWidth="1"/>
    <col min="11438" max="11438" width="9.140625" style="1"/>
    <col min="11439" max="11440" width="9.28515625" style="1" bestFit="1" customWidth="1"/>
    <col min="11441" max="11441" width="9.140625" style="1"/>
    <col min="11442" max="11442" width="9.28515625" style="1" bestFit="1" customWidth="1"/>
    <col min="11443" max="11445" width="9.140625" style="1"/>
    <col min="11446" max="11448" width="9.28515625" style="1" bestFit="1" customWidth="1"/>
    <col min="11449" max="11451" width="9.140625" style="1"/>
    <col min="11452" max="11453" width="9.28515625" style="1" bestFit="1" customWidth="1"/>
    <col min="11454" max="11454" width="9.140625" style="1"/>
    <col min="11455" max="11456" width="9.28515625" style="1" bestFit="1" customWidth="1"/>
    <col min="11457" max="11457" width="9.140625" style="1"/>
    <col min="11458" max="11458" width="9.28515625" style="1" bestFit="1" customWidth="1"/>
    <col min="11459" max="11461" width="9.140625" style="1"/>
    <col min="11462" max="11464" width="9.28515625" style="1" bestFit="1" customWidth="1"/>
    <col min="11465" max="11467" width="9.140625" style="1"/>
    <col min="11468" max="11469" width="9.28515625" style="1" bestFit="1" customWidth="1"/>
    <col min="11470" max="11470" width="9.140625" style="1"/>
    <col min="11471" max="11472" width="9.28515625" style="1" bestFit="1" customWidth="1"/>
    <col min="11473" max="11473" width="9.140625" style="1"/>
    <col min="11474" max="11474" width="9.28515625" style="1" bestFit="1" customWidth="1"/>
    <col min="11475" max="11477" width="9.140625" style="1"/>
    <col min="11478" max="11480" width="9.28515625" style="1" bestFit="1" customWidth="1"/>
    <col min="11481" max="11483" width="9.140625" style="1"/>
    <col min="11484" max="11485" width="9.28515625" style="1" bestFit="1" customWidth="1"/>
    <col min="11486" max="11486" width="9.140625" style="1"/>
    <col min="11487" max="11488" width="9.28515625" style="1" bestFit="1" customWidth="1"/>
    <col min="11489" max="11489" width="9.140625" style="1"/>
    <col min="11490" max="11490" width="9.28515625" style="1" bestFit="1" customWidth="1"/>
    <col min="11491" max="11493" width="9.140625" style="1"/>
    <col min="11494" max="11496" width="9.28515625" style="1" bestFit="1" customWidth="1"/>
    <col min="11497" max="11499" width="9.140625" style="1"/>
    <col min="11500" max="11501" width="9.28515625" style="1" bestFit="1" customWidth="1"/>
    <col min="11502" max="11502" width="9.140625" style="1"/>
    <col min="11503" max="11504" width="9.28515625" style="1" bestFit="1" customWidth="1"/>
    <col min="11505" max="11505" width="9.140625" style="1"/>
    <col min="11506" max="11506" width="9.28515625" style="1" bestFit="1" customWidth="1"/>
    <col min="11507" max="11509" width="9.140625" style="1"/>
    <col min="11510" max="11512" width="9.28515625" style="1" bestFit="1" customWidth="1"/>
    <col min="11513" max="11515" width="9.140625" style="1"/>
    <col min="11516" max="11517" width="9.28515625" style="1" bestFit="1" customWidth="1"/>
    <col min="11518" max="11518" width="9.140625" style="1"/>
    <col min="11519" max="11520" width="9.28515625" style="1" bestFit="1" customWidth="1"/>
    <col min="11521" max="11521" width="9.140625" style="1"/>
    <col min="11522" max="11522" width="9.28515625" style="1" bestFit="1" customWidth="1"/>
    <col min="11523" max="11525" width="9.140625" style="1"/>
    <col min="11526" max="11528" width="9.28515625" style="1" bestFit="1" customWidth="1"/>
    <col min="11529" max="11531" width="9.140625" style="1"/>
    <col min="11532" max="11533" width="9.28515625" style="1" bestFit="1" customWidth="1"/>
    <col min="11534" max="11534" width="9.140625" style="1"/>
    <col min="11535" max="11536" width="9.28515625" style="1" bestFit="1" customWidth="1"/>
    <col min="11537" max="11537" width="9.140625" style="1"/>
    <col min="11538" max="11538" width="9.28515625" style="1" bestFit="1" customWidth="1"/>
    <col min="11539" max="11541" width="9.140625" style="1"/>
    <col min="11542" max="11544" width="9.28515625" style="1" bestFit="1" customWidth="1"/>
    <col min="11545" max="11547" width="9.140625" style="1"/>
    <col min="11548" max="11549" width="9.28515625" style="1" bestFit="1" customWidth="1"/>
    <col min="11550" max="11550" width="9.140625" style="1"/>
    <col min="11551" max="11552" width="9.28515625" style="1" bestFit="1" customWidth="1"/>
    <col min="11553" max="11553" width="9.140625" style="1"/>
    <col min="11554" max="11554" width="9.28515625" style="1" bestFit="1" customWidth="1"/>
    <col min="11555" max="11557" width="9.140625" style="1"/>
    <col min="11558" max="11560" width="9.28515625" style="1" bestFit="1" customWidth="1"/>
    <col min="11561" max="11563" width="9.140625" style="1"/>
    <col min="11564" max="11565" width="9.28515625" style="1" bestFit="1" customWidth="1"/>
    <col min="11566" max="11566" width="9.140625" style="1"/>
    <col min="11567" max="11568" width="9.28515625" style="1" bestFit="1" customWidth="1"/>
    <col min="11569" max="11569" width="9.140625" style="1"/>
    <col min="11570" max="11570" width="9.28515625" style="1" bestFit="1" customWidth="1"/>
    <col min="11571" max="11573" width="9.140625" style="1"/>
    <col min="11574" max="11576" width="9.28515625" style="1" bestFit="1" customWidth="1"/>
    <col min="11577" max="11579" width="9.140625" style="1"/>
    <col min="11580" max="11581" width="9.28515625" style="1" bestFit="1" customWidth="1"/>
    <col min="11582" max="11582" width="9.140625" style="1"/>
    <col min="11583" max="11584" width="9.28515625" style="1" bestFit="1" customWidth="1"/>
    <col min="11585" max="11585" width="9.140625" style="1"/>
    <col min="11586" max="11586" width="9.28515625" style="1" bestFit="1" customWidth="1"/>
    <col min="11587" max="11589" width="9.140625" style="1"/>
    <col min="11590" max="11592" width="9.28515625" style="1" bestFit="1" customWidth="1"/>
    <col min="11593" max="11595" width="9.140625" style="1"/>
    <col min="11596" max="11597" width="9.28515625" style="1" bestFit="1" customWidth="1"/>
    <col min="11598" max="11598" width="9.140625" style="1"/>
    <col min="11599" max="11600" width="9.28515625" style="1" bestFit="1" customWidth="1"/>
    <col min="11601" max="11601" width="9.140625" style="1"/>
    <col min="11602" max="11602" width="9.28515625" style="1" bestFit="1" customWidth="1"/>
    <col min="11603" max="11605" width="9.140625" style="1"/>
    <col min="11606" max="11608" width="9.28515625" style="1" bestFit="1" customWidth="1"/>
    <col min="11609" max="11611" width="9.140625" style="1"/>
    <col min="11612" max="11613" width="9.28515625" style="1" bestFit="1" customWidth="1"/>
    <col min="11614" max="11614" width="9.140625" style="1"/>
    <col min="11615" max="11616" width="9.28515625" style="1" bestFit="1" customWidth="1"/>
    <col min="11617" max="11617" width="9.140625" style="1"/>
    <col min="11618" max="11618" width="9.28515625" style="1" bestFit="1" customWidth="1"/>
    <col min="11619" max="11621" width="9.140625" style="1"/>
    <col min="11622" max="11624" width="9.28515625" style="1" bestFit="1" customWidth="1"/>
    <col min="11625" max="11627" width="9.140625" style="1"/>
    <col min="11628" max="11629" width="9.28515625" style="1" bestFit="1" customWidth="1"/>
    <col min="11630" max="11630" width="9.140625" style="1"/>
    <col min="11631" max="11632" width="9.28515625" style="1" bestFit="1" customWidth="1"/>
    <col min="11633" max="11633" width="9.140625" style="1"/>
    <col min="11634" max="11634" width="9.28515625" style="1" bestFit="1" customWidth="1"/>
    <col min="11635" max="11637" width="9.140625" style="1"/>
    <col min="11638" max="11640" width="9.28515625" style="1" bestFit="1" customWidth="1"/>
    <col min="11641" max="11643" width="9.140625" style="1"/>
    <col min="11644" max="11645" width="9.28515625" style="1" bestFit="1" customWidth="1"/>
    <col min="11646" max="11646" width="9.140625" style="1"/>
    <col min="11647" max="11648" width="9.28515625" style="1" bestFit="1" customWidth="1"/>
    <col min="11649" max="11649" width="9.140625" style="1"/>
    <col min="11650" max="11650" width="9.28515625" style="1" bestFit="1" customWidth="1"/>
    <col min="11651" max="11653" width="9.140625" style="1"/>
    <col min="11654" max="11656" width="9.28515625" style="1" bestFit="1" customWidth="1"/>
    <col min="11657" max="11659" width="9.140625" style="1"/>
    <col min="11660" max="11661" width="9.28515625" style="1" bestFit="1" customWidth="1"/>
    <col min="11662" max="11662" width="9.140625" style="1"/>
    <col min="11663" max="11664" width="9.28515625" style="1" bestFit="1" customWidth="1"/>
    <col min="11665" max="11665" width="9.140625" style="1"/>
    <col min="11666" max="11666" width="9.28515625" style="1" bestFit="1" customWidth="1"/>
    <col min="11667" max="11669" width="9.140625" style="1"/>
    <col min="11670" max="11672" width="9.28515625" style="1" bestFit="1" customWidth="1"/>
    <col min="11673" max="11675" width="9.140625" style="1"/>
    <col min="11676" max="11677" width="9.28515625" style="1" bestFit="1" customWidth="1"/>
    <col min="11678" max="11678" width="9.140625" style="1"/>
    <col min="11679" max="11680" width="9.28515625" style="1" bestFit="1" customWidth="1"/>
    <col min="11681" max="11681" width="9.140625" style="1"/>
    <col min="11682" max="11682" width="9.28515625" style="1" bestFit="1" customWidth="1"/>
    <col min="11683" max="11685" width="9.140625" style="1"/>
    <col min="11686" max="11688" width="9.28515625" style="1" bestFit="1" customWidth="1"/>
    <col min="11689" max="11691" width="9.140625" style="1"/>
    <col min="11692" max="11693" width="9.28515625" style="1" bestFit="1" customWidth="1"/>
    <col min="11694" max="11694" width="9.140625" style="1"/>
    <col min="11695" max="11696" width="9.28515625" style="1" bestFit="1" customWidth="1"/>
    <col min="11697" max="11697" width="9.140625" style="1"/>
    <col min="11698" max="11698" width="9.28515625" style="1" bestFit="1" customWidth="1"/>
    <col min="11699" max="11701" width="9.140625" style="1"/>
    <col min="11702" max="11704" width="9.28515625" style="1" bestFit="1" customWidth="1"/>
    <col min="11705" max="11707" width="9.140625" style="1"/>
    <col min="11708" max="11709" width="9.28515625" style="1" bestFit="1" customWidth="1"/>
    <col min="11710" max="11710" width="9.140625" style="1"/>
    <col min="11711" max="11712" width="9.28515625" style="1" bestFit="1" customWidth="1"/>
    <col min="11713" max="11713" width="9.140625" style="1"/>
    <col min="11714" max="11714" width="9.28515625" style="1" bestFit="1" customWidth="1"/>
    <col min="11715" max="11717" width="9.140625" style="1"/>
    <col min="11718" max="11720" width="9.28515625" style="1" bestFit="1" customWidth="1"/>
    <col min="11721" max="11723" width="9.140625" style="1"/>
    <col min="11724" max="11725" width="9.28515625" style="1" bestFit="1" customWidth="1"/>
    <col min="11726" max="11726" width="9.140625" style="1"/>
    <col min="11727" max="11728" width="9.28515625" style="1" bestFit="1" customWidth="1"/>
    <col min="11729" max="11729" width="9.140625" style="1"/>
    <col min="11730" max="11730" width="9.28515625" style="1" bestFit="1" customWidth="1"/>
    <col min="11731" max="11733" width="9.140625" style="1"/>
    <col min="11734" max="11736" width="9.28515625" style="1" bestFit="1" customWidth="1"/>
    <col min="11737" max="11739" width="9.140625" style="1"/>
    <col min="11740" max="11741" width="9.28515625" style="1" bestFit="1" customWidth="1"/>
    <col min="11742" max="11742" width="9.140625" style="1"/>
    <col min="11743" max="11744" width="9.28515625" style="1" bestFit="1" customWidth="1"/>
    <col min="11745" max="11745" width="9.140625" style="1"/>
    <col min="11746" max="11746" width="9.28515625" style="1" bestFit="1" customWidth="1"/>
    <col min="11747" max="11749" width="9.140625" style="1"/>
    <col min="11750" max="11752" width="9.28515625" style="1" bestFit="1" customWidth="1"/>
    <col min="11753" max="11755" width="9.140625" style="1"/>
    <col min="11756" max="11757" width="9.28515625" style="1" bestFit="1" customWidth="1"/>
    <col min="11758" max="11758" width="9.140625" style="1"/>
    <col min="11759" max="11760" width="9.28515625" style="1" bestFit="1" customWidth="1"/>
    <col min="11761" max="11761" width="9.140625" style="1"/>
    <col min="11762" max="11762" width="9.28515625" style="1" bestFit="1" customWidth="1"/>
    <col min="11763" max="11765" width="9.140625" style="1"/>
    <col min="11766" max="11768" width="9.28515625" style="1" bestFit="1" customWidth="1"/>
    <col min="11769" max="11771" width="9.140625" style="1"/>
    <col min="11772" max="11773" width="9.28515625" style="1" bestFit="1" customWidth="1"/>
    <col min="11774" max="11774" width="9.140625" style="1"/>
    <col min="11775" max="11776" width="9.28515625" style="1" bestFit="1" customWidth="1"/>
    <col min="11777" max="11777" width="9.140625" style="1"/>
    <col min="11778" max="11778" width="9.28515625" style="1" bestFit="1" customWidth="1"/>
    <col min="11779" max="11781" width="9.140625" style="1"/>
    <col min="11782" max="11784" width="9.28515625" style="1" bestFit="1" customWidth="1"/>
    <col min="11785" max="11787" width="9.140625" style="1"/>
    <col min="11788" max="11789" width="9.28515625" style="1" bestFit="1" customWidth="1"/>
    <col min="11790" max="11790" width="9.140625" style="1"/>
    <col min="11791" max="11792" width="9.28515625" style="1" bestFit="1" customWidth="1"/>
    <col min="11793" max="11793" width="9.140625" style="1"/>
    <col min="11794" max="11794" width="9.28515625" style="1" bestFit="1" customWidth="1"/>
    <col min="11795" max="11797" width="9.140625" style="1"/>
    <col min="11798" max="11800" width="9.28515625" style="1" bestFit="1" customWidth="1"/>
    <col min="11801" max="11803" width="9.140625" style="1"/>
    <col min="11804" max="11805" width="9.28515625" style="1" bestFit="1" customWidth="1"/>
    <col min="11806" max="11806" width="9.140625" style="1"/>
    <col min="11807" max="11808" width="9.28515625" style="1" bestFit="1" customWidth="1"/>
    <col min="11809" max="11809" width="9.140625" style="1"/>
    <col min="11810" max="11810" width="9.28515625" style="1" bestFit="1" customWidth="1"/>
    <col min="11811" max="11813" width="9.140625" style="1"/>
    <col min="11814" max="11816" width="9.28515625" style="1" bestFit="1" customWidth="1"/>
    <col min="11817" max="11819" width="9.140625" style="1"/>
    <col min="11820" max="11821" width="9.28515625" style="1" bestFit="1" customWidth="1"/>
    <col min="11822" max="11822" width="9.140625" style="1"/>
    <col min="11823" max="11824" width="9.28515625" style="1" bestFit="1" customWidth="1"/>
    <col min="11825" max="11825" width="9.140625" style="1"/>
    <col min="11826" max="11826" width="9.28515625" style="1" bestFit="1" customWidth="1"/>
    <col min="11827" max="11829" width="9.140625" style="1"/>
    <col min="11830" max="11832" width="9.28515625" style="1" bestFit="1" customWidth="1"/>
    <col min="11833" max="11835" width="9.140625" style="1"/>
    <col min="11836" max="11837" width="9.28515625" style="1" bestFit="1" customWidth="1"/>
    <col min="11838" max="11838" width="9.140625" style="1"/>
    <col min="11839" max="11840" width="9.28515625" style="1" bestFit="1" customWidth="1"/>
    <col min="11841" max="11841" width="9.140625" style="1"/>
    <col min="11842" max="11842" width="9.28515625" style="1" bestFit="1" customWidth="1"/>
    <col min="11843" max="11845" width="9.140625" style="1"/>
    <col min="11846" max="11848" width="9.28515625" style="1" bestFit="1" customWidth="1"/>
    <col min="11849" max="11851" width="9.140625" style="1"/>
    <col min="11852" max="11853" width="9.28515625" style="1" bestFit="1" customWidth="1"/>
    <col min="11854" max="11854" width="9.140625" style="1"/>
    <col min="11855" max="11856" width="9.28515625" style="1" bestFit="1" customWidth="1"/>
    <col min="11857" max="11857" width="9.140625" style="1"/>
    <col min="11858" max="11858" width="9.28515625" style="1" bestFit="1" customWidth="1"/>
    <col min="11859" max="11861" width="9.140625" style="1"/>
    <col min="11862" max="11864" width="9.28515625" style="1" bestFit="1" customWidth="1"/>
    <col min="11865" max="11867" width="9.140625" style="1"/>
    <col min="11868" max="11869" width="9.28515625" style="1" bestFit="1" customWidth="1"/>
    <col min="11870" max="11870" width="9.140625" style="1"/>
    <col min="11871" max="11872" width="9.28515625" style="1" bestFit="1" customWidth="1"/>
    <col min="11873" max="11873" width="9.140625" style="1"/>
    <col min="11874" max="11874" width="9.28515625" style="1" bestFit="1" customWidth="1"/>
    <col min="11875" max="11877" width="9.140625" style="1"/>
    <col min="11878" max="11880" width="9.28515625" style="1" bestFit="1" customWidth="1"/>
    <col min="11881" max="11883" width="9.140625" style="1"/>
    <col min="11884" max="11885" width="9.28515625" style="1" bestFit="1" customWidth="1"/>
    <col min="11886" max="11886" width="9.140625" style="1"/>
    <col min="11887" max="11888" width="9.28515625" style="1" bestFit="1" customWidth="1"/>
    <col min="11889" max="11889" width="9.140625" style="1"/>
    <col min="11890" max="11890" width="9.28515625" style="1" bestFit="1" customWidth="1"/>
    <col min="11891" max="11893" width="9.140625" style="1"/>
    <col min="11894" max="11896" width="9.28515625" style="1" bestFit="1" customWidth="1"/>
    <col min="11897" max="11899" width="9.140625" style="1"/>
    <col min="11900" max="11901" width="9.28515625" style="1" bestFit="1" customWidth="1"/>
    <col min="11902" max="11902" width="9.140625" style="1"/>
    <col min="11903" max="11904" width="9.28515625" style="1" bestFit="1" customWidth="1"/>
    <col min="11905" max="11905" width="9.140625" style="1"/>
    <col min="11906" max="11906" width="9.28515625" style="1" bestFit="1" customWidth="1"/>
    <col min="11907" max="11909" width="9.140625" style="1"/>
    <col min="11910" max="11912" width="9.28515625" style="1" bestFit="1" customWidth="1"/>
    <col min="11913" max="11915" width="9.140625" style="1"/>
    <col min="11916" max="11917" width="9.28515625" style="1" bestFit="1" customWidth="1"/>
    <col min="11918" max="11918" width="9.140625" style="1"/>
    <col min="11919" max="11920" width="9.28515625" style="1" bestFit="1" customWidth="1"/>
    <col min="11921" max="11921" width="9.140625" style="1"/>
    <col min="11922" max="11922" width="9.28515625" style="1" bestFit="1" customWidth="1"/>
    <col min="11923" max="11925" width="9.140625" style="1"/>
    <col min="11926" max="11928" width="9.28515625" style="1" bestFit="1" customWidth="1"/>
    <col min="11929" max="11931" width="9.140625" style="1"/>
    <col min="11932" max="11933" width="9.28515625" style="1" bestFit="1" customWidth="1"/>
    <col min="11934" max="11934" width="9.140625" style="1"/>
    <col min="11935" max="11936" width="9.28515625" style="1" bestFit="1" customWidth="1"/>
    <col min="11937" max="11937" width="9.140625" style="1"/>
    <col min="11938" max="11938" width="9.28515625" style="1" bestFit="1" customWidth="1"/>
    <col min="11939" max="11941" width="9.140625" style="1"/>
    <col min="11942" max="11944" width="9.28515625" style="1" bestFit="1" customWidth="1"/>
    <col min="11945" max="11947" width="9.140625" style="1"/>
    <col min="11948" max="11949" width="9.28515625" style="1" bestFit="1" customWidth="1"/>
    <col min="11950" max="11950" width="9.140625" style="1"/>
    <col min="11951" max="11952" width="9.28515625" style="1" bestFit="1" customWidth="1"/>
    <col min="11953" max="11953" width="9.140625" style="1"/>
    <col min="11954" max="11954" width="9.28515625" style="1" bestFit="1" customWidth="1"/>
    <col min="11955" max="11957" width="9.140625" style="1"/>
    <col min="11958" max="11960" width="9.28515625" style="1" bestFit="1" customWidth="1"/>
    <col min="11961" max="11963" width="9.140625" style="1"/>
    <col min="11964" max="11965" width="9.28515625" style="1" bestFit="1" customWidth="1"/>
    <col min="11966" max="11966" width="9.140625" style="1"/>
    <col min="11967" max="11968" width="9.28515625" style="1" bestFit="1" customWidth="1"/>
    <col min="11969" max="11969" width="9.140625" style="1"/>
    <col min="11970" max="11970" width="9.28515625" style="1" bestFit="1" customWidth="1"/>
    <col min="11971" max="11973" width="9.140625" style="1"/>
    <col min="11974" max="11976" width="9.28515625" style="1" bestFit="1" customWidth="1"/>
    <col min="11977" max="11979" width="9.140625" style="1"/>
    <col min="11980" max="11981" width="9.28515625" style="1" bestFit="1" customWidth="1"/>
    <col min="11982" max="11982" width="9.140625" style="1"/>
    <col min="11983" max="11984" width="9.28515625" style="1" bestFit="1" customWidth="1"/>
    <col min="11985" max="11985" width="9.140625" style="1"/>
    <col min="11986" max="11986" width="9.28515625" style="1" bestFit="1" customWidth="1"/>
    <col min="11987" max="11989" width="9.140625" style="1"/>
    <col min="11990" max="11992" width="9.28515625" style="1" bestFit="1" customWidth="1"/>
    <col min="11993" max="11995" width="9.140625" style="1"/>
    <col min="11996" max="11997" width="9.28515625" style="1" bestFit="1" customWidth="1"/>
    <col min="11998" max="11998" width="9.140625" style="1"/>
    <col min="11999" max="12000" width="9.28515625" style="1" bestFit="1" customWidth="1"/>
    <col min="12001" max="12001" width="9.140625" style="1"/>
    <col min="12002" max="12002" width="9.28515625" style="1" bestFit="1" customWidth="1"/>
    <col min="12003" max="12005" width="9.140625" style="1"/>
    <col min="12006" max="12008" width="9.28515625" style="1" bestFit="1" customWidth="1"/>
    <col min="12009" max="12011" width="9.140625" style="1"/>
    <col min="12012" max="12013" width="9.28515625" style="1" bestFit="1" customWidth="1"/>
    <col min="12014" max="12014" width="9.140625" style="1"/>
    <col min="12015" max="12016" width="9.28515625" style="1" bestFit="1" customWidth="1"/>
    <col min="12017" max="12017" width="9.140625" style="1"/>
    <col min="12018" max="12018" width="9.28515625" style="1" bestFit="1" customWidth="1"/>
    <col min="12019" max="12021" width="9.140625" style="1"/>
    <col min="12022" max="12024" width="9.28515625" style="1" bestFit="1" customWidth="1"/>
    <col min="12025" max="12027" width="9.140625" style="1"/>
    <col min="12028" max="12029" width="9.28515625" style="1" bestFit="1" customWidth="1"/>
    <col min="12030" max="12030" width="9.140625" style="1"/>
    <col min="12031" max="12032" width="9.28515625" style="1" bestFit="1" customWidth="1"/>
    <col min="12033" max="12033" width="9.140625" style="1"/>
    <col min="12034" max="12034" width="9.28515625" style="1" bestFit="1" customWidth="1"/>
    <col min="12035" max="12037" width="9.140625" style="1"/>
    <col min="12038" max="12040" width="9.28515625" style="1" bestFit="1" customWidth="1"/>
    <col min="12041" max="12043" width="9.140625" style="1"/>
    <col min="12044" max="12045" width="9.28515625" style="1" bestFit="1" customWidth="1"/>
    <col min="12046" max="12046" width="9.140625" style="1"/>
    <col min="12047" max="12048" width="9.28515625" style="1" bestFit="1" customWidth="1"/>
    <col min="12049" max="12049" width="9.140625" style="1"/>
    <col min="12050" max="12050" width="9.28515625" style="1" bestFit="1" customWidth="1"/>
    <col min="12051" max="12053" width="9.140625" style="1"/>
    <col min="12054" max="12056" width="9.28515625" style="1" bestFit="1" customWidth="1"/>
    <col min="12057" max="12059" width="9.140625" style="1"/>
    <col min="12060" max="12061" width="9.28515625" style="1" bestFit="1" customWidth="1"/>
    <col min="12062" max="12062" width="9.140625" style="1"/>
    <col min="12063" max="12064" width="9.28515625" style="1" bestFit="1" customWidth="1"/>
    <col min="12065" max="12065" width="9.140625" style="1"/>
    <col min="12066" max="12066" width="9.28515625" style="1" bestFit="1" customWidth="1"/>
    <col min="12067" max="12069" width="9.140625" style="1"/>
    <col min="12070" max="12072" width="9.28515625" style="1" bestFit="1" customWidth="1"/>
    <col min="12073" max="12075" width="9.140625" style="1"/>
    <col min="12076" max="12077" width="9.28515625" style="1" bestFit="1" customWidth="1"/>
    <col min="12078" max="12078" width="9.140625" style="1"/>
    <col min="12079" max="12080" width="9.28515625" style="1" bestFit="1" customWidth="1"/>
    <col min="12081" max="12081" width="9.140625" style="1"/>
    <col min="12082" max="12082" width="9.28515625" style="1" bestFit="1" customWidth="1"/>
    <col min="12083" max="12085" width="9.140625" style="1"/>
    <col min="12086" max="12088" width="9.28515625" style="1" bestFit="1" customWidth="1"/>
    <col min="12089" max="12091" width="9.140625" style="1"/>
    <col min="12092" max="12093" width="9.28515625" style="1" bestFit="1" customWidth="1"/>
    <col min="12094" max="12094" width="9.140625" style="1"/>
    <col min="12095" max="12096" width="9.28515625" style="1" bestFit="1" customWidth="1"/>
    <col min="12097" max="12097" width="9.140625" style="1"/>
    <col min="12098" max="12098" width="9.28515625" style="1" bestFit="1" customWidth="1"/>
    <col min="12099" max="12101" width="9.140625" style="1"/>
    <col min="12102" max="12104" width="9.28515625" style="1" bestFit="1" customWidth="1"/>
    <col min="12105" max="12107" width="9.140625" style="1"/>
    <col min="12108" max="12109" width="9.28515625" style="1" bestFit="1" customWidth="1"/>
    <col min="12110" max="12110" width="9.140625" style="1"/>
    <col min="12111" max="12112" width="9.28515625" style="1" bestFit="1" customWidth="1"/>
    <col min="12113" max="12113" width="9.140625" style="1"/>
    <col min="12114" max="12114" width="9.28515625" style="1" bestFit="1" customWidth="1"/>
    <col min="12115" max="12117" width="9.140625" style="1"/>
    <col min="12118" max="12120" width="9.28515625" style="1" bestFit="1" customWidth="1"/>
    <col min="12121" max="12123" width="9.140625" style="1"/>
    <col min="12124" max="12125" width="9.28515625" style="1" bestFit="1" customWidth="1"/>
    <col min="12126" max="12126" width="9.140625" style="1"/>
    <col min="12127" max="12128" width="9.28515625" style="1" bestFit="1" customWidth="1"/>
    <col min="12129" max="12129" width="9.140625" style="1"/>
    <col min="12130" max="12130" width="9.28515625" style="1" bestFit="1" customWidth="1"/>
    <col min="12131" max="12133" width="9.140625" style="1"/>
    <col min="12134" max="12136" width="9.28515625" style="1" bestFit="1" customWidth="1"/>
    <col min="12137" max="12139" width="9.140625" style="1"/>
    <col min="12140" max="12141" width="9.28515625" style="1" bestFit="1" customWidth="1"/>
    <col min="12142" max="12142" width="9.140625" style="1"/>
    <col min="12143" max="12144" width="9.28515625" style="1" bestFit="1" customWidth="1"/>
    <col min="12145" max="12145" width="9.140625" style="1"/>
    <col min="12146" max="12146" width="9.28515625" style="1" bestFit="1" customWidth="1"/>
    <col min="12147" max="12149" width="9.140625" style="1"/>
    <col min="12150" max="12152" width="9.28515625" style="1" bestFit="1" customWidth="1"/>
    <col min="12153" max="12155" width="9.140625" style="1"/>
    <col min="12156" max="12157" width="9.28515625" style="1" bestFit="1" customWidth="1"/>
    <col min="12158" max="12158" width="9.140625" style="1"/>
    <col min="12159" max="12160" width="9.28515625" style="1" bestFit="1" customWidth="1"/>
    <col min="12161" max="12161" width="9.140625" style="1"/>
    <col min="12162" max="12162" width="9.28515625" style="1" bestFit="1" customWidth="1"/>
    <col min="12163" max="12165" width="9.140625" style="1"/>
    <col min="12166" max="12168" width="9.28515625" style="1" bestFit="1" customWidth="1"/>
    <col min="12169" max="12171" width="9.140625" style="1"/>
    <col min="12172" max="12173" width="9.28515625" style="1" bestFit="1" customWidth="1"/>
    <col min="12174" max="12174" width="9.140625" style="1"/>
    <col min="12175" max="12176" width="9.28515625" style="1" bestFit="1" customWidth="1"/>
    <col min="12177" max="12177" width="9.140625" style="1"/>
    <col min="12178" max="12178" width="9.28515625" style="1" bestFit="1" customWidth="1"/>
    <col min="12179" max="12181" width="9.140625" style="1"/>
    <col min="12182" max="12184" width="9.28515625" style="1" bestFit="1" customWidth="1"/>
    <col min="12185" max="12187" width="9.140625" style="1"/>
    <col min="12188" max="12189" width="9.28515625" style="1" bestFit="1" customWidth="1"/>
    <col min="12190" max="12190" width="9.140625" style="1"/>
    <col min="12191" max="12192" width="9.28515625" style="1" bestFit="1" customWidth="1"/>
    <col min="12193" max="12193" width="9.140625" style="1"/>
    <col min="12194" max="12194" width="9.28515625" style="1" bestFit="1" customWidth="1"/>
    <col min="12195" max="12197" width="9.140625" style="1"/>
    <col min="12198" max="12200" width="9.28515625" style="1" bestFit="1" customWidth="1"/>
    <col min="12201" max="12203" width="9.140625" style="1"/>
    <col min="12204" max="12205" width="9.28515625" style="1" bestFit="1" customWidth="1"/>
    <col min="12206" max="12206" width="9.140625" style="1"/>
    <col min="12207" max="12208" width="9.28515625" style="1" bestFit="1" customWidth="1"/>
    <col min="12209" max="12209" width="9.140625" style="1"/>
    <col min="12210" max="12210" width="9.28515625" style="1" bestFit="1" customWidth="1"/>
    <col min="12211" max="12213" width="9.140625" style="1"/>
    <col min="12214" max="12216" width="9.28515625" style="1" bestFit="1" customWidth="1"/>
    <col min="12217" max="12219" width="9.140625" style="1"/>
    <col min="12220" max="12221" width="9.28515625" style="1" bestFit="1" customWidth="1"/>
    <col min="12222" max="12222" width="9.140625" style="1"/>
    <col min="12223" max="12224" width="9.28515625" style="1" bestFit="1" customWidth="1"/>
    <col min="12225" max="12225" width="9.140625" style="1"/>
    <col min="12226" max="12226" width="9.28515625" style="1" bestFit="1" customWidth="1"/>
    <col min="12227" max="12229" width="9.140625" style="1"/>
    <col min="12230" max="12232" width="9.28515625" style="1" bestFit="1" customWidth="1"/>
    <col min="12233" max="12235" width="9.140625" style="1"/>
    <col min="12236" max="12237" width="9.28515625" style="1" bestFit="1" customWidth="1"/>
    <col min="12238" max="12238" width="9.140625" style="1"/>
    <col min="12239" max="12240" width="9.28515625" style="1" bestFit="1" customWidth="1"/>
    <col min="12241" max="12241" width="9.140625" style="1"/>
    <col min="12242" max="12242" width="9.28515625" style="1" bestFit="1" customWidth="1"/>
    <col min="12243" max="12245" width="9.140625" style="1"/>
    <col min="12246" max="12248" width="9.28515625" style="1" bestFit="1" customWidth="1"/>
    <col min="12249" max="12251" width="9.140625" style="1"/>
    <col min="12252" max="12253" width="9.28515625" style="1" bestFit="1" customWidth="1"/>
    <col min="12254" max="12254" width="9.140625" style="1"/>
    <col min="12255" max="12256" width="9.28515625" style="1" bestFit="1" customWidth="1"/>
    <col min="12257" max="12257" width="9.140625" style="1"/>
    <col min="12258" max="12258" width="9.28515625" style="1" bestFit="1" customWidth="1"/>
    <col min="12259" max="12261" width="9.140625" style="1"/>
    <col min="12262" max="12264" width="9.28515625" style="1" bestFit="1" customWidth="1"/>
    <col min="12265" max="12267" width="9.140625" style="1"/>
    <col min="12268" max="12269" width="9.28515625" style="1" bestFit="1" customWidth="1"/>
    <col min="12270" max="12270" width="9.140625" style="1"/>
    <col min="12271" max="12272" width="9.28515625" style="1" bestFit="1" customWidth="1"/>
    <col min="12273" max="12273" width="9.140625" style="1"/>
    <col min="12274" max="12274" width="9.28515625" style="1" bestFit="1" customWidth="1"/>
    <col min="12275" max="12277" width="9.140625" style="1"/>
    <col min="12278" max="12280" width="9.28515625" style="1" bestFit="1" customWidth="1"/>
    <col min="12281" max="12283" width="9.140625" style="1"/>
    <col min="12284" max="12285" width="9.28515625" style="1" bestFit="1" customWidth="1"/>
    <col min="12286" max="12286" width="9.140625" style="1"/>
    <col min="12287" max="12288" width="9.28515625" style="1" bestFit="1" customWidth="1"/>
    <col min="12289" max="12289" width="9.140625" style="1"/>
    <col min="12290" max="12290" width="9.28515625" style="1" bestFit="1" customWidth="1"/>
    <col min="12291" max="12293" width="9.140625" style="1"/>
    <col min="12294" max="12296" width="9.28515625" style="1" bestFit="1" customWidth="1"/>
    <col min="12297" max="12299" width="9.140625" style="1"/>
    <col min="12300" max="12301" width="9.28515625" style="1" bestFit="1" customWidth="1"/>
    <col min="12302" max="12302" width="9.140625" style="1"/>
    <col min="12303" max="12304" width="9.28515625" style="1" bestFit="1" customWidth="1"/>
    <col min="12305" max="12305" width="9.140625" style="1"/>
    <col min="12306" max="12306" width="9.28515625" style="1" bestFit="1" customWidth="1"/>
    <col min="12307" max="12309" width="9.140625" style="1"/>
    <col min="12310" max="12312" width="9.28515625" style="1" bestFit="1" customWidth="1"/>
    <col min="12313" max="12315" width="9.140625" style="1"/>
    <col min="12316" max="12317" width="9.28515625" style="1" bestFit="1" customWidth="1"/>
    <col min="12318" max="12318" width="9.140625" style="1"/>
    <col min="12319" max="12320" width="9.28515625" style="1" bestFit="1" customWidth="1"/>
    <col min="12321" max="12321" width="9.140625" style="1"/>
    <col min="12322" max="12322" width="9.28515625" style="1" bestFit="1" customWidth="1"/>
    <col min="12323" max="12325" width="9.140625" style="1"/>
    <col min="12326" max="12328" width="9.28515625" style="1" bestFit="1" customWidth="1"/>
    <col min="12329" max="12331" width="9.140625" style="1"/>
    <col min="12332" max="12333" width="9.28515625" style="1" bestFit="1" customWidth="1"/>
    <col min="12334" max="12334" width="9.140625" style="1"/>
    <col min="12335" max="12336" width="9.28515625" style="1" bestFit="1" customWidth="1"/>
    <col min="12337" max="12337" width="9.140625" style="1"/>
    <col min="12338" max="12338" width="9.28515625" style="1" bestFit="1" customWidth="1"/>
    <col min="12339" max="12341" width="9.140625" style="1"/>
    <col min="12342" max="12344" width="9.28515625" style="1" bestFit="1" customWidth="1"/>
    <col min="12345" max="12347" width="9.140625" style="1"/>
    <col min="12348" max="12349" width="9.28515625" style="1" bestFit="1" customWidth="1"/>
    <col min="12350" max="12350" width="9.140625" style="1"/>
    <col min="12351" max="12352" width="9.28515625" style="1" bestFit="1" customWidth="1"/>
    <col min="12353" max="12353" width="9.140625" style="1"/>
    <col min="12354" max="12354" width="9.28515625" style="1" bestFit="1" customWidth="1"/>
    <col min="12355" max="12357" width="9.140625" style="1"/>
    <col min="12358" max="12360" width="9.28515625" style="1" bestFit="1" customWidth="1"/>
    <col min="12361" max="12363" width="9.140625" style="1"/>
    <col min="12364" max="12365" width="9.28515625" style="1" bestFit="1" customWidth="1"/>
    <col min="12366" max="12366" width="9.140625" style="1"/>
    <col min="12367" max="12368" width="9.28515625" style="1" bestFit="1" customWidth="1"/>
    <col min="12369" max="12369" width="9.140625" style="1"/>
    <col min="12370" max="12370" width="9.28515625" style="1" bestFit="1" customWidth="1"/>
    <col min="12371" max="12373" width="9.140625" style="1"/>
    <col min="12374" max="12376" width="9.28515625" style="1" bestFit="1" customWidth="1"/>
    <col min="12377" max="12379" width="9.140625" style="1"/>
    <col min="12380" max="12381" width="9.28515625" style="1" bestFit="1" customWidth="1"/>
    <col min="12382" max="12382" width="9.140625" style="1"/>
    <col min="12383" max="12384" width="9.28515625" style="1" bestFit="1" customWidth="1"/>
    <col min="12385" max="12385" width="9.140625" style="1"/>
    <col min="12386" max="12386" width="9.28515625" style="1" bestFit="1" customWidth="1"/>
    <col min="12387" max="12389" width="9.140625" style="1"/>
    <col min="12390" max="12392" width="9.28515625" style="1" bestFit="1" customWidth="1"/>
    <col min="12393" max="12395" width="9.140625" style="1"/>
    <col min="12396" max="12397" width="9.28515625" style="1" bestFit="1" customWidth="1"/>
    <col min="12398" max="12398" width="9.140625" style="1"/>
    <col min="12399" max="12400" width="9.28515625" style="1" bestFit="1" customWidth="1"/>
    <col min="12401" max="12401" width="9.140625" style="1"/>
    <col min="12402" max="12402" width="9.28515625" style="1" bestFit="1" customWidth="1"/>
    <col min="12403" max="12405" width="9.140625" style="1"/>
    <col min="12406" max="12408" width="9.28515625" style="1" bestFit="1" customWidth="1"/>
    <col min="12409" max="12411" width="9.140625" style="1"/>
    <col min="12412" max="12413" width="9.28515625" style="1" bestFit="1" customWidth="1"/>
    <col min="12414" max="12414" width="9.140625" style="1"/>
    <col min="12415" max="12416" width="9.28515625" style="1" bestFit="1" customWidth="1"/>
    <col min="12417" max="12417" width="9.140625" style="1"/>
    <col min="12418" max="12418" width="9.28515625" style="1" bestFit="1" customWidth="1"/>
    <col min="12419" max="12421" width="9.140625" style="1"/>
    <col min="12422" max="12424" width="9.28515625" style="1" bestFit="1" customWidth="1"/>
    <col min="12425" max="12427" width="9.140625" style="1"/>
    <col min="12428" max="12429" width="9.28515625" style="1" bestFit="1" customWidth="1"/>
    <col min="12430" max="12430" width="9.140625" style="1"/>
    <col min="12431" max="12432" width="9.28515625" style="1" bestFit="1" customWidth="1"/>
    <col min="12433" max="12433" width="9.140625" style="1"/>
    <col min="12434" max="12434" width="9.28515625" style="1" bestFit="1" customWidth="1"/>
    <col min="12435" max="12437" width="9.140625" style="1"/>
    <col min="12438" max="12440" width="9.28515625" style="1" bestFit="1" customWidth="1"/>
    <col min="12441" max="12443" width="9.140625" style="1"/>
    <col min="12444" max="12445" width="9.28515625" style="1" bestFit="1" customWidth="1"/>
    <col min="12446" max="12446" width="9.140625" style="1"/>
    <col min="12447" max="12448" width="9.28515625" style="1" bestFit="1" customWidth="1"/>
    <col min="12449" max="12449" width="9.140625" style="1"/>
    <col min="12450" max="12450" width="9.28515625" style="1" bestFit="1" customWidth="1"/>
    <col min="12451" max="12453" width="9.140625" style="1"/>
    <col min="12454" max="12456" width="9.28515625" style="1" bestFit="1" customWidth="1"/>
    <col min="12457" max="12459" width="9.140625" style="1"/>
    <col min="12460" max="12461" width="9.28515625" style="1" bestFit="1" customWidth="1"/>
    <col min="12462" max="12462" width="9.140625" style="1"/>
    <col min="12463" max="12464" width="9.28515625" style="1" bestFit="1" customWidth="1"/>
    <col min="12465" max="12465" width="9.140625" style="1"/>
    <col min="12466" max="12466" width="9.28515625" style="1" bestFit="1" customWidth="1"/>
    <col min="12467" max="12469" width="9.140625" style="1"/>
    <col min="12470" max="12472" width="9.28515625" style="1" bestFit="1" customWidth="1"/>
    <col min="12473" max="12475" width="9.140625" style="1"/>
    <col min="12476" max="12477" width="9.28515625" style="1" bestFit="1" customWidth="1"/>
    <col min="12478" max="12478" width="9.140625" style="1"/>
    <col min="12479" max="12480" width="9.28515625" style="1" bestFit="1" customWidth="1"/>
    <col min="12481" max="12481" width="9.140625" style="1"/>
    <col min="12482" max="12482" width="9.28515625" style="1" bestFit="1" customWidth="1"/>
    <col min="12483" max="12485" width="9.140625" style="1"/>
    <col min="12486" max="12488" width="9.28515625" style="1" bestFit="1" customWidth="1"/>
    <col min="12489" max="12491" width="9.140625" style="1"/>
    <col min="12492" max="12493" width="9.28515625" style="1" bestFit="1" customWidth="1"/>
    <col min="12494" max="12494" width="9.140625" style="1"/>
    <col min="12495" max="12496" width="9.28515625" style="1" bestFit="1" customWidth="1"/>
    <col min="12497" max="12497" width="9.140625" style="1"/>
    <col min="12498" max="12498" width="9.28515625" style="1" bestFit="1" customWidth="1"/>
    <col min="12499" max="12501" width="9.140625" style="1"/>
    <col min="12502" max="12504" width="9.28515625" style="1" bestFit="1" customWidth="1"/>
    <col min="12505" max="12507" width="9.140625" style="1"/>
    <col min="12508" max="12509" width="9.28515625" style="1" bestFit="1" customWidth="1"/>
    <col min="12510" max="12510" width="9.140625" style="1"/>
    <col min="12511" max="12512" width="9.28515625" style="1" bestFit="1" customWidth="1"/>
    <col min="12513" max="12513" width="9.140625" style="1"/>
    <col min="12514" max="12514" width="9.28515625" style="1" bestFit="1" customWidth="1"/>
    <col min="12515" max="12517" width="9.140625" style="1"/>
    <col min="12518" max="12520" width="9.28515625" style="1" bestFit="1" customWidth="1"/>
    <col min="12521" max="12523" width="9.140625" style="1"/>
    <col min="12524" max="12525" width="9.28515625" style="1" bestFit="1" customWidth="1"/>
    <col min="12526" max="12526" width="9.140625" style="1"/>
    <col min="12527" max="12528" width="9.28515625" style="1" bestFit="1" customWidth="1"/>
    <col min="12529" max="12529" width="9.140625" style="1"/>
    <col min="12530" max="12530" width="9.28515625" style="1" bestFit="1" customWidth="1"/>
    <col min="12531" max="12533" width="9.140625" style="1"/>
    <col min="12534" max="12536" width="9.28515625" style="1" bestFit="1" customWidth="1"/>
    <col min="12537" max="12539" width="9.140625" style="1"/>
    <col min="12540" max="12541" width="9.28515625" style="1" bestFit="1" customWidth="1"/>
    <col min="12542" max="12542" width="9.140625" style="1"/>
    <col min="12543" max="12544" width="9.28515625" style="1" bestFit="1" customWidth="1"/>
    <col min="12545" max="12545" width="9.140625" style="1"/>
    <col min="12546" max="12546" width="9.28515625" style="1" bestFit="1" customWidth="1"/>
    <col min="12547" max="12549" width="9.140625" style="1"/>
    <col min="12550" max="12552" width="9.28515625" style="1" bestFit="1" customWidth="1"/>
    <col min="12553" max="12555" width="9.140625" style="1"/>
    <col min="12556" max="12557" width="9.28515625" style="1" bestFit="1" customWidth="1"/>
    <col min="12558" max="12558" width="9.140625" style="1"/>
    <col min="12559" max="12560" width="9.28515625" style="1" bestFit="1" customWidth="1"/>
    <col min="12561" max="12561" width="9.140625" style="1"/>
    <col min="12562" max="12562" width="9.28515625" style="1" bestFit="1" customWidth="1"/>
    <col min="12563" max="12565" width="9.140625" style="1"/>
    <col min="12566" max="12568" width="9.28515625" style="1" bestFit="1" customWidth="1"/>
    <col min="12569" max="12571" width="9.140625" style="1"/>
    <col min="12572" max="12573" width="9.28515625" style="1" bestFit="1" customWidth="1"/>
    <col min="12574" max="12574" width="9.140625" style="1"/>
    <col min="12575" max="12576" width="9.28515625" style="1" bestFit="1" customWidth="1"/>
    <col min="12577" max="12577" width="9.140625" style="1"/>
    <col min="12578" max="12578" width="9.28515625" style="1" bestFit="1" customWidth="1"/>
    <col min="12579" max="12581" width="9.140625" style="1"/>
    <col min="12582" max="12584" width="9.28515625" style="1" bestFit="1" customWidth="1"/>
    <col min="12585" max="12587" width="9.140625" style="1"/>
    <col min="12588" max="12589" width="9.28515625" style="1" bestFit="1" customWidth="1"/>
    <col min="12590" max="12590" width="9.140625" style="1"/>
    <col min="12591" max="12592" width="9.28515625" style="1" bestFit="1" customWidth="1"/>
    <col min="12593" max="12593" width="9.140625" style="1"/>
    <col min="12594" max="12594" width="9.28515625" style="1" bestFit="1" customWidth="1"/>
    <col min="12595" max="12597" width="9.140625" style="1"/>
    <col min="12598" max="12600" width="9.28515625" style="1" bestFit="1" customWidth="1"/>
    <col min="12601" max="12603" width="9.140625" style="1"/>
    <col min="12604" max="12605" width="9.28515625" style="1" bestFit="1" customWidth="1"/>
    <col min="12606" max="12606" width="9.140625" style="1"/>
    <col min="12607" max="12608" width="9.28515625" style="1" bestFit="1" customWidth="1"/>
    <col min="12609" max="12609" width="9.140625" style="1"/>
    <col min="12610" max="12610" width="9.28515625" style="1" bestFit="1" customWidth="1"/>
    <col min="12611" max="12613" width="9.140625" style="1"/>
    <col min="12614" max="12616" width="9.28515625" style="1" bestFit="1" customWidth="1"/>
    <col min="12617" max="12619" width="9.140625" style="1"/>
    <col min="12620" max="12621" width="9.28515625" style="1" bestFit="1" customWidth="1"/>
    <col min="12622" max="12622" width="9.140625" style="1"/>
    <col min="12623" max="12624" width="9.28515625" style="1" bestFit="1" customWidth="1"/>
    <col min="12625" max="12625" width="9.140625" style="1"/>
    <col min="12626" max="12626" width="9.28515625" style="1" bestFit="1" customWidth="1"/>
    <col min="12627" max="12629" width="9.140625" style="1"/>
    <col min="12630" max="12632" width="9.28515625" style="1" bestFit="1" customWidth="1"/>
    <col min="12633" max="12635" width="9.140625" style="1"/>
    <col min="12636" max="12637" width="9.28515625" style="1" bestFit="1" customWidth="1"/>
    <col min="12638" max="12638" width="9.140625" style="1"/>
    <col min="12639" max="12640" width="9.28515625" style="1" bestFit="1" customWidth="1"/>
    <col min="12641" max="12641" width="9.140625" style="1"/>
    <col min="12642" max="12642" width="9.28515625" style="1" bestFit="1" customWidth="1"/>
    <col min="12643" max="12645" width="9.140625" style="1"/>
    <col min="12646" max="12648" width="9.28515625" style="1" bestFit="1" customWidth="1"/>
    <col min="12649" max="12651" width="9.140625" style="1"/>
    <col min="12652" max="12653" width="9.28515625" style="1" bestFit="1" customWidth="1"/>
    <col min="12654" max="12654" width="9.140625" style="1"/>
    <col min="12655" max="12656" width="9.28515625" style="1" bestFit="1" customWidth="1"/>
    <col min="12657" max="12657" width="9.140625" style="1"/>
    <col min="12658" max="12658" width="9.28515625" style="1" bestFit="1" customWidth="1"/>
    <col min="12659" max="12661" width="9.140625" style="1"/>
    <col min="12662" max="12664" width="9.28515625" style="1" bestFit="1" customWidth="1"/>
    <col min="12665" max="12667" width="9.140625" style="1"/>
    <col min="12668" max="12669" width="9.28515625" style="1" bestFit="1" customWidth="1"/>
    <col min="12670" max="12670" width="9.140625" style="1"/>
    <col min="12671" max="12672" width="9.28515625" style="1" bestFit="1" customWidth="1"/>
    <col min="12673" max="12673" width="9.140625" style="1"/>
    <col min="12674" max="12674" width="9.28515625" style="1" bestFit="1" customWidth="1"/>
    <col min="12675" max="12677" width="9.140625" style="1"/>
    <col min="12678" max="12680" width="9.28515625" style="1" bestFit="1" customWidth="1"/>
    <col min="12681" max="12683" width="9.140625" style="1"/>
    <col min="12684" max="12685" width="9.28515625" style="1" bestFit="1" customWidth="1"/>
    <col min="12686" max="12686" width="9.140625" style="1"/>
    <col min="12687" max="12688" width="9.28515625" style="1" bestFit="1" customWidth="1"/>
    <col min="12689" max="12689" width="9.140625" style="1"/>
    <col min="12690" max="12690" width="9.28515625" style="1" bestFit="1" customWidth="1"/>
    <col min="12691" max="12693" width="9.140625" style="1"/>
    <col min="12694" max="12696" width="9.28515625" style="1" bestFit="1" customWidth="1"/>
    <col min="12697" max="12699" width="9.140625" style="1"/>
    <col min="12700" max="12701" width="9.28515625" style="1" bestFit="1" customWidth="1"/>
    <col min="12702" max="12702" width="9.140625" style="1"/>
    <col min="12703" max="12704" width="9.28515625" style="1" bestFit="1" customWidth="1"/>
    <col min="12705" max="12705" width="9.140625" style="1"/>
    <col min="12706" max="12706" width="9.28515625" style="1" bestFit="1" customWidth="1"/>
    <col min="12707" max="12709" width="9.140625" style="1"/>
    <col min="12710" max="12712" width="9.28515625" style="1" bestFit="1" customWidth="1"/>
    <col min="12713" max="12715" width="9.140625" style="1"/>
    <col min="12716" max="12717" width="9.28515625" style="1" bestFit="1" customWidth="1"/>
    <col min="12718" max="12718" width="9.140625" style="1"/>
    <col min="12719" max="12720" width="9.28515625" style="1" bestFit="1" customWidth="1"/>
    <col min="12721" max="12721" width="9.140625" style="1"/>
    <col min="12722" max="12722" width="9.28515625" style="1" bestFit="1" customWidth="1"/>
    <col min="12723" max="12725" width="9.140625" style="1"/>
    <col min="12726" max="12728" width="9.28515625" style="1" bestFit="1" customWidth="1"/>
    <col min="12729" max="12731" width="9.140625" style="1"/>
    <col min="12732" max="12733" width="9.28515625" style="1" bestFit="1" customWidth="1"/>
    <col min="12734" max="12734" width="9.140625" style="1"/>
    <col min="12735" max="12736" width="9.28515625" style="1" bestFit="1" customWidth="1"/>
    <col min="12737" max="12737" width="9.140625" style="1"/>
    <col min="12738" max="12738" width="9.28515625" style="1" bestFit="1" customWidth="1"/>
    <col min="12739" max="12741" width="9.140625" style="1"/>
    <col min="12742" max="12744" width="9.28515625" style="1" bestFit="1" customWidth="1"/>
    <col min="12745" max="12747" width="9.140625" style="1"/>
    <col min="12748" max="12749" width="9.28515625" style="1" bestFit="1" customWidth="1"/>
    <col min="12750" max="12750" width="9.140625" style="1"/>
    <col min="12751" max="12752" width="9.28515625" style="1" bestFit="1" customWidth="1"/>
    <col min="12753" max="12753" width="9.140625" style="1"/>
    <col min="12754" max="12754" width="9.28515625" style="1" bestFit="1" customWidth="1"/>
    <col min="12755" max="12757" width="9.140625" style="1"/>
    <col min="12758" max="12760" width="9.28515625" style="1" bestFit="1" customWidth="1"/>
    <col min="12761" max="12763" width="9.140625" style="1"/>
    <col min="12764" max="12765" width="9.28515625" style="1" bestFit="1" customWidth="1"/>
    <col min="12766" max="12766" width="9.140625" style="1"/>
    <col min="12767" max="12768" width="9.28515625" style="1" bestFit="1" customWidth="1"/>
    <col min="12769" max="12769" width="9.140625" style="1"/>
    <col min="12770" max="12770" width="9.28515625" style="1" bestFit="1" customWidth="1"/>
    <col min="12771" max="12773" width="9.140625" style="1"/>
    <col min="12774" max="12776" width="9.28515625" style="1" bestFit="1" customWidth="1"/>
    <col min="12777" max="12779" width="9.140625" style="1"/>
    <col min="12780" max="12781" width="9.28515625" style="1" bestFit="1" customWidth="1"/>
    <col min="12782" max="12782" width="9.140625" style="1"/>
    <col min="12783" max="12784" width="9.28515625" style="1" bestFit="1" customWidth="1"/>
    <col min="12785" max="12785" width="9.140625" style="1"/>
    <col min="12786" max="12786" width="9.28515625" style="1" bestFit="1" customWidth="1"/>
    <col min="12787" max="12789" width="9.140625" style="1"/>
    <col min="12790" max="12792" width="9.28515625" style="1" bestFit="1" customWidth="1"/>
    <col min="12793" max="12795" width="9.140625" style="1"/>
    <col min="12796" max="12797" width="9.28515625" style="1" bestFit="1" customWidth="1"/>
    <col min="12798" max="12798" width="9.140625" style="1"/>
    <col min="12799" max="12800" width="9.28515625" style="1" bestFit="1" customWidth="1"/>
    <col min="12801" max="12801" width="9.140625" style="1"/>
    <col min="12802" max="12802" width="9.28515625" style="1" bestFit="1" customWidth="1"/>
    <col min="12803" max="12805" width="9.140625" style="1"/>
    <col min="12806" max="12808" width="9.28515625" style="1" bestFit="1" customWidth="1"/>
    <col min="12809" max="12811" width="9.140625" style="1"/>
    <col min="12812" max="12813" width="9.28515625" style="1" bestFit="1" customWidth="1"/>
    <col min="12814" max="12814" width="9.140625" style="1"/>
    <col min="12815" max="12816" width="9.28515625" style="1" bestFit="1" customWidth="1"/>
    <col min="12817" max="12817" width="9.140625" style="1"/>
    <col min="12818" max="12818" width="9.28515625" style="1" bestFit="1" customWidth="1"/>
    <col min="12819" max="12821" width="9.140625" style="1"/>
    <col min="12822" max="12824" width="9.28515625" style="1" bestFit="1" customWidth="1"/>
    <col min="12825" max="12827" width="9.140625" style="1"/>
    <col min="12828" max="12829" width="9.28515625" style="1" bestFit="1" customWidth="1"/>
    <col min="12830" max="12830" width="9.140625" style="1"/>
    <col min="12831" max="12832" width="9.28515625" style="1" bestFit="1" customWidth="1"/>
    <col min="12833" max="12833" width="9.140625" style="1"/>
    <col min="12834" max="12834" width="9.28515625" style="1" bestFit="1" customWidth="1"/>
    <col min="12835" max="12837" width="9.140625" style="1"/>
    <col min="12838" max="12840" width="9.28515625" style="1" bestFit="1" customWidth="1"/>
    <col min="12841" max="12843" width="9.140625" style="1"/>
    <col min="12844" max="12845" width="9.28515625" style="1" bestFit="1" customWidth="1"/>
    <col min="12846" max="12846" width="9.140625" style="1"/>
    <col min="12847" max="12848" width="9.28515625" style="1" bestFit="1" customWidth="1"/>
    <col min="12849" max="12849" width="9.140625" style="1"/>
    <col min="12850" max="12850" width="9.28515625" style="1" bestFit="1" customWidth="1"/>
    <col min="12851" max="12853" width="9.140625" style="1"/>
    <col min="12854" max="12856" width="9.28515625" style="1" bestFit="1" customWidth="1"/>
    <col min="12857" max="12859" width="9.140625" style="1"/>
    <col min="12860" max="12861" width="9.28515625" style="1" bestFit="1" customWidth="1"/>
    <col min="12862" max="12862" width="9.140625" style="1"/>
    <col min="12863" max="12864" width="9.28515625" style="1" bestFit="1" customWidth="1"/>
    <col min="12865" max="12865" width="9.140625" style="1"/>
    <col min="12866" max="12866" width="9.28515625" style="1" bestFit="1" customWidth="1"/>
    <col min="12867" max="12869" width="9.140625" style="1"/>
    <col min="12870" max="12872" width="9.28515625" style="1" bestFit="1" customWidth="1"/>
    <col min="12873" max="12875" width="9.140625" style="1"/>
    <col min="12876" max="12877" width="9.28515625" style="1" bestFit="1" customWidth="1"/>
    <col min="12878" max="12878" width="9.140625" style="1"/>
    <col min="12879" max="12880" width="9.28515625" style="1" bestFit="1" customWidth="1"/>
    <col min="12881" max="12881" width="9.140625" style="1"/>
    <col min="12882" max="12882" width="9.28515625" style="1" bestFit="1" customWidth="1"/>
    <col min="12883" max="12885" width="9.140625" style="1"/>
    <col min="12886" max="12888" width="9.28515625" style="1" bestFit="1" customWidth="1"/>
    <col min="12889" max="12891" width="9.140625" style="1"/>
    <col min="12892" max="12893" width="9.28515625" style="1" bestFit="1" customWidth="1"/>
    <col min="12894" max="12894" width="9.140625" style="1"/>
    <col min="12895" max="12896" width="9.28515625" style="1" bestFit="1" customWidth="1"/>
    <col min="12897" max="12897" width="9.140625" style="1"/>
    <col min="12898" max="12898" width="9.28515625" style="1" bestFit="1" customWidth="1"/>
    <col min="12899" max="12901" width="9.140625" style="1"/>
    <col min="12902" max="12904" width="9.28515625" style="1" bestFit="1" customWidth="1"/>
    <col min="12905" max="12907" width="9.140625" style="1"/>
    <col min="12908" max="12909" width="9.28515625" style="1" bestFit="1" customWidth="1"/>
    <col min="12910" max="12910" width="9.140625" style="1"/>
    <col min="12911" max="12912" width="9.28515625" style="1" bestFit="1" customWidth="1"/>
    <col min="12913" max="12913" width="9.140625" style="1"/>
    <col min="12914" max="12914" width="9.28515625" style="1" bestFit="1" customWidth="1"/>
    <col min="12915" max="12917" width="9.140625" style="1"/>
    <col min="12918" max="12920" width="9.28515625" style="1" bestFit="1" customWidth="1"/>
    <col min="12921" max="12923" width="9.140625" style="1"/>
    <col min="12924" max="12925" width="9.28515625" style="1" bestFit="1" customWidth="1"/>
    <col min="12926" max="12926" width="9.140625" style="1"/>
    <col min="12927" max="12928" width="9.28515625" style="1" bestFit="1" customWidth="1"/>
    <col min="12929" max="12929" width="9.140625" style="1"/>
    <col min="12930" max="12930" width="9.28515625" style="1" bestFit="1" customWidth="1"/>
    <col min="12931" max="12933" width="9.140625" style="1"/>
    <col min="12934" max="12936" width="9.28515625" style="1" bestFit="1" customWidth="1"/>
    <col min="12937" max="12939" width="9.140625" style="1"/>
    <col min="12940" max="12941" width="9.28515625" style="1" bestFit="1" customWidth="1"/>
    <col min="12942" max="12942" width="9.140625" style="1"/>
    <col min="12943" max="12944" width="9.28515625" style="1" bestFit="1" customWidth="1"/>
    <col min="12945" max="12945" width="9.140625" style="1"/>
    <col min="12946" max="12946" width="9.28515625" style="1" bestFit="1" customWidth="1"/>
    <col min="12947" max="12949" width="9.140625" style="1"/>
    <col min="12950" max="12952" width="9.28515625" style="1" bestFit="1" customWidth="1"/>
    <col min="12953" max="12955" width="9.140625" style="1"/>
    <col min="12956" max="12957" width="9.28515625" style="1" bestFit="1" customWidth="1"/>
    <col min="12958" max="12958" width="9.140625" style="1"/>
    <col min="12959" max="12960" width="9.28515625" style="1" bestFit="1" customWidth="1"/>
    <col min="12961" max="12961" width="9.140625" style="1"/>
    <col min="12962" max="12962" width="9.28515625" style="1" bestFit="1" customWidth="1"/>
    <col min="12963" max="12965" width="9.140625" style="1"/>
    <col min="12966" max="12968" width="9.28515625" style="1" bestFit="1" customWidth="1"/>
    <col min="12969" max="12971" width="9.140625" style="1"/>
    <col min="12972" max="12973" width="9.28515625" style="1" bestFit="1" customWidth="1"/>
    <col min="12974" max="12974" width="9.140625" style="1"/>
    <col min="12975" max="12976" width="9.28515625" style="1" bestFit="1" customWidth="1"/>
    <col min="12977" max="12977" width="9.140625" style="1"/>
    <col min="12978" max="12978" width="9.28515625" style="1" bestFit="1" customWidth="1"/>
    <col min="12979" max="12981" width="9.140625" style="1"/>
    <col min="12982" max="12984" width="9.28515625" style="1" bestFit="1" customWidth="1"/>
    <col min="12985" max="12987" width="9.140625" style="1"/>
    <col min="12988" max="12989" width="9.28515625" style="1" bestFit="1" customWidth="1"/>
    <col min="12990" max="12990" width="9.140625" style="1"/>
    <col min="12991" max="12992" width="9.28515625" style="1" bestFit="1" customWidth="1"/>
    <col min="12993" max="12993" width="9.140625" style="1"/>
    <col min="12994" max="12994" width="9.28515625" style="1" bestFit="1" customWidth="1"/>
    <col min="12995" max="12997" width="9.140625" style="1"/>
    <col min="12998" max="13000" width="9.28515625" style="1" bestFit="1" customWidth="1"/>
    <col min="13001" max="13003" width="9.140625" style="1"/>
    <col min="13004" max="13005" width="9.28515625" style="1" bestFit="1" customWidth="1"/>
    <col min="13006" max="13006" width="9.140625" style="1"/>
    <col min="13007" max="13008" width="9.28515625" style="1" bestFit="1" customWidth="1"/>
    <col min="13009" max="13009" width="9.140625" style="1"/>
    <col min="13010" max="13010" width="9.28515625" style="1" bestFit="1" customWidth="1"/>
    <col min="13011" max="13013" width="9.140625" style="1"/>
    <col min="13014" max="13016" width="9.28515625" style="1" bestFit="1" customWidth="1"/>
    <col min="13017" max="13019" width="9.140625" style="1"/>
    <col min="13020" max="13021" width="9.28515625" style="1" bestFit="1" customWidth="1"/>
    <col min="13022" max="13022" width="9.140625" style="1"/>
    <col min="13023" max="13024" width="9.28515625" style="1" bestFit="1" customWidth="1"/>
    <col min="13025" max="13025" width="9.140625" style="1"/>
    <col min="13026" max="13026" width="9.28515625" style="1" bestFit="1" customWidth="1"/>
    <col min="13027" max="13029" width="9.140625" style="1"/>
    <col min="13030" max="13032" width="9.28515625" style="1" bestFit="1" customWidth="1"/>
    <col min="13033" max="13035" width="9.140625" style="1"/>
    <col min="13036" max="13037" width="9.28515625" style="1" bestFit="1" customWidth="1"/>
    <col min="13038" max="13038" width="9.140625" style="1"/>
    <col min="13039" max="13040" width="9.28515625" style="1" bestFit="1" customWidth="1"/>
    <col min="13041" max="13041" width="9.140625" style="1"/>
    <col min="13042" max="13042" width="9.28515625" style="1" bestFit="1" customWidth="1"/>
    <col min="13043" max="13045" width="9.140625" style="1"/>
    <col min="13046" max="13048" width="9.28515625" style="1" bestFit="1" customWidth="1"/>
    <col min="13049" max="13051" width="9.140625" style="1"/>
    <col min="13052" max="13053" width="9.28515625" style="1" bestFit="1" customWidth="1"/>
    <col min="13054" max="13054" width="9.140625" style="1"/>
    <col min="13055" max="13056" width="9.28515625" style="1" bestFit="1" customWidth="1"/>
    <col min="13057" max="13057" width="9.140625" style="1"/>
    <col min="13058" max="13058" width="9.28515625" style="1" bestFit="1" customWidth="1"/>
    <col min="13059" max="13061" width="9.140625" style="1"/>
    <col min="13062" max="13064" width="9.28515625" style="1" bestFit="1" customWidth="1"/>
    <col min="13065" max="13067" width="9.140625" style="1"/>
    <col min="13068" max="13069" width="9.28515625" style="1" bestFit="1" customWidth="1"/>
    <col min="13070" max="13070" width="9.140625" style="1"/>
    <col min="13071" max="13072" width="9.28515625" style="1" bestFit="1" customWidth="1"/>
    <col min="13073" max="13073" width="9.140625" style="1"/>
    <col min="13074" max="13074" width="9.28515625" style="1" bestFit="1" customWidth="1"/>
    <col min="13075" max="13077" width="9.140625" style="1"/>
    <col min="13078" max="13080" width="9.28515625" style="1" bestFit="1" customWidth="1"/>
    <col min="13081" max="13083" width="9.140625" style="1"/>
    <col min="13084" max="13085" width="9.28515625" style="1" bestFit="1" customWidth="1"/>
    <col min="13086" max="13086" width="9.140625" style="1"/>
    <col min="13087" max="13088" width="9.28515625" style="1" bestFit="1" customWidth="1"/>
    <col min="13089" max="13089" width="9.140625" style="1"/>
    <col min="13090" max="13090" width="9.28515625" style="1" bestFit="1" customWidth="1"/>
    <col min="13091" max="13093" width="9.140625" style="1"/>
    <col min="13094" max="13096" width="9.28515625" style="1" bestFit="1" customWidth="1"/>
    <col min="13097" max="13099" width="9.140625" style="1"/>
    <col min="13100" max="13101" width="9.28515625" style="1" bestFit="1" customWidth="1"/>
    <col min="13102" max="13102" width="9.140625" style="1"/>
    <col min="13103" max="13104" width="9.28515625" style="1" bestFit="1" customWidth="1"/>
    <col min="13105" max="13105" width="9.140625" style="1"/>
    <col min="13106" max="13106" width="9.28515625" style="1" bestFit="1" customWidth="1"/>
    <col min="13107" max="13109" width="9.140625" style="1"/>
    <col min="13110" max="13112" width="9.28515625" style="1" bestFit="1" customWidth="1"/>
    <col min="13113" max="13115" width="9.140625" style="1"/>
    <col min="13116" max="13117" width="9.28515625" style="1" bestFit="1" customWidth="1"/>
    <col min="13118" max="13118" width="9.140625" style="1"/>
    <col min="13119" max="13120" width="9.28515625" style="1" bestFit="1" customWidth="1"/>
    <col min="13121" max="13121" width="9.140625" style="1"/>
    <col min="13122" max="13122" width="9.28515625" style="1" bestFit="1" customWidth="1"/>
    <col min="13123" max="13125" width="9.140625" style="1"/>
    <col min="13126" max="13128" width="9.28515625" style="1" bestFit="1" customWidth="1"/>
    <col min="13129" max="13131" width="9.140625" style="1"/>
    <col min="13132" max="13133" width="9.28515625" style="1" bestFit="1" customWidth="1"/>
    <col min="13134" max="13134" width="9.140625" style="1"/>
    <col min="13135" max="13136" width="9.28515625" style="1" bestFit="1" customWidth="1"/>
    <col min="13137" max="13137" width="9.140625" style="1"/>
    <col min="13138" max="13138" width="9.28515625" style="1" bestFit="1" customWidth="1"/>
    <col min="13139" max="13141" width="9.140625" style="1"/>
    <col min="13142" max="13144" width="9.28515625" style="1" bestFit="1" customWidth="1"/>
    <col min="13145" max="13147" width="9.140625" style="1"/>
    <col min="13148" max="13149" width="9.28515625" style="1" bestFit="1" customWidth="1"/>
    <col min="13150" max="13150" width="9.140625" style="1"/>
    <col min="13151" max="13152" width="9.28515625" style="1" bestFit="1" customWidth="1"/>
    <col min="13153" max="13153" width="9.140625" style="1"/>
    <col min="13154" max="13154" width="9.28515625" style="1" bestFit="1" customWidth="1"/>
    <col min="13155" max="13157" width="9.140625" style="1"/>
    <col min="13158" max="13160" width="9.28515625" style="1" bestFit="1" customWidth="1"/>
    <col min="13161" max="13163" width="9.140625" style="1"/>
    <col min="13164" max="13165" width="9.28515625" style="1" bestFit="1" customWidth="1"/>
    <col min="13166" max="13166" width="9.140625" style="1"/>
    <col min="13167" max="13168" width="9.28515625" style="1" bestFit="1" customWidth="1"/>
    <col min="13169" max="13169" width="9.140625" style="1"/>
    <col min="13170" max="13170" width="9.28515625" style="1" bestFit="1" customWidth="1"/>
    <col min="13171" max="13173" width="9.140625" style="1"/>
    <col min="13174" max="13176" width="9.28515625" style="1" bestFit="1" customWidth="1"/>
    <col min="13177" max="13179" width="9.140625" style="1"/>
    <col min="13180" max="13181" width="9.28515625" style="1" bestFit="1" customWidth="1"/>
    <col min="13182" max="13182" width="9.140625" style="1"/>
    <col min="13183" max="13184" width="9.28515625" style="1" bestFit="1" customWidth="1"/>
    <col min="13185" max="13185" width="9.140625" style="1"/>
    <col min="13186" max="13186" width="9.28515625" style="1" bestFit="1" customWidth="1"/>
    <col min="13187" max="13189" width="9.140625" style="1"/>
    <col min="13190" max="13192" width="9.28515625" style="1" bestFit="1" customWidth="1"/>
    <col min="13193" max="13195" width="9.140625" style="1"/>
    <col min="13196" max="13197" width="9.28515625" style="1" bestFit="1" customWidth="1"/>
    <col min="13198" max="13198" width="9.140625" style="1"/>
    <col min="13199" max="13200" width="9.28515625" style="1" bestFit="1" customWidth="1"/>
    <col min="13201" max="13201" width="9.140625" style="1"/>
    <col min="13202" max="13202" width="9.28515625" style="1" bestFit="1" customWidth="1"/>
    <col min="13203" max="13205" width="9.140625" style="1"/>
    <col min="13206" max="13208" width="9.28515625" style="1" bestFit="1" customWidth="1"/>
    <col min="13209" max="13211" width="9.140625" style="1"/>
    <col min="13212" max="13213" width="9.28515625" style="1" bestFit="1" customWidth="1"/>
    <col min="13214" max="13214" width="9.140625" style="1"/>
    <col min="13215" max="13216" width="9.28515625" style="1" bestFit="1" customWidth="1"/>
    <col min="13217" max="13217" width="9.140625" style="1"/>
    <col min="13218" max="13218" width="9.28515625" style="1" bestFit="1" customWidth="1"/>
    <col min="13219" max="13221" width="9.140625" style="1"/>
    <col min="13222" max="13224" width="9.28515625" style="1" bestFit="1" customWidth="1"/>
    <col min="13225" max="13227" width="9.140625" style="1"/>
    <col min="13228" max="13229" width="9.28515625" style="1" bestFit="1" customWidth="1"/>
    <col min="13230" max="13230" width="9.140625" style="1"/>
    <col min="13231" max="13232" width="9.28515625" style="1" bestFit="1" customWidth="1"/>
    <col min="13233" max="13233" width="9.140625" style="1"/>
    <col min="13234" max="13234" width="9.28515625" style="1" bestFit="1" customWidth="1"/>
    <col min="13235" max="13237" width="9.140625" style="1"/>
    <col min="13238" max="13240" width="9.28515625" style="1" bestFit="1" customWidth="1"/>
    <col min="13241" max="13243" width="9.140625" style="1"/>
    <col min="13244" max="13245" width="9.28515625" style="1" bestFit="1" customWidth="1"/>
    <col min="13246" max="13246" width="9.140625" style="1"/>
    <col min="13247" max="13248" width="9.28515625" style="1" bestFit="1" customWidth="1"/>
    <col min="13249" max="13249" width="9.140625" style="1"/>
    <col min="13250" max="13250" width="9.28515625" style="1" bestFit="1" customWidth="1"/>
    <col min="13251" max="13253" width="9.140625" style="1"/>
    <col min="13254" max="13256" width="9.28515625" style="1" bestFit="1" customWidth="1"/>
    <col min="13257" max="13259" width="9.140625" style="1"/>
    <col min="13260" max="13261" width="9.28515625" style="1" bestFit="1" customWidth="1"/>
    <col min="13262" max="13262" width="9.140625" style="1"/>
    <col min="13263" max="13264" width="9.28515625" style="1" bestFit="1" customWidth="1"/>
    <col min="13265" max="13265" width="9.140625" style="1"/>
    <col min="13266" max="13266" width="9.28515625" style="1" bestFit="1" customWidth="1"/>
    <col min="13267" max="13269" width="9.140625" style="1"/>
    <col min="13270" max="13272" width="9.28515625" style="1" bestFit="1" customWidth="1"/>
    <col min="13273" max="13275" width="9.140625" style="1"/>
    <col min="13276" max="13277" width="9.28515625" style="1" bestFit="1" customWidth="1"/>
    <col min="13278" max="13278" width="9.140625" style="1"/>
    <col min="13279" max="13280" width="9.28515625" style="1" bestFit="1" customWidth="1"/>
    <col min="13281" max="13281" width="9.140625" style="1"/>
    <col min="13282" max="13282" width="9.28515625" style="1" bestFit="1" customWidth="1"/>
    <col min="13283" max="13285" width="9.140625" style="1"/>
    <col min="13286" max="13288" width="9.28515625" style="1" bestFit="1" customWidth="1"/>
    <col min="13289" max="13291" width="9.140625" style="1"/>
    <col min="13292" max="13293" width="9.28515625" style="1" bestFit="1" customWidth="1"/>
    <col min="13294" max="13294" width="9.140625" style="1"/>
    <col min="13295" max="13296" width="9.28515625" style="1" bestFit="1" customWidth="1"/>
    <col min="13297" max="13297" width="9.140625" style="1"/>
    <col min="13298" max="13298" width="9.28515625" style="1" bestFit="1" customWidth="1"/>
    <col min="13299" max="13301" width="9.140625" style="1"/>
    <col min="13302" max="13304" width="9.28515625" style="1" bestFit="1" customWidth="1"/>
    <col min="13305" max="13307" width="9.140625" style="1"/>
    <col min="13308" max="13309" width="9.28515625" style="1" bestFit="1" customWidth="1"/>
    <col min="13310" max="13310" width="9.140625" style="1"/>
    <col min="13311" max="13312" width="9.28515625" style="1" bestFit="1" customWidth="1"/>
    <col min="13313" max="13313" width="9.140625" style="1"/>
    <col min="13314" max="13314" width="9.28515625" style="1" bestFit="1" customWidth="1"/>
    <col min="13315" max="13317" width="9.140625" style="1"/>
    <col min="13318" max="13320" width="9.28515625" style="1" bestFit="1" customWidth="1"/>
    <col min="13321" max="13323" width="9.140625" style="1"/>
    <col min="13324" max="13325" width="9.28515625" style="1" bestFit="1" customWidth="1"/>
    <col min="13326" max="13326" width="9.140625" style="1"/>
    <col min="13327" max="13328" width="9.28515625" style="1" bestFit="1" customWidth="1"/>
    <col min="13329" max="13329" width="9.140625" style="1"/>
    <col min="13330" max="13330" width="9.28515625" style="1" bestFit="1" customWidth="1"/>
    <col min="13331" max="13333" width="9.140625" style="1"/>
    <col min="13334" max="13336" width="9.28515625" style="1" bestFit="1" customWidth="1"/>
    <col min="13337" max="13339" width="9.140625" style="1"/>
    <col min="13340" max="13341" width="9.28515625" style="1" bestFit="1" customWidth="1"/>
    <col min="13342" max="13342" width="9.140625" style="1"/>
    <col min="13343" max="13344" width="9.28515625" style="1" bestFit="1" customWidth="1"/>
    <col min="13345" max="13345" width="9.140625" style="1"/>
    <col min="13346" max="13346" width="9.28515625" style="1" bestFit="1" customWidth="1"/>
    <col min="13347" max="13349" width="9.140625" style="1"/>
    <col min="13350" max="13352" width="9.28515625" style="1" bestFit="1" customWidth="1"/>
    <col min="13353" max="13355" width="9.140625" style="1"/>
    <col min="13356" max="13357" width="9.28515625" style="1" bestFit="1" customWidth="1"/>
    <col min="13358" max="13358" width="9.140625" style="1"/>
    <col min="13359" max="13360" width="9.28515625" style="1" bestFit="1" customWidth="1"/>
    <col min="13361" max="13361" width="9.140625" style="1"/>
    <col min="13362" max="13362" width="9.28515625" style="1" bestFit="1" customWidth="1"/>
    <col min="13363" max="13365" width="9.140625" style="1"/>
    <col min="13366" max="13368" width="9.28515625" style="1" bestFit="1" customWidth="1"/>
    <col min="13369" max="13371" width="9.140625" style="1"/>
    <col min="13372" max="13373" width="9.28515625" style="1" bestFit="1" customWidth="1"/>
    <col min="13374" max="13374" width="9.140625" style="1"/>
    <col min="13375" max="13376" width="9.28515625" style="1" bestFit="1" customWidth="1"/>
    <col min="13377" max="13377" width="9.140625" style="1"/>
    <col min="13378" max="13378" width="9.28515625" style="1" bestFit="1" customWidth="1"/>
    <col min="13379" max="13381" width="9.140625" style="1"/>
    <col min="13382" max="13384" width="9.28515625" style="1" bestFit="1" customWidth="1"/>
    <col min="13385" max="13387" width="9.140625" style="1"/>
    <col min="13388" max="13389" width="9.28515625" style="1" bestFit="1" customWidth="1"/>
    <col min="13390" max="13390" width="9.140625" style="1"/>
    <col min="13391" max="13392" width="9.28515625" style="1" bestFit="1" customWidth="1"/>
    <col min="13393" max="13393" width="9.140625" style="1"/>
    <col min="13394" max="13394" width="9.28515625" style="1" bestFit="1" customWidth="1"/>
    <col min="13395" max="13397" width="9.140625" style="1"/>
    <col min="13398" max="13400" width="9.28515625" style="1" bestFit="1" customWidth="1"/>
    <col min="13401" max="13403" width="9.140625" style="1"/>
    <col min="13404" max="13405" width="9.28515625" style="1" bestFit="1" customWidth="1"/>
    <col min="13406" max="13406" width="9.140625" style="1"/>
    <col min="13407" max="13408" width="9.28515625" style="1" bestFit="1" customWidth="1"/>
    <col min="13409" max="13409" width="9.140625" style="1"/>
    <col min="13410" max="13410" width="9.28515625" style="1" bestFit="1" customWidth="1"/>
    <col min="13411" max="13413" width="9.140625" style="1"/>
    <col min="13414" max="13416" width="9.28515625" style="1" bestFit="1" customWidth="1"/>
    <col min="13417" max="13419" width="9.140625" style="1"/>
    <col min="13420" max="13421" width="9.28515625" style="1" bestFit="1" customWidth="1"/>
    <col min="13422" max="13422" width="9.140625" style="1"/>
    <col min="13423" max="13424" width="9.28515625" style="1" bestFit="1" customWidth="1"/>
    <col min="13425" max="13425" width="9.140625" style="1"/>
    <col min="13426" max="13426" width="9.28515625" style="1" bestFit="1" customWidth="1"/>
    <col min="13427" max="13429" width="9.140625" style="1"/>
    <col min="13430" max="13432" width="9.28515625" style="1" bestFit="1" customWidth="1"/>
    <col min="13433" max="13435" width="9.140625" style="1"/>
    <col min="13436" max="13437" width="9.28515625" style="1" bestFit="1" customWidth="1"/>
    <col min="13438" max="13438" width="9.140625" style="1"/>
    <col min="13439" max="13440" width="9.28515625" style="1" bestFit="1" customWidth="1"/>
    <col min="13441" max="13441" width="9.140625" style="1"/>
    <col min="13442" max="13442" width="9.28515625" style="1" bestFit="1" customWidth="1"/>
    <col min="13443" max="13445" width="9.140625" style="1"/>
    <col min="13446" max="13448" width="9.28515625" style="1" bestFit="1" customWidth="1"/>
    <col min="13449" max="13451" width="9.140625" style="1"/>
    <col min="13452" max="13453" width="9.28515625" style="1" bestFit="1" customWidth="1"/>
    <col min="13454" max="13454" width="9.140625" style="1"/>
    <col min="13455" max="13456" width="9.28515625" style="1" bestFit="1" customWidth="1"/>
    <col min="13457" max="13457" width="9.140625" style="1"/>
    <col min="13458" max="13458" width="9.28515625" style="1" bestFit="1" customWidth="1"/>
    <col min="13459" max="13461" width="9.140625" style="1"/>
    <col min="13462" max="13464" width="9.28515625" style="1" bestFit="1" customWidth="1"/>
    <col min="13465" max="13467" width="9.140625" style="1"/>
    <col min="13468" max="13469" width="9.28515625" style="1" bestFit="1" customWidth="1"/>
    <col min="13470" max="13470" width="9.140625" style="1"/>
    <col min="13471" max="13472" width="9.28515625" style="1" bestFit="1" customWidth="1"/>
    <col min="13473" max="13473" width="9.140625" style="1"/>
    <col min="13474" max="13474" width="9.28515625" style="1" bestFit="1" customWidth="1"/>
    <col min="13475" max="13477" width="9.140625" style="1"/>
    <col min="13478" max="13480" width="9.28515625" style="1" bestFit="1" customWidth="1"/>
    <col min="13481" max="13483" width="9.140625" style="1"/>
    <col min="13484" max="13485" width="9.28515625" style="1" bestFit="1" customWidth="1"/>
    <col min="13486" max="13486" width="9.140625" style="1"/>
    <col min="13487" max="13488" width="9.28515625" style="1" bestFit="1" customWidth="1"/>
    <col min="13489" max="13489" width="9.140625" style="1"/>
    <col min="13490" max="13490" width="9.28515625" style="1" bestFit="1" customWidth="1"/>
    <col min="13491" max="13493" width="9.140625" style="1"/>
    <col min="13494" max="13496" width="9.28515625" style="1" bestFit="1" customWidth="1"/>
    <col min="13497" max="13499" width="9.140625" style="1"/>
    <col min="13500" max="13501" width="9.28515625" style="1" bestFit="1" customWidth="1"/>
    <col min="13502" max="13502" width="9.140625" style="1"/>
    <col min="13503" max="13504" width="9.28515625" style="1" bestFit="1" customWidth="1"/>
    <col min="13505" max="13505" width="9.140625" style="1"/>
    <col min="13506" max="13506" width="9.28515625" style="1" bestFit="1" customWidth="1"/>
    <col min="13507" max="13509" width="9.140625" style="1"/>
    <col min="13510" max="13512" width="9.28515625" style="1" bestFit="1" customWidth="1"/>
    <col min="13513" max="13515" width="9.140625" style="1"/>
    <col min="13516" max="13517" width="9.28515625" style="1" bestFit="1" customWidth="1"/>
    <col min="13518" max="13518" width="9.140625" style="1"/>
    <col min="13519" max="13520" width="9.28515625" style="1" bestFit="1" customWidth="1"/>
    <col min="13521" max="13521" width="9.140625" style="1"/>
    <col min="13522" max="13522" width="9.28515625" style="1" bestFit="1" customWidth="1"/>
    <col min="13523" max="13525" width="9.140625" style="1"/>
    <col min="13526" max="13528" width="9.28515625" style="1" bestFit="1" customWidth="1"/>
    <col min="13529" max="13531" width="9.140625" style="1"/>
    <col min="13532" max="13533" width="9.28515625" style="1" bestFit="1" customWidth="1"/>
    <col min="13534" max="13534" width="9.140625" style="1"/>
    <col min="13535" max="13536" width="9.28515625" style="1" bestFit="1" customWidth="1"/>
    <col min="13537" max="13537" width="9.140625" style="1"/>
    <col min="13538" max="13538" width="9.28515625" style="1" bestFit="1" customWidth="1"/>
    <col min="13539" max="13541" width="9.140625" style="1"/>
    <col min="13542" max="13544" width="9.28515625" style="1" bestFit="1" customWidth="1"/>
    <col min="13545" max="13547" width="9.140625" style="1"/>
    <col min="13548" max="13549" width="9.28515625" style="1" bestFit="1" customWidth="1"/>
    <col min="13550" max="13550" width="9.140625" style="1"/>
    <col min="13551" max="13552" width="9.28515625" style="1" bestFit="1" customWidth="1"/>
    <col min="13553" max="13553" width="9.140625" style="1"/>
    <col min="13554" max="13554" width="9.28515625" style="1" bestFit="1" customWidth="1"/>
    <col min="13555" max="13557" width="9.140625" style="1"/>
    <col min="13558" max="13560" width="9.28515625" style="1" bestFit="1" customWidth="1"/>
    <col min="13561" max="13563" width="9.140625" style="1"/>
    <col min="13564" max="13565" width="9.28515625" style="1" bestFit="1" customWidth="1"/>
    <col min="13566" max="13566" width="9.140625" style="1"/>
    <col min="13567" max="13568" width="9.28515625" style="1" bestFit="1" customWidth="1"/>
    <col min="13569" max="13569" width="9.140625" style="1"/>
    <col min="13570" max="13570" width="9.28515625" style="1" bestFit="1" customWidth="1"/>
    <col min="13571" max="13573" width="9.140625" style="1"/>
    <col min="13574" max="13576" width="9.28515625" style="1" bestFit="1" customWidth="1"/>
    <col min="13577" max="13579" width="9.140625" style="1"/>
    <col min="13580" max="13581" width="9.28515625" style="1" bestFit="1" customWidth="1"/>
    <col min="13582" max="13582" width="9.140625" style="1"/>
    <col min="13583" max="13584" width="9.28515625" style="1" bestFit="1" customWidth="1"/>
    <col min="13585" max="13585" width="9.140625" style="1"/>
    <col min="13586" max="13586" width="9.28515625" style="1" bestFit="1" customWidth="1"/>
    <col min="13587" max="13589" width="9.140625" style="1"/>
    <col min="13590" max="13592" width="9.28515625" style="1" bestFit="1" customWidth="1"/>
    <col min="13593" max="13595" width="9.140625" style="1"/>
    <col min="13596" max="13597" width="9.28515625" style="1" bestFit="1" customWidth="1"/>
    <col min="13598" max="13598" width="9.140625" style="1"/>
    <col min="13599" max="13600" width="9.28515625" style="1" bestFit="1" customWidth="1"/>
    <col min="13601" max="13601" width="9.140625" style="1"/>
    <col min="13602" max="13602" width="9.28515625" style="1" bestFit="1" customWidth="1"/>
    <col min="13603" max="13605" width="9.140625" style="1"/>
    <col min="13606" max="13608" width="9.28515625" style="1" bestFit="1" customWidth="1"/>
    <col min="13609" max="13611" width="9.140625" style="1"/>
    <col min="13612" max="13613" width="9.28515625" style="1" bestFit="1" customWidth="1"/>
    <col min="13614" max="13614" width="9.140625" style="1"/>
    <col min="13615" max="13616" width="9.28515625" style="1" bestFit="1" customWidth="1"/>
    <col min="13617" max="13617" width="9.140625" style="1"/>
    <col min="13618" max="13618" width="9.28515625" style="1" bestFit="1" customWidth="1"/>
    <col min="13619" max="13621" width="9.140625" style="1"/>
    <col min="13622" max="13624" width="9.28515625" style="1" bestFit="1" customWidth="1"/>
    <col min="13625" max="13627" width="9.140625" style="1"/>
    <col min="13628" max="13629" width="9.28515625" style="1" bestFit="1" customWidth="1"/>
    <col min="13630" max="13630" width="9.140625" style="1"/>
    <col min="13631" max="13632" width="9.28515625" style="1" bestFit="1" customWidth="1"/>
    <col min="13633" max="13633" width="9.140625" style="1"/>
    <col min="13634" max="13634" width="9.28515625" style="1" bestFit="1" customWidth="1"/>
    <col min="13635" max="13637" width="9.140625" style="1"/>
    <col min="13638" max="13640" width="9.28515625" style="1" bestFit="1" customWidth="1"/>
    <col min="13641" max="13643" width="9.140625" style="1"/>
    <col min="13644" max="13645" width="9.28515625" style="1" bestFit="1" customWidth="1"/>
    <col min="13646" max="13646" width="9.140625" style="1"/>
    <col min="13647" max="13648" width="9.28515625" style="1" bestFit="1" customWidth="1"/>
    <col min="13649" max="13649" width="9.140625" style="1"/>
    <col min="13650" max="13650" width="9.28515625" style="1" bestFit="1" customWidth="1"/>
    <col min="13651" max="13653" width="9.140625" style="1"/>
    <col min="13654" max="13656" width="9.28515625" style="1" bestFit="1" customWidth="1"/>
    <col min="13657" max="13659" width="9.140625" style="1"/>
    <col min="13660" max="13661" width="9.28515625" style="1" bestFit="1" customWidth="1"/>
    <col min="13662" max="13662" width="9.140625" style="1"/>
    <col min="13663" max="13664" width="9.28515625" style="1" bestFit="1" customWidth="1"/>
    <col min="13665" max="13665" width="9.140625" style="1"/>
    <col min="13666" max="13666" width="9.28515625" style="1" bestFit="1" customWidth="1"/>
    <col min="13667" max="13669" width="9.140625" style="1"/>
    <col min="13670" max="13672" width="9.28515625" style="1" bestFit="1" customWidth="1"/>
    <col min="13673" max="13675" width="9.140625" style="1"/>
    <col min="13676" max="13677" width="9.28515625" style="1" bestFit="1" customWidth="1"/>
    <col min="13678" max="13678" width="9.140625" style="1"/>
    <col min="13679" max="13680" width="9.28515625" style="1" bestFit="1" customWidth="1"/>
    <col min="13681" max="13681" width="9.140625" style="1"/>
    <col min="13682" max="13682" width="9.28515625" style="1" bestFit="1" customWidth="1"/>
    <col min="13683" max="13685" width="9.140625" style="1"/>
    <col min="13686" max="13688" width="9.28515625" style="1" bestFit="1" customWidth="1"/>
    <col min="13689" max="13691" width="9.140625" style="1"/>
    <col min="13692" max="13693" width="9.28515625" style="1" bestFit="1" customWidth="1"/>
    <col min="13694" max="13694" width="9.140625" style="1"/>
    <col min="13695" max="13696" width="9.28515625" style="1" bestFit="1" customWidth="1"/>
    <col min="13697" max="13697" width="9.140625" style="1"/>
    <col min="13698" max="13698" width="9.28515625" style="1" bestFit="1" customWidth="1"/>
    <col min="13699" max="13701" width="9.140625" style="1"/>
    <col min="13702" max="13704" width="9.28515625" style="1" bestFit="1" customWidth="1"/>
    <col min="13705" max="13707" width="9.140625" style="1"/>
    <col min="13708" max="13709" width="9.28515625" style="1" bestFit="1" customWidth="1"/>
    <col min="13710" max="13710" width="9.140625" style="1"/>
    <col min="13711" max="13712" width="9.28515625" style="1" bestFit="1" customWidth="1"/>
    <col min="13713" max="13713" width="9.140625" style="1"/>
    <col min="13714" max="13714" width="9.28515625" style="1" bestFit="1" customWidth="1"/>
    <col min="13715" max="13717" width="9.140625" style="1"/>
    <col min="13718" max="13720" width="9.28515625" style="1" bestFit="1" customWidth="1"/>
    <col min="13721" max="13723" width="9.140625" style="1"/>
    <col min="13724" max="13725" width="9.28515625" style="1" bestFit="1" customWidth="1"/>
    <col min="13726" max="13726" width="9.140625" style="1"/>
    <col min="13727" max="13728" width="9.28515625" style="1" bestFit="1" customWidth="1"/>
    <col min="13729" max="13729" width="9.140625" style="1"/>
    <col min="13730" max="13730" width="9.28515625" style="1" bestFit="1" customWidth="1"/>
    <col min="13731" max="13733" width="9.140625" style="1"/>
    <col min="13734" max="13736" width="9.28515625" style="1" bestFit="1" customWidth="1"/>
    <col min="13737" max="13739" width="9.140625" style="1"/>
    <col min="13740" max="13741" width="9.28515625" style="1" bestFit="1" customWidth="1"/>
    <col min="13742" max="13742" width="9.140625" style="1"/>
    <col min="13743" max="13744" width="9.28515625" style="1" bestFit="1" customWidth="1"/>
    <col min="13745" max="13745" width="9.140625" style="1"/>
    <col min="13746" max="13746" width="9.28515625" style="1" bestFit="1" customWidth="1"/>
    <col min="13747" max="13749" width="9.140625" style="1"/>
    <col min="13750" max="13752" width="9.28515625" style="1" bestFit="1" customWidth="1"/>
    <col min="13753" max="13755" width="9.140625" style="1"/>
    <col min="13756" max="13757" width="9.28515625" style="1" bestFit="1" customWidth="1"/>
    <col min="13758" max="13758" width="9.140625" style="1"/>
    <col min="13759" max="13760" width="9.28515625" style="1" bestFit="1" customWidth="1"/>
    <col min="13761" max="13761" width="9.140625" style="1"/>
    <col min="13762" max="13762" width="9.28515625" style="1" bestFit="1" customWidth="1"/>
    <col min="13763" max="13765" width="9.140625" style="1"/>
    <col min="13766" max="13768" width="9.28515625" style="1" bestFit="1" customWidth="1"/>
    <col min="13769" max="13771" width="9.140625" style="1"/>
    <col min="13772" max="13773" width="9.28515625" style="1" bestFit="1" customWidth="1"/>
    <col min="13774" max="13774" width="9.140625" style="1"/>
    <col min="13775" max="13776" width="9.28515625" style="1" bestFit="1" customWidth="1"/>
    <col min="13777" max="13777" width="9.140625" style="1"/>
    <col min="13778" max="13778" width="9.28515625" style="1" bestFit="1" customWidth="1"/>
    <col min="13779" max="13781" width="9.140625" style="1"/>
    <col min="13782" max="13784" width="9.28515625" style="1" bestFit="1" customWidth="1"/>
    <col min="13785" max="13787" width="9.140625" style="1"/>
    <col min="13788" max="13789" width="9.28515625" style="1" bestFit="1" customWidth="1"/>
    <col min="13790" max="13790" width="9.140625" style="1"/>
    <col min="13791" max="13792" width="9.28515625" style="1" bestFit="1" customWidth="1"/>
    <col min="13793" max="13793" width="9.140625" style="1"/>
    <col min="13794" max="13794" width="9.28515625" style="1" bestFit="1" customWidth="1"/>
    <col min="13795" max="13797" width="9.140625" style="1"/>
    <col min="13798" max="13800" width="9.28515625" style="1" bestFit="1" customWidth="1"/>
    <col min="13801" max="13803" width="9.140625" style="1"/>
    <col min="13804" max="13805" width="9.28515625" style="1" bestFit="1" customWidth="1"/>
    <col min="13806" max="13806" width="9.140625" style="1"/>
    <col min="13807" max="13808" width="9.28515625" style="1" bestFit="1" customWidth="1"/>
    <col min="13809" max="13809" width="9.140625" style="1"/>
    <col min="13810" max="13810" width="9.28515625" style="1" bestFit="1" customWidth="1"/>
    <col min="13811" max="13813" width="9.140625" style="1"/>
    <col min="13814" max="13816" width="9.28515625" style="1" bestFit="1" customWidth="1"/>
    <col min="13817" max="13819" width="9.140625" style="1"/>
    <col min="13820" max="13821" width="9.28515625" style="1" bestFit="1" customWidth="1"/>
    <col min="13822" max="13822" width="9.140625" style="1"/>
    <col min="13823" max="13824" width="9.28515625" style="1" bestFit="1" customWidth="1"/>
    <col min="13825" max="13825" width="9.140625" style="1"/>
    <col min="13826" max="13826" width="9.28515625" style="1" bestFit="1" customWidth="1"/>
    <col min="13827" max="13829" width="9.140625" style="1"/>
    <col min="13830" max="13832" width="9.28515625" style="1" bestFit="1" customWidth="1"/>
    <col min="13833" max="13835" width="9.140625" style="1"/>
    <col min="13836" max="13837" width="9.28515625" style="1" bestFit="1" customWidth="1"/>
    <col min="13838" max="13838" width="9.140625" style="1"/>
    <col min="13839" max="13840" width="9.28515625" style="1" bestFit="1" customWidth="1"/>
    <col min="13841" max="13841" width="9.140625" style="1"/>
    <col min="13842" max="13842" width="9.28515625" style="1" bestFit="1" customWidth="1"/>
    <col min="13843" max="13845" width="9.140625" style="1"/>
    <col min="13846" max="13848" width="9.28515625" style="1" bestFit="1" customWidth="1"/>
    <col min="13849" max="13851" width="9.140625" style="1"/>
    <col min="13852" max="13853" width="9.28515625" style="1" bestFit="1" customWidth="1"/>
    <col min="13854" max="13854" width="9.140625" style="1"/>
    <col min="13855" max="13856" width="9.28515625" style="1" bestFit="1" customWidth="1"/>
    <col min="13857" max="13857" width="9.140625" style="1"/>
    <col min="13858" max="13858" width="9.28515625" style="1" bestFit="1" customWidth="1"/>
    <col min="13859" max="13861" width="9.140625" style="1"/>
    <col min="13862" max="13864" width="9.28515625" style="1" bestFit="1" customWidth="1"/>
    <col min="13865" max="13867" width="9.140625" style="1"/>
    <col min="13868" max="13869" width="9.28515625" style="1" bestFit="1" customWidth="1"/>
    <col min="13870" max="13870" width="9.140625" style="1"/>
    <col min="13871" max="13872" width="9.28515625" style="1" bestFit="1" customWidth="1"/>
    <col min="13873" max="13873" width="9.140625" style="1"/>
    <col min="13874" max="13874" width="9.28515625" style="1" bestFit="1" customWidth="1"/>
    <col min="13875" max="13877" width="9.140625" style="1"/>
    <col min="13878" max="13880" width="9.28515625" style="1" bestFit="1" customWidth="1"/>
    <col min="13881" max="13883" width="9.140625" style="1"/>
    <col min="13884" max="13885" width="9.28515625" style="1" bestFit="1" customWidth="1"/>
    <col min="13886" max="13886" width="9.140625" style="1"/>
    <col min="13887" max="13888" width="9.28515625" style="1" bestFit="1" customWidth="1"/>
    <col min="13889" max="13889" width="9.140625" style="1"/>
    <col min="13890" max="13890" width="9.28515625" style="1" bestFit="1" customWidth="1"/>
    <col min="13891" max="13893" width="9.140625" style="1"/>
    <col min="13894" max="13896" width="9.28515625" style="1" bestFit="1" customWidth="1"/>
    <col min="13897" max="13899" width="9.140625" style="1"/>
    <col min="13900" max="13901" width="9.28515625" style="1" bestFit="1" customWidth="1"/>
    <col min="13902" max="13902" width="9.140625" style="1"/>
    <col min="13903" max="13904" width="9.28515625" style="1" bestFit="1" customWidth="1"/>
    <col min="13905" max="13905" width="9.140625" style="1"/>
    <col min="13906" max="13906" width="9.28515625" style="1" bestFit="1" customWidth="1"/>
    <col min="13907" max="13909" width="9.140625" style="1"/>
    <col min="13910" max="13912" width="9.28515625" style="1" bestFit="1" customWidth="1"/>
    <col min="13913" max="13915" width="9.140625" style="1"/>
    <col min="13916" max="13917" width="9.28515625" style="1" bestFit="1" customWidth="1"/>
    <col min="13918" max="13918" width="9.140625" style="1"/>
    <col min="13919" max="13920" width="9.28515625" style="1" bestFit="1" customWidth="1"/>
    <col min="13921" max="13921" width="9.140625" style="1"/>
    <col min="13922" max="13922" width="9.28515625" style="1" bestFit="1" customWidth="1"/>
    <col min="13923" max="13925" width="9.140625" style="1"/>
    <col min="13926" max="13928" width="9.28515625" style="1" bestFit="1" customWidth="1"/>
    <col min="13929" max="13931" width="9.140625" style="1"/>
    <col min="13932" max="13933" width="9.28515625" style="1" bestFit="1" customWidth="1"/>
    <col min="13934" max="13934" width="9.140625" style="1"/>
    <col min="13935" max="13936" width="9.28515625" style="1" bestFit="1" customWidth="1"/>
    <col min="13937" max="13937" width="9.140625" style="1"/>
    <col min="13938" max="13938" width="9.28515625" style="1" bestFit="1" customWidth="1"/>
    <col min="13939" max="13941" width="9.140625" style="1"/>
    <col min="13942" max="13944" width="9.28515625" style="1" bestFit="1" customWidth="1"/>
    <col min="13945" max="13947" width="9.140625" style="1"/>
    <col min="13948" max="13949" width="9.28515625" style="1" bestFit="1" customWidth="1"/>
    <col min="13950" max="13950" width="9.140625" style="1"/>
    <col min="13951" max="13952" width="9.28515625" style="1" bestFit="1" customWidth="1"/>
    <col min="13953" max="13953" width="9.140625" style="1"/>
    <col min="13954" max="13954" width="9.28515625" style="1" bestFit="1" customWidth="1"/>
    <col min="13955" max="13957" width="9.140625" style="1"/>
    <col min="13958" max="13960" width="9.28515625" style="1" bestFit="1" customWidth="1"/>
    <col min="13961" max="13963" width="9.140625" style="1"/>
    <col min="13964" max="13965" width="9.28515625" style="1" bestFit="1" customWidth="1"/>
    <col min="13966" max="13966" width="9.140625" style="1"/>
    <col min="13967" max="13968" width="9.28515625" style="1" bestFit="1" customWidth="1"/>
    <col min="13969" max="13969" width="9.140625" style="1"/>
    <col min="13970" max="13970" width="9.28515625" style="1" bestFit="1" customWidth="1"/>
    <col min="13971" max="13973" width="9.140625" style="1"/>
    <col min="13974" max="13976" width="9.28515625" style="1" bestFit="1" customWidth="1"/>
    <col min="13977" max="13979" width="9.140625" style="1"/>
    <col min="13980" max="13981" width="9.28515625" style="1" bestFit="1" customWidth="1"/>
    <col min="13982" max="13982" width="9.140625" style="1"/>
    <col min="13983" max="13984" width="9.28515625" style="1" bestFit="1" customWidth="1"/>
    <col min="13985" max="13985" width="9.140625" style="1"/>
    <col min="13986" max="13986" width="9.28515625" style="1" bestFit="1" customWidth="1"/>
    <col min="13987" max="13989" width="9.140625" style="1"/>
    <col min="13990" max="13992" width="9.28515625" style="1" bestFit="1" customWidth="1"/>
    <col min="13993" max="13995" width="9.140625" style="1"/>
    <col min="13996" max="13997" width="9.28515625" style="1" bestFit="1" customWidth="1"/>
    <col min="13998" max="13998" width="9.140625" style="1"/>
    <col min="13999" max="14000" width="9.28515625" style="1" bestFit="1" customWidth="1"/>
    <col min="14001" max="14001" width="9.140625" style="1"/>
    <col min="14002" max="14002" width="9.28515625" style="1" bestFit="1" customWidth="1"/>
    <col min="14003" max="14005" width="9.140625" style="1"/>
    <col min="14006" max="14008" width="9.28515625" style="1" bestFit="1" customWidth="1"/>
    <col min="14009" max="14011" width="9.140625" style="1"/>
    <col min="14012" max="14013" width="9.28515625" style="1" bestFit="1" customWidth="1"/>
    <col min="14014" max="14014" width="9.140625" style="1"/>
    <col min="14015" max="14016" width="9.28515625" style="1" bestFit="1" customWidth="1"/>
    <col min="14017" max="14017" width="9.140625" style="1"/>
    <col min="14018" max="14018" width="9.28515625" style="1" bestFit="1" customWidth="1"/>
    <col min="14019" max="14021" width="9.140625" style="1"/>
    <col min="14022" max="14024" width="9.28515625" style="1" bestFit="1" customWidth="1"/>
    <col min="14025" max="14027" width="9.140625" style="1"/>
    <col min="14028" max="14029" width="9.28515625" style="1" bestFit="1" customWidth="1"/>
    <col min="14030" max="14030" width="9.140625" style="1"/>
    <col min="14031" max="14032" width="9.28515625" style="1" bestFit="1" customWidth="1"/>
    <col min="14033" max="14033" width="9.140625" style="1"/>
    <col min="14034" max="14034" width="9.28515625" style="1" bestFit="1" customWidth="1"/>
    <col min="14035" max="14037" width="9.140625" style="1"/>
    <col min="14038" max="14040" width="9.28515625" style="1" bestFit="1" customWidth="1"/>
    <col min="14041" max="14043" width="9.140625" style="1"/>
    <col min="14044" max="14045" width="9.28515625" style="1" bestFit="1" customWidth="1"/>
    <col min="14046" max="14046" width="9.140625" style="1"/>
    <col min="14047" max="14048" width="9.28515625" style="1" bestFit="1" customWidth="1"/>
    <col min="14049" max="14049" width="9.140625" style="1"/>
    <col min="14050" max="14050" width="9.28515625" style="1" bestFit="1" customWidth="1"/>
    <col min="14051" max="14053" width="9.140625" style="1"/>
    <col min="14054" max="14056" width="9.28515625" style="1" bestFit="1" customWidth="1"/>
    <col min="14057" max="14059" width="9.140625" style="1"/>
    <col min="14060" max="14061" width="9.28515625" style="1" bestFit="1" customWidth="1"/>
    <col min="14062" max="14062" width="9.140625" style="1"/>
    <col min="14063" max="14064" width="9.28515625" style="1" bestFit="1" customWidth="1"/>
    <col min="14065" max="14065" width="9.140625" style="1"/>
    <col min="14066" max="14066" width="9.28515625" style="1" bestFit="1" customWidth="1"/>
    <col min="14067" max="14069" width="9.140625" style="1"/>
    <col min="14070" max="14072" width="9.28515625" style="1" bestFit="1" customWidth="1"/>
    <col min="14073" max="14075" width="9.140625" style="1"/>
    <col min="14076" max="14077" width="9.28515625" style="1" bestFit="1" customWidth="1"/>
    <col min="14078" max="14078" width="9.140625" style="1"/>
    <col min="14079" max="14080" width="9.28515625" style="1" bestFit="1" customWidth="1"/>
    <col min="14081" max="14081" width="9.140625" style="1"/>
    <col min="14082" max="14082" width="9.28515625" style="1" bestFit="1" customWidth="1"/>
    <col min="14083" max="14085" width="9.140625" style="1"/>
    <col min="14086" max="14088" width="9.28515625" style="1" bestFit="1" customWidth="1"/>
    <col min="14089" max="14091" width="9.140625" style="1"/>
    <col min="14092" max="14093" width="9.28515625" style="1" bestFit="1" customWidth="1"/>
    <col min="14094" max="14094" width="9.140625" style="1"/>
    <col min="14095" max="14096" width="9.28515625" style="1" bestFit="1" customWidth="1"/>
    <col min="14097" max="14097" width="9.140625" style="1"/>
    <col min="14098" max="14098" width="9.28515625" style="1" bestFit="1" customWidth="1"/>
    <col min="14099" max="14101" width="9.140625" style="1"/>
    <col min="14102" max="14104" width="9.28515625" style="1" bestFit="1" customWidth="1"/>
    <col min="14105" max="14107" width="9.140625" style="1"/>
    <col min="14108" max="14109" width="9.28515625" style="1" bestFit="1" customWidth="1"/>
    <col min="14110" max="14110" width="9.140625" style="1"/>
    <col min="14111" max="14112" width="9.28515625" style="1" bestFit="1" customWidth="1"/>
    <col min="14113" max="14113" width="9.140625" style="1"/>
    <col min="14114" max="14114" width="9.28515625" style="1" bestFit="1" customWidth="1"/>
    <col min="14115" max="14117" width="9.140625" style="1"/>
    <col min="14118" max="14120" width="9.28515625" style="1" bestFit="1" customWidth="1"/>
    <col min="14121" max="14123" width="9.140625" style="1"/>
    <col min="14124" max="14125" width="9.28515625" style="1" bestFit="1" customWidth="1"/>
    <col min="14126" max="14126" width="9.140625" style="1"/>
    <col min="14127" max="14128" width="9.28515625" style="1" bestFit="1" customWidth="1"/>
    <col min="14129" max="14129" width="9.140625" style="1"/>
    <col min="14130" max="14130" width="9.28515625" style="1" bestFit="1" customWidth="1"/>
    <col min="14131" max="14133" width="9.140625" style="1"/>
    <col min="14134" max="14136" width="9.28515625" style="1" bestFit="1" customWidth="1"/>
    <col min="14137" max="14139" width="9.140625" style="1"/>
    <col min="14140" max="14141" width="9.28515625" style="1" bestFit="1" customWidth="1"/>
    <col min="14142" max="14142" width="9.140625" style="1"/>
    <col min="14143" max="14144" width="9.28515625" style="1" bestFit="1" customWidth="1"/>
    <col min="14145" max="14145" width="9.140625" style="1"/>
    <col min="14146" max="14146" width="9.28515625" style="1" bestFit="1" customWidth="1"/>
    <col min="14147" max="14149" width="9.140625" style="1"/>
    <col min="14150" max="14152" width="9.28515625" style="1" bestFit="1" customWidth="1"/>
    <col min="14153" max="14155" width="9.140625" style="1"/>
    <col min="14156" max="14157" width="9.28515625" style="1" bestFit="1" customWidth="1"/>
    <col min="14158" max="14158" width="9.140625" style="1"/>
    <col min="14159" max="14160" width="9.28515625" style="1" bestFit="1" customWidth="1"/>
    <col min="14161" max="14161" width="9.140625" style="1"/>
    <col min="14162" max="14162" width="9.28515625" style="1" bestFit="1" customWidth="1"/>
    <col min="14163" max="14165" width="9.140625" style="1"/>
    <col min="14166" max="14168" width="9.28515625" style="1" bestFit="1" customWidth="1"/>
    <col min="14169" max="14171" width="9.140625" style="1"/>
    <col min="14172" max="14173" width="9.28515625" style="1" bestFit="1" customWidth="1"/>
    <col min="14174" max="14174" width="9.140625" style="1"/>
    <col min="14175" max="14176" width="9.28515625" style="1" bestFit="1" customWidth="1"/>
    <col min="14177" max="14177" width="9.140625" style="1"/>
    <col min="14178" max="14178" width="9.28515625" style="1" bestFit="1" customWidth="1"/>
    <col min="14179" max="14181" width="9.140625" style="1"/>
    <col min="14182" max="14184" width="9.28515625" style="1" bestFit="1" customWidth="1"/>
    <col min="14185" max="14187" width="9.140625" style="1"/>
    <col min="14188" max="14189" width="9.28515625" style="1" bestFit="1" customWidth="1"/>
    <col min="14190" max="14190" width="9.140625" style="1"/>
    <col min="14191" max="14192" width="9.28515625" style="1" bestFit="1" customWidth="1"/>
    <col min="14193" max="14193" width="9.140625" style="1"/>
    <col min="14194" max="14194" width="9.28515625" style="1" bestFit="1" customWidth="1"/>
    <col min="14195" max="14197" width="9.140625" style="1"/>
    <col min="14198" max="14200" width="9.28515625" style="1" bestFit="1" customWidth="1"/>
    <col min="14201" max="14203" width="9.140625" style="1"/>
    <col min="14204" max="14205" width="9.28515625" style="1" bestFit="1" customWidth="1"/>
    <col min="14206" max="14206" width="9.140625" style="1"/>
    <col min="14207" max="14208" width="9.28515625" style="1" bestFit="1" customWidth="1"/>
    <col min="14209" max="14209" width="9.140625" style="1"/>
    <col min="14210" max="14210" width="9.28515625" style="1" bestFit="1" customWidth="1"/>
    <col min="14211" max="14213" width="9.140625" style="1"/>
    <col min="14214" max="14216" width="9.28515625" style="1" bestFit="1" customWidth="1"/>
    <col min="14217" max="14219" width="9.140625" style="1"/>
    <col min="14220" max="14221" width="9.28515625" style="1" bestFit="1" customWidth="1"/>
    <col min="14222" max="14222" width="9.140625" style="1"/>
    <col min="14223" max="14224" width="9.28515625" style="1" bestFit="1" customWidth="1"/>
    <col min="14225" max="14225" width="9.140625" style="1"/>
    <col min="14226" max="14226" width="9.28515625" style="1" bestFit="1" customWidth="1"/>
    <col min="14227" max="14229" width="9.140625" style="1"/>
    <col min="14230" max="14232" width="9.28515625" style="1" bestFit="1" customWidth="1"/>
    <col min="14233" max="14235" width="9.140625" style="1"/>
    <col min="14236" max="14237" width="9.28515625" style="1" bestFit="1" customWidth="1"/>
    <col min="14238" max="14238" width="9.140625" style="1"/>
    <col min="14239" max="14240" width="9.28515625" style="1" bestFit="1" customWidth="1"/>
    <col min="14241" max="14241" width="9.140625" style="1"/>
    <col min="14242" max="14242" width="9.28515625" style="1" bestFit="1" customWidth="1"/>
    <col min="14243" max="14245" width="9.140625" style="1"/>
    <col min="14246" max="14248" width="9.28515625" style="1" bestFit="1" customWidth="1"/>
    <col min="14249" max="14251" width="9.140625" style="1"/>
    <col min="14252" max="14253" width="9.28515625" style="1" bestFit="1" customWidth="1"/>
    <col min="14254" max="14254" width="9.140625" style="1"/>
    <col min="14255" max="14256" width="9.28515625" style="1" bestFit="1" customWidth="1"/>
    <col min="14257" max="14257" width="9.140625" style="1"/>
    <col min="14258" max="14258" width="9.28515625" style="1" bestFit="1" customWidth="1"/>
    <col min="14259" max="14261" width="9.140625" style="1"/>
    <col min="14262" max="14264" width="9.28515625" style="1" bestFit="1" customWidth="1"/>
    <col min="14265" max="14267" width="9.140625" style="1"/>
    <col min="14268" max="14269" width="9.28515625" style="1" bestFit="1" customWidth="1"/>
    <col min="14270" max="14270" width="9.140625" style="1"/>
    <col min="14271" max="14272" width="9.28515625" style="1" bestFit="1" customWidth="1"/>
    <col min="14273" max="14273" width="9.140625" style="1"/>
    <col min="14274" max="14274" width="9.28515625" style="1" bestFit="1" customWidth="1"/>
    <col min="14275" max="14277" width="9.140625" style="1"/>
    <col min="14278" max="14280" width="9.28515625" style="1" bestFit="1" customWidth="1"/>
    <col min="14281" max="14283" width="9.140625" style="1"/>
    <col min="14284" max="14285" width="9.28515625" style="1" bestFit="1" customWidth="1"/>
    <col min="14286" max="14286" width="9.140625" style="1"/>
    <col min="14287" max="14288" width="9.28515625" style="1" bestFit="1" customWidth="1"/>
    <col min="14289" max="14289" width="9.140625" style="1"/>
    <col min="14290" max="14290" width="9.28515625" style="1" bestFit="1" customWidth="1"/>
    <col min="14291" max="14293" width="9.140625" style="1"/>
    <col min="14294" max="14296" width="9.28515625" style="1" bestFit="1" customWidth="1"/>
    <col min="14297" max="14299" width="9.140625" style="1"/>
    <col min="14300" max="14301" width="9.28515625" style="1" bestFit="1" customWidth="1"/>
    <col min="14302" max="14302" width="9.140625" style="1"/>
    <col min="14303" max="14304" width="9.28515625" style="1" bestFit="1" customWidth="1"/>
    <col min="14305" max="14305" width="9.140625" style="1"/>
    <col min="14306" max="14306" width="9.28515625" style="1" bestFit="1" customWidth="1"/>
    <col min="14307" max="14309" width="9.140625" style="1"/>
    <col min="14310" max="14312" width="9.28515625" style="1" bestFit="1" customWidth="1"/>
    <col min="14313" max="14315" width="9.140625" style="1"/>
    <col min="14316" max="14317" width="9.28515625" style="1" bestFit="1" customWidth="1"/>
    <col min="14318" max="14318" width="9.140625" style="1"/>
    <col min="14319" max="14320" width="9.28515625" style="1" bestFit="1" customWidth="1"/>
    <col min="14321" max="14321" width="9.140625" style="1"/>
    <col min="14322" max="14322" width="9.28515625" style="1" bestFit="1" customWidth="1"/>
    <col min="14323" max="14325" width="9.140625" style="1"/>
    <col min="14326" max="14328" width="9.28515625" style="1" bestFit="1" customWidth="1"/>
    <col min="14329" max="14331" width="9.140625" style="1"/>
    <col min="14332" max="14333" width="9.28515625" style="1" bestFit="1" customWidth="1"/>
    <col min="14334" max="14334" width="9.140625" style="1"/>
    <col min="14335" max="14336" width="9.28515625" style="1" bestFit="1" customWidth="1"/>
    <col min="14337" max="14337" width="9.140625" style="1"/>
    <col min="14338" max="14338" width="9.28515625" style="1" bestFit="1" customWidth="1"/>
    <col min="14339" max="14341" width="9.140625" style="1"/>
    <col min="14342" max="14344" width="9.28515625" style="1" bestFit="1" customWidth="1"/>
    <col min="14345" max="14347" width="9.140625" style="1"/>
    <col min="14348" max="14349" width="9.28515625" style="1" bestFit="1" customWidth="1"/>
    <col min="14350" max="14350" width="9.140625" style="1"/>
    <col min="14351" max="14352" width="9.28515625" style="1" bestFit="1" customWidth="1"/>
    <col min="14353" max="14353" width="9.140625" style="1"/>
    <col min="14354" max="14354" width="9.28515625" style="1" bestFit="1" customWidth="1"/>
    <col min="14355" max="14357" width="9.140625" style="1"/>
    <col min="14358" max="14360" width="9.28515625" style="1" bestFit="1" customWidth="1"/>
    <col min="14361" max="14363" width="9.140625" style="1"/>
    <col min="14364" max="14365" width="9.28515625" style="1" bestFit="1" customWidth="1"/>
    <col min="14366" max="14366" width="9.140625" style="1"/>
    <col min="14367" max="14368" width="9.28515625" style="1" bestFit="1" customWidth="1"/>
    <col min="14369" max="14369" width="9.140625" style="1"/>
    <col min="14370" max="14370" width="9.28515625" style="1" bestFit="1" customWidth="1"/>
    <col min="14371" max="14373" width="9.140625" style="1"/>
    <col min="14374" max="14376" width="9.28515625" style="1" bestFit="1" customWidth="1"/>
    <col min="14377" max="14379" width="9.140625" style="1"/>
    <col min="14380" max="14381" width="9.28515625" style="1" bestFit="1" customWidth="1"/>
    <col min="14382" max="14382" width="9.140625" style="1"/>
    <col min="14383" max="14384" width="9.28515625" style="1" bestFit="1" customWidth="1"/>
    <col min="14385" max="14385" width="9.140625" style="1"/>
    <col min="14386" max="14386" width="9.28515625" style="1" bestFit="1" customWidth="1"/>
    <col min="14387" max="14389" width="9.140625" style="1"/>
    <col min="14390" max="14392" width="9.28515625" style="1" bestFit="1" customWidth="1"/>
    <col min="14393" max="14395" width="9.140625" style="1"/>
    <col min="14396" max="14397" width="9.28515625" style="1" bestFit="1" customWidth="1"/>
    <col min="14398" max="14398" width="9.140625" style="1"/>
    <col min="14399" max="14400" width="9.28515625" style="1" bestFit="1" customWidth="1"/>
    <col min="14401" max="14401" width="9.140625" style="1"/>
    <col min="14402" max="14402" width="9.28515625" style="1" bestFit="1" customWidth="1"/>
    <col min="14403" max="14405" width="9.140625" style="1"/>
    <col min="14406" max="14408" width="9.28515625" style="1" bestFit="1" customWidth="1"/>
    <col min="14409" max="14411" width="9.140625" style="1"/>
    <col min="14412" max="14413" width="9.28515625" style="1" bestFit="1" customWidth="1"/>
    <col min="14414" max="14414" width="9.140625" style="1"/>
    <col min="14415" max="14416" width="9.28515625" style="1" bestFit="1" customWidth="1"/>
    <col min="14417" max="14417" width="9.140625" style="1"/>
    <col min="14418" max="14418" width="9.28515625" style="1" bestFit="1" customWidth="1"/>
    <col min="14419" max="14421" width="9.140625" style="1"/>
    <col min="14422" max="14424" width="9.28515625" style="1" bestFit="1" customWidth="1"/>
    <col min="14425" max="14427" width="9.140625" style="1"/>
    <col min="14428" max="14429" width="9.28515625" style="1" bestFit="1" customWidth="1"/>
    <col min="14430" max="14430" width="9.140625" style="1"/>
    <col min="14431" max="14432" width="9.28515625" style="1" bestFit="1" customWidth="1"/>
    <col min="14433" max="14433" width="9.140625" style="1"/>
    <col min="14434" max="14434" width="9.28515625" style="1" bestFit="1" customWidth="1"/>
    <col min="14435" max="14437" width="9.140625" style="1"/>
    <col min="14438" max="14440" width="9.28515625" style="1" bestFit="1" customWidth="1"/>
    <col min="14441" max="14443" width="9.140625" style="1"/>
    <col min="14444" max="14445" width="9.28515625" style="1" bestFit="1" customWidth="1"/>
    <col min="14446" max="14446" width="9.140625" style="1"/>
    <col min="14447" max="14448" width="9.28515625" style="1" bestFit="1" customWidth="1"/>
    <col min="14449" max="14449" width="9.140625" style="1"/>
    <col min="14450" max="14450" width="9.28515625" style="1" bestFit="1" customWidth="1"/>
    <col min="14451" max="14453" width="9.140625" style="1"/>
    <col min="14454" max="14456" width="9.28515625" style="1" bestFit="1" customWidth="1"/>
    <col min="14457" max="14459" width="9.140625" style="1"/>
    <col min="14460" max="14461" width="9.28515625" style="1" bestFit="1" customWidth="1"/>
    <col min="14462" max="14462" width="9.140625" style="1"/>
    <col min="14463" max="14464" width="9.28515625" style="1" bestFit="1" customWidth="1"/>
    <col min="14465" max="14465" width="9.140625" style="1"/>
    <col min="14466" max="14466" width="9.28515625" style="1" bestFit="1" customWidth="1"/>
    <col min="14467" max="14469" width="9.140625" style="1"/>
    <col min="14470" max="14472" width="9.28515625" style="1" bestFit="1" customWidth="1"/>
    <col min="14473" max="14475" width="9.140625" style="1"/>
    <col min="14476" max="14477" width="9.28515625" style="1" bestFit="1" customWidth="1"/>
    <col min="14478" max="14478" width="9.140625" style="1"/>
    <col min="14479" max="14480" width="9.28515625" style="1" bestFit="1" customWidth="1"/>
    <col min="14481" max="14481" width="9.140625" style="1"/>
    <col min="14482" max="14482" width="9.28515625" style="1" bestFit="1" customWidth="1"/>
    <col min="14483" max="14485" width="9.140625" style="1"/>
    <col min="14486" max="14488" width="9.28515625" style="1" bestFit="1" customWidth="1"/>
    <col min="14489" max="14491" width="9.140625" style="1"/>
    <col min="14492" max="14493" width="9.28515625" style="1" bestFit="1" customWidth="1"/>
    <col min="14494" max="14494" width="9.140625" style="1"/>
    <col min="14495" max="14496" width="9.28515625" style="1" bestFit="1" customWidth="1"/>
    <col min="14497" max="14497" width="9.140625" style="1"/>
    <col min="14498" max="14498" width="9.28515625" style="1" bestFit="1" customWidth="1"/>
    <col min="14499" max="14501" width="9.140625" style="1"/>
    <col min="14502" max="14504" width="9.28515625" style="1" bestFit="1" customWidth="1"/>
    <col min="14505" max="14507" width="9.140625" style="1"/>
    <col min="14508" max="14509" width="9.28515625" style="1" bestFit="1" customWidth="1"/>
    <col min="14510" max="14510" width="9.140625" style="1"/>
    <col min="14511" max="14512" width="9.28515625" style="1" bestFit="1" customWidth="1"/>
    <col min="14513" max="14513" width="9.140625" style="1"/>
    <col min="14514" max="14514" width="9.28515625" style="1" bestFit="1" customWidth="1"/>
    <col min="14515" max="14517" width="9.140625" style="1"/>
    <col min="14518" max="14520" width="9.28515625" style="1" bestFit="1" customWidth="1"/>
    <col min="14521" max="14523" width="9.140625" style="1"/>
    <col min="14524" max="14525" width="9.28515625" style="1" bestFit="1" customWidth="1"/>
    <col min="14526" max="14526" width="9.140625" style="1"/>
    <col min="14527" max="14528" width="9.28515625" style="1" bestFit="1" customWidth="1"/>
    <col min="14529" max="14529" width="9.140625" style="1"/>
    <col min="14530" max="14530" width="9.28515625" style="1" bestFit="1" customWidth="1"/>
    <col min="14531" max="14533" width="9.140625" style="1"/>
    <col min="14534" max="14536" width="9.28515625" style="1" bestFit="1" customWidth="1"/>
    <col min="14537" max="14539" width="9.140625" style="1"/>
    <col min="14540" max="14541" width="9.28515625" style="1" bestFit="1" customWidth="1"/>
    <col min="14542" max="14542" width="9.140625" style="1"/>
    <col min="14543" max="14544" width="9.28515625" style="1" bestFit="1" customWidth="1"/>
    <col min="14545" max="14545" width="9.140625" style="1"/>
    <col min="14546" max="14546" width="9.28515625" style="1" bestFit="1" customWidth="1"/>
    <col min="14547" max="14549" width="9.140625" style="1"/>
    <col min="14550" max="14552" width="9.28515625" style="1" bestFit="1" customWidth="1"/>
    <col min="14553" max="14555" width="9.140625" style="1"/>
    <col min="14556" max="14557" width="9.28515625" style="1" bestFit="1" customWidth="1"/>
    <col min="14558" max="14558" width="9.140625" style="1"/>
    <col min="14559" max="14560" width="9.28515625" style="1" bestFit="1" customWidth="1"/>
    <col min="14561" max="14561" width="9.140625" style="1"/>
    <col min="14562" max="14562" width="9.28515625" style="1" bestFit="1" customWidth="1"/>
    <col min="14563" max="14565" width="9.140625" style="1"/>
    <col min="14566" max="14568" width="9.28515625" style="1" bestFit="1" customWidth="1"/>
    <col min="14569" max="14571" width="9.140625" style="1"/>
    <col min="14572" max="14573" width="9.28515625" style="1" bestFit="1" customWidth="1"/>
    <col min="14574" max="14574" width="9.140625" style="1"/>
    <col min="14575" max="14576" width="9.28515625" style="1" bestFit="1" customWidth="1"/>
    <col min="14577" max="14577" width="9.140625" style="1"/>
    <col min="14578" max="14578" width="9.28515625" style="1" bestFit="1" customWidth="1"/>
    <col min="14579" max="14581" width="9.140625" style="1"/>
    <col min="14582" max="14584" width="9.28515625" style="1" bestFit="1" customWidth="1"/>
    <col min="14585" max="14587" width="9.140625" style="1"/>
    <col min="14588" max="14589" width="9.28515625" style="1" bestFit="1" customWidth="1"/>
    <col min="14590" max="14590" width="9.140625" style="1"/>
    <col min="14591" max="14592" width="9.28515625" style="1" bestFit="1" customWidth="1"/>
    <col min="14593" max="14593" width="9.140625" style="1"/>
    <col min="14594" max="14594" width="9.28515625" style="1" bestFit="1" customWidth="1"/>
    <col min="14595" max="14597" width="9.140625" style="1"/>
    <col min="14598" max="14600" width="9.28515625" style="1" bestFit="1" customWidth="1"/>
    <col min="14601" max="14603" width="9.140625" style="1"/>
    <col min="14604" max="14605" width="9.28515625" style="1" bestFit="1" customWidth="1"/>
    <col min="14606" max="14606" width="9.140625" style="1"/>
    <col min="14607" max="14608" width="9.28515625" style="1" bestFit="1" customWidth="1"/>
    <col min="14609" max="14609" width="9.140625" style="1"/>
    <col min="14610" max="14610" width="9.28515625" style="1" bestFit="1" customWidth="1"/>
    <col min="14611" max="14613" width="9.140625" style="1"/>
    <col min="14614" max="14616" width="9.28515625" style="1" bestFit="1" customWidth="1"/>
    <col min="14617" max="14619" width="9.140625" style="1"/>
    <col min="14620" max="14621" width="9.28515625" style="1" bestFit="1" customWidth="1"/>
    <col min="14622" max="14622" width="9.140625" style="1"/>
    <col min="14623" max="14624" width="9.28515625" style="1" bestFit="1" customWidth="1"/>
    <col min="14625" max="14625" width="9.140625" style="1"/>
    <col min="14626" max="14626" width="9.28515625" style="1" bestFit="1" customWidth="1"/>
    <col min="14627" max="14629" width="9.140625" style="1"/>
    <col min="14630" max="14632" width="9.28515625" style="1" bestFit="1" customWidth="1"/>
    <col min="14633" max="14635" width="9.140625" style="1"/>
    <col min="14636" max="14637" width="9.28515625" style="1" bestFit="1" customWidth="1"/>
    <col min="14638" max="14638" width="9.140625" style="1"/>
    <col min="14639" max="14640" width="9.28515625" style="1" bestFit="1" customWidth="1"/>
    <col min="14641" max="14641" width="9.140625" style="1"/>
    <col min="14642" max="14642" width="9.28515625" style="1" bestFit="1" customWidth="1"/>
    <col min="14643" max="14645" width="9.140625" style="1"/>
    <col min="14646" max="14648" width="9.28515625" style="1" bestFit="1" customWidth="1"/>
    <col min="14649" max="14651" width="9.140625" style="1"/>
    <col min="14652" max="14653" width="9.28515625" style="1" bestFit="1" customWidth="1"/>
    <col min="14654" max="14654" width="9.140625" style="1"/>
    <col min="14655" max="14656" width="9.28515625" style="1" bestFit="1" customWidth="1"/>
    <col min="14657" max="14657" width="9.140625" style="1"/>
    <col min="14658" max="14658" width="9.28515625" style="1" bestFit="1" customWidth="1"/>
    <col min="14659" max="14661" width="9.140625" style="1"/>
    <col min="14662" max="14664" width="9.28515625" style="1" bestFit="1" customWidth="1"/>
    <col min="14665" max="14667" width="9.140625" style="1"/>
    <col min="14668" max="14669" width="9.28515625" style="1" bestFit="1" customWidth="1"/>
    <col min="14670" max="14670" width="9.140625" style="1"/>
    <col min="14671" max="14672" width="9.28515625" style="1" bestFit="1" customWidth="1"/>
    <col min="14673" max="14673" width="9.140625" style="1"/>
    <col min="14674" max="14674" width="9.28515625" style="1" bestFit="1" customWidth="1"/>
    <col min="14675" max="14677" width="9.140625" style="1"/>
    <col min="14678" max="14680" width="9.28515625" style="1" bestFit="1" customWidth="1"/>
    <col min="14681" max="14683" width="9.140625" style="1"/>
    <col min="14684" max="14685" width="9.28515625" style="1" bestFit="1" customWidth="1"/>
    <col min="14686" max="14686" width="9.140625" style="1"/>
    <col min="14687" max="14688" width="9.28515625" style="1" bestFit="1" customWidth="1"/>
    <col min="14689" max="14689" width="9.140625" style="1"/>
    <col min="14690" max="14690" width="9.28515625" style="1" bestFit="1" customWidth="1"/>
    <col min="14691" max="14693" width="9.140625" style="1"/>
    <col min="14694" max="14696" width="9.28515625" style="1" bestFit="1" customWidth="1"/>
    <col min="14697" max="14699" width="9.140625" style="1"/>
    <col min="14700" max="14701" width="9.28515625" style="1" bestFit="1" customWidth="1"/>
    <col min="14702" max="14702" width="9.140625" style="1"/>
    <col min="14703" max="14704" width="9.28515625" style="1" bestFit="1" customWidth="1"/>
    <col min="14705" max="14705" width="9.140625" style="1"/>
    <col min="14706" max="14706" width="9.28515625" style="1" bestFit="1" customWidth="1"/>
    <col min="14707" max="14709" width="9.140625" style="1"/>
    <col min="14710" max="14712" width="9.28515625" style="1" bestFit="1" customWidth="1"/>
    <col min="14713" max="14715" width="9.140625" style="1"/>
    <col min="14716" max="14717" width="9.28515625" style="1" bestFit="1" customWidth="1"/>
    <col min="14718" max="14718" width="9.140625" style="1"/>
    <col min="14719" max="14720" width="9.28515625" style="1" bestFit="1" customWidth="1"/>
    <col min="14721" max="14721" width="9.140625" style="1"/>
    <col min="14722" max="14722" width="9.28515625" style="1" bestFit="1" customWidth="1"/>
    <col min="14723" max="14725" width="9.140625" style="1"/>
    <col min="14726" max="14728" width="9.28515625" style="1" bestFit="1" customWidth="1"/>
    <col min="14729" max="14731" width="9.140625" style="1"/>
    <col min="14732" max="14733" width="9.28515625" style="1" bestFit="1" customWidth="1"/>
    <col min="14734" max="14734" width="9.140625" style="1"/>
    <col min="14735" max="14736" width="9.28515625" style="1" bestFit="1" customWidth="1"/>
    <col min="14737" max="14737" width="9.140625" style="1"/>
    <col min="14738" max="14738" width="9.28515625" style="1" bestFit="1" customWidth="1"/>
    <col min="14739" max="14741" width="9.140625" style="1"/>
    <col min="14742" max="14744" width="9.28515625" style="1" bestFit="1" customWidth="1"/>
    <col min="14745" max="14747" width="9.140625" style="1"/>
    <col min="14748" max="14749" width="9.28515625" style="1" bestFit="1" customWidth="1"/>
    <col min="14750" max="14750" width="9.140625" style="1"/>
    <col min="14751" max="14752" width="9.28515625" style="1" bestFit="1" customWidth="1"/>
    <col min="14753" max="14753" width="9.140625" style="1"/>
    <col min="14754" max="14754" width="9.28515625" style="1" bestFit="1" customWidth="1"/>
    <col min="14755" max="14757" width="9.140625" style="1"/>
    <col min="14758" max="14760" width="9.28515625" style="1" bestFit="1" customWidth="1"/>
    <col min="14761" max="14763" width="9.140625" style="1"/>
    <col min="14764" max="14765" width="9.28515625" style="1" bestFit="1" customWidth="1"/>
    <col min="14766" max="14766" width="9.140625" style="1"/>
    <col min="14767" max="14768" width="9.28515625" style="1" bestFit="1" customWidth="1"/>
    <col min="14769" max="14769" width="9.140625" style="1"/>
    <col min="14770" max="14770" width="9.28515625" style="1" bestFit="1" customWidth="1"/>
    <col min="14771" max="14773" width="9.140625" style="1"/>
    <col min="14774" max="14776" width="9.28515625" style="1" bestFit="1" customWidth="1"/>
    <col min="14777" max="14779" width="9.140625" style="1"/>
    <col min="14780" max="14781" width="9.28515625" style="1" bestFit="1" customWidth="1"/>
    <col min="14782" max="14782" width="9.140625" style="1"/>
    <col min="14783" max="14784" width="9.28515625" style="1" bestFit="1" customWidth="1"/>
    <col min="14785" max="14785" width="9.140625" style="1"/>
    <col min="14786" max="14786" width="9.28515625" style="1" bestFit="1" customWidth="1"/>
    <col min="14787" max="14789" width="9.140625" style="1"/>
    <col min="14790" max="14792" width="9.28515625" style="1" bestFit="1" customWidth="1"/>
    <col min="14793" max="14795" width="9.140625" style="1"/>
    <col min="14796" max="14797" width="9.28515625" style="1" bestFit="1" customWidth="1"/>
    <col min="14798" max="14798" width="9.140625" style="1"/>
    <col min="14799" max="14800" width="9.28515625" style="1" bestFit="1" customWidth="1"/>
    <col min="14801" max="14801" width="9.140625" style="1"/>
    <col min="14802" max="14802" width="9.28515625" style="1" bestFit="1" customWidth="1"/>
    <col min="14803" max="14805" width="9.140625" style="1"/>
    <col min="14806" max="14808" width="9.28515625" style="1" bestFit="1" customWidth="1"/>
    <col min="14809" max="14811" width="9.140625" style="1"/>
    <col min="14812" max="14813" width="9.28515625" style="1" bestFit="1" customWidth="1"/>
    <col min="14814" max="14814" width="9.140625" style="1"/>
    <col min="14815" max="14816" width="9.28515625" style="1" bestFit="1" customWidth="1"/>
    <col min="14817" max="14817" width="9.140625" style="1"/>
    <col min="14818" max="14818" width="9.28515625" style="1" bestFit="1" customWidth="1"/>
    <col min="14819" max="14821" width="9.140625" style="1"/>
    <col min="14822" max="14824" width="9.28515625" style="1" bestFit="1" customWidth="1"/>
    <col min="14825" max="14827" width="9.140625" style="1"/>
    <col min="14828" max="14829" width="9.28515625" style="1" bestFit="1" customWidth="1"/>
    <col min="14830" max="14830" width="9.140625" style="1"/>
    <col min="14831" max="14832" width="9.28515625" style="1" bestFit="1" customWidth="1"/>
    <col min="14833" max="14833" width="9.140625" style="1"/>
    <col min="14834" max="14834" width="9.28515625" style="1" bestFit="1" customWidth="1"/>
    <col min="14835" max="14837" width="9.140625" style="1"/>
    <col min="14838" max="14840" width="9.28515625" style="1" bestFit="1" customWidth="1"/>
    <col min="14841" max="14843" width="9.140625" style="1"/>
    <col min="14844" max="14845" width="9.28515625" style="1" bestFit="1" customWidth="1"/>
    <col min="14846" max="14846" width="9.140625" style="1"/>
    <col min="14847" max="14848" width="9.28515625" style="1" bestFit="1" customWidth="1"/>
    <col min="14849" max="14849" width="9.140625" style="1"/>
    <col min="14850" max="14850" width="9.28515625" style="1" bestFit="1" customWidth="1"/>
    <col min="14851" max="14853" width="9.140625" style="1"/>
    <col min="14854" max="14856" width="9.28515625" style="1" bestFit="1" customWidth="1"/>
    <col min="14857" max="14859" width="9.140625" style="1"/>
    <col min="14860" max="14861" width="9.28515625" style="1" bestFit="1" customWidth="1"/>
    <col min="14862" max="14862" width="9.140625" style="1"/>
    <col min="14863" max="14864" width="9.28515625" style="1" bestFit="1" customWidth="1"/>
    <col min="14865" max="14865" width="9.140625" style="1"/>
    <col min="14866" max="14866" width="9.28515625" style="1" bestFit="1" customWidth="1"/>
    <col min="14867" max="14869" width="9.140625" style="1"/>
    <col min="14870" max="14872" width="9.28515625" style="1" bestFit="1" customWidth="1"/>
    <col min="14873" max="14875" width="9.140625" style="1"/>
    <col min="14876" max="14877" width="9.28515625" style="1" bestFit="1" customWidth="1"/>
    <col min="14878" max="14878" width="9.140625" style="1"/>
    <col min="14879" max="14880" width="9.28515625" style="1" bestFit="1" customWidth="1"/>
    <col min="14881" max="14881" width="9.140625" style="1"/>
    <col min="14882" max="14882" width="9.28515625" style="1" bestFit="1" customWidth="1"/>
    <col min="14883" max="14885" width="9.140625" style="1"/>
    <col min="14886" max="14888" width="9.28515625" style="1" bestFit="1" customWidth="1"/>
    <col min="14889" max="14891" width="9.140625" style="1"/>
    <col min="14892" max="14893" width="9.28515625" style="1" bestFit="1" customWidth="1"/>
    <col min="14894" max="14894" width="9.140625" style="1"/>
    <col min="14895" max="14896" width="9.28515625" style="1" bestFit="1" customWidth="1"/>
    <col min="14897" max="14897" width="9.140625" style="1"/>
    <col min="14898" max="14898" width="9.28515625" style="1" bestFit="1" customWidth="1"/>
    <col min="14899" max="14901" width="9.140625" style="1"/>
    <col min="14902" max="14904" width="9.28515625" style="1" bestFit="1" customWidth="1"/>
    <col min="14905" max="14907" width="9.140625" style="1"/>
    <col min="14908" max="14909" width="9.28515625" style="1" bestFit="1" customWidth="1"/>
    <col min="14910" max="14910" width="9.140625" style="1"/>
    <col min="14911" max="14912" width="9.28515625" style="1" bestFit="1" customWidth="1"/>
    <col min="14913" max="14913" width="9.140625" style="1"/>
    <col min="14914" max="14914" width="9.28515625" style="1" bestFit="1" customWidth="1"/>
    <col min="14915" max="14917" width="9.140625" style="1"/>
    <col min="14918" max="14920" width="9.28515625" style="1" bestFit="1" customWidth="1"/>
    <col min="14921" max="14923" width="9.140625" style="1"/>
    <col min="14924" max="14925" width="9.28515625" style="1" bestFit="1" customWidth="1"/>
    <col min="14926" max="14926" width="9.140625" style="1"/>
    <col min="14927" max="14928" width="9.28515625" style="1" bestFit="1" customWidth="1"/>
    <col min="14929" max="14929" width="9.140625" style="1"/>
    <col min="14930" max="14930" width="9.28515625" style="1" bestFit="1" customWidth="1"/>
    <col min="14931" max="14933" width="9.140625" style="1"/>
    <col min="14934" max="14936" width="9.28515625" style="1" bestFit="1" customWidth="1"/>
    <col min="14937" max="14939" width="9.140625" style="1"/>
    <col min="14940" max="14941" width="9.28515625" style="1" bestFit="1" customWidth="1"/>
    <col min="14942" max="14942" width="9.140625" style="1"/>
    <col min="14943" max="14944" width="9.28515625" style="1" bestFit="1" customWidth="1"/>
    <col min="14945" max="14945" width="9.140625" style="1"/>
    <col min="14946" max="14946" width="9.28515625" style="1" bestFit="1" customWidth="1"/>
    <col min="14947" max="14949" width="9.140625" style="1"/>
    <col min="14950" max="14952" width="9.28515625" style="1" bestFit="1" customWidth="1"/>
    <col min="14953" max="14955" width="9.140625" style="1"/>
    <col min="14956" max="14957" width="9.28515625" style="1" bestFit="1" customWidth="1"/>
    <col min="14958" max="14958" width="9.140625" style="1"/>
    <col min="14959" max="14960" width="9.28515625" style="1" bestFit="1" customWidth="1"/>
    <col min="14961" max="14961" width="9.140625" style="1"/>
    <col min="14962" max="14962" width="9.28515625" style="1" bestFit="1" customWidth="1"/>
    <col min="14963" max="14965" width="9.140625" style="1"/>
    <col min="14966" max="14968" width="9.28515625" style="1" bestFit="1" customWidth="1"/>
    <col min="14969" max="14971" width="9.140625" style="1"/>
    <col min="14972" max="14973" width="9.28515625" style="1" bestFit="1" customWidth="1"/>
    <col min="14974" max="14974" width="9.140625" style="1"/>
    <col min="14975" max="14976" width="9.28515625" style="1" bestFit="1" customWidth="1"/>
    <col min="14977" max="14977" width="9.140625" style="1"/>
    <col min="14978" max="14978" width="9.28515625" style="1" bestFit="1" customWidth="1"/>
    <col min="14979" max="14981" width="9.140625" style="1"/>
    <col min="14982" max="14984" width="9.28515625" style="1" bestFit="1" customWidth="1"/>
    <col min="14985" max="14987" width="9.140625" style="1"/>
    <col min="14988" max="14989" width="9.28515625" style="1" bestFit="1" customWidth="1"/>
    <col min="14990" max="14990" width="9.140625" style="1"/>
    <col min="14991" max="14992" width="9.28515625" style="1" bestFit="1" customWidth="1"/>
    <col min="14993" max="14993" width="9.140625" style="1"/>
    <col min="14994" max="14994" width="9.28515625" style="1" bestFit="1" customWidth="1"/>
    <col min="14995" max="14997" width="9.140625" style="1"/>
    <col min="14998" max="15000" width="9.28515625" style="1" bestFit="1" customWidth="1"/>
    <col min="15001" max="15003" width="9.140625" style="1"/>
    <col min="15004" max="15005" width="9.28515625" style="1" bestFit="1" customWidth="1"/>
    <col min="15006" max="15006" width="9.140625" style="1"/>
    <col min="15007" max="15008" width="9.28515625" style="1" bestFit="1" customWidth="1"/>
    <col min="15009" max="15009" width="9.140625" style="1"/>
    <col min="15010" max="15010" width="9.28515625" style="1" bestFit="1" customWidth="1"/>
    <col min="15011" max="15013" width="9.140625" style="1"/>
    <col min="15014" max="15016" width="9.28515625" style="1" bestFit="1" customWidth="1"/>
    <col min="15017" max="15019" width="9.140625" style="1"/>
    <col min="15020" max="15021" width="9.28515625" style="1" bestFit="1" customWidth="1"/>
    <col min="15022" max="15022" width="9.140625" style="1"/>
    <col min="15023" max="15024" width="9.28515625" style="1" bestFit="1" customWidth="1"/>
    <col min="15025" max="15025" width="9.140625" style="1"/>
    <col min="15026" max="15026" width="9.28515625" style="1" bestFit="1" customWidth="1"/>
    <col min="15027" max="15029" width="9.140625" style="1"/>
    <col min="15030" max="15032" width="9.28515625" style="1" bestFit="1" customWidth="1"/>
    <col min="15033" max="15035" width="9.140625" style="1"/>
    <col min="15036" max="15037" width="9.28515625" style="1" bestFit="1" customWidth="1"/>
    <col min="15038" max="15038" width="9.140625" style="1"/>
    <col min="15039" max="15040" width="9.28515625" style="1" bestFit="1" customWidth="1"/>
    <col min="15041" max="15041" width="9.140625" style="1"/>
    <col min="15042" max="15042" width="9.28515625" style="1" bestFit="1" customWidth="1"/>
    <col min="15043" max="15045" width="9.140625" style="1"/>
    <col min="15046" max="15048" width="9.28515625" style="1" bestFit="1" customWidth="1"/>
    <col min="15049" max="15051" width="9.140625" style="1"/>
    <col min="15052" max="15053" width="9.28515625" style="1" bestFit="1" customWidth="1"/>
    <col min="15054" max="15054" width="9.140625" style="1"/>
    <col min="15055" max="15056" width="9.28515625" style="1" bestFit="1" customWidth="1"/>
    <col min="15057" max="15057" width="9.140625" style="1"/>
    <col min="15058" max="15058" width="9.28515625" style="1" bestFit="1" customWidth="1"/>
    <col min="15059" max="15061" width="9.140625" style="1"/>
    <col min="15062" max="15064" width="9.28515625" style="1" bestFit="1" customWidth="1"/>
    <col min="15065" max="15067" width="9.140625" style="1"/>
    <col min="15068" max="15069" width="9.28515625" style="1" bestFit="1" customWidth="1"/>
    <col min="15070" max="15070" width="9.140625" style="1"/>
    <col min="15071" max="15072" width="9.28515625" style="1" bestFit="1" customWidth="1"/>
    <col min="15073" max="15073" width="9.140625" style="1"/>
    <col min="15074" max="15074" width="9.28515625" style="1" bestFit="1" customWidth="1"/>
    <col min="15075" max="15077" width="9.140625" style="1"/>
    <col min="15078" max="15080" width="9.28515625" style="1" bestFit="1" customWidth="1"/>
    <col min="15081" max="15083" width="9.140625" style="1"/>
    <col min="15084" max="15085" width="9.28515625" style="1" bestFit="1" customWidth="1"/>
    <col min="15086" max="15086" width="9.140625" style="1"/>
    <col min="15087" max="15088" width="9.28515625" style="1" bestFit="1" customWidth="1"/>
    <col min="15089" max="15089" width="9.140625" style="1"/>
    <col min="15090" max="15090" width="9.28515625" style="1" bestFit="1" customWidth="1"/>
    <col min="15091" max="15093" width="9.140625" style="1"/>
    <col min="15094" max="15096" width="9.28515625" style="1" bestFit="1" customWidth="1"/>
    <col min="15097" max="15099" width="9.140625" style="1"/>
    <col min="15100" max="15101" width="9.28515625" style="1" bestFit="1" customWidth="1"/>
    <col min="15102" max="15102" width="9.140625" style="1"/>
    <col min="15103" max="15104" width="9.28515625" style="1" bestFit="1" customWidth="1"/>
    <col min="15105" max="15105" width="9.140625" style="1"/>
    <col min="15106" max="15106" width="9.28515625" style="1" bestFit="1" customWidth="1"/>
    <col min="15107" max="15109" width="9.140625" style="1"/>
    <col min="15110" max="15112" width="9.28515625" style="1" bestFit="1" customWidth="1"/>
    <col min="15113" max="15115" width="9.140625" style="1"/>
    <col min="15116" max="15117" width="9.28515625" style="1" bestFit="1" customWidth="1"/>
    <col min="15118" max="15118" width="9.140625" style="1"/>
    <col min="15119" max="15120" width="9.28515625" style="1" bestFit="1" customWidth="1"/>
    <col min="15121" max="15121" width="9.140625" style="1"/>
    <col min="15122" max="15122" width="9.28515625" style="1" bestFit="1" customWidth="1"/>
    <col min="15123" max="15125" width="9.140625" style="1"/>
    <col min="15126" max="15128" width="9.28515625" style="1" bestFit="1" customWidth="1"/>
    <col min="15129" max="15131" width="9.140625" style="1"/>
    <col min="15132" max="15133" width="9.28515625" style="1" bestFit="1" customWidth="1"/>
    <col min="15134" max="15134" width="9.140625" style="1"/>
    <col min="15135" max="15136" width="9.28515625" style="1" bestFit="1" customWidth="1"/>
    <col min="15137" max="15137" width="9.140625" style="1"/>
    <col min="15138" max="15138" width="9.28515625" style="1" bestFit="1" customWidth="1"/>
    <col min="15139" max="15141" width="9.140625" style="1"/>
    <col min="15142" max="15144" width="9.28515625" style="1" bestFit="1" customWidth="1"/>
    <col min="15145" max="15147" width="9.140625" style="1"/>
    <col min="15148" max="15149" width="9.28515625" style="1" bestFit="1" customWidth="1"/>
    <col min="15150" max="15150" width="9.140625" style="1"/>
    <col min="15151" max="15152" width="9.28515625" style="1" bestFit="1" customWidth="1"/>
    <col min="15153" max="15153" width="9.140625" style="1"/>
    <col min="15154" max="15154" width="9.28515625" style="1" bestFit="1" customWidth="1"/>
    <col min="15155" max="15157" width="9.140625" style="1"/>
    <col min="15158" max="15160" width="9.28515625" style="1" bestFit="1" customWidth="1"/>
    <col min="15161" max="15163" width="9.140625" style="1"/>
    <col min="15164" max="15165" width="9.28515625" style="1" bestFit="1" customWidth="1"/>
    <col min="15166" max="15166" width="9.140625" style="1"/>
    <col min="15167" max="15168" width="9.28515625" style="1" bestFit="1" customWidth="1"/>
    <col min="15169" max="15169" width="9.140625" style="1"/>
    <col min="15170" max="15170" width="9.28515625" style="1" bestFit="1" customWidth="1"/>
    <col min="15171" max="15173" width="9.140625" style="1"/>
    <col min="15174" max="15176" width="9.28515625" style="1" bestFit="1" customWidth="1"/>
    <col min="15177" max="15179" width="9.140625" style="1"/>
    <col min="15180" max="15181" width="9.28515625" style="1" bestFit="1" customWidth="1"/>
    <col min="15182" max="15182" width="9.140625" style="1"/>
    <col min="15183" max="15184" width="9.28515625" style="1" bestFit="1" customWidth="1"/>
    <col min="15185" max="15185" width="9.140625" style="1"/>
    <col min="15186" max="15186" width="9.28515625" style="1" bestFit="1" customWidth="1"/>
    <col min="15187" max="15189" width="9.140625" style="1"/>
    <col min="15190" max="15192" width="9.28515625" style="1" bestFit="1" customWidth="1"/>
    <col min="15193" max="15195" width="9.140625" style="1"/>
    <col min="15196" max="15197" width="9.28515625" style="1" bestFit="1" customWidth="1"/>
    <col min="15198" max="15198" width="9.140625" style="1"/>
    <col min="15199" max="15200" width="9.28515625" style="1" bestFit="1" customWidth="1"/>
    <col min="15201" max="15201" width="9.140625" style="1"/>
    <col min="15202" max="15202" width="9.28515625" style="1" bestFit="1" customWidth="1"/>
    <col min="15203" max="15205" width="9.140625" style="1"/>
    <col min="15206" max="15208" width="9.28515625" style="1" bestFit="1" customWidth="1"/>
    <col min="15209" max="15211" width="9.140625" style="1"/>
    <col min="15212" max="15213" width="9.28515625" style="1" bestFit="1" customWidth="1"/>
    <col min="15214" max="15214" width="9.140625" style="1"/>
    <col min="15215" max="15216" width="9.28515625" style="1" bestFit="1" customWidth="1"/>
    <col min="15217" max="15217" width="9.140625" style="1"/>
    <col min="15218" max="15218" width="9.28515625" style="1" bestFit="1" customWidth="1"/>
    <col min="15219" max="15221" width="9.140625" style="1"/>
    <col min="15222" max="15224" width="9.28515625" style="1" bestFit="1" customWidth="1"/>
    <col min="15225" max="15227" width="9.140625" style="1"/>
    <col min="15228" max="15229" width="9.28515625" style="1" bestFit="1" customWidth="1"/>
    <col min="15230" max="15230" width="9.140625" style="1"/>
    <col min="15231" max="15232" width="9.28515625" style="1" bestFit="1" customWidth="1"/>
    <col min="15233" max="15233" width="9.140625" style="1"/>
    <col min="15234" max="15234" width="9.28515625" style="1" bestFit="1" customWidth="1"/>
    <col min="15235" max="15237" width="9.140625" style="1"/>
    <col min="15238" max="15240" width="9.28515625" style="1" bestFit="1" customWidth="1"/>
    <col min="15241" max="15243" width="9.140625" style="1"/>
    <col min="15244" max="15245" width="9.28515625" style="1" bestFit="1" customWidth="1"/>
    <col min="15246" max="15246" width="9.140625" style="1"/>
    <col min="15247" max="15248" width="9.28515625" style="1" bestFit="1" customWidth="1"/>
    <col min="15249" max="15249" width="9.140625" style="1"/>
    <col min="15250" max="15250" width="9.28515625" style="1" bestFit="1" customWidth="1"/>
    <col min="15251" max="15253" width="9.140625" style="1"/>
    <col min="15254" max="15256" width="9.28515625" style="1" bestFit="1" customWidth="1"/>
    <col min="15257" max="15259" width="9.140625" style="1"/>
    <col min="15260" max="15261" width="9.28515625" style="1" bestFit="1" customWidth="1"/>
    <col min="15262" max="15262" width="9.140625" style="1"/>
    <col min="15263" max="15264" width="9.28515625" style="1" bestFit="1" customWidth="1"/>
    <col min="15265" max="15265" width="9.140625" style="1"/>
    <col min="15266" max="15266" width="9.28515625" style="1" bestFit="1" customWidth="1"/>
    <col min="15267" max="15269" width="9.140625" style="1"/>
    <col min="15270" max="15272" width="9.28515625" style="1" bestFit="1" customWidth="1"/>
    <col min="15273" max="15275" width="9.140625" style="1"/>
    <col min="15276" max="15277" width="9.28515625" style="1" bestFit="1" customWidth="1"/>
    <col min="15278" max="15278" width="9.140625" style="1"/>
    <col min="15279" max="15280" width="9.28515625" style="1" bestFit="1" customWidth="1"/>
    <col min="15281" max="15281" width="9.140625" style="1"/>
    <col min="15282" max="15282" width="9.28515625" style="1" bestFit="1" customWidth="1"/>
    <col min="15283" max="15285" width="9.140625" style="1"/>
    <col min="15286" max="15288" width="9.28515625" style="1" bestFit="1" customWidth="1"/>
    <col min="15289" max="15291" width="9.140625" style="1"/>
    <col min="15292" max="15293" width="9.28515625" style="1" bestFit="1" customWidth="1"/>
    <col min="15294" max="15294" width="9.140625" style="1"/>
    <col min="15295" max="15296" width="9.28515625" style="1" bestFit="1" customWidth="1"/>
    <col min="15297" max="15297" width="9.140625" style="1"/>
    <col min="15298" max="15298" width="9.28515625" style="1" bestFit="1" customWidth="1"/>
    <col min="15299" max="15301" width="9.140625" style="1"/>
    <col min="15302" max="15304" width="9.28515625" style="1" bestFit="1" customWidth="1"/>
    <col min="15305" max="15307" width="9.140625" style="1"/>
    <col min="15308" max="15309" width="9.28515625" style="1" bestFit="1" customWidth="1"/>
    <col min="15310" max="15310" width="9.140625" style="1"/>
    <col min="15311" max="15312" width="9.28515625" style="1" bestFit="1" customWidth="1"/>
    <col min="15313" max="15313" width="9.140625" style="1"/>
    <col min="15314" max="15314" width="9.28515625" style="1" bestFit="1" customWidth="1"/>
    <col min="15315" max="15317" width="9.140625" style="1"/>
    <col min="15318" max="15320" width="9.28515625" style="1" bestFit="1" customWidth="1"/>
    <col min="15321" max="15323" width="9.140625" style="1"/>
    <col min="15324" max="15325" width="9.28515625" style="1" bestFit="1" customWidth="1"/>
    <col min="15326" max="15326" width="9.140625" style="1"/>
    <col min="15327" max="15328" width="9.28515625" style="1" bestFit="1" customWidth="1"/>
    <col min="15329" max="15329" width="9.140625" style="1"/>
    <col min="15330" max="15330" width="9.28515625" style="1" bestFit="1" customWidth="1"/>
    <col min="15331" max="15333" width="9.140625" style="1"/>
    <col min="15334" max="15336" width="9.28515625" style="1" bestFit="1" customWidth="1"/>
    <col min="15337" max="15339" width="9.140625" style="1"/>
    <col min="15340" max="15341" width="9.28515625" style="1" bestFit="1" customWidth="1"/>
    <col min="15342" max="15342" width="9.140625" style="1"/>
    <col min="15343" max="15344" width="9.28515625" style="1" bestFit="1" customWidth="1"/>
    <col min="15345" max="15345" width="9.140625" style="1"/>
    <col min="15346" max="15346" width="9.28515625" style="1" bestFit="1" customWidth="1"/>
    <col min="15347" max="15349" width="9.140625" style="1"/>
    <col min="15350" max="15352" width="9.28515625" style="1" bestFit="1" customWidth="1"/>
    <col min="15353" max="15355" width="9.140625" style="1"/>
    <col min="15356" max="15357" width="9.28515625" style="1" bestFit="1" customWidth="1"/>
    <col min="15358" max="15358" width="9.140625" style="1"/>
    <col min="15359" max="15360" width="9.28515625" style="1" bestFit="1" customWidth="1"/>
    <col min="15361" max="15361" width="9.140625" style="1"/>
    <col min="15362" max="15362" width="9.28515625" style="1" bestFit="1" customWidth="1"/>
    <col min="15363" max="15365" width="9.140625" style="1"/>
    <col min="15366" max="15368" width="9.28515625" style="1" bestFit="1" customWidth="1"/>
    <col min="15369" max="15371" width="9.140625" style="1"/>
    <col min="15372" max="15373" width="9.28515625" style="1" bestFit="1" customWidth="1"/>
    <col min="15374" max="15374" width="9.140625" style="1"/>
    <col min="15375" max="15376" width="9.28515625" style="1" bestFit="1" customWidth="1"/>
    <col min="15377" max="15377" width="9.140625" style="1"/>
    <col min="15378" max="15378" width="9.28515625" style="1" bestFit="1" customWidth="1"/>
    <col min="15379" max="15381" width="9.140625" style="1"/>
    <col min="15382" max="15384" width="9.28515625" style="1" bestFit="1" customWidth="1"/>
    <col min="15385" max="15387" width="9.140625" style="1"/>
    <col min="15388" max="15389" width="9.28515625" style="1" bestFit="1" customWidth="1"/>
    <col min="15390" max="15390" width="9.140625" style="1"/>
    <col min="15391" max="15392" width="9.28515625" style="1" bestFit="1" customWidth="1"/>
    <col min="15393" max="15393" width="9.140625" style="1"/>
    <col min="15394" max="15394" width="9.28515625" style="1" bestFit="1" customWidth="1"/>
    <col min="15395" max="15397" width="9.140625" style="1"/>
    <col min="15398" max="15400" width="9.28515625" style="1" bestFit="1" customWidth="1"/>
    <col min="15401" max="15403" width="9.140625" style="1"/>
    <col min="15404" max="15405" width="9.28515625" style="1" bestFit="1" customWidth="1"/>
    <col min="15406" max="15406" width="9.140625" style="1"/>
    <col min="15407" max="15408" width="9.28515625" style="1" bestFit="1" customWidth="1"/>
    <col min="15409" max="15409" width="9.140625" style="1"/>
    <col min="15410" max="15410" width="9.28515625" style="1" bestFit="1" customWidth="1"/>
    <col min="15411" max="15413" width="9.140625" style="1"/>
    <col min="15414" max="15416" width="9.28515625" style="1" bestFit="1" customWidth="1"/>
    <col min="15417" max="15419" width="9.140625" style="1"/>
    <col min="15420" max="15421" width="9.28515625" style="1" bestFit="1" customWidth="1"/>
    <col min="15422" max="15422" width="9.140625" style="1"/>
    <col min="15423" max="15424" width="9.28515625" style="1" bestFit="1" customWidth="1"/>
    <col min="15425" max="15425" width="9.140625" style="1"/>
    <col min="15426" max="15426" width="9.28515625" style="1" bestFit="1" customWidth="1"/>
    <col min="15427" max="15429" width="9.140625" style="1"/>
    <col min="15430" max="15432" width="9.28515625" style="1" bestFit="1" customWidth="1"/>
    <col min="15433" max="15435" width="9.140625" style="1"/>
    <col min="15436" max="15437" width="9.28515625" style="1" bestFit="1" customWidth="1"/>
    <col min="15438" max="15438" width="9.140625" style="1"/>
    <col min="15439" max="15440" width="9.28515625" style="1" bestFit="1" customWidth="1"/>
    <col min="15441" max="15441" width="9.140625" style="1"/>
    <col min="15442" max="15442" width="9.28515625" style="1" bestFit="1" customWidth="1"/>
    <col min="15443" max="15445" width="9.140625" style="1"/>
    <col min="15446" max="15448" width="9.28515625" style="1" bestFit="1" customWidth="1"/>
    <col min="15449" max="15451" width="9.140625" style="1"/>
    <col min="15452" max="15453" width="9.28515625" style="1" bestFit="1" customWidth="1"/>
    <col min="15454" max="15454" width="9.140625" style="1"/>
    <col min="15455" max="15456" width="9.28515625" style="1" bestFit="1" customWidth="1"/>
    <col min="15457" max="15457" width="9.140625" style="1"/>
    <col min="15458" max="15458" width="9.28515625" style="1" bestFit="1" customWidth="1"/>
    <col min="15459" max="15461" width="9.140625" style="1"/>
    <col min="15462" max="15464" width="9.28515625" style="1" bestFit="1" customWidth="1"/>
    <col min="15465" max="15467" width="9.140625" style="1"/>
    <col min="15468" max="15469" width="9.28515625" style="1" bestFit="1" customWidth="1"/>
    <col min="15470" max="15470" width="9.140625" style="1"/>
    <col min="15471" max="15472" width="9.28515625" style="1" bestFit="1" customWidth="1"/>
    <col min="15473" max="15473" width="9.140625" style="1"/>
    <col min="15474" max="15474" width="9.28515625" style="1" bestFit="1" customWidth="1"/>
    <col min="15475" max="15477" width="9.140625" style="1"/>
    <col min="15478" max="15480" width="9.28515625" style="1" bestFit="1" customWidth="1"/>
    <col min="15481" max="15483" width="9.140625" style="1"/>
    <col min="15484" max="15485" width="9.28515625" style="1" bestFit="1" customWidth="1"/>
    <col min="15486" max="15486" width="9.140625" style="1"/>
    <col min="15487" max="15488" width="9.28515625" style="1" bestFit="1" customWidth="1"/>
    <col min="15489" max="15489" width="9.140625" style="1"/>
    <col min="15490" max="15490" width="9.28515625" style="1" bestFit="1" customWidth="1"/>
    <col min="15491" max="15493" width="9.140625" style="1"/>
    <col min="15494" max="15496" width="9.28515625" style="1" bestFit="1" customWidth="1"/>
    <col min="15497" max="15499" width="9.140625" style="1"/>
    <col min="15500" max="15501" width="9.28515625" style="1" bestFit="1" customWidth="1"/>
    <col min="15502" max="15502" width="9.140625" style="1"/>
    <col min="15503" max="15504" width="9.28515625" style="1" bestFit="1" customWidth="1"/>
    <col min="15505" max="15505" width="9.140625" style="1"/>
    <col min="15506" max="15506" width="9.28515625" style="1" bestFit="1" customWidth="1"/>
    <col min="15507" max="15509" width="9.140625" style="1"/>
    <col min="15510" max="15512" width="9.28515625" style="1" bestFit="1" customWidth="1"/>
    <col min="15513" max="15515" width="9.140625" style="1"/>
    <col min="15516" max="15517" width="9.28515625" style="1" bestFit="1" customWidth="1"/>
    <col min="15518" max="15518" width="9.140625" style="1"/>
    <col min="15519" max="15520" width="9.28515625" style="1" bestFit="1" customWidth="1"/>
    <col min="15521" max="15521" width="9.140625" style="1"/>
    <col min="15522" max="15522" width="9.28515625" style="1" bestFit="1" customWidth="1"/>
    <col min="15523" max="15525" width="9.140625" style="1"/>
    <col min="15526" max="15528" width="9.28515625" style="1" bestFit="1" customWidth="1"/>
    <col min="15529" max="15531" width="9.140625" style="1"/>
    <col min="15532" max="15533" width="9.28515625" style="1" bestFit="1" customWidth="1"/>
    <col min="15534" max="15534" width="9.140625" style="1"/>
    <col min="15535" max="15536" width="9.28515625" style="1" bestFit="1" customWidth="1"/>
    <col min="15537" max="15537" width="9.140625" style="1"/>
    <col min="15538" max="15538" width="9.28515625" style="1" bestFit="1" customWidth="1"/>
    <col min="15539" max="15541" width="9.140625" style="1"/>
    <col min="15542" max="15544" width="9.28515625" style="1" bestFit="1" customWidth="1"/>
    <col min="15545" max="15547" width="9.140625" style="1"/>
    <col min="15548" max="15549" width="9.28515625" style="1" bestFit="1" customWidth="1"/>
    <col min="15550" max="15550" width="9.140625" style="1"/>
    <col min="15551" max="15552" width="9.28515625" style="1" bestFit="1" customWidth="1"/>
    <col min="15553" max="15553" width="9.140625" style="1"/>
    <col min="15554" max="15554" width="9.28515625" style="1" bestFit="1" customWidth="1"/>
    <col min="15555" max="15557" width="9.140625" style="1"/>
    <col min="15558" max="15560" width="9.28515625" style="1" bestFit="1" customWidth="1"/>
    <col min="15561" max="15563" width="9.140625" style="1"/>
    <col min="15564" max="15565" width="9.28515625" style="1" bestFit="1" customWidth="1"/>
    <col min="15566" max="15566" width="9.140625" style="1"/>
    <col min="15567" max="15568" width="9.28515625" style="1" bestFit="1" customWidth="1"/>
    <col min="15569" max="15569" width="9.140625" style="1"/>
    <col min="15570" max="15570" width="9.28515625" style="1" bestFit="1" customWidth="1"/>
    <col min="15571" max="15573" width="9.140625" style="1"/>
    <col min="15574" max="15576" width="9.28515625" style="1" bestFit="1" customWidth="1"/>
    <col min="15577" max="15579" width="9.140625" style="1"/>
    <col min="15580" max="15581" width="9.28515625" style="1" bestFit="1" customWidth="1"/>
    <col min="15582" max="15582" width="9.140625" style="1"/>
    <col min="15583" max="15584" width="9.28515625" style="1" bestFit="1" customWidth="1"/>
    <col min="15585" max="15585" width="9.140625" style="1"/>
    <col min="15586" max="15586" width="9.28515625" style="1" bestFit="1" customWidth="1"/>
    <col min="15587" max="15589" width="9.140625" style="1"/>
    <col min="15590" max="15592" width="9.28515625" style="1" bestFit="1" customWidth="1"/>
    <col min="15593" max="15595" width="9.140625" style="1"/>
    <col min="15596" max="15597" width="9.28515625" style="1" bestFit="1" customWidth="1"/>
    <col min="15598" max="15598" width="9.140625" style="1"/>
    <col min="15599" max="15600" width="9.28515625" style="1" bestFit="1" customWidth="1"/>
    <col min="15601" max="15601" width="9.140625" style="1"/>
    <col min="15602" max="15602" width="9.28515625" style="1" bestFit="1" customWidth="1"/>
    <col min="15603" max="15605" width="9.140625" style="1"/>
    <col min="15606" max="15608" width="9.28515625" style="1" bestFit="1" customWidth="1"/>
    <col min="15609" max="15611" width="9.140625" style="1"/>
    <col min="15612" max="15613" width="9.28515625" style="1" bestFit="1" customWidth="1"/>
    <col min="15614" max="15614" width="9.140625" style="1"/>
    <col min="15615" max="15616" width="9.28515625" style="1" bestFit="1" customWidth="1"/>
    <col min="15617" max="15617" width="9.140625" style="1"/>
    <col min="15618" max="15618" width="9.28515625" style="1" bestFit="1" customWidth="1"/>
    <col min="15619" max="15621" width="9.140625" style="1"/>
    <col min="15622" max="15624" width="9.28515625" style="1" bestFit="1" customWidth="1"/>
    <col min="15625" max="15627" width="9.140625" style="1"/>
    <col min="15628" max="15629" width="9.28515625" style="1" bestFit="1" customWidth="1"/>
    <col min="15630" max="15630" width="9.140625" style="1"/>
    <col min="15631" max="15632" width="9.28515625" style="1" bestFit="1" customWidth="1"/>
    <col min="15633" max="15633" width="9.140625" style="1"/>
    <col min="15634" max="15634" width="9.28515625" style="1" bestFit="1" customWidth="1"/>
    <col min="15635" max="15637" width="9.140625" style="1"/>
    <col min="15638" max="15640" width="9.28515625" style="1" bestFit="1" customWidth="1"/>
    <col min="15641" max="15643" width="9.140625" style="1"/>
    <col min="15644" max="15645" width="9.28515625" style="1" bestFit="1" customWidth="1"/>
    <col min="15646" max="15646" width="9.140625" style="1"/>
    <col min="15647" max="15648" width="9.28515625" style="1" bestFit="1" customWidth="1"/>
    <col min="15649" max="15649" width="9.140625" style="1"/>
    <col min="15650" max="15650" width="9.28515625" style="1" bestFit="1" customWidth="1"/>
    <col min="15651" max="15653" width="9.140625" style="1"/>
    <col min="15654" max="15656" width="9.28515625" style="1" bestFit="1" customWidth="1"/>
    <col min="15657" max="15659" width="9.140625" style="1"/>
    <col min="15660" max="15661" width="9.28515625" style="1" bestFit="1" customWidth="1"/>
    <col min="15662" max="15662" width="9.140625" style="1"/>
    <col min="15663" max="15664" width="9.28515625" style="1" bestFit="1" customWidth="1"/>
    <col min="15665" max="15665" width="9.140625" style="1"/>
    <col min="15666" max="15666" width="9.28515625" style="1" bestFit="1" customWidth="1"/>
    <col min="15667" max="15669" width="9.140625" style="1"/>
    <col min="15670" max="15672" width="9.28515625" style="1" bestFit="1" customWidth="1"/>
    <col min="15673" max="15675" width="9.140625" style="1"/>
    <col min="15676" max="15677" width="9.28515625" style="1" bestFit="1" customWidth="1"/>
    <col min="15678" max="15678" width="9.140625" style="1"/>
    <col min="15679" max="15680" width="9.28515625" style="1" bestFit="1" customWidth="1"/>
    <col min="15681" max="15681" width="9.140625" style="1"/>
    <col min="15682" max="15682" width="9.28515625" style="1" bestFit="1" customWidth="1"/>
    <col min="15683" max="15685" width="9.140625" style="1"/>
    <col min="15686" max="15688" width="9.28515625" style="1" bestFit="1" customWidth="1"/>
    <col min="15689" max="15691" width="9.140625" style="1"/>
    <col min="15692" max="15693" width="9.28515625" style="1" bestFit="1" customWidth="1"/>
    <col min="15694" max="15694" width="9.140625" style="1"/>
    <col min="15695" max="15696" width="9.28515625" style="1" bestFit="1" customWidth="1"/>
    <col min="15697" max="15697" width="9.140625" style="1"/>
    <col min="15698" max="15698" width="9.28515625" style="1" bestFit="1" customWidth="1"/>
    <col min="15699" max="15701" width="9.140625" style="1"/>
    <col min="15702" max="15704" width="9.28515625" style="1" bestFit="1" customWidth="1"/>
    <col min="15705" max="15707" width="9.140625" style="1"/>
    <col min="15708" max="15709" width="9.28515625" style="1" bestFit="1" customWidth="1"/>
    <col min="15710" max="15710" width="9.140625" style="1"/>
    <col min="15711" max="15712" width="9.28515625" style="1" bestFit="1" customWidth="1"/>
    <col min="15713" max="15713" width="9.140625" style="1"/>
    <col min="15714" max="15714" width="9.28515625" style="1" bestFit="1" customWidth="1"/>
    <col min="15715" max="15717" width="9.140625" style="1"/>
    <col min="15718" max="15720" width="9.28515625" style="1" bestFit="1" customWidth="1"/>
    <col min="15721" max="15723" width="9.140625" style="1"/>
    <col min="15724" max="15725" width="9.28515625" style="1" bestFit="1" customWidth="1"/>
    <col min="15726" max="15726" width="9.140625" style="1"/>
    <col min="15727" max="15728" width="9.28515625" style="1" bestFit="1" customWidth="1"/>
    <col min="15729" max="15729" width="9.140625" style="1"/>
    <col min="15730" max="15730" width="9.28515625" style="1" bestFit="1" customWidth="1"/>
    <col min="15731" max="15733" width="9.140625" style="1"/>
    <col min="15734" max="15736" width="9.28515625" style="1" bestFit="1" customWidth="1"/>
    <col min="15737" max="15739" width="9.140625" style="1"/>
    <col min="15740" max="15741" width="9.28515625" style="1" bestFit="1" customWidth="1"/>
    <col min="15742" max="15742" width="9.140625" style="1"/>
    <col min="15743" max="15744" width="9.28515625" style="1" bestFit="1" customWidth="1"/>
    <col min="15745" max="15745" width="9.140625" style="1"/>
    <col min="15746" max="15746" width="9.28515625" style="1" bestFit="1" customWidth="1"/>
    <col min="15747" max="15749" width="9.140625" style="1"/>
    <col min="15750" max="15752" width="9.28515625" style="1" bestFit="1" customWidth="1"/>
    <col min="15753" max="15755" width="9.140625" style="1"/>
    <col min="15756" max="15757" width="9.28515625" style="1" bestFit="1" customWidth="1"/>
    <col min="15758" max="15758" width="9.140625" style="1"/>
    <col min="15759" max="15760" width="9.28515625" style="1" bestFit="1" customWidth="1"/>
    <col min="15761" max="15761" width="9.140625" style="1"/>
    <col min="15762" max="15762" width="9.28515625" style="1" bestFit="1" customWidth="1"/>
    <col min="15763" max="15765" width="9.140625" style="1"/>
    <col min="15766" max="15768" width="9.28515625" style="1" bestFit="1" customWidth="1"/>
    <col min="15769" max="15771" width="9.140625" style="1"/>
    <col min="15772" max="15773" width="9.28515625" style="1" bestFit="1" customWidth="1"/>
    <col min="15774" max="15774" width="9.140625" style="1"/>
    <col min="15775" max="15776" width="9.28515625" style="1" bestFit="1" customWidth="1"/>
    <col min="15777" max="15777" width="9.140625" style="1"/>
    <col min="15778" max="15778" width="9.28515625" style="1" bestFit="1" customWidth="1"/>
    <col min="15779" max="15781" width="9.140625" style="1"/>
    <col min="15782" max="15784" width="9.28515625" style="1" bestFit="1" customWidth="1"/>
    <col min="15785" max="15787" width="9.140625" style="1"/>
    <col min="15788" max="15789" width="9.28515625" style="1" bestFit="1" customWidth="1"/>
    <col min="15790" max="15790" width="9.140625" style="1"/>
    <col min="15791" max="15792" width="9.28515625" style="1" bestFit="1" customWidth="1"/>
    <col min="15793" max="15793" width="9.140625" style="1"/>
    <col min="15794" max="15794" width="9.28515625" style="1" bestFit="1" customWidth="1"/>
    <col min="15795" max="15797" width="9.140625" style="1"/>
    <col min="15798" max="15800" width="9.28515625" style="1" bestFit="1" customWidth="1"/>
    <col min="15801" max="15803" width="9.140625" style="1"/>
    <col min="15804" max="15805" width="9.28515625" style="1" bestFit="1" customWidth="1"/>
    <col min="15806" max="15806" width="9.140625" style="1"/>
    <col min="15807" max="15808" width="9.28515625" style="1" bestFit="1" customWidth="1"/>
    <col min="15809" max="15809" width="9.140625" style="1"/>
    <col min="15810" max="15810" width="9.28515625" style="1" bestFit="1" customWidth="1"/>
    <col min="15811" max="15813" width="9.140625" style="1"/>
    <col min="15814" max="15816" width="9.28515625" style="1" bestFit="1" customWidth="1"/>
    <col min="15817" max="15819" width="9.140625" style="1"/>
    <col min="15820" max="15821" width="9.28515625" style="1" bestFit="1" customWidth="1"/>
    <col min="15822" max="15822" width="9.140625" style="1"/>
    <col min="15823" max="15824" width="9.28515625" style="1" bestFit="1" customWidth="1"/>
    <col min="15825" max="15825" width="9.140625" style="1"/>
    <col min="15826" max="15826" width="9.28515625" style="1" bestFit="1" customWidth="1"/>
    <col min="15827" max="15829" width="9.140625" style="1"/>
    <col min="15830" max="15832" width="9.28515625" style="1" bestFit="1" customWidth="1"/>
    <col min="15833" max="15835" width="9.140625" style="1"/>
    <col min="15836" max="15837" width="9.28515625" style="1" bestFit="1" customWidth="1"/>
    <col min="15838" max="15838" width="9.140625" style="1"/>
    <col min="15839" max="15840" width="9.28515625" style="1" bestFit="1" customWidth="1"/>
    <col min="15841" max="15841" width="9.140625" style="1"/>
    <col min="15842" max="15842" width="9.28515625" style="1" bestFit="1" customWidth="1"/>
    <col min="15843" max="15845" width="9.140625" style="1"/>
    <col min="15846" max="15848" width="9.28515625" style="1" bestFit="1" customWidth="1"/>
    <col min="15849" max="15851" width="9.140625" style="1"/>
    <col min="15852" max="15853" width="9.28515625" style="1" bestFit="1" customWidth="1"/>
    <col min="15854" max="15854" width="9.140625" style="1"/>
    <col min="15855" max="15856" width="9.28515625" style="1" bestFit="1" customWidth="1"/>
    <col min="15857" max="15857" width="9.140625" style="1"/>
    <col min="15858" max="15858" width="9.28515625" style="1" bestFit="1" customWidth="1"/>
    <col min="15859" max="15861" width="9.140625" style="1"/>
    <col min="15862" max="15864" width="9.28515625" style="1" bestFit="1" customWidth="1"/>
    <col min="15865" max="15867" width="9.140625" style="1"/>
    <col min="15868" max="15869" width="9.28515625" style="1" bestFit="1" customWidth="1"/>
    <col min="15870" max="15870" width="9.140625" style="1"/>
    <col min="15871" max="15872" width="9.28515625" style="1" bestFit="1" customWidth="1"/>
    <col min="15873" max="15873" width="9.140625" style="1"/>
    <col min="15874" max="15874" width="9.28515625" style="1" bestFit="1" customWidth="1"/>
    <col min="15875" max="15877" width="9.140625" style="1"/>
    <col min="15878" max="15880" width="9.28515625" style="1" bestFit="1" customWidth="1"/>
    <col min="15881" max="15883" width="9.140625" style="1"/>
    <col min="15884" max="15885" width="9.28515625" style="1" bestFit="1" customWidth="1"/>
    <col min="15886" max="15886" width="9.140625" style="1"/>
    <col min="15887" max="15888" width="9.28515625" style="1" bestFit="1" customWidth="1"/>
    <col min="15889" max="15889" width="9.140625" style="1"/>
    <col min="15890" max="15890" width="9.28515625" style="1" bestFit="1" customWidth="1"/>
    <col min="15891" max="15893" width="9.140625" style="1"/>
    <col min="15894" max="15896" width="9.28515625" style="1" bestFit="1" customWidth="1"/>
    <col min="15897" max="15899" width="9.140625" style="1"/>
    <col min="15900" max="15901" width="9.28515625" style="1" bestFit="1" customWidth="1"/>
    <col min="15902" max="15902" width="9.140625" style="1"/>
    <col min="15903" max="15904" width="9.28515625" style="1" bestFit="1" customWidth="1"/>
    <col min="15905" max="15905" width="9.140625" style="1"/>
    <col min="15906" max="15906" width="9.28515625" style="1" bestFit="1" customWidth="1"/>
    <col min="15907" max="15909" width="9.140625" style="1"/>
    <col min="15910" max="15912" width="9.28515625" style="1" bestFit="1" customWidth="1"/>
    <col min="15913" max="15915" width="9.140625" style="1"/>
    <col min="15916" max="15917" width="9.28515625" style="1" bestFit="1" customWidth="1"/>
    <col min="15918" max="15918" width="9.140625" style="1"/>
    <col min="15919" max="15920" width="9.28515625" style="1" bestFit="1" customWidth="1"/>
    <col min="15921" max="15921" width="9.140625" style="1"/>
    <col min="15922" max="15922" width="9.28515625" style="1" bestFit="1" customWidth="1"/>
    <col min="15923" max="15925" width="9.140625" style="1"/>
    <col min="15926" max="15928" width="9.28515625" style="1" bestFit="1" customWidth="1"/>
    <col min="15929" max="15931" width="9.140625" style="1"/>
    <col min="15932" max="15933" width="9.28515625" style="1" bestFit="1" customWidth="1"/>
    <col min="15934" max="15934" width="9.140625" style="1"/>
    <col min="15935" max="15936" width="9.28515625" style="1" bestFit="1" customWidth="1"/>
    <col min="15937" max="15937" width="9.140625" style="1"/>
    <col min="15938" max="15938" width="9.28515625" style="1" bestFit="1" customWidth="1"/>
    <col min="15939" max="15941" width="9.140625" style="1"/>
    <col min="15942" max="15944" width="9.28515625" style="1" bestFit="1" customWidth="1"/>
    <col min="15945" max="15947" width="9.140625" style="1"/>
    <col min="15948" max="15949" width="9.28515625" style="1" bestFit="1" customWidth="1"/>
    <col min="15950" max="15950" width="9.140625" style="1"/>
    <col min="15951" max="15952" width="9.28515625" style="1" bestFit="1" customWidth="1"/>
    <col min="15953" max="15953" width="9.140625" style="1"/>
    <col min="15954" max="15954" width="9.28515625" style="1" bestFit="1" customWidth="1"/>
    <col min="15955" max="15957" width="9.140625" style="1"/>
    <col min="15958" max="15960" width="9.28515625" style="1" bestFit="1" customWidth="1"/>
    <col min="15961" max="15963" width="9.140625" style="1"/>
    <col min="15964" max="15965" width="9.28515625" style="1" bestFit="1" customWidth="1"/>
    <col min="15966" max="15966" width="9.140625" style="1"/>
    <col min="15967" max="15968" width="9.28515625" style="1" bestFit="1" customWidth="1"/>
    <col min="15969" max="15969" width="9.140625" style="1"/>
    <col min="15970" max="15970" width="9.28515625" style="1" bestFit="1" customWidth="1"/>
    <col min="15971" max="15973" width="9.140625" style="1"/>
    <col min="15974" max="15976" width="9.28515625" style="1" bestFit="1" customWidth="1"/>
    <col min="15977" max="15979" width="9.140625" style="1"/>
    <col min="15980" max="15981" width="9.28515625" style="1" bestFit="1" customWidth="1"/>
    <col min="15982" max="15982" width="9.140625" style="1"/>
    <col min="15983" max="15984" width="9.28515625" style="1" bestFit="1" customWidth="1"/>
    <col min="15985" max="15985" width="9.140625" style="1"/>
    <col min="15986" max="15986" width="9.28515625" style="1" bestFit="1" customWidth="1"/>
    <col min="15987" max="15989" width="9.140625" style="1"/>
    <col min="15990" max="15992" width="9.28515625" style="1" bestFit="1" customWidth="1"/>
    <col min="15993" max="15995" width="9.140625" style="1"/>
    <col min="15996" max="15997" width="9.28515625" style="1" bestFit="1" customWidth="1"/>
    <col min="15998" max="15998" width="9.140625" style="1"/>
    <col min="15999" max="16000" width="9.28515625" style="1" bestFit="1" customWidth="1"/>
    <col min="16001" max="16001" width="9.140625" style="1"/>
    <col min="16002" max="16002" width="9.28515625" style="1" bestFit="1" customWidth="1"/>
    <col min="16003" max="16005" width="9.140625" style="1"/>
    <col min="16006" max="16008" width="9.28515625" style="1" bestFit="1" customWidth="1"/>
    <col min="16009" max="16011" width="9.140625" style="1"/>
    <col min="16012" max="16013" width="9.28515625" style="1" bestFit="1" customWidth="1"/>
    <col min="16014" max="16014" width="9.140625" style="1"/>
    <col min="16015" max="16016" width="9.28515625" style="1" bestFit="1" customWidth="1"/>
    <col min="16017" max="16017" width="9.140625" style="1"/>
    <col min="16018" max="16018" width="9.28515625" style="1" bestFit="1" customWidth="1"/>
    <col min="16019" max="16021" width="9.140625" style="1"/>
    <col min="16022" max="16024" width="9.28515625" style="1" bestFit="1" customWidth="1"/>
    <col min="16025" max="16027" width="9.140625" style="1"/>
    <col min="16028" max="16029" width="9.28515625" style="1" bestFit="1" customWidth="1"/>
    <col min="16030" max="16030" width="9.140625" style="1"/>
    <col min="16031" max="16032" width="9.28515625" style="1" bestFit="1" customWidth="1"/>
    <col min="16033" max="16033" width="9.140625" style="1"/>
    <col min="16034" max="16034" width="9.28515625" style="1" bestFit="1" customWidth="1"/>
    <col min="16035" max="16037" width="9.140625" style="1"/>
    <col min="16038" max="16040" width="9.28515625" style="1" bestFit="1" customWidth="1"/>
    <col min="16041" max="16043" width="9.140625" style="1"/>
    <col min="16044" max="16045" width="9.28515625" style="1" bestFit="1" customWidth="1"/>
    <col min="16046" max="16046" width="9.140625" style="1"/>
    <col min="16047" max="16048" width="9.28515625" style="1" bestFit="1" customWidth="1"/>
    <col min="16049" max="16049" width="9.140625" style="1"/>
    <col min="16050" max="16050" width="9.28515625" style="1" bestFit="1" customWidth="1"/>
    <col min="16051" max="16053" width="9.140625" style="1"/>
    <col min="16054" max="16056" width="9.28515625" style="1" bestFit="1" customWidth="1"/>
    <col min="16057" max="16059" width="9.140625" style="1"/>
    <col min="16060" max="16061" width="9.28515625" style="1" bestFit="1" customWidth="1"/>
    <col min="16062" max="16062" width="9.140625" style="1"/>
    <col min="16063" max="16064" width="9.28515625" style="1" bestFit="1" customWidth="1"/>
    <col min="16065" max="16065" width="9.140625" style="1"/>
    <col min="16066" max="16066" width="9.28515625" style="1" bestFit="1" customWidth="1"/>
    <col min="16067" max="16069" width="9.140625" style="1"/>
    <col min="16070" max="16072" width="9.28515625" style="1" bestFit="1" customWidth="1"/>
    <col min="16073" max="16075" width="9.140625" style="1"/>
    <col min="16076" max="16077" width="9.28515625" style="1" bestFit="1" customWidth="1"/>
    <col min="16078" max="16078" width="9.140625" style="1"/>
    <col min="16079" max="16080" width="9.28515625" style="1" bestFit="1" customWidth="1"/>
    <col min="16081" max="16081" width="9.140625" style="1"/>
    <col min="16082" max="16082" width="9.28515625" style="1" bestFit="1" customWidth="1"/>
    <col min="16083" max="16085" width="9.140625" style="1"/>
    <col min="16086" max="16088" width="9.28515625" style="1" bestFit="1" customWidth="1"/>
    <col min="16089" max="16091" width="9.140625" style="1"/>
    <col min="16092" max="16093" width="9.28515625" style="1" bestFit="1" customWidth="1"/>
    <col min="16094" max="16094" width="9.140625" style="1"/>
    <col min="16095" max="16096" width="9.28515625" style="1" bestFit="1" customWidth="1"/>
    <col min="16097" max="16097" width="9.140625" style="1"/>
    <col min="16098" max="16098" width="9.28515625" style="1" bestFit="1" customWidth="1"/>
    <col min="16099" max="16101" width="9.140625" style="1"/>
    <col min="16102" max="16104" width="9.28515625" style="1" bestFit="1" customWidth="1"/>
    <col min="16105" max="16107" width="9.140625" style="1"/>
    <col min="16108" max="16109" width="9.28515625" style="1" bestFit="1" customWidth="1"/>
    <col min="16110" max="16110" width="9.140625" style="1"/>
    <col min="16111" max="16112" width="9.28515625" style="1" bestFit="1" customWidth="1"/>
    <col min="16113" max="16113" width="9.140625" style="1"/>
    <col min="16114" max="16114" width="9.28515625" style="1" bestFit="1" customWidth="1"/>
    <col min="16115" max="16117" width="9.140625" style="1"/>
    <col min="16118" max="16120" width="9.28515625" style="1" bestFit="1" customWidth="1"/>
    <col min="16121" max="16123" width="9.140625" style="1"/>
    <col min="16124" max="16125" width="9.28515625" style="1" bestFit="1" customWidth="1"/>
    <col min="16126" max="16126" width="9.140625" style="1"/>
    <col min="16127" max="16128" width="9.28515625" style="1" bestFit="1" customWidth="1"/>
    <col min="16129" max="16129" width="9.140625" style="1"/>
    <col min="16130" max="16130" width="9.28515625" style="1" bestFit="1" customWidth="1"/>
    <col min="16131" max="16133" width="9.140625" style="1"/>
    <col min="16134" max="16136" width="9.28515625" style="1" bestFit="1" customWidth="1"/>
    <col min="16137" max="16139" width="9.140625" style="1"/>
    <col min="16140" max="16141" width="9.28515625" style="1" bestFit="1" customWidth="1"/>
    <col min="16142" max="16142" width="9.140625" style="1"/>
    <col min="16143" max="16144" width="9.28515625" style="1" bestFit="1" customWidth="1"/>
    <col min="16145" max="16145" width="9.140625" style="1"/>
    <col min="16146" max="16146" width="9.28515625" style="1" bestFit="1" customWidth="1"/>
    <col min="16147" max="16149" width="9.140625" style="1"/>
    <col min="16150" max="16152" width="9.28515625" style="1" bestFit="1" customWidth="1"/>
    <col min="16153" max="16155" width="9.140625" style="1"/>
    <col min="16156" max="16157" width="9.28515625" style="1" bestFit="1" customWidth="1"/>
    <col min="16158" max="16158" width="9.140625" style="1"/>
    <col min="16159" max="16160" width="9.28515625" style="1" bestFit="1" customWidth="1"/>
    <col min="16161" max="16161" width="9.140625" style="1"/>
    <col min="16162" max="16162" width="9.28515625" style="1" bestFit="1" customWidth="1"/>
    <col min="16163" max="16165" width="9.140625" style="1"/>
    <col min="16166" max="16168" width="9.28515625" style="1" bestFit="1" customWidth="1"/>
    <col min="16169" max="16171" width="9.140625" style="1"/>
    <col min="16172" max="16173" width="9.28515625" style="1" bestFit="1" customWidth="1"/>
    <col min="16174" max="16174" width="9.140625" style="1"/>
    <col min="16175" max="16176" width="9.28515625" style="1" bestFit="1" customWidth="1"/>
    <col min="16177" max="16177" width="9.140625" style="1"/>
    <col min="16178" max="16178" width="9.28515625" style="1" bestFit="1" customWidth="1"/>
    <col min="16179" max="16181" width="9.140625" style="1"/>
    <col min="16182" max="16184" width="9.28515625" style="1" bestFit="1" customWidth="1"/>
    <col min="16185" max="16187" width="9.140625" style="1"/>
    <col min="16188" max="16189" width="9.28515625" style="1" bestFit="1" customWidth="1"/>
    <col min="16190" max="16190" width="9.140625" style="1"/>
    <col min="16191" max="16192" width="9.28515625" style="1" bestFit="1" customWidth="1"/>
    <col min="16193" max="16193" width="9.140625" style="1"/>
    <col min="16194" max="16194" width="9.28515625" style="1" bestFit="1" customWidth="1"/>
    <col min="16195" max="16197" width="9.140625" style="1"/>
    <col min="16198" max="16200" width="9.28515625" style="1" bestFit="1" customWidth="1"/>
    <col min="16201" max="16203" width="9.140625" style="1"/>
    <col min="16204" max="16205" width="9.28515625" style="1" bestFit="1" customWidth="1"/>
    <col min="16206" max="16206" width="9.140625" style="1"/>
    <col min="16207" max="16208" width="9.28515625" style="1" bestFit="1" customWidth="1"/>
    <col min="16209" max="16209" width="9.140625" style="1"/>
    <col min="16210" max="16210" width="9.28515625" style="1" bestFit="1" customWidth="1"/>
    <col min="16211" max="16213" width="9.140625" style="1"/>
    <col min="16214" max="16216" width="9.28515625" style="1" bestFit="1" customWidth="1"/>
    <col min="16217" max="16219" width="9.140625" style="1"/>
    <col min="16220" max="16221" width="9.28515625" style="1" bestFit="1" customWidth="1"/>
    <col min="16222" max="16222" width="9.140625" style="1"/>
    <col min="16223" max="16224" width="9.28515625" style="1" bestFit="1" customWidth="1"/>
    <col min="16225" max="16225" width="9.140625" style="1"/>
    <col min="16226" max="16226" width="9.28515625" style="1" bestFit="1" customWidth="1"/>
    <col min="16227" max="16229" width="9.140625" style="1"/>
    <col min="16230" max="16232" width="9.28515625" style="1" bestFit="1" customWidth="1"/>
    <col min="16233" max="16235" width="9.140625" style="1"/>
    <col min="16236" max="16237" width="9.28515625" style="1" bestFit="1" customWidth="1"/>
    <col min="16238" max="16238" width="9.140625" style="1"/>
    <col min="16239" max="16240" width="9.28515625" style="1" bestFit="1" customWidth="1"/>
    <col min="16241" max="16241" width="9.140625" style="1"/>
    <col min="16242" max="16242" width="9.28515625" style="1" bestFit="1" customWidth="1"/>
    <col min="16243" max="16245" width="9.140625" style="1"/>
    <col min="16246" max="16248" width="9.28515625" style="1" bestFit="1" customWidth="1"/>
    <col min="16249" max="16251" width="9.140625" style="1"/>
    <col min="16252" max="16253" width="9.28515625" style="1" bestFit="1" customWidth="1"/>
    <col min="16254" max="16254" width="9.140625" style="1"/>
    <col min="16255" max="16256" width="9.28515625" style="1" bestFit="1" customWidth="1"/>
    <col min="16257" max="16257" width="9.140625" style="1"/>
    <col min="16258" max="16258" width="9.28515625" style="1" bestFit="1" customWidth="1"/>
    <col min="16259" max="16261" width="9.140625" style="1"/>
    <col min="16262" max="16264" width="9.28515625" style="1" bestFit="1" customWidth="1"/>
    <col min="16265" max="16267" width="9.140625" style="1"/>
    <col min="16268" max="16269" width="9.28515625" style="1" bestFit="1" customWidth="1"/>
    <col min="16270" max="16270" width="9.140625" style="1"/>
    <col min="16271" max="16272" width="9.28515625" style="1" bestFit="1" customWidth="1"/>
    <col min="16273" max="16273" width="9.140625" style="1"/>
    <col min="16274" max="16274" width="9.28515625" style="1" bestFit="1" customWidth="1"/>
    <col min="16275" max="16277" width="9.140625" style="1"/>
    <col min="16278" max="16280" width="9.28515625" style="1" bestFit="1" customWidth="1"/>
    <col min="16281" max="16283" width="9.140625" style="1"/>
    <col min="16284" max="16285" width="9.28515625" style="1" bestFit="1" customWidth="1"/>
    <col min="16286" max="16286" width="9.140625" style="1"/>
    <col min="16287" max="16288" width="9.28515625" style="1" bestFit="1" customWidth="1"/>
    <col min="16289" max="16289" width="9.140625" style="1"/>
    <col min="16290" max="16290" width="9.28515625" style="1" bestFit="1" customWidth="1"/>
    <col min="16291" max="16293" width="9.140625" style="1"/>
    <col min="16294" max="16296" width="9.28515625" style="1" bestFit="1" customWidth="1"/>
    <col min="16297" max="16299" width="9.140625" style="1"/>
    <col min="16300" max="16301" width="9.28515625" style="1" bestFit="1" customWidth="1"/>
    <col min="16302" max="16302" width="9.140625" style="1"/>
    <col min="16303" max="16304" width="9.28515625" style="1" bestFit="1" customWidth="1"/>
    <col min="16305" max="16305" width="9.140625" style="1"/>
    <col min="16306" max="16306" width="9.28515625" style="1" bestFit="1" customWidth="1"/>
    <col min="16307" max="16309" width="9.140625" style="1"/>
    <col min="16310" max="16312" width="9.28515625" style="1" bestFit="1" customWidth="1"/>
    <col min="16313" max="16315" width="9.140625" style="1"/>
    <col min="16316" max="16317" width="9.28515625" style="1" bestFit="1" customWidth="1"/>
    <col min="16318" max="16318" width="9.140625" style="1"/>
    <col min="16319" max="16320" width="9.28515625" style="1" bestFit="1" customWidth="1"/>
    <col min="16321" max="16321" width="9.140625" style="1"/>
    <col min="16322" max="16322" width="9.28515625" style="1" bestFit="1" customWidth="1"/>
    <col min="16323" max="16325" width="9.140625" style="1"/>
    <col min="16326" max="16328" width="9.28515625" style="1" bestFit="1" customWidth="1"/>
    <col min="16329" max="16331" width="9.140625" style="1"/>
    <col min="16332" max="16333" width="9.28515625" style="1" bestFit="1" customWidth="1"/>
    <col min="16334" max="16334" width="9.140625" style="1"/>
    <col min="16335" max="16336" width="9.28515625" style="1" bestFit="1" customWidth="1"/>
    <col min="16337" max="16337" width="9.140625" style="1"/>
    <col min="16338" max="16338" width="9.28515625" style="1" bestFit="1" customWidth="1"/>
    <col min="16339" max="16341" width="9.140625" style="1"/>
    <col min="16342" max="16344" width="9.28515625" style="1" bestFit="1" customWidth="1"/>
    <col min="16345" max="16347" width="9.140625" style="1"/>
    <col min="16348" max="16349" width="9.28515625" style="1" bestFit="1" customWidth="1"/>
    <col min="16350" max="16350" width="9.140625" style="1"/>
    <col min="16351" max="16352" width="9.28515625" style="1" bestFit="1" customWidth="1"/>
    <col min="16353" max="16353" width="9.140625" style="1"/>
    <col min="16354" max="16354" width="9.28515625" style="1" bestFit="1" customWidth="1"/>
    <col min="16355" max="16357" width="9.140625" style="1"/>
    <col min="16358" max="16360" width="9.28515625" style="1" bestFit="1" customWidth="1"/>
    <col min="16361" max="16363" width="9.140625" style="1"/>
    <col min="16364" max="16365" width="9.28515625" style="1" bestFit="1" customWidth="1"/>
    <col min="16366" max="16366" width="9.140625" style="1"/>
    <col min="16367" max="16368" width="9.28515625" style="1" bestFit="1" customWidth="1"/>
    <col min="16369" max="16369" width="9.140625" style="1"/>
    <col min="16370" max="16370" width="9.28515625" style="1" bestFit="1" customWidth="1"/>
    <col min="16371" max="16373" width="9.140625" style="1"/>
    <col min="16374" max="16377" width="9.28515625" style="1" bestFit="1" customWidth="1"/>
    <col min="16378" max="16379" width="9.140625" style="1"/>
    <col min="16380" max="16382" width="9.28515625" style="1" bestFit="1" customWidth="1"/>
    <col min="16383" max="16384" width="9.28515625" style="1" customWidth="1"/>
  </cols>
  <sheetData>
    <row r="1" spans="1:18" ht="27" x14ac:dyDescent="0.4">
      <c r="A1" s="173" t="s">
        <v>0</v>
      </c>
      <c r="B1" s="171" t="s">
        <v>1</v>
      </c>
      <c r="C1" s="171" t="s">
        <v>2</v>
      </c>
      <c r="D1" s="172" t="s">
        <v>3</v>
      </c>
      <c r="E1" s="172" t="s">
        <v>4</v>
      </c>
      <c r="F1" s="163" t="s">
        <v>5</v>
      </c>
      <c r="G1" s="163" t="s">
        <v>6</v>
      </c>
      <c r="H1" s="163"/>
      <c r="I1" s="163"/>
      <c r="J1" s="163"/>
      <c r="K1" s="163"/>
      <c r="L1" s="169" t="s">
        <v>7</v>
      </c>
      <c r="M1" s="169" t="s">
        <v>8</v>
      </c>
      <c r="N1" s="169"/>
      <c r="O1" s="169"/>
      <c r="P1" s="169"/>
      <c r="Q1" s="169"/>
      <c r="R1" s="170" t="s">
        <v>9</v>
      </c>
    </row>
    <row r="2" spans="1:18" ht="108" x14ac:dyDescent="0.4">
      <c r="A2" s="173"/>
      <c r="B2" s="171"/>
      <c r="C2" s="171"/>
      <c r="D2" s="172"/>
      <c r="E2" s="172"/>
      <c r="F2" s="163"/>
      <c r="G2" s="63" t="s">
        <v>10</v>
      </c>
      <c r="H2" s="63" t="s">
        <v>11</v>
      </c>
      <c r="I2" s="63" t="s">
        <v>12</v>
      </c>
      <c r="J2" s="63" t="s">
        <v>13</v>
      </c>
      <c r="K2" s="63" t="s">
        <v>14</v>
      </c>
      <c r="L2" s="169"/>
      <c r="M2" s="64" t="s">
        <v>10</v>
      </c>
      <c r="N2" s="64" t="s">
        <v>11</v>
      </c>
      <c r="O2" s="64" t="s">
        <v>15</v>
      </c>
      <c r="P2" s="64" t="s">
        <v>16</v>
      </c>
      <c r="Q2" s="64" t="s">
        <v>17</v>
      </c>
      <c r="R2" s="170"/>
    </row>
    <row r="3" spans="1:18" ht="27" x14ac:dyDescent="0.4">
      <c r="A3" s="65"/>
      <c r="B3" s="66"/>
      <c r="C3" s="66"/>
      <c r="D3" s="67"/>
      <c r="E3" s="68"/>
      <c r="F3" s="68"/>
      <c r="G3" s="66"/>
      <c r="H3" s="67"/>
      <c r="I3" s="67"/>
      <c r="J3" s="67"/>
      <c r="K3" s="66"/>
      <c r="L3" s="68"/>
      <c r="M3" s="66"/>
      <c r="N3" s="69"/>
      <c r="O3" s="67"/>
      <c r="P3" s="66"/>
      <c r="Q3" s="65"/>
      <c r="R3" s="70"/>
    </row>
    <row r="4" spans="1:18" ht="27" x14ac:dyDescent="0.4">
      <c r="A4" s="65"/>
      <c r="B4" s="66"/>
      <c r="C4" s="66"/>
      <c r="D4" s="67"/>
      <c r="E4" s="68"/>
      <c r="F4" s="68"/>
      <c r="G4" s="66"/>
      <c r="H4" s="67"/>
      <c r="I4" s="67"/>
      <c r="J4" s="67"/>
      <c r="K4" s="66"/>
      <c r="L4" s="68"/>
      <c r="M4" s="66"/>
      <c r="N4" s="69"/>
      <c r="O4" s="67"/>
      <c r="P4" s="66"/>
      <c r="Q4" s="65"/>
      <c r="R4" s="70"/>
    </row>
    <row r="5" spans="1:18" ht="27" x14ac:dyDescent="0.4">
      <c r="A5" s="65"/>
      <c r="B5" s="66"/>
      <c r="C5" s="66"/>
      <c r="D5" s="67"/>
      <c r="E5" s="68"/>
      <c r="F5" s="68"/>
      <c r="G5" s="66"/>
      <c r="H5" s="67"/>
      <c r="I5" s="67"/>
      <c r="J5" s="67"/>
      <c r="K5" s="66"/>
      <c r="L5" s="68"/>
      <c r="M5" s="66"/>
      <c r="N5" s="69"/>
      <c r="O5" s="67"/>
      <c r="P5" s="66"/>
      <c r="Q5" s="65"/>
      <c r="R5" s="68"/>
    </row>
    <row r="6" spans="1:18" ht="27" x14ac:dyDescent="0.4">
      <c r="A6" s="65"/>
      <c r="B6" s="66"/>
      <c r="C6" s="66"/>
      <c r="D6" s="67"/>
      <c r="E6" s="68"/>
      <c r="F6" s="68"/>
      <c r="G6" s="66"/>
      <c r="H6" s="67"/>
      <c r="I6" s="67"/>
      <c r="J6" s="67"/>
      <c r="K6" s="66"/>
      <c r="L6" s="68"/>
      <c r="M6" s="66"/>
      <c r="N6" s="69"/>
      <c r="O6" s="67"/>
      <c r="P6" s="66"/>
      <c r="Q6" s="65"/>
      <c r="R6" s="70"/>
    </row>
    <row r="7" spans="1:18" ht="27" x14ac:dyDescent="0.4">
      <c r="A7" s="65"/>
      <c r="B7" s="66"/>
      <c r="C7" s="66"/>
      <c r="D7" s="67"/>
      <c r="E7" s="68"/>
      <c r="F7" s="68"/>
      <c r="G7" s="66"/>
      <c r="H7" s="67"/>
      <c r="I7" s="67"/>
      <c r="J7" s="67"/>
      <c r="K7" s="66"/>
      <c r="L7" s="68"/>
      <c r="M7" s="66"/>
      <c r="N7" s="69"/>
      <c r="O7" s="67"/>
      <c r="P7" s="66"/>
      <c r="Q7" s="65"/>
      <c r="R7" s="70"/>
    </row>
    <row r="8" spans="1:18" ht="27" x14ac:dyDescent="0.4">
      <c r="A8" s="65"/>
      <c r="B8" s="66"/>
      <c r="C8" s="66"/>
      <c r="D8" s="67"/>
      <c r="E8" s="68"/>
      <c r="F8" s="68"/>
      <c r="G8" s="66"/>
      <c r="H8" s="67"/>
      <c r="I8" s="67"/>
      <c r="J8" s="67"/>
      <c r="K8" s="66"/>
      <c r="L8" s="68"/>
      <c r="M8" s="66"/>
      <c r="N8" s="69"/>
      <c r="O8" s="67"/>
      <c r="P8" s="66"/>
      <c r="Q8" s="65"/>
      <c r="R8" s="70"/>
    </row>
    <row r="9" spans="1:18" ht="27" x14ac:dyDescent="0.4">
      <c r="A9" s="65"/>
      <c r="B9" s="66"/>
      <c r="C9" s="66"/>
      <c r="D9" s="67"/>
      <c r="E9" s="68"/>
      <c r="F9" s="68"/>
      <c r="G9" s="66"/>
      <c r="H9" s="67"/>
      <c r="I9" s="67"/>
      <c r="J9" s="67"/>
      <c r="K9" s="66"/>
      <c r="L9" s="68"/>
      <c r="M9" s="66"/>
      <c r="N9" s="69"/>
      <c r="O9" s="67"/>
      <c r="P9" s="66"/>
      <c r="Q9" s="65"/>
      <c r="R9" s="70"/>
    </row>
    <row r="10" spans="1:18" ht="27" x14ac:dyDescent="0.4">
      <c r="A10" s="65"/>
      <c r="B10" s="66"/>
      <c r="C10" s="66"/>
      <c r="D10" s="67"/>
      <c r="E10" s="68"/>
      <c r="F10" s="68"/>
      <c r="G10" s="66"/>
      <c r="H10" s="67"/>
      <c r="I10" s="67"/>
      <c r="J10" s="67"/>
      <c r="K10" s="66"/>
      <c r="L10" s="68"/>
      <c r="M10" s="66"/>
      <c r="N10" s="69"/>
      <c r="O10" s="67"/>
      <c r="P10" s="66"/>
      <c r="Q10" s="65"/>
      <c r="R10" s="70"/>
    </row>
    <row r="11" spans="1:18" ht="27" x14ac:dyDescent="0.4">
      <c r="A11" s="65"/>
      <c r="B11" s="66"/>
      <c r="C11" s="66"/>
      <c r="D11" s="67"/>
      <c r="E11" s="68"/>
      <c r="F11" s="68"/>
      <c r="G11" s="66"/>
      <c r="H11" s="67"/>
      <c r="I11" s="67"/>
      <c r="J11" s="67"/>
      <c r="K11" s="66"/>
      <c r="L11" s="68"/>
      <c r="M11" s="66"/>
      <c r="N11" s="69"/>
      <c r="O11" s="67"/>
      <c r="P11" s="66"/>
      <c r="Q11" s="65"/>
      <c r="R11" s="70"/>
    </row>
    <row r="12" spans="1:18" ht="27" x14ac:dyDescent="0.4">
      <c r="A12" s="65"/>
      <c r="B12" s="66"/>
      <c r="C12" s="66"/>
      <c r="D12" s="67"/>
      <c r="E12" s="68"/>
      <c r="F12" s="68"/>
      <c r="G12" s="66"/>
      <c r="H12" s="67"/>
      <c r="I12" s="67"/>
      <c r="J12" s="67"/>
      <c r="K12" s="66"/>
      <c r="L12" s="68"/>
      <c r="M12" s="66"/>
      <c r="N12" s="69"/>
      <c r="O12" s="67"/>
      <c r="P12" s="66"/>
      <c r="Q12" s="65"/>
      <c r="R12" s="68"/>
    </row>
    <row r="13" spans="1:18" ht="27" x14ac:dyDescent="0.4">
      <c r="A13" s="65"/>
      <c r="B13" s="66"/>
      <c r="C13" s="66"/>
      <c r="D13" s="67"/>
      <c r="E13" s="68"/>
      <c r="F13" s="68"/>
      <c r="G13" s="66"/>
      <c r="H13" s="67"/>
      <c r="I13" s="67"/>
      <c r="J13" s="67"/>
      <c r="K13" s="66"/>
      <c r="L13" s="68"/>
      <c r="M13" s="66"/>
      <c r="N13" s="69"/>
      <c r="O13" s="67"/>
      <c r="P13" s="66"/>
      <c r="Q13" s="65"/>
      <c r="R13" s="68"/>
    </row>
    <row r="14" spans="1:18" ht="27" x14ac:dyDescent="0.4">
      <c r="A14" s="65"/>
      <c r="B14" s="66"/>
      <c r="C14" s="66"/>
      <c r="D14" s="67"/>
      <c r="E14" s="68"/>
      <c r="F14" s="68"/>
      <c r="G14" s="66"/>
      <c r="H14" s="67"/>
      <c r="I14" s="67"/>
      <c r="J14" s="67"/>
      <c r="K14" s="66"/>
      <c r="L14" s="68"/>
      <c r="M14" s="66"/>
      <c r="N14" s="69"/>
      <c r="O14" s="67"/>
      <c r="P14" s="66"/>
      <c r="Q14" s="65"/>
      <c r="R14" s="68"/>
    </row>
    <row r="15" spans="1:18" ht="27" x14ac:dyDescent="0.4">
      <c r="A15" s="65"/>
      <c r="B15" s="66"/>
      <c r="C15" s="66"/>
      <c r="D15" s="67"/>
      <c r="E15" s="68"/>
      <c r="F15" s="68"/>
      <c r="G15" s="66"/>
      <c r="H15" s="67"/>
      <c r="I15" s="67"/>
      <c r="J15" s="67"/>
      <c r="K15" s="66"/>
      <c r="L15" s="68"/>
      <c r="M15" s="66"/>
      <c r="N15" s="69"/>
      <c r="O15" s="67"/>
      <c r="P15" s="66"/>
      <c r="Q15" s="65"/>
      <c r="R15" s="65"/>
    </row>
    <row r="16" spans="1:18" ht="27" x14ac:dyDescent="0.4">
      <c r="A16" s="65"/>
      <c r="B16" s="66"/>
      <c r="C16" s="66"/>
      <c r="D16" s="67"/>
      <c r="E16" s="68"/>
      <c r="F16" s="68"/>
      <c r="G16" s="66"/>
      <c r="H16" s="67"/>
      <c r="I16" s="67"/>
      <c r="J16" s="67"/>
      <c r="K16" s="66"/>
      <c r="L16" s="68"/>
      <c r="M16" s="66"/>
      <c r="N16" s="69"/>
      <c r="O16" s="67"/>
      <c r="P16" s="66"/>
      <c r="Q16" s="65"/>
      <c r="R16" s="120"/>
    </row>
    <row r="17" spans="1:19" ht="27" x14ac:dyDescent="0.4">
      <c r="A17" s="65"/>
      <c r="B17" s="66"/>
      <c r="C17" s="66"/>
      <c r="D17" s="67"/>
      <c r="E17" s="68"/>
      <c r="F17" s="68"/>
      <c r="G17" s="66"/>
      <c r="H17" s="67"/>
      <c r="I17" s="67"/>
      <c r="J17" s="67"/>
      <c r="K17" s="66"/>
      <c r="L17" s="68"/>
      <c r="M17" s="66"/>
      <c r="N17" s="69"/>
      <c r="O17" s="67"/>
      <c r="P17" s="66"/>
      <c r="Q17" s="65"/>
      <c r="R17" s="65"/>
    </row>
    <row r="18" spans="1:19" ht="27" x14ac:dyDescent="0.4">
      <c r="A18" s="65"/>
      <c r="B18" s="66"/>
      <c r="C18" s="66"/>
      <c r="D18" s="67"/>
      <c r="E18" s="68"/>
      <c r="F18" s="68"/>
      <c r="G18" s="66"/>
      <c r="H18" s="67"/>
      <c r="I18" s="67"/>
      <c r="J18" s="67"/>
      <c r="K18" s="66"/>
      <c r="L18" s="68"/>
      <c r="M18" s="66"/>
      <c r="N18" s="69"/>
      <c r="O18" s="67"/>
      <c r="P18" s="66"/>
      <c r="Q18" s="65"/>
      <c r="R18" s="70"/>
    </row>
    <row r="19" spans="1:19" ht="27" x14ac:dyDescent="0.4">
      <c r="A19" s="65"/>
      <c r="B19" s="66"/>
      <c r="C19" s="66"/>
      <c r="D19" s="67"/>
      <c r="E19" s="68"/>
      <c r="F19" s="68"/>
      <c r="G19" s="66"/>
      <c r="H19" s="67"/>
      <c r="I19" s="67"/>
      <c r="J19" s="67"/>
      <c r="K19" s="66"/>
      <c r="L19" s="68"/>
      <c r="M19" s="66"/>
      <c r="N19" s="69"/>
      <c r="O19" s="67"/>
      <c r="P19" s="66"/>
      <c r="Q19" s="65"/>
      <c r="R19" s="68"/>
    </row>
    <row r="20" spans="1:19" ht="27" x14ac:dyDescent="0.4">
      <c r="A20" s="65"/>
      <c r="B20" s="66"/>
      <c r="C20" s="66"/>
      <c r="D20" s="67"/>
      <c r="E20" s="68"/>
      <c r="F20" s="68"/>
      <c r="G20" s="66"/>
      <c r="H20" s="67"/>
      <c r="I20" s="67"/>
      <c r="J20" s="67"/>
      <c r="K20" s="66"/>
      <c r="L20" s="68"/>
      <c r="M20" s="66"/>
      <c r="N20" s="69"/>
      <c r="O20" s="67"/>
      <c r="P20" s="66"/>
      <c r="Q20" s="65"/>
      <c r="R20" s="68"/>
    </row>
    <row r="21" spans="1:19" ht="27" x14ac:dyDescent="0.4">
      <c r="A21" s="65"/>
      <c r="B21" s="66"/>
      <c r="C21" s="66"/>
      <c r="D21" s="67"/>
      <c r="E21" s="68"/>
      <c r="F21" s="68"/>
      <c r="G21" s="66"/>
      <c r="H21" s="67"/>
      <c r="I21" s="67"/>
      <c r="J21" s="67"/>
      <c r="K21" s="66"/>
      <c r="L21" s="68"/>
      <c r="M21" s="66"/>
      <c r="N21" s="69"/>
      <c r="O21" s="67"/>
      <c r="P21" s="66"/>
      <c r="Q21" s="65"/>
      <c r="R21" s="68"/>
    </row>
    <row r="22" spans="1:19" ht="27" x14ac:dyDescent="0.4">
      <c r="A22" s="65"/>
      <c r="B22" s="66"/>
      <c r="C22" s="66"/>
      <c r="D22" s="67"/>
      <c r="E22" s="68"/>
      <c r="F22" s="68"/>
      <c r="G22" s="66"/>
      <c r="H22" s="67"/>
      <c r="I22" s="67"/>
      <c r="J22" s="67"/>
      <c r="K22" s="66"/>
      <c r="L22" s="68"/>
      <c r="M22" s="66"/>
      <c r="N22" s="69"/>
      <c r="O22" s="67"/>
      <c r="P22" s="66"/>
      <c r="Q22" s="65"/>
      <c r="R22" s="68"/>
    </row>
    <row r="23" spans="1:19" ht="27" x14ac:dyDescent="0.4">
      <c r="A23" s="65"/>
      <c r="B23" s="66"/>
      <c r="C23" s="66"/>
      <c r="D23" s="67"/>
      <c r="E23" s="68"/>
      <c r="F23" s="68"/>
      <c r="G23" s="66"/>
      <c r="H23" s="67"/>
      <c r="I23" s="67"/>
      <c r="J23" s="67"/>
      <c r="K23" s="66"/>
      <c r="L23" s="68"/>
      <c r="M23" s="66"/>
      <c r="N23" s="69"/>
      <c r="O23" s="67"/>
      <c r="P23" s="66"/>
      <c r="Q23" s="65"/>
      <c r="R23" s="68"/>
      <c r="S23" s="17"/>
    </row>
    <row r="24" spans="1:19" ht="27" x14ac:dyDescent="0.4">
      <c r="A24" s="65"/>
      <c r="B24" s="66"/>
      <c r="C24" s="66"/>
      <c r="D24" s="67"/>
      <c r="E24" s="68"/>
      <c r="F24" s="68"/>
      <c r="G24" s="66"/>
      <c r="H24" s="67"/>
      <c r="I24" s="67"/>
      <c r="J24" s="67"/>
      <c r="K24" s="66"/>
      <c r="L24" s="68"/>
      <c r="M24" s="66"/>
      <c r="N24" s="69"/>
      <c r="O24" s="67"/>
      <c r="P24" s="66"/>
      <c r="Q24" s="65"/>
      <c r="R24" s="68"/>
    </row>
    <row r="25" spans="1:19" ht="27" x14ac:dyDescent="0.4">
      <c r="A25" s="65"/>
      <c r="B25" s="66"/>
      <c r="C25" s="66"/>
      <c r="D25" s="67"/>
      <c r="E25" s="68"/>
      <c r="F25" s="68"/>
      <c r="G25" s="66"/>
      <c r="H25" s="67"/>
      <c r="I25" s="67"/>
      <c r="J25" s="67"/>
      <c r="K25" s="66"/>
      <c r="L25" s="68"/>
      <c r="M25" s="66"/>
      <c r="N25" s="69"/>
      <c r="O25" s="67"/>
      <c r="P25" s="66"/>
      <c r="Q25" s="65"/>
      <c r="R25" s="68"/>
    </row>
    <row r="26" spans="1:19" ht="27" x14ac:dyDescent="0.4">
      <c r="A26" s="65"/>
      <c r="B26" s="66"/>
      <c r="C26" s="66"/>
      <c r="D26" s="67"/>
      <c r="E26" s="68"/>
      <c r="F26" s="68"/>
      <c r="G26" s="66"/>
      <c r="H26" s="67"/>
      <c r="I26" s="67"/>
      <c r="J26" s="67"/>
      <c r="K26" s="66"/>
      <c r="L26" s="68"/>
      <c r="M26" s="66"/>
      <c r="N26" s="69"/>
      <c r="O26" s="67"/>
      <c r="P26" s="66"/>
      <c r="Q26" s="65"/>
      <c r="R26" s="68"/>
    </row>
    <row r="27" spans="1:19" ht="27" x14ac:dyDescent="0.4">
      <c r="A27" s="65"/>
      <c r="B27" s="66"/>
      <c r="C27" s="66"/>
      <c r="D27" s="67"/>
      <c r="E27" s="68"/>
      <c r="F27" s="68"/>
      <c r="G27" s="66"/>
      <c r="H27" s="67"/>
      <c r="I27" s="67"/>
      <c r="J27" s="67"/>
      <c r="K27" s="66"/>
      <c r="L27" s="68"/>
      <c r="M27" s="66"/>
      <c r="N27" s="69"/>
      <c r="O27" s="67"/>
      <c r="P27" s="66"/>
      <c r="Q27" s="65"/>
      <c r="R27" s="68"/>
    </row>
    <row r="28" spans="1:19" ht="27" x14ac:dyDescent="0.4">
      <c r="A28" s="65"/>
      <c r="B28" s="66"/>
      <c r="C28" s="66"/>
      <c r="D28" s="67"/>
      <c r="E28" s="68"/>
      <c r="F28" s="68"/>
      <c r="G28" s="66"/>
      <c r="H28" s="67"/>
      <c r="I28" s="67"/>
      <c r="J28" s="67"/>
      <c r="K28" s="66"/>
      <c r="L28" s="68"/>
      <c r="M28" s="66"/>
      <c r="N28" s="69"/>
      <c r="O28" s="67"/>
      <c r="P28" s="66"/>
      <c r="Q28" s="65"/>
      <c r="R28" s="68"/>
    </row>
    <row r="29" spans="1:19" ht="27" x14ac:dyDescent="0.4">
      <c r="A29" s="65"/>
      <c r="B29" s="66"/>
      <c r="C29" s="66"/>
      <c r="D29" s="67"/>
      <c r="E29" s="68"/>
      <c r="F29" s="68"/>
      <c r="G29" s="66"/>
      <c r="H29" s="67"/>
      <c r="I29" s="67"/>
      <c r="J29" s="67"/>
      <c r="K29" s="71"/>
      <c r="L29" s="68"/>
      <c r="M29" s="66"/>
      <c r="N29" s="69"/>
      <c r="O29" s="67"/>
      <c r="P29" s="71"/>
      <c r="Q29" s="65"/>
      <c r="R29" s="68"/>
    </row>
    <row r="30" spans="1:19" ht="27" x14ac:dyDescent="0.4">
      <c r="A30" s="65"/>
      <c r="B30" s="66"/>
      <c r="C30" s="66"/>
      <c r="D30" s="67"/>
      <c r="E30" s="68"/>
      <c r="F30" s="68"/>
      <c r="G30" s="66"/>
      <c r="H30" s="67"/>
      <c r="I30" s="67"/>
      <c r="J30" s="67"/>
      <c r="K30" s="71"/>
      <c r="L30" s="68"/>
      <c r="M30" s="66"/>
      <c r="N30" s="69"/>
      <c r="O30" s="67"/>
      <c r="P30" s="71"/>
      <c r="Q30" s="65"/>
      <c r="R30" s="68"/>
    </row>
    <row r="31" spans="1:19" ht="27" x14ac:dyDescent="0.4">
      <c r="A31" s="65"/>
      <c r="B31" s="66"/>
      <c r="C31" s="66"/>
      <c r="D31" s="67"/>
      <c r="E31" s="68"/>
      <c r="F31" s="68"/>
      <c r="G31" s="66"/>
      <c r="H31" s="67"/>
      <c r="I31" s="67"/>
      <c r="J31" s="67"/>
      <c r="K31" s="71"/>
      <c r="L31" s="68"/>
      <c r="M31" s="66"/>
      <c r="N31" s="69"/>
      <c r="O31" s="67"/>
      <c r="P31" s="71"/>
      <c r="Q31" s="65"/>
      <c r="R31" s="68"/>
    </row>
    <row r="32" spans="1:19" ht="27" x14ac:dyDescent="0.4">
      <c r="A32" s="65"/>
      <c r="B32" s="66"/>
      <c r="C32" s="66"/>
      <c r="D32" s="67"/>
      <c r="E32" s="68"/>
      <c r="F32" s="68"/>
      <c r="G32" s="66"/>
      <c r="H32" s="67"/>
      <c r="I32" s="67"/>
      <c r="J32" s="67"/>
      <c r="K32" s="66"/>
      <c r="L32" s="68"/>
      <c r="M32" s="66"/>
      <c r="N32" s="69"/>
      <c r="O32" s="67"/>
      <c r="P32" s="66"/>
      <c r="Q32" s="65"/>
      <c r="R32" s="68"/>
    </row>
    <row r="33" spans="1:19" ht="27" x14ac:dyDescent="0.4">
      <c r="A33" s="65"/>
      <c r="B33" s="66"/>
      <c r="C33" s="66"/>
      <c r="D33" s="67"/>
      <c r="E33" s="68"/>
      <c r="F33" s="68"/>
      <c r="G33" s="66"/>
      <c r="H33" s="67"/>
      <c r="I33" s="67"/>
      <c r="J33" s="67"/>
      <c r="K33" s="66"/>
      <c r="L33" s="68"/>
      <c r="M33" s="66"/>
      <c r="N33" s="69"/>
      <c r="O33" s="67"/>
      <c r="P33" s="66"/>
      <c r="Q33" s="68"/>
      <c r="R33" s="68"/>
    </row>
    <row r="34" spans="1:19" ht="27" x14ac:dyDescent="0.4">
      <c r="A34" s="65"/>
      <c r="B34" s="66"/>
      <c r="C34" s="66"/>
      <c r="D34" s="67"/>
      <c r="E34" s="68"/>
      <c r="F34" s="68"/>
      <c r="G34" s="66"/>
      <c r="H34" s="67"/>
      <c r="I34" s="67"/>
      <c r="J34" s="67"/>
      <c r="K34" s="66"/>
      <c r="L34" s="68"/>
      <c r="M34" s="66"/>
      <c r="N34" s="69"/>
      <c r="O34" s="67"/>
      <c r="P34" s="66"/>
      <c r="Q34" s="68"/>
      <c r="R34" s="68"/>
    </row>
    <row r="35" spans="1:19" ht="27" x14ac:dyDescent="0.4">
      <c r="A35" s="65"/>
      <c r="B35" s="66"/>
      <c r="C35" s="66"/>
      <c r="D35" s="67"/>
      <c r="E35" s="68"/>
      <c r="F35" s="68"/>
      <c r="G35" s="66"/>
      <c r="H35" s="67"/>
      <c r="I35" s="67"/>
      <c r="J35" s="67"/>
      <c r="K35" s="66"/>
      <c r="L35" s="68"/>
      <c r="M35" s="66"/>
      <c r="N35" s="69"/>
      <c r="O35" s="67"/>
      <c r="P35" s="66"/>
      <c r="Q35" s="68"/>
      <c r="R35" s="68"/>
    </row>
    <row r="36" spans="1:19" ht="27" x14ac:dyDescent="0.4">
      <c r="A36" s="65"/>
      <c r="B36" s="66"/>
      <c r="C36" s="66"/>
      <c r="D36" s="67"/>
      <c r="E36" s="68"/>
      <c r="F36" s="68"/>
      <c r="G36" s="66"/>
      <c r="H36" s="67"/>
      <c r="I36" s="67"/>
      <c r="J36" s="67"/>
      <c r="K36" s="66"/>
      <c r="L36" s="68"/>
      <c r="M36" s="66"/>
      <c r="N36" s="69"/>
      <c r="O36" s="67"/>
      <c r="P36" s="66"/>
      <c r="Q36" s="68"/>
      <c r="R36" s="68"/>
    </row>
    <row r="37" spans="1:19" ht="27" x14ac:dyDescent="0.4">
      <c r="A37" s="65"/>
      <c r="B37" s="66"/>
      <c r="C37" s="66"/>
      <c r="D37" s="67"/>
      <c r="E37" s="68"/>
      <c r="F37" s="68"/>
      <c r="G37" s="66"/>
      <c r="H37" s="67"/>
      <c r="I37" s="67"/>
      <c r="J37" s="67"/>
      <c r="K37" s="66"/>
      <c r="L37" s="68"/>
      <c r="M37" s="66"/>
      <c r="N37" s="69"/>
      <c r="O37" s="67"/>
      <c r="P37" s="66"/>
      <c r="Q37" s="68"/>
      <c r="R37" s="68"/>
      <c r="S37" s="17"/>
    </row>
    <row r="38" spans="1:19" ht="27" x14ac:dyDescent="0.4">
      <c r="A38" s="65"/>
      <c r="B38" s="66"/>
      <c r="C38" s="66"/>
      <c r="D38" s="67"/>
      <c r="E38" s="68"/>
      <c r="F38" s="68"/>
      <c r="G38" s="66"/>
      <c r="H38" s="67"/>
      <c r="I38" s="67"/>
      <c r="J38" s="67"/>
      <c r="K38" s="66"/>
      <c r="L38" s="68"/>
      <c r="M38" s="66"/>
      <c r="N38" s="69"/>
      <c r="O38" s="67"/>
      <c r="P38" s="66"/>
      <c r="Q38" s="68"/>
      <c r="R38" s="68"/>
    </row>
    <row r="39" spans="1:19" ht="27" x14ac:dyDescent="0.4">
      <c r="A39" s="65"/>
      <c r="B39" s="66"/>
      <c r="C39" s="66"/>
      <c r="D39" s="67"/>
      <c r="E39" s="68"/>
      <c r="F39" s="68"/>
      <c r="G39" s="66"/>
      <c r="H39" s="67"/>
      <c r="I39" s="67"/>
      <c r="J39" s="67"/>
      <c r="K39" s="66"/>
      <c r="L39" s="68"/>
      <c r="M39" s="66"/>
      <c r="N39" s="69"/>
      <c r="O39" s="67"/>
      <c r="P39" s="66"/>
      <c r="Q39" s="68"/>
      <c r="R39" s="68"/>
    </row>
    <row r="40" spans="1:19" ht="27" x14ac:dyDescent="0.4">
      <c r="A40" s="65"/>
      <c r="B40" s="66"/>
      <c r="C40" s="66"/>
      <c r="D40" s="67"/>
      <c r="E40" s="68"/>
      <c r="F40" s="68"/>
      <c r="G40" s="66"/>
      <c r="H40" s="67"/>
      <c r="I40" s="67"/>
      <c r="J40" s="67"/>
      <c r="K40" s="66"/>
      <c r="L40" s="68"/>
      <c r="M40" s="66"/>
      <c r="N40" s="69"/>
      <c r="O40" s="67"/>
      <c r="P40" s="66"/>
      <c r="Q40" s="68"/>
      <c r="R40" s="68"/>
    </row>
    <row r="41" spans="1:19" ht="27" x14ac:dyDescent="0.4">
      <c r="A41" s="65"/>
      <c r="B41" s="66"/>
      <c r="C41" s="66"/>
      <c r="D41" s="67"/>
      <c r="E41" s="73"/>
      <c r="F41" s="68"/>
      <c r="G41" s="66"/>
      <c r="H41" s="67"/>
      <c r="I41" s="67"/>
      <c r="J41" s="67"/>
      <c r="K41" s="66"/>
      <c r="L41" s="68"/>
      <c r="M41" s="66"/>
      <c r="N41" s="69"/>
      <c r="O41" s="67"/>
      <c r="P41" s="66"/>
      <c r="Q41" s="68"/>
      <c r="R41" s="68"/>
    </row>
    <row r="42" spans="1:19" ht="27" x14ac:dyDescent="0.4">
      <c r="A42" s="65"/>
      <c r="B42" s="66"/>
      <c r="C42" s="66"/>
      <c r="D42" s="67"/>
      <c r="E42" s="68"/>
      <c r="F42" s="68"/>
      <c r="G42" s="66"/>
      <c r="H42" s="67"/>
      <c r="I42" s="67"/>
      <c r="J42" s="67"/>
      <c r="K42" s="66"/>
      <c r="L42" s="68"/>
      <c r="M42" s="66"/>
      <c r="N42" s="69"/>
      <c r="O42" s="67"/>
      <c r="P42" s="66"/>
      <c r="Q42" s="68"/>
      <c r="R42" s="68"/>
    </row>
    <row r="43" spans="1:19" ht="27" x14ac:dyDescent="0.4">
      <c r="A43" s="65"/>
      <c r="B43" s="66"/>
      <c r="C43" s="66"/>
      <c r="D43" s="67"/>
      <c r="E43" s="68"/>
      <c r="F43" s="68"/>
      <c r="G43" s="66"/>
      <c r="H43" s="67"/>
      <c r="I43" s="67"/>
      <c r="J43" s="67"/>
      <c r="K43" s="66"/>
      <c r="L43" s="68"/>
      <c r="M43" s="66"/>
      <c r="N43" s="69"/>
      <c r="O43" s="67"/>
      <c r="P43" s="66"/>
      <c r="Q43" s="68"/>
      <c r="R43" s="68"/>
    </row>
    <row r="44" spans="1:19" ht="27" x14ac:dyDescent="0.4">
      <c r="A44" s="65"/>
      <c r="B44" s="66"/>
      <c r="C44" s="66"/>
      <c r="D44" s="67"/>
      <c r="E44" s="68"/>
      <c r="F44" s="68"/>
      <c r="G44" s="66"/>
      <c r="H44" s="67"/>
      <c r="I44" s="67"/>
      <c r="J44" s="67"/>
      <c r="K44" s="66"/>
      <c r="L44" s="68"/>
      <c r="M44" s="66"/>
      <c r="N44" s="69"/>
      <c r="O44" s="67"/>
      <c r="P44" s="66"/>
      <c r="Q44" s="68"/>
      <c r="R44" s="68"/>
    </row>
    <row r="45" spans="1:19" ht="27" x14ac:dyDescent="0.4">
      <c r="A45" s="65"/>
      <c r="B45" s="66"/>
      <c r="C45" s="66"/>
      <c r="D45" s="67"/>
      <c r="E45" s="68"/>
      <c r="F45" s="68"/>
      <c r="G45" s="66"/>
      <c r="H45" s="67"/>
      <c r="I45" s="67"/>
      <c r="J45" s="67"/>
      <c r="K45" s="66"/>
      <c r="L45" s="68"/>
      <c r="M45" s="66"/>
      <c r="N45" s="69"/>
      <c r="O45" s="67"/>
      <c r="P45" s="66"/>
      <c r="Q45" s="68"/>
      <c r="R45" s="68"/>
    </row>
    <row r="46" spans="1:19" ht="27" x14ac:dyDescent="0.4">
      <c r="A46" s="65"/>
      <c r="B46" s="66"/>
      <c r="C46" s="66"/>
      <c r="D46" s="67"/>
      <c r="E46" s="68"/>
      <c r="F46" s="68"/>
      <c r="G46" s="66"/>
      <c r="H46" s="67"/>
      <c r="I46" s="67"/>
      <c r="J46" s="67"/>
      <c r="K46" s="66"/>
      <c r="L46" s="68"/>
      <c r="M46" s="66"/>
      <c r="N46" s="69"/>
      <c r="O46" s="67"/>
      <c r="P46" s="66"/>
      <c r="Q46" s="68"/>
      <c r="R46" s="68"/>
    </row>
    <row r="47" spans="1:19" ht="27" x14ac:dyDescent="0.4">
      <c r="A47" s="65"/>
      <c r="B47" s="66"/>
      <c r="C47" s="66"/>
      <c r="D47" s="67"/>
      <c r="E47" s="68"/>
      <c r="F47" s="68"/>
      <c r="G47" s="66"/>
      <c r="H47" s="67"/>
      <c r="I47" s="67"/>
      <c r="J47" s="67"/>
      <c r="K47" s="66"/>
      <c r="L47" s="68"/>
      <c r="M47" s="66"/>
      <c r="N47" s="69"/>
      <c r="O47" s="67"/>
      <c r="P47" s="66"/>
      <c r="Q47" s="68"/>
      <c r="R47" s="68"/>
    </row>
    <row r="48" spans="1:19" ht="27" x14ac:dyDescent="0.4">
      <c r="A48" s="65"/>
      <c r="B48" s="66"/>
      <c r="C48" s="66"/>
      <c r="D48" s="67"/>
      <c r="E48" s="68"/>
      <c r="F48" s="68"/>
      <c r="G48" s="66"/>
      <c r="H48" s="67"/>
      <c r="I48" s="67"/>
      <c r="J48" s="67"/>
      <c r="K48" s="66"/>
      <c r="L48" s="72"/>
      <c r="M48" s="66"/>
      <c r="N48" s="69"/>
      <c r="O48" s="67"/>
      <c r="P48" s="66"/>
      <c r="Q48" s="68"/>
      <c r="R48" s="68"/>
    </row>
    <row r="49" spans="1:18" ht="27" x14ac:dyDescent="0.4">
      <c r="A49" s="65"/>
      <c r="B49" s="66"/>
      <c r="C49" s="66"/>
      <c r="D49" s="67"/>
      <c r="E49" s="68"/>
      <c r="F49" s="68"/>
      <c r="G49" s="66"/>
      <c r="H49" s="67"/>
      <c r="I49" s="67"/>
      <c r="J49" s="67"/>
      <c r="K49" s="66"/>
      <c r="L49" s="68"/>
      <c r="M49" s="66"/>
      <c r="N49" s="69"/>
      <c r="O49" s="67"/>
      <c r="P49" s="66"/>
      <c r="Q49" s="68"/>
      <c r="R49" s="68"/>
    </row>
    <row r="50" spans="1:18" ht="27" x14ac:dyDescent="0.4">
      <c r="A50" s="65"/>
      <c r="B50" s="66"/>
      <c r="C50" s="66"/>
      <c r="D50" s="67"/>
      <c r="E50" s="68"/>
      <c r="F50" s="68"/>
      <c r="G50" s="66"/>
      <c r="H50" s="67"/>
      <c r="I50" s="67"/>
      <c r="J50" s="67"/>
      <c r="K50" s="66"/>
      <c r="L50" s="68"/>
      <c r="M50" s="66"/>
      <c r="N50" s="69"/>
      <c r="O50" s="67"/>
      <c r="P50" s="66"/>
      <c r="Q50" s="68"/>
      <c r="R50" s="68"/>
    </row>
    <row r="51" spans="1:18" ht="27" x14ac:dyDescent="0.4">
      <c r="A51" s="65"/>
      <c r="B51" s="66"/>
      <c r="C51" s="66"/>
      <c r="D51" s="67"/>
      <c r="E51" s="68"/>
      <c r="F51" s="68"/>
      <c r="G51" s="66"/>
      <c r="H51" s="67"/>
      <c r="I51" s="67"/>
      <c r="J51" s="67"/>
      <c r="K51" s="66"/>
      <c r="L51" s="68"/>
      <c r="M51" s="66"/>
      <c r="N51" s="69"/>
      <c r="O51" s="67"/>
      <c r="P51" s="66"/>
      <c r="Q51" s="68"/>
      <c r="R51" s="68"/>
    </row>
    <row r="52" spans="1:18" ht="27" x14ac:dyDescent="0.4">
      <c r="A52" s="65"/>
      <c r="B52" s="66"/>
      <c r="C52" s="66"/>
      <c r="D52" s="67"/>
      <c r="E52" s="68"/>
      <c r="F52" s="68"/>
      <c r="G52" s="66"/>
      <c r="H52" s="67"/>
      <c r="I52" s="67"/>
      <c r="J52" s="67"/>
      <c r="K52" s="66"/>
      <c r="L52" s="68"/>
      <c r="M52" s="66"/>
      <c r="N52" s="69"/>
      <c r="O52" s="67"/>
      <c r="P52" s="66"/>
      <c r="Q52" s="68"/>
      <c r="R52" s="68"/>
    </row>
    <row r="53" spans="1:18" ht="27" x14ac:dyDescent="0.4">
      <c r="A53" s="65"/>
      <c r="B53" s="66"/>
      <c r="C53" s="66"/>
      <c r="D53" s="67"/>
      <c r="E53" s="68"/>
      <c r="F53" s="68"/>
      <c r="G53" s="66"/>
      <c r="H53" s="67"/>
      <c r="I53" s="67"/>
      <c r="J53" s="67"/>
      <c r="K53" s="66"/>
      <c r="L53" s="72"/>
      <c r="M53" s="66"/>
      <c r="N53" s="69"/>
      <c r="O53" s="67"/>
      <c r="P53" s="66"/>
      <c r="Q53" s="68"/>
      <c r="R53" s="68"/>
    </row>
    <row r="54" spans="1:18" ht="27" x14ac:dyDescent="0.4">
      <c r="A54" s="65"/>
      <c r="B54" s="66"/>
      <c r="C54" s="66"/>
      <c r="D54" s="67"/>
      <c r="E54" s="68"/>
      <c r="F54" s="68"/>
      <c r="G54" s="66"/>
      <c r="H54" s="67"/>
      <c r="I54" s="67"/>
      <c r="J54" s="67"/>
      <c r="K54" s="66"/>
      <c r="L54" s="68"/>
      <c r="M54" s="66"/>
      <c r="N54" s="69"/>
      <c r="O54" s="67"/>
      <c r="P54" s="66"/>
      <c r="Q54" s="68"/>
      <c r="R54" s="68"/>
    </row>
    <row r="55" spans="1:18" ht="27" x14ac:dyDescent="0.4">
      <c r="A55" s="65"/>
      <c r="B55" s="66"/>
      <c r="C55" s="66"/>
      <c r="D55" s="67"/>
      <c r="E55" s="68"/>
      <c r="F55" s="68"/>
      <c r="G55" s="66"/>
      <c r="H55" s="67"/>
      <c r="I55" s="67"/>
      <c r="J55" s="67"/>
      <c r="K55" s="66"/>
      <c r="L55" s="68"/>
      <c r="M55" s="66"/>
      <c r="N55" s="69"/>
      <c r="O55" s="67"/>
      <c r="P55" s="66"/>
      <c r="Q55" s="68"/>
      <c r="R55" s="68"/>
    </row>
    <row r="56" spans="1:18" ht="27" x14ac:dyDescent="0.4">
      <c r="A56" s="65"/>
      <c r="B56" s="66"/>
      <c r="C56" s="66"/>
      <c r="D56" s="67"/>
      <c r="E56" s="68"/>
      <c r="F56" s="68"/>
      <c r="G56" s="66"/>
      <c r="H56" s="67"/>
      <c r="I56" s="67"/>
      <c r="J56" s="67"/>
      <c r="K56" s="66"/>
      <c r="L56" s="68"/>
      <c r="M56" s="66"/>
      <c r="N56" s="69"/>
      <c r="O56" s="67"/>
      <c r="P56" s="66"/>
      <c r="Q56" s="65"/>
      <c r="R56" s="68"/>
    </row>
    <row r="57" spans="1:18" ht="27" x14ac:dyDescent="0.4">
      <c r="A57" s="65"/>
      <c r="B57" s="66"/>
      <c r="C57" s="66"/>
      <c r="D57" s="67"/>
      <c r="E57" s="68"/>
      <c r="F57" s="73"/>
      <c r="G57" s="66"/>
      <c r="H57" s="67"/>
      <c r="I57" s="67"/>
      <c r="J57" s="67"/>
      <c r="K57" s="66"/>
      <c r="L57" s="68"/>
      <c r="M57" s="66"/>
      <c r="N57" s="69"/>
      <c r="O57" s="67"/>
      <c r="P57" s="66"/>
      <c r="Q57" s="65"/>
      <c r="R57" s="68"/>
    </row>
    <row r="58" spans="1:18" ht="27" x14ac:dyDescent="0.4">
      <c r="A58" s="65"/>
      <c r="B58" s="66"/>
      <c r="C58" s="66"/>
      <c r="D58" s="67"/>
      <c r="E58" s="68"/>
      <c r="F58" s="68"/>
      <c r="G58" s="66"/>
      <c r="H58" s="67"/>
      <c r="I58" s="67"/>
      <c r="J58" s="67"/>
      <c r="K58" s="66"/>
      <c r="L58" s="68"/>
      <c r="M58" s="66"/>
      <c r="N58" s="69"/>
      <c r="O58" s="67"/>
      <c r="P58" s="66"/>
      <c r="Q58" s="65"/>
      <c r="R58" s="68"/>
    </row>
    <row r="59" spans="1:18" ht="27" x14ac:dyDescent="0.4">
      <c r="A59" s="65"/>
      <c r="B59" s="66"/>
      <c r="C59" s="66"/>
      <c r="D59" s="67"/>
      <c r="E59" s="68"/>
      <c r="F59" s="68"/>
      <c r="G59" s="66"/>
      <c r="H59" s="67"/>
      <c r="I59" s="67"/>
      <c r="J59" s="67"/>
      <c r="K59" s="66"/>
      <c r="L59" s="68"/>
      <c r="M59" s="66"/>
      <c r="N59" s="69"/>
      <c r="O59" s="67"/>
      <c r="P59" s="66"/>
      <c r="Q59" s="65"/>
      <c r="R59" s="68"/>
    </row>
    <row r="60" spans="1:18" ht="27" x14ac:dyDescent="0.4">
      <c r="A60" s="65"/>
      <c r="B60" s="66"/>
      <c r="C60" s="66"/>
      <c r="D60" s="67"/>
      <c r="E60" s="68"/>
      <c r="F60" s="68"/>
      <c r="G60" s="66"/>
      <c r="H60" s="67"/>
      <c r="I60" s="67"/>
      <c r="J60" s="67"/>
      <c r="K60" s="66"/>
      <c r="L60" s="68"/>
      <c r="M60" s="66"/>
      <c r="N60" s="69"/>
      <c r="O60" s="67"/>
      <c r="P60" s="66"/>
      <c r="Q60" s="65"/>
      <c r="R60" s="68"/>
    </row>
    <row r="61" spans="1:18" ht="27" x14ac:dyDescent="0.4">
      <c r="A61" s="65"/>
      <c r="B61" s="66"/>
      <c r="C61" s="66"/>
      <c r="D61" s="67"/>
      <c r="E61" s="68"/>
      <c r="F61" s="68"/>
      <c r="G61" s="66"/>
      <c r="H61" s="67"/>
      <c r="I61" s="67"/>
      <c r="J61" s="67"/>
      <c r="K61" s="66"/>
      <c r="L61" s="68"/>
      <c r="M61" s="66"/>
      <c r="N61" s="69"/>
      <c r="O61" s="67"/>
      <c r="P61" s="66"/>
      <c r="Q61" s="65"/>
      <c r="R61" s="68"/>
    </row>
    <row r="62" spans="1:18" ht="27" x14ac:dyDescent="0.4">
      <c r="A62" s="65"/>
      <c r="B62" s="66"/>
      <c r="C62" s="66"/>
      <c r="D62" s="67"/>
      <c r="E62" s="68"/>
      <c r="F62" s="68"/>
      <c r="G62" s="66"/>
      <c r="H62" s="67"/>
      <c r="I62" s="67"/>
      <c r="J62" s="67"/>
      <c r="K62" s="66"/>
      <c r="L62" s="68"/>
      <c r="M62" s="66"/>
      <c r="N62" s="69"/>
      <c r="O62" s="67"/>
      <c r="P62" s="66"/>
      <c r="Q62" s="65"/>
      <c r="R62" s="68"/>
    </row>
    <row r="63" spans="1:18" ht="27" x14ac:dyDescent="0.4">
      <c r="A63" s="65"/>
      <c r="B63" s="66"/>
      <c r="C63" s="66"/>
      <c r="D63" s="67"/>
      <c r="E63" s="68"/>
      <c r="F63" s="68"/>
      <c r="G63" s="66"/>
      <c r="H63" s="67"/>
      <c r="I63" s="67"/>
      <c r="J63" s="67"/>
      <c r="K63" s="66"/>
      <c r="L63" s="68"/>
      <c r="M63" s="66"/>
      <c r="N63" s="69"/>
      <c r="O63" s="67"/>
      <c r="P63" s="66"/>
      <c r="Q63" s="65"/>
      <c r="R63" s="68"/>
    </row>
    <row r="64" spans="1:18" ht="27" x14ac:dyDescent="0.4">
      <c r="A64" s="65"/>
      <c r="B64" s="66"/>
      <c r="C64" s="66"/>
      <c r="D64" s="67"/>
      <c r="E64" s="68"/>
      <c r="F64" s="68"/>
      <c r="G64" s="66"/>
      <c r="H64" s="67"/>
      <c r="I64" s="67"/>
      <c r="J64" s="67"/>
      <c r="K64" s="66"/>
      <c r="L64" s="68"/>
      <c r="M64" s="66"/>
      <c r="N64" s="69"/>
      <c r="O64" s="67"/>
      <c r="P64" s="66"/>
      <c r="Q64" s="65"/>
      <c r="R64" s="68"/>
    </row>
    <row r="65" spans="1:18" ht="27" x14ac:dyDescent="0.4">
      <c r="A65" s="65"/>
      <c r="B65" s="66"/>
      <c r="C65" s="66"/>
      <c r="D65" s="67"/>
      <c r="E65" s="68"/>
      <c r="F65" s="68"/>
      <c r="G65" s="66"/>
      <c r="H65" s="67"/>
      <c r="I65" s="67"/>
      <c r="J65" s="67"/>
      <c r="K65" s="66"/>
      <c r="L65" s="68"/>
      <c r="M65" s="66"/>
      <c r="N65" s="69"/>
      <c r="O65" s="67"/>
      <c r="P65" s="66"/>
      <c r="Q65" s="65"/>
      <c r="R65" s="68"/>
    </row>
    <row r="66" spans="1:18" ht="27" x14ac:dyDescent="0.4">
      <c r="A66" s="65"/>
      <c r="B66" s="66"/>
      <c r="C66" s="66"/>
      <c r="D66" s="67"/>
      <c r="E66" s="68"/>
      <c r="F66" s="68"/>
      <c r="G66" s="66"/>
      <c r="H66" s="67"/>
      <c r="I66" s="67"/>
      <c r="J66" s="67"/>
      <c r="K66" s="66"/>
      <c r="L66" s="68"/>
      <c r="M66" s="66"/>
      <c r="N66" s="69"/>
      <c r="O66" s="67"/>
      <c r="P66" s="66"/>
      <c r="Q66" s="65"/>
      <c r="R66" s="68"/>
    </row>
    <row r="67" spans="1:18" ht="27" x14ac:dyDescent="0.4">
      <c r="A67" s="65"/>
      <c r="B67" s="66"/>
      <c r="C67" s="66"/>
      <c r="D67" s="67"/>
      <c r="E67" s="68"/>
      <c r="F67" s="68"/>
      <c r="G67" s="66"/>
      <c r="H67" s="67"/>
      <c r="I67" s="67"/>
      <c r="J67" s="67"/>
      <c r="K67" s="66"/>
      <c r="L67" s="68"/>
      <c r="M67" s="66"/>
      <c r="N67" s="69"/>
      <c r="O67" s="67"/>
      <c r="P67" s="66"/>
      <c r="Q67" s="65"/>
      <c r="R67" s="68"/>
    </row>
    <row r="68" spans="1:18" ht="27" x14ac:dyDescent="0.4">
      <c r="A68" s="65"/>
      <c r="B68" s="66"/>
      <c r="C68" s="66"/>
      <c r="D68" s="67"/>
      <c r="E68" s="68"/>
      <c r="F68" s="68"/>
      <c r="G68" s="66"/>
      <c r="H68" s="67"/>
      <c r="I68" s="67"/>
      <c r="J68" s="67"/>
      <c r="K68" s="66"/>
      <c r="L68" s="68"/>
      <c r="M68" s="66"/>
      <c r="N68" s="69"/>
      <c r="O68" s="67"/>
      <c r="P68" s="66"/>
      <c r="Q68" s="65"/>
      <c r="R68" s="68"/>
    </row>
    <row r="69" spans="1:18" ht="27" x14ac:dyDescent="0.4">
      <c r="A69" s="65"/>
      <c r="B69" s="66"/>
      <c r="C69" s="66"/>
      <c r="D69" s="67"/>
      <c r="E69" s="68"/>
      <c r="F69" s="68"/>
      <c r="G69" s="66"/>
      <c r="H69" s="67"/>
      <c r="I69" s="67"/>
      <c r="J69" s="67"/>
      <c r="K69" s="66"/>
      <c r="L69" s="68"/>
      <c r="M69" s="66"/>
      <c r="N69" s="69"/>
      <c r="O69" s="67"/>
      <c r="P69" s="66"/>
      <c r="Q69" s="65"/>
      <c r="R69" s="68"/>
    </row>
    <row r="70" spans="1:18" ht="27" x14ac:dyDescent="0.4">
      <c r="A70" s="65"/>
      <c r="B70" s="66"/>
      <c r="C70" s="66"/>
      <c r="D70" s="67"/>
      <c r="E70" s="68"/>
      <c r="F70" s="68"/>
      <c r="G70" s="66"/>
      <c r="H70" s="67"/>
      <c r="I70" s="67"/>
      <c r="J70" s="67"/>
      <c r="K70" s="66"/>
      <c r="L70" s="68"/>
      <c r="M70" s="66"/>
      <c r="N70" s="69"/>
      <c r="O70" s="67"/>
      <c r="P70" s="66"/>
      <c r="Q70" s="65"/>
      <c r="R70" s="68"/>
    </row>
    <row r="71" spans="1:18" ht="27" x14ac:dyDescent="0.4">
      <c r="A71" s="65"/>
      <c r="B71" s="66"/>
      <c r="C71" s="66"/>
      <c r="D71" s="67"/>
      <c r="E71" s="68"/>
      <c r="F71" s="68"/>
      <c r="G71" s="66"/>
      <c r="H71" s="67"/>
      <c r="I71" s="67"/>
      <c r="J71" s="67"/>
      <c r="K71" s="66"/>
      <c r="L71" s="68"/>
      <c r="M71" s="66"/>
      <c r="N71" s="69"/>
      <c r="O71" s="67"/>
      <c r="P71" s="66"/>
      <c r="Q71" s="65"/>
      <c r="R71" s="68"/>
    </row>
    <row r="72" spans="1:18" ht="27" x14ac:dyDescent="0.4">
      <c r="A72" s="65"/>
      <c r="B72" s="66"/>
      <c r="C72" s="66"/>
      <c r="D72" s="67"/>
      <c r="E72" s="68"/>
      <c r="F72" s="68"/>
      <c r="G72" s="66"/>
      <c r="H72" s="67"/>
      <c r="I72" s="67"/>
      <c r="J72" s="67"/>
      <c r="K72" s="66"/>
      <c r="L72" s="68"/>
      <c r="M72" s="66"/>
      <c r="N72" s="69"/>
      <c r="O72" s="67"/>
      <c r="P72" s="66"/>
      <c r="Q72" s="65"/>
      <c r="R72" s="68"/>
    </row>
    <row r="73" spans="1:18" ht="27" x14ac:dyDescent="0.4">
      <c r="A73" s="65"/>
      <c r="B73" s="66"/>
      <c r="C73" s="66"/>
      <c r="D73" s="67"/>
      <c r="E73" s="68"/>
      <c r="F73" s="68"/>
      <c r="G73" s="66"/>
      <c r="H73" s="67"/>
      <c r="I73" s="67"/>
      <c r="J73" s="67"/>
      <c r="K73" s="66"/>
      <c r="L73" s="68"/>
      <c r="M73" s="66"/>
      <c r="N73" s="69"/>
      <c r="O73" s="67"/>
      <c r="P73" s="66"/>
      <c r="Q73" s="65"/>
      <c r="R73" s="68"/>
    </row>
    <row r="74" spans="1:18" ht="27" x14ac:dyDescent="0.4">
      <c r="A74" s="65"/>
      <c r="B74" s="66"/>
      <c r="C74" s="66"/>
      <c r="D74" s="67"/>
      <c r="E74" s="68"/>
      <c r="F74" s="68"/>
      <c r="G74" s="66"/>
      <c r="H74" s="67"/>
      <c r="I74" s="67"/>
      <c r="J74" s="67"/>
      <c r="K74" s="66"/>
      <c r="L74" s="68"/>
      <c r="M74" s="66"/>
      <c r="N74" s="69"/>
      <c r="O74" s="67"/>
      <c r="P74" s="66"/>
      <c r="Q74" s="65"/>
      <c r="R74" s="68"/>
    </row>
    <row r="75" spans="1:18" ht="27" x14ac:dyDescent="0.4">
      <c r="A75" s="65"/>
      <c r="B75" s="66"/>
      <c r="C75" s="66"/>
      <c r="D75" s="67"/>
      <c r="E75" s="68"/>
      <c r="F75" s="68"/>
      <c r="G75" s="66"/>
      <c r="H75" s="67"/>
      <c r="I75" s="67"/>
      <c r="J75" s="67"/>
      <c r="K75" s="66"/>
      <c r="L75" s="68"/>
      <c r="M75" s="66"/>
      <c r="N75" s="69"/>
      <c r="O75" s="67"/>
      <c r="P75" s="66"/>
      <c r="Q75" s="65"/>
      <c r="R75" s="68"/>
    </row>
    <row r="76" spans="1:18" ht="27" x14ac:dyDescent="0.4">
      <c r="A76" s="65"/>
      <c r="B76" s="66"/>
      <c r="C76" s="66"/>
      <c r="D76" s="67"/>
      <c r="E76" s="68"/>
      <c r="F76" s="68"/>
      <c r="G76" s="66"/>
      <c r="H76" s="67"/>
      <c r="I76" s="67"/>
      <c r="J76" s="67"/>
      <c r="K76" s="66"/>
      <c r="L76" s="68"/>
      <c r="M76" s="66"/>
      <c r="N76" s="69"/>
      <c r="O76" s="67"/>
      <c r="P76" s="66"/>
      <c r="Q76" s="65"/>
      <c r="R76" s="68"/>
    </row>
    <row r="77" spans="1:18" ht="27" x14ac:dyDescent="0.4">
      <c r="A77" s="65"/>
      <c r="B77" s="66"/>
      <c r="C77" s="66"/>
      <c r="D77" s="67"/>
      <c r="E77" s="68"/>
      <c r="F77" s="68"/>
      <c r="G77" s="66"/>
      <c r="H77" s="67"/>
      <c r="I77" s="67"/>
      <c r="J77" s="67"/>
      <c r="K77" s="66"/>
      <c r="L77" s="68"/>
      <c r="M77" s="66"/>
      <c r="N77" s="69"/>
      <c r="O77" s="67"/>
      <c r="P77" s="66"/>
      <c r="Q77" s="65"/>
      <c r="R77" s="68"/>
    </row>
    <row r="78" spans="1:18" ht="27" x14ac:dyDescent="0.4">
      <c r="A78" s="65"/>
      <c r="B78" s="66"/>
      <c r="C78" s="66"/>
      <c r="D78" s="67"/>
      <c r="E78" s="68"/>
      <c r="F78" s="68"/>
      <c r="G78" s="66"/>
      <c r="H78" s="67"/>
      <c r="I78" s="67"/>
      <c r="J78" s="67"/>
      <c r="K78" s="66"/>
      <c r="L78" s="68"/>
      <c r="M78" s="66"/>
      <c r="N78" s="69"/>
      <c r="O78" s="67"/>
      <c r="P78" s="66"/>
      <c r="Q78" s="65"/>
      <c r="R78" s="68"/>
    </row>
    <row r="79" spans="1:18" ht="27" x14ac:dyDescent="0.4">
      <c r="A79" s="65"/>
      <c r="B79" s="66"/>
      <c r="C79" s="66"/>
      <c r="D79" s="67"/>
      <c r="E79" s="68"/>
      <c r="F79" s="68"/>
      <c r="G79" s="66"/>
      <c r="H79" s="67"/>
      <c r="I79" s="67"/>
      <c r="J79" s="67"/>
      <c r="K79" s="66"/>
      <c r="L79" s="68"/>
      <c r="M79" s="66"/>
      <c r="N79" s="69"/>
      <c r="O79" s="67"/>
      <c r="P79" s="66"/>
      <c r="Q79" s="65"/>
      <c r="R79" s="68"/>
    </row>
    <row r="80" spans="1:18" ht="27" x14ac:dyDescent="0.4">
      <c r="A80" s="65"/>
      <c r="B80" s="66"/>
      <c r="C80" s="66"/>
      <c r="D80" s="67"/>
      <c r="E80" s="68"/>
      <c r="F80" s="68"/>
      <c r="G80" s="66"/>
      <c r="H80" s="67"/>
      <c r="I80" s="67"/>
      <c r="J80" s="67"/>
      <c r="K80" s="66"/>
      <c r="L80" s="68"/>
      <c r="M80" s="66"/>
      <c r="N80" s="69"/>
      <c r="O80" s="67"/>
      <c r="P80" s="66"/>
      <c r="Q80" s="65"/>
      <c r="R80" s="65"/>
    </row>
    <row r="81" spans="1:16382" ht="27" x14ac:dyDescent="0.4">
      <c r="A81" s="65"/>
      <c r="B81" s="66"/>
      <c r="C81" s="66"/>
      <c r="D81" s="67"/>
      <c r="E81" s="68"/>
      <c r="F81" s="68"/>
      <c r="G81" s="66"/>
      <c r="H81" s="67"/>
      <c r="I81" s="67"/>
      <c r="J81" s="67"/>
      <c r="K81" s="66"/>
      <c r="L81" s="68"/>
      <c r="M81" s="66"/>
      <c r="N81" s="69"/>
      <c r="O81" s="67"/>
      <c r="P81" s="66"/>
      <c r="Q81" s="65"/>
      <c r="R81" s="65"/>
    </row>
    <row r="82" spans="1:16382" ht="27" x14ac:dyDescent="0.4">
      <c r="A82" s="65"/>
      <c r="B82" s="66"/>
      <c r="C82" s="66"/>
      <c r="D82" s="67"/>
      <c r="E82" s="68"/>
      <c r="F82" s="68"/>
      <c r="G82" s="66"/>
      <c r="H82" s="67"/>
      <c r="I82" s="67"/>
      <c r="J82" s="67"/>
      <c r="K82" s="66"/>
      <c r="L82" s="68"/>
      <c r="M82" s="66"/>
      <c r="N82" s="69"/>
      <c r="O82" s="67"/>
      <c r="P82" s="66"/>
      <c r="Q82" s="65"/>
      <c r="R82" s="65"/>
    </row>
    <row r="83" spans="1:16382" ht="27" x14ac:dyDescent="0.4">
      <c r="A83" s="65"/>
      <c r="B83" s="66"/>
      <c r="C83" s="66"/>
      <c r="D83" s="67"/>
      <c r="E83" s="68"/>
      <c r="F83" s="68"/>
      <c r="G83" s="66"/>
      <c r="H83" s="67"/>
      <c r="I83" s="67"/>
      <c r="J83" s="67"/>
      <c r="K83" s="66"/>
      <c r="L83" s="68"/>
      <c r="M83" s="66"/>
      <c r="N83" s="69"/>
      <c r="O83" s="67"/>
      <c r="P83" s="66"/>
      <c r="Q83" s="65"/>
      <c r="R83" s="65"/>
    </row>
    <row r="84" spans="1:16382" ht="27" x14ac:dyDescent="0.4">
      <c r="A84" s="65"/>
      <c r="B84" s="66"/>
      <c r="C84" s="66"/>
      <c r="D84" s="67"/>
      <c r="E84" s="68"/>
      <c r="F84" s="68"/>
      <c r="G84" s="66"/>
      <c r="H84" s="67"/>
      <c r="I84" s="67"/>
      <c r="J84" s="67"/>
      <c r="K84" s="66"/>
      <c r="L84" s="68"/>
      <c r="M84" s="66"/>
      <c r="N84" s="69"/>
      <c r="O84" s="67"/>
      <c r="P84" s="66"/>
      <c r="Q84" s="65"/>
      <c r="R84" s="70"/>
    </row>
    <row r="85" spans="1:16382" ht="27" x14ac:dyDescent="0.4">
      <c r="A85" s="65"/>
      <c r="B85" s="66"/>
      <c r="C85" s="66"/>
      <c r="D85" s="67"/>
      <c r="E85" s="68"/>
      <c r="F85" s="68"/>
      <c r="G85" s="66"/>
      <c r="H85" s="67"/>
      <c r="I85" s="67"/>
      <c r="J85" s="67"/>
      <c r="K85" s="66"/>
      <c r="L85" s="68"/>
      <c r="M85" s="66"/>
      <c r="N85" s="69"/>
      <c r="O85" s="67"/>
      <c r="P85" s="66"/>
      <c r="Q85" s="65"/>
      <c r="R85" s="70"/>
    </row>
    <row r="86" spans="1:16382" ht="27" x14ac:dyDescent="0.4">
      <c r="A86" s="65"/>
      <c r="B86" s="66"/>
      <c r="C86" s="66"/>
      <c r="D86" s="67"/>
      <c r="E86" s="68"/>
      <c r="F86" s="68"/>
      <c r="G86" s="66"/>
      <c r="H86" s="67"/>
      <c r="I86" s="67"/>
      <c r="J86" s="67"/>
      <c r="K86" s="66"/>
      <c r="L86" s="68"/>
      <c r="M86" s="66"/>
      <c r="N86" s="69"/>
      <c r="O86" s="67"/>
      <c r="P86" s="66"/>
      <c r="Q86" s="65"/>
      <c r="R86" s="70"/>
    </row>
    <row r="87" spans="1:16382" ht="27" x14ac:dyDescent="0.4">
      <c r="A87" s="65"/>
      <c r="B87" s="66"/>
      <c r="C87" s="66"/>
      <c r="D87" s="67"/>
      <c r="E87" s="68"/>
      <c r="F87" s="68"/>
      <c r="G87" s="66"/>
      <c r="H87" s="67"/>
      <c r="I87" s="67"/>
      <c r="J87" s="67"/>
      <c r="K87" s="66"/>
      <c r="L87" s="68"/>
      <c r="M87" s="66"/>
      <c r="N87" s="69"/>
      <c r="O87" s="67"/>
      <c r="P87" s="66"/>
      <c r="Q87" s="65"/>
      <c r="R87" s="70"/>
    </row>
    <row r="88" spans="1:16382" ht="27" x14ac:dyDescent="0.4">
      <c r="A88" s="65"/>
      <c r="B88" s="66"/>
      <c r="C88" s="66"/>
      <c r="D88" s="67"/>
      <c r="E88" s="68"/>
      <c r="F88" s="68"/>
      <c r="G88" s="66"/>
      <c r="H88" s="67"/>
      <c r="I88" s="67"/>
      <c r="J88" s="67"/>
      <c r="K88" s="66"/>
      <c r="L88" s="68"/>
      <c r="M88" s="66"/>
      <c r="N88" s="69"/>
      <c r="O88" s="67"/>
      <c r="P88" s="66"/>
      <c r="Q88" s="65"/>
      <c r="R88" s="70"/>
    </row>
    <row r="89" spans="1:16382" ht="27" x14ac:dyDescent="0.4">
      <c r="A89" s="65"/>
      <c r="B89" s="66"/>
      <c r="C89" s="66"/>
      <c r="D89" s="67"/>
      <c r="E89" s="68"/>
      <c r="F89" s="68"/>
      <c r="G89" s="66"/>
      <c r="H89" s="67"/>
      <c r="I89" s="67"/>
      <c r="J89" s="67"/>
      <c r="K89" s="66"/>
      <c r="L89" s="68"/>
      <c r="M89" s="66"/>
      <c r="N89" s="69"/>
      <c r="O89" s="67"/>
      <c r="P89" s="66"/>
      <c r="Q89" s="65"/>
      <c r="R89" s="70"/>
    </row>
    <row r="90" spans="1:16382" ht="27" x14ac:dyDescent="0.4">
      <c r="A90" s="65"/>
      <c r="B90" s="66"/>
      <c r="C90" s="66"/>
      <c r="D90" s="67"/>
      <c r="E90" s="68"/>
      <c r="F90" s="68"/>
      <c r="G90" s="66"/>
      <c r="H90" s="67"/>
      <c r="I90" s="67"/>
      <c r="J90" s="67"/>
      <c r="K90" s="66"/>
      <c r="L90" s="68"/>
      <c r="M90" s="66"/>
      <c r="N90" s="69"/>
      <c r="O90" s="67"/>
      <c r="P90" s="66"/>
      <c r="Q90" s="65"/>
      <c r="R90" s="70"/>
    </row>
    <row r="91" spans="1:16382" s="17" customFormat="1" ht="41.25" customHeight="1" x14ac:dyDescent="0.25">
      <c r="A91" s="65"/>
      <c r="B91" s="66"/>
      <c r="C91" s="66"/>
      <c r="D91" s="67"/>
      <c r="E91" s="68"/>
      <c r="F91" s="68"/>
      <c r="G91" s="66"/>
      <c r="H91" s="67"/>
      <c r="I91" s="67"/>
      <c r="J91" s="67"/>
      <c r="K91" s="66"/>
      <c r="L91" s="68"/>
      <c r="M91" s="66"/>
      <c r="N91" s="69"/>
      <c r="O91" s="67"/>
      <c r="P91" s="66"/>
      <c r="Q91" s="65"/>
      <c r="R91" s="70"/>
      <c r="S91" s="74"/>
      <c r="T91" s="74"/>
      <c r="U91" s="75"/>
      <c r="V91" s="76"/>
      <c r="W91" s="76"/>
      <c r="X91" s="76"/>
      <c r="Y91" s="77"/>
      <c r="Z91" s="74"/>
      <c r="AA91" s="75"/>
      <c r="AB91" s="78"/>
      <c r="AC91" s="76"/>
      <c r="AD91" s="77"/>
      <c r="AE91" s="79"/>
      <c r="AF91" s="75"/>
      <c r="AG91" s="80"/>
      <c r="AH91" s="81"/>
      <c r="AI91" s="74"/>
      <c r="AJ91" s="74"/>
      <c r="AK91" s="75"/>
      <c r="AL91" s="76"/>
      <c r="AM91" s="76"/>
      <c r="AN91" s="76"/>
      <c r="AO91" s="77"/>
      <c r="AP91" s="74"/>
      <c r="AQ91" s="75"/>
      <c r="AR91" s="78"/>
      <c r="AS91" s="76"/>
      <c r="AT91" s="77"/>
      <c r="AU91" s="79"/>
      <c r="AV91" s="75"/>
      <c r="AW91" s="80"/>
      <c r="AX91" s="81"/>
      <c r="AY91" s="74"/>
      <c r="AZ91" s="74"/>
      <c r="BA91" s="75"/>
      <c r="BB91" s="76"/>
      <c r="BC91" s="76"/>
      <c r="BD91" s="76"/>
      <c r="BE91" s="77"/>
      <c r="BF91" s="74"/>
      <c r="BG91" s="75"/>
      <c r="BH91" s="78"/>
      <c r="BI91" s="76"/>
      <c r="BJ91" s="77"/>
      <c r="BK91" s="79"/>
      <c r="BL91" s="75"/>
      <c r="BM91" s="80"/>
      <c r="BN91" s="81"/>
      <c r="BO91" s="74"/>
      <c r="BP91" s="74"/>
      <c r="BQ91" s="75"/>
      <c r="BR91" s="76"/>
      <c r="BS91" s="76"/>
      <c r="BT91" s="76"/>
      <c r="BU91" s="77"/>
      <c r="BV91" s="74"/>
      <c r="BW91" s="75"/>
      <c r="BX91" s="78"/>
      <c r="BY91" s="76"/>
      <c r="BZ91" s="77"/>
      <c r="CA91" s="79"/>
      <c r="CB91" s="75"/>
      <c r="CC91" s="80"/>
      <c r="CD91" s="81"/>
      <c r="CE91" s="74"/>
      <c r="CF91" s="74"/>
      <c r="CG91" s="75"/>
      <c r="CH91" s="76"/>
      <c r="CI91" s="76"/>
      <c r="CJ91" s="76"/>
      <c r="CK91" s="77"/>
      <c r="CL91" s="74"/>
      <c r="CM91" s="75"/>
      <c r="CN91" s="78"/>
      <c r="CO91" s="76"/>
      <c r="CP91" s="77"/>
      <c r="CQ91" s="79"/>
      <c r="CR91" s="75"/>
      <c r="CS91" s="80"/>
      <c r="CT91" s="81"/>
      <c r="CU91" s="74"/>
      <c r="CV91" s="74"/>
      <c r="CW91" s="75"/>
      <c r="CX91" s="76"/>
      <c r="CY91" s="76"/>
      <c r="CZ91" s="76"/>
      <c r="DA91" s="77"/>
      <c r="DB91" s="74"/>
      <c r="DC91" s="75"/>
      <c r="DD91" s="78"/>
      <c r="DE91" s="76"/>
      <c r="DF91" s="77"/>
      <c r="DG91" s="79"/>
      <c r="DH91" s="75"/>
      <c r="DI91" s="80"/>
      <c r="DJ91" s="81"/>
      <c r="DK91" s="74"/>
      <c r="DL91" s="74"/>
      <c r="DM91" s="75"/>
      <c r="DN91" s="76"/>
      <c r="DO91" s="76"/>
      <c r="DP91" s="76"/>
      <c r="DQ91" s="77"/>
      <c r="DR91" s="74"/>
      <c r="DS91" s="75"/>
      <c r="DT91" s="78"/>
      <c r="DU91" s="76"/>
      <c r="DV91" s="77"/>
      <c r="DW91" s="79"/>
      <c r="DX91" s="75"/>
      <c r="DY91" s="80"/>
      <c r="DZ91" s="81"/>
      <c r="EA91" s="74"/>
      <c r="EB91" s="74"/>
      <c r="EC91" s="75"/>
      <c r="ED91" s="76"/>
      <c r="EE91" s="76"/>
      <c r="EF91" s="76"/>
      <c r="EG91" s="77"/>
      <c r="EH91" s="74"/>
      <c r="EI91" s="75"/>
      <c r="EJ91" s="78"/>
      <c r="EK91" s="76"/>
      <c r="EL91" s="77"/>
      <c r="EM91" s="79"/>
      <c r="EN91" s="75"/>
      <c r="EO91" s="80"/>
      <c r="EP91" s="81"/>
      <c r="EQ91" s="74"/>
      <c r="ER91" s="74"/>
      <c r="ES91" s="75"/>
      <c r="ET91" s="76"/>
      <c r="EU91" s="76"/>
      <c r="EV91" s="76"/>
      <c r="EW91" s="77"/>
      <c r="EX91" s="74"/>
      <c r="EY91" s="75"/>
      <c r="EZ91" s="78"/>
      <c r="FA91" s="76"/>
      <c r="FB91" s="77"/>
      <c r="FC91" s="79"/>
      <c r="FD91" s="75"/>
      <c r="FE91" s="80"/>
      <c r="FF91" s="81"/>
      <c r="FG91" s="74"/>
      <c r="FH91" s="74"/>
      <c r="FI91" s="75"/>
      <c r="FJ91" s="76"/>
      <c r="FK91" s="76"/>
      <c r="FL91" s="76"/>
      <c r="FM91" s="77"/>
      <c r="FN91" s="74"/>
      <c r="FO91" s="75"/>
      <c r="FP91" s="78"/>
      <c r="FQ91" s="76"/>
      <c r="FR91" s="77"/>
      <c r="FS91" s="79"/>
      <c r="FT91" s="75"/>
      <c r="FU91" s="80"/>
      <c r="FV91" s="81"/>
      <c r="FW91" s="74"/>
      <c r="FX91" s="74"/>
      <c r="FY91" s="75"/>
      <c r="FZ91" s="76"/>
      <c r="GA91" s="76"/>
      <c r="GB91" s="76"/>
      <c r="GC91" s="77"/>
      <c r="GD91" s="74"/>
      <c r="GE91" s="75"/>
      <c r="GF91" s="78"/>
      <c r="GG91" s="76"/>
      <c r="GH91" s="77"/>
      <c r="GI91" s="79"/>
      <c r="GJ91" s="75"/>
      <c r="GK91" s="80"/>
      <c r="GL91" s="81"/>
      <c r="GM91" s="74"/>
      <c r="GN91" s="74"/>
      <c r="GO91" s="75"/>
      <c r="GP91" s="76"/>
      <c r="GQ91" s="76"/>
      <c r="GR91" s="76"/>
      <c r="GS91" s="77"/>
      <c r="GT91" s="74"/>
      <c r="GU91" s="75"/>
      <c r="GV91" s="78"/>
      <c r="GW91" s="76"/>
      <c r="GX91" s="77"/>
      <c r="GY91" s="79"/>
      <c r="GZ91" s="75"/>
      <c r="HA91" s="80"/>
      <c r="HB91" s="81"/>
      <c r="HC91" s="74"/>
      <c r="HD91" s="74"/>
      <c r="HE91" s="75"/>
      <c r="HF91" s="76"/>
      <c r="HG91" s="76"/>
      <c r="HH91" s="76"/>
      <c r="HI91" s="77"/>
      <c r="HJ91" s="74"/>
      <c r="HK91" s="75"/>
      <c r="HL91" s="78"/>
      <c r="HM91" s="76"/>
      <c r="HN91" s="77"/>
      <c r="HO91" s="79"/>
      <c r="HP91" s="75"/>
      <c r="HQ91" s="80"/>
      <c r="HR91" s="81"/>
      <c r="HS91" s="74"/>
      <c r="HT91" s="74"/>
      <c r="HU91" s="75"/>
      <c r="HV91" s="76"/>
      <c r="HW91" s="76"/>
      <c r="HX91" s="76"/>
      <c r="HY91" s="77"/>
      <c r="HZ91" s="74"/>
      <c r="IA91" s="75"/>
      <c r="IB91" s="78"/>
      <c r="IC91" s="76"/>
      <c r="ID91" s="77"/>
      <c r="IE91" s="79"/>
      <c r="IF91" s="75"/>
      <c r="IG91" s="80"/>
      <c r="IH91" s="81"/>
      <c r="II91" s="74"/>
      <c r="IJ91" s="74"/>
      <c r="IK91" s="75"/>
      <c r="IL91" s="76"/>
      <c r="IM91" s="76"/>
      <c r="IN91" s="76"/>
      <c r="IO91" s="77"/>
      <c r="IP91" s="74"/>
      <c r="IQ91" s="75"/>
      <c r="IR91" s="78"/>
      <c r="IS91" s="76"/>
      <c r="IT91" s="77"/>
      <c r="IU91" s="79"/>
      <c r="IV91" s="75"/>
      <c r="IW91" s="80"/>
      <c r="IX91" s="81"/>
      <c r="IY91" s="74"/>
      <c r="IZ91" s="74"/>
      <c r="JA91" s="75"/>
      <c r="JB91" s="76"/>
      <c r="JC91" s="76"/>
      <c r="JD91" s="76"/>
      <c r="JE91" s="77"/>
      <c r="JF91" s="74"/>
      <c r="JG91" s="75"/>
      <c r="JH91" s="78"/>
      <c r="JI91" s="76"/>
      <c r="JJ91" s="77"/>
      <c r="JK91" s="79"/>
      <c r="JL91" s="75"/>
      <c r="JM91" s="80"/>
      <c r="JN91" s="81"/>
      <c r="JO91" s="74"/>
      <c r="JP91" s="74"/>
      <c r="JQ91" s="75"/>
      <c r="JR91" s="76"/>
      <c r="JS91" s="76"/>
      <c r="JT91" s="76"/>
      <c r="JU91" s="77"/>
      <c r="JV91" s="74"/>
      <c r="JW91" s="75"/>
      <c r="JX91" s="78"/>
      <c r="JY91" s="76"/>
      <c r="JZ91" s="77"/>
      <c r="KA91" s="79"/>
      <c r="KB91" s="75"/>
      <c r="KC91" s="80"/>
      <c r="KD91" s="81"/>
      <c r="KE91" s="74"/>
      <c r="KF91" s="74"/>
      <c r="KG91" s="75"/>
      <c r="KH91" s="76"/>
      <c r="KI91" s="76"/>
      <c r="KJ91" s="76"/>
      <c r="KK91" s="77"/>
      <c r="KL91" s="74"/>
      <c r="KM91" s="75"/>
      <c r="KN91" s="78"/>
      <c r="KO91" s="76"/>
      <c r="KP91" s="77"/>
      <c r="KQ91" s="79"/>
      <c r="KR91" s="75"/>
      <c r="KS91" s="80"/>
      <c r="KT91" s="81"/>
      <c r="KU91" s="74"/>
      <c r="KV91" s="74"/>
      <c r="KW91" s="75"/>
      <c r="KX91" s="76"/>
      <c r="KY91" s="76"/>
      <c r="KZ91" s="76"/>
      <c r="LA91" s="77"/>
      <c r="LB91" s="74"/>
      <c r="LC91" s="75"/>
      <c r="LD91" s="78" t="str">
        <f>IFERROR(VLOOKUP(LC91,'[1]List KPI'!$M$3:$N$8,2,0),"")</f>
        <v/>
      </c>
      <c r="LE91" s="76">
        <v>0.89444444444444449</v>
      </c>
      <c r="LF91" s="77" t="str">
        <f t="shared" ref="LF91" si="0">IF(LE91="","",IF(LE91&gt;LJ91,"O","P"))</f>
        <v>O</v>
      </c>
      <c r="LG91" s="79">
        <v>5</v>
      </c>
      <c r="LH91" s="75">
        <v>1276006</v>
      </c>
      <c r="LI91" s="80"/>
      <c r="LJ91" s="81">
        <v>0.86944444444444446</v>
      </c>
      <c r="LK91" s="74" t="s">
        <v>27</v>
      </c>
      <c r="LL91" s="74" t="s">
        <v>24</v>
      </c>
      <c r="LM91" s="75" t="s">
        <v>25</v>
      </c>
      <c r="LN91" s="76">
        <f>IFERROR(VLOOKUP(LM91,'[1]List KPI'!$A$103:$F$118,6,0),"")</f>
        <v>1.0416666666666666E-2</v>
      </c>
      <c r="LO91" s="76">
        <v>0.86944444444444446</v>
      </c>
      <c r="LP91" s="76">
        <v>0.86944444444444446</v>
      </c>
      <c r="LQ91" s="77" t="str">
        <f t="shared" ref="LQ91:NM91" si="1">IF(LP91="","",IF(LP91&gt;LY91,"O","P"))</f>
        <v>O</v>
      </c>
      <c r="LR91" s="74" t="s">
        <v>28</v>
      </c>
      <c r="LS91" s="75" t="s">
        <v>23</v>
      </c>
      <c r="LT91" s="78">
        <f>IFERROR(VLOOKUP(LS91,'[1]List KPI'!$M$3:$N$8,2,0),"")</f>
        <v>2.0833333333333332E-2</v>
      </c>
      <c r="LU91" s="76">
        <v>0.89444444444444449</v>
      </c>
      <c r="LV91" s="77" t="str">
        <f t="shared" ref="LV91:NR91" si="2">IF(LU91="","",IF(LU91&gt;LZ91,"O","P"))</f>
        <v>O</v>
      </c>
      <c r="LW91" s="79">
        <v>5</v>
      </c>
      <c r="LX91" s="75">
        <v>1276006</v>
      </c>
      <c r="LY91" s="80"/>
      <c r="LZ91" s="81">
        <v>0.86944444444444446</v>
      </c>
      <c r="MA91" s="74" t="s">
        <v>27</v>
      </c>
      <c r="MB91" s="74" t="s">
        <v>24</v>
      </c>
      <c r="MC91" s="75" t="s">
        <v>25</v>
      </c>
      <c r="MD91" s="76">
        <f>IFERROR(VLOOKUP(MC91,'[1]List KPI'!$A$103:$F$118,6,0),"")</f>
        <v>1.0416666666666666E-2</v>
      </c>
      <c r="ME91" s="76">
        <v>0.86944444444444446</v>
      </c>
      <c r="MF91" s="76">
        <v>0.86944444444444446</v>
      </c>
      <c r="MG91" s="77" t="str">
        <f t="shared" si="1"/>
        <v>O</v>
      </c>
      <c r="MH91" s="74" t="s">
        <v>28</v>
      </c>
      <c r="MI91" s="75" t="s">
        <v>23</v>
      </c>
      <c r="MJ91" s="78">
        <f>IFERROR(VLOOKUP(MI91,'[1]List KPI'!$M$3:$N$8,2,0),"")</f>
        <v>2.0833333333333332E-2</v>
      </c>
      <c r="MK91" s="76">
        <v>0.89444444444444449</v>
      </c>
      <c r="ML91" s="77" t="str">
        <f t="shared" si="2"/>
        <v>O</v>
      </c>
      <c r="MM91" s="79">
        <v>5</v>
      </c>
      <c r="MN91" s="75">
        <v>1276006</v>
      </c>
      <c r="MO91" s="80"/>
      <c r="MP91" s="81">
        <v>0.86944444444444446</v>
      </c>
      <c r="MQ91" s="74" t="s">
        <v>27</v>
      </c>
      <c r="MR91" s="74" t="s">
        <v>24</v>
      </c>
      <c r="MS91" s="75" t="s">
        <v>25</v>
      </c>
      <c r="MT91" s="76">
        <f>IFERROR(VLOOKUP(MS91,'[1]List KPI'!$A$103:$F$118,6,0),"")</f>
        <v>1.0416666666666666E-2</v>
      </c>
      <c r="MU91" s="76">
        <v>0.86944444444444446</v>
      </c>
      <c r="MV91" s="76">
        <v>0.86944444444444446</v>
      </c>
      <c r="MW91" s="77" t="str">
        <f t="shared" si="1"/>
        <v>O</v>
      </c>
      <c r="MX91" s="74" t="s">
        <v>28</v>
      </c>
      <c r="MY91" s="75" t="s">
        <v>23</v>
      </c>
      <c r="MZ91" s="78">
        <f>IFERROR(VLOOKUP(MY91,'[1]List KPI'!$M$3:$N$8,2,0),"")</f>
        <v>2.0833333333333332E-2</v>
      </c>
      <c r="NA91" s="76">
        <v>0.89444444444444449</v>
      </c>
      <c r="NB91" s="77" t="str">
        <f t="shared" si="2"/>
        <v>O</v>
      </c>
      <c r="NC91" s="79">
        <v>5</v>
      </c>
      <c r="ND91" s="75">
        <v>1276006</v>
      </c>
      <c r="NE91" s="80"/>
      <c r="NF91" s="81">
        <v>0.86944444444444446</v>
      </c>
      <c r="NG91" s="74" t="s">
        <v>27</v>
      </c>
      <c r="NH91" s="74" t="s">
        <v>24</v>
      </c>
      <c r="NI91" s="75" t="s">
        <v>25</v>
      </c>
      <c r="NJ91" s="76">
        <f>IFERROR(VLOOKUP(NI91,'[1]List KPI'!$A$103:$F$118,6,0),"")</f>
        <v>1.0416666666666666E-2</v>
      </c>
      <c r="NK91" s="76">
        <v>0.86944444444444446</v>
      </c>
      <c r="NL91" s="76">
        <v>0.86944444444444446</v>
      </c>
      <c r="NM91" s="77" t="str">
        <f t="shared" si="1"/>
        <v>O</v>
      </c>
      <c r="NN91" s="74" t="s">
        <v>28</v>
      </c>
      <c r="NO91" s="75" t="s">
        <v>23</v>
      </c>
      <c r="NP91" s="78">
        <f>IFERROR(VLOOKUP(NO91,'[1]List KPI'!$M$3:$N$8,2,0),"")</f>
        <v>2.0833333333333332E-2</v>
      </c>
      <c r="NQ91" s="76">
        <v>0.89444444444444449</v>
      </c>
      <c r="NR91" s="77" t="str">
        <f t="shared" si="2"/>
        <v>O</v>
      </c>
      <c r="NS91" s="79">
        <v>5</v>
      </c>
      <c r="NT91" s="75">
        <v>1276006</v>
      </c>
      <c r="NU91" s="80"/>
      <c r="NV91" s="81">
        <v>0.86944444444444446</v>
      </c>
      <c r="NW91" s="74" t="s">
        <v>27</v>
      </c>
      <c r="NX91" s="74" t="s">
        <v>24</v>
      </c>
      <c r="NY91" s="75" t="s">
        <v>25</v>
      </c>
      <c r="NZ91" s="76">
        <f>IFERROR(VLOOKUP(NY91,'[1]List KPI'!$A$103:$F$118,6,0),"")</f>
        <v>1.0416666666666666E-2</v>
      </c>
      <c r="OA91" s="76">
        <v>0.86944444444444446</v>
      </c>
      <c r="OB91" s="76">
        <v>0.86944444444444446</v>
      </c>
      <c r="OC91" s="77" t="str">
        <f t="shared" ref="OC91:PY91" si="3">IF(OB91="","",IF(OB91&gt;OK91,"O","P"))</f>
        <v>O</v>
      </c>
      <c r="OD91" s="74" t="s">
        <v>28</v>
      </c>
      <c r="OE91" s="75" t="s">
        <v>23</v>
      </c>
      <c r="OF91" s="78">
        <f>IFERROR(VLOOKUP(OE91,'[1]List KPI'!$M$3:$N$8,2,0),"")</f>
        <v>2.0833333333333332E-2</v>
      </c>
      <c r="OG91" s="76">
        <v>0.89444444444444449</v>
      </c>
      <c r="OH91" s="77" t="str">
        <f t="shared" ref="OH91:QD91" si="4">IF(OG91="","",IF(OG91&gt;OL91,"O","P"))</f>
        <v>O</v>
      </c>
      <c r="OI91" s="79">
        <v>5</v>
      </c>
      <c r="OJ91" s="75">
        <v>1276006</v>
      </c>
      <c r="OK91" s="80"/>
      <c r="OL91" s="81">
        <v>0.86944444444444446</v>
      </c>
      <c r="OM91" s="74" t="s">
        <v>27</v>
      </c>
      <c r="ON91" s="74" t="s">
        <v>24</v>
      </c>
      <c r="OO91" s="75" t="s">
        <v>25</v>
      </c>
      <c r="OP91" s="76">
        <f>IFERROR(VLOOKUP(OO91,'[1]List KPI'!$A$103:$F$118,6,0),"")</f>
        <v>1.0416666666666666E-2</v>
      </c>
      <c r="OQ91" s="76">
        <v>0.86944444444444446</v>
      </c>
      <c r="OR91" s="76">
        <v>0.86944444444444446</v>
      </c>
      <c r="OS91" s="77" t="str">
        <f t="shared" si="3"/>
        <v>O</v>
      </c>
      <c r="OT91" s="74" t="s">
        <v>28</v>
      </c>
      <c r="OU91" s="75" t="s">
        <v>23</v>
      </c>
      <c r="OV91" s="78">
        <f>IFERROR(VLOOKUP(OU91,'[1]List KPI'!$M$3:$N$8,2,0),"")</f>
        <v>2.0833333333333332E-2</v>
      </c>
      <c r="OW91" s="76">
        <v>0.89444444444444449</v>
      </c>
      <c r="OX91" s="77" t="str">
        <f t="shared" si="4"/>
        <v>O</v>
      </c>
      <c r="OY91" s="79">
        <v>5</v>
      </c>
      <c r="OZ91" s="75">
        <v>1276006</v>
      </c>
      <c r="PA91" s="80"/>
      <c r="PB91" s="81">
        <v>0.86944444444444446</v>
      </c>
      <c r="PC91" s="74" t="s">
        <v>27</v>
      </c>
      <c r="PD91" s="74" t="s">
        <v>24</v>
      </c>
      <c r="PE91" s="75" t="s">
        <v>25</v>
      </c>
      <c r="PF91" s="76">
        <f>IFERROR(VLOOKUP(PE91,'[1]List KPI'!$A$103:$F$118,6,0),"")</f>
        <v>1.0416666666666666E-2</v>
      </c>
      <c r="PG91" s="76">
        <v>0.86944444444444446</v>
      </c>
      <c r="PH91" s="76">
        <v>0.86944444444444446</v>
      </c>
      <c r="PI91" s="77" t="str">
        <f t="shared" si="3"/>
        <v>O</v>
      </c>
      <c r="PJ91" s="74" t="s">
        <v>28</v>
      </c>
      <c r="PK91" s="75" t="s">
        <v>23</v>
      </c>
      <c r="PL91" s="78">
        <f>IFERROR(VLOOKUP(PK91,'[1]List KPI'!$M$3:$N$8,2,0),"")</f>
        <v>2.0833333333333332E-2</v>
      </c>
      <c r="PM91" s="76">
        <v>0.89444444444444449</v>
      </c>
      <c r="PN91" s="77" t="str">
        <f t="shared" si="4"/>
        <v>O</v>
      </c>
      <c r="PO91" s="79">
        <v>5</v>
      </c>
      <c r="PP91" s="75">
        <v>1276006</v>
      </c>
      <c r="PQ91" s="80"/>
      <c r="PR91" s="81">
        <v>0.86944444444444446</v>
      </c>
      <c r="PS91" s="74" t="s">
        <v>27</v>
      </c>
      <c r="PT91" s="74" t="s">
        <v>24</v>
      </c>
      <c r="PU91" s="75" t="s">
        <v>25</v>
      </c>
      <c r="PV91" s="76">
        <f>IFERROR(VLOOKUP(PU91,'[1]List KPI'!$A$103:$F$118,6,0),"")</f>
        <v>1.0416666666666666E-2</v>
      </c>
      <c r="PW91" s="76">
        <v>0.86944444444444446</v>
      </c>
      <c r="PX91" s="76">
        <v>0.86944444444444446</v>
      </c>
      <c r="PY91" s="77" t="str">
        <f t="shared" si="3"/>
        <v>O</v>
      </c>
      <c r="PZ91" s="74" t="s">
        <v>28</v>
      </c>
      <c r="QA91" s="75" t="s">
        <v>23</v>
      </c>
      <c r="QB91" s="78">
        <f>IFERROR(VLOOKUP(QA91,'[1]List KPI'!$M$3:$N$8,2,0),"")</f>
        <v>2.0833333333333332E-2</v>
      </c>
      <c r="QC91" s="76">
        <v>0.89444444444444449</v>
      </c>
      <c r="QD91" s="77" t="str">
        <f t="shared" si="4"/>
        <v>O</v>
      </c>
      <c r="QE91" s="79">
        <v>5</v>
      </c>
      <c r="QF91" s="75">
        <v>1276006</v>
      </c>
      <c r="QG91" s="80"/>
      <c r="QH91" s="81">
        <v>0.86944444444444446</v>
      </c>
      <c r="QI91" s="74" t="s">
        <v>27</v>
      </c>
      <c r="QJ91" s="74" t="s">
        <v>24</v>
      </c>
      <c r="QK91" s="75" t="s">
        <v>25</v>
      </c>
      <c r="QL91" s="76">
        <f>IFERROR(VLOOKUP(QK91,'[1]List KPI'!$A$103:$F$118,6,0),"")</f>
        <v>1.0416666666666666E-2</v>
      </c>
      <c r="QM91" s="76">
        <v>0.86944444444444446</v>
      </c>
      <c r="QN91" s="76">
        <v>0.86944444444444446</v>
      </c>
      <c r="QO91" s="77" t="str">
        <f t="shared" ref="QO91:SK91" si="5">IF(QN91="","",IF(QN91&gt;QW91,"O","P"))</f>
        <v>O</v>
      </c>
      <c r="QP91" s="74" t="s">
        <v>28</v>
      </c>
      <c r="QQ91" s="75" t="s">
        <v>23</v>
      </c>
      <c r="QR91" s="78">
        <f>IFERROR(VLOOKUP(QQ91,'[1]List KPI'!$M$3:$N$8,2,0),"")</f>
        <v>2.0833333333333332E-2</v>
      </c>
      <c r="QS91" s="76">
        <v>0.89444444444444449</v>
      </c>
      <c r="QT91" s="77" t="str">
        <f t="shared" ref="QT91:SP91" si="6">IF(QS91="","",IF(QS91&gt;QX91,"O","P"))</f>
        <v>O</v>
      </c>
      <c r="QU91" s="79">
        <v>5</v>
      </c>
      <c r="QV91" s="75">
        <v>1276006</v>
      </c>
      <c r="QW91" s="80"/>
      <c r="QX91" s="81">
        <v>0.86944444444444446</v>
      </c>
      <c r="QY91" s="74" t="s">
        <v>27</v>
      </c>
      <c r="QZ91" s="74" t="s">
        <v>24</v>
      </c>
      <c r="RA91" s="75" t="s">
        <v>25</v>
      </c>
      <c r="RB91" s="76">
        <f>IFERROR(VLOOKUP(RA91,'[1]List KPI'!$A$103:$F$118,6,0),"")</f>
        <v>1.0416666666666666E-2</v>
      </c>
      <c r="RC91" s="76">
        <v>0.86944444444444446</v>
      </c>
      <c r="RD91" s="76">
        <v>0.86944444444444446</v>
      </c>
      <c r="RE91" s="77" t="str">
        <f t="shared" si="5"/>
        <v>O</v>
      </c>
      <c r="RF91" s="74" t="s">
        <v>28</v>
      </c>
      <c r="RG91" s="75" t="s">
        <v>23</v>
      </c>
      <c r="RH91" s="78">
        <f>IFERROR(VLOOKUP(RG91,'[1]List KPI'!$M$3:$N$8,2,0),"")</f>
        <v>2.0833333333333332E-2</v>
      </c>
      <c r="RI91" s="76">
        <v>0.89444444444444449</v>
      </c>
      <c r="RJ91" s="77" t="str">
        <f t="shared" si="6"/>
        <v>O</v>
      </c>
      <c r="RK91" s="79">
        <v>5</v>
      </c>
      <c r="RL91" s="75">
        <v>1276006</v>
      </c>
      <c r="RM91" s="80"/>
      <c r="RN91" s="81">
        <v>0.86944444444444446</v>
      </c>
      <c r="RO91" s="74" t="s">
        <v>27</v>
      </c>
      <c r="RP91" s="74" t="s">
        <v>24</v>
      </c>
      <c r="RQ91" s="75" t="s">
        <v>25</v>
      </c>
      <c r="RR91" s="76">
        <f>IFERROR(VLOOKUP(RQ91,'[1]List KPI'!$A$103:$F$118,6,0),"")</f>
        <v>1.0416666666666666E-2</v>
      </c>
      <c r="RS91" s="76">
        <v>0.86944444444444446</v>
      </c>
      <c r="RT91" s="76">
        <v>0.86944444444444446</v>
      </c>
      <c r="RU91" s="77" t="str">
        <f t="shared" si="5"/>
        <v>O</v>
      </c>
      <c r="RV91" s="74" t="s">
        <v>28</v>
      </c>
      <c r="RW91" s="75" t="s">
        <v>23</v>
      </c>
      <c r="RX91" s="78">
        <f>IFERROR(VLOOKUP(RW91,'[1]List KPI'!$M$3:$N$8,2,0),"")</f>
        <v>2.0833333333333332E-2</v>
      </c>
      <c r="RY91" s="76">
        <v>0.89444444444444449</v>
      </c>
      <c r="RZ91" s="77" t="str">
        <f t="shared" si="6"/>
        <v>O</v>
      </c>
      <c r="SA91" s="79">
        <v>5</v>
      </c>
      <c r="SB91" s="75">
        <v>1276006</v>
      </c>
      <c r="SC91" s="80"/>
      <c r="SD91" s="81">
        <v>0.86944444444444446</v>
      </c>
      <c r="SE91" s="74" t="s">
        <v>27</v>
      </c>
      <c r="SF91" s="74" t="s">
        <v>24</v>
      </c>
      <c r="SG91" s="75" t="s">
        <v>25</v>
      </c>
      <c r="SH91" s="76">
        <f>IFERROR(VLOOKUP(SG91,'[1]List KPI'!$A$103:$F$118,6,0),"")</f>
        <v>1.0416666666666666E-2</v>
      </c>
      <c r="SI91" s="76">
        <v>0.86944444444444446</v>
      </c>
      <c r="SJ91" s="76">
        <v>0.86944444444444446</v>
      </c>
      <c r="SK91" s="77" t="str">
        <f t="shared" si="5"/>
        <v>O</v>
      </c>
      <c r="SL91" s="74" t="s">
        <v>28</v>
      </c>
      <c r="SM91" s="75" t="s">
        <v>23</v>
      </c>
      <c r="SN91" s="78">
        <f>IFERROR(VLOOKUP(SM91,'[1]List KPI'!$M$3:$N$8,2,0),"")</f>
        <v>2.0833333333333332E-2</v>
      </c>
      <c r="SO91" s="76">
        <v>0.89444444444444449</v>
      </c>
      <c r="SP91" s="77" t="str">
        <f t="shared" si="6"/>
        <v>O</v>
      </c>
      <c r="SQ91" s="79">
        <v>5</v>
      </c>
      <c r="SR91" s="75">
        <v>1276006</v>
      </c>
      <c r="SS91" s="80"/>
      <c r="ST91" s="81">
        <v>0.86944444444444446</v>
      </c>
      <c r="SU91" s="74" t="s">
        <v>27</v>
      </c>
      <c r="SV91" s="74" t="s">
        <v>24</v>
      </c>
      <c r="SW91" s="75" t="s">
        <v>25</v>
      </c>
      <c r="SX91" s="76">
        <f>IFERROR(VLOOKUP(SW91,'[1]List KPI'!$A$103:$F$118,6,0),"")</f>
        <v>1.0416666666666666E-2</v>
      </c>
      <c r="SY91" s="76">
        <v>0.86944444444444446</v>
      </c>
      <c r="SZ91" s="76">
        <v>0.86944444444444446</v>
      </c>
      <c r="TA91" s="77" t="str">
        <f t="shared" ref="TA91:UW91" si="7">IF(SZ91="","",IF(SZ91&gt;TI91,"O","P"))</f>
        <v>O</v>
      </c>
      <c r="TB91" s="74" t="s">
        <v>28</v>
      </c>
      <c r="TC91" s="75" t="s">
        <v>23</v>
      </c>
      <c r="TD91" s="78">
        <f>IFERROR(VLOOKUP(TC91,'[1]List KPI'!$M$3:$N$8,2,0),"")</f>
        <v>2.0833333333333332E-2</v>
      </c>
      <c r="TE91" s="76">
        <v>0.89444444444444449</v>
      </c>
      <c r="TF91" s="77" t="str">
        <f t="shared" ref="TF91:VB91" si="8">IF(TE91="","",IF(TE91&gt;TJ91,"O","P"))</f>
        <v>O</v>
      </c>
      <c r="TG91" s="79">
        <v>5</v>
      </c>
      <c r="TH91" s="75">
        <v>1276006</v>
      </c>
      <c r="TI91" s="80"/>
      <c r="TJ91" s="81">
        <v>0.86944444444444446</v>
      </c>
      <c r="TK91" s="74" t="s">
        <v>27</v>
      </c>
      <c r="TL91" s="74" t="s">
        <v>24</v>
      </c>
      <c r="TM91" s="75" t="s">
        <v>25</v>
      </c>
      <c r="TN91" s="76">
        <f>IFERROR(VLOOKUP(TM91,'[1]List KPI'!$A$103:$F$118,6,0),"")</f>
        <v>1.0416666666666666E-2</v>
      </c>
      <c r="TO91" s="76">
        <v>0.86944444444444446</v>
      </c>
      <c r="TP91" s="76">
        <v>0.86944444444444446</v>
      </c>
      <c r="TQ91" s="77" t="str">
        <f t="shared" si="7"/>
        <v>O</v>
      </c>
      <c r="TR91" s="74" t="s">
        <v>28</v>
      </c>
      <c r="TS91" s="75" t="s">
        <v>23</v>
      </c>
      <c r="TT91" s="78">
        <f>IFERROR(VLOOKUP(TS91,'[1]List KPI'!$M$3:$N$8,2,0),"")</f>
        <v>2.0833333333333332E-2</v>
      </c>
      <c r="TU91" s="76">
        <v>0.89444444444444449</v>
      </c>
      <c r="TV91" s="77" t="str">
        <f t="shared" si="8"/>
        <v>O</v>
      </c>
      <c r="TW91" s="79">
        <v>5</v>
      </c>
      <c r="TX91" s="75">
        <v>1276006</v>
      </c>
      <c r="TY91" s="80"/>
      <c r="TZ91" s="81">
        <v>0.86944444444444446</v>
      </c>
      <c r="UA91" s="74" t="s">
        <v>27</v>
      </c>
      <c r="UB91" s="74" t="s">
        <v>24</v>
      </c>
      <c r="UC91" s="75" t="s">
        <v>25</v>
      </c>
      <c r="UD91" s="76">
        <f>IFERROR(VLOOKUP(UC91,'[1]List KPI'!$A$103:$F$118,6,0),"")</f>
        <v>1.0416666666666666E-2</v>
      </c>
      <c r="UE91" s="76">
        <v>0.86944444444444446</v>
      </c>
      <c r="UF91" s="76">
        <v>0.86944444444444446</v>
      </c>
      <c r="UG91" s="77" t="str">
        <f t="shared" si="7"/>
        <v>O</v>
      </c>
      <c r="UH91" s="74" t="s">
        <v>28</v>
      </c>
      <c r="UI91" s="75" t="s">
        <v>23</v>
      </c>
      <c r="UJ91" s="78">
        <f>IFERROR(VLOOKUP(UI91,'[1]List KPI'!$M$3:$N$8,2,0),"")</f>
        <v>2.0833333333333332E-2</v>
      </c>
      <c r="UK91" s="76">
        <v>0.89444444444444449</v>
      </c>
      <c r="UL91" s="77" t="str">
        <f t="shared" si="8"/>
        <v>O</v>
      </c>
      <c r="UM91" s="79">
        <v>5</v>
      </c>
      <c r="UN91" s="75">
        <v>1276006</v>
      </c>
      <c r="UO91" s="80"/>
      <c r="UP91" s="81">
        <v>0.86944444444444446</v>
      </c>
      <c r="UQ91" s="74" t="s">
        <v>27</v>
      </c>
      <c r="UR91" s="74" t="s">
        <v>24</v>
      </c>
      <c r="US91" s="75" t="s">
        <v>25</v>
      </c>
      <c r="UT91" s="76">
        <f>IFERROR(VLOOKUP(US91,'[1]List KPI'!$A$103:$F$118,6,0),"")</f>
        <v>1.0416666666666666E-2</v>
      </c>
      <c r="UU91" s="76">
        <v>0.86944444444444446</v>
      </c>
      <c r="UV91" s="76">
        <v>0.86944444444444446</v>
      </c>
      <c r="UW91" s="77" t="str">
        <f t="shared" si="7"/>
        <v>O</v>
      </c>
      <c r="UX91" s="74" t="s">
        <v>28</v>
      </c>
      <c r="UY91" s="75" t="s">
        <v>23</v>
      </c>
      <c r="UZ91" s="78">
        <f>IFERROR(VLOOKUP(UY91,'[1]List KPI'!$M$3:$N$8,2,0),"")</f>
        <v>2.0833333333333332E-2</v>
      </c>
      <c r="VA91" s="76">
        <v>0.89444444444444449</v>
      </c>
      <c r="VB91" s="77" t="str">
        <f t="shared" si="8"/>
        <v>O</v>
      </c>
      <c r="VC91" s="79">
        <v>5</v>
      </c>
      <c r="VD91" s="75">
        <v>1276006</v>
      </c>
      <c r="VE91" s="80"/>
      <c r="VF91" s="81">
        <v>0.86944444444444446</v>
      </c>
      <c r="VG91" s="74" t="s">
        <v>27</v>
      </c>
      <c r="VH91" s="74" t="s">
        <v>24</v>
      </c>
      <c r="VI91" s="75" t="s">
        <v>25</v>
      </c>
      <c r="VJ91" s="76">
        <f>IFERROR(VLOOKUP(VI91,'[1]List KPI'!$A$103:$F$118,6,0),"")</f>
        <v>1.0416666666666666E-2</v>
      </c>
      <c r="VK91" s="76">
        <v>0.86944444444444446</v>
      </c>
      <c r="VL91" s="76">
        <v>0.86944444444444446</v>
      </c>
      <c r="VM91" s="77" t="str">
        <f t="shared" ref="VM91:XI91" si="9">IF(VL91="","",IF(VL91&gt;VU91,"O","P"))</f>
        <v>O</v>
      </c>
      <c r="VN91" s="74" t="s">
        <v>28</v>
      </c>
      <c r="VO91" s="75" t="s">
        <v>23</v>
      </c>
      <c r="VP91" s="78">
        <f>IFERROR(VLOOKUP(VO91,'[1]List KPI'!$M$3:$N$8,2,0),"")</f>
        <v>2.0833333333333332E-2</v>
      </c>
      <c r="VQ91" s="76">
        <v>0.89444444444444449</v>
      </c>
      <c r="VR91" s="77" t="str">
        <f t="shared" ref="VR91:XN91" si="10">IF(VQ91="","",IF(VQ91&gt;VV91,"O","P"))</f>
        <v>O</v>
      </c>
      <c r="VS91" s="79">
        <v>5</v>
      </c>
      <c r="VT91" s="75">
        <v>1276006</v>
      </c>
      <c r="VU91" s="80"/>
      <c r="VV91" s="81">
        <v>0.86944444444444446</v>
      </c>
      <c r="VW91" s="74" t="s">
        <v>27</v>
      </c>
      <c r="VX91" s="74" t="s">
        <v>24</v>
      </c>
      <c r="VY91" s="75" t="s">
        <v>25</v>
      </c>
      <c r="VZ91" s="76">
        <f>IFERROR(VLOOKUP(VY91,'[1]List KPI'!$A$103:$F$118,6,0),"")</f>
        <v>1.0416666666666666E-2</v>
      </c>
      <c r="WA91" s="76">
        <v>0.86944444444444446</v>
      </c>
      <c r="WB91" s="76">
        <v>0.86944444444444446</v>
      </c>
      <c r="WC91" s="77" t="str">
        <f t="shared" si="9"/>
        <v>O</v>
      </c>
      <c r="WD91" s="74" t="s">
        <v>28</v>
      </c>
      <c r="WE91" s="75" t="s">
        <v>23</v>
      </c>
      <c r="WF91" s="78">
        <f>IFERROR(VLOOKUP(WE91,'[1]List KPI'!$M$3:$N$8,2,0),"")</f>
        <v>2.0833333333333332E-2</v>
      </c>
      <c r="WG91" s="76">
        <v>0.89444444444444449</v>
      </c>
      <c r="WH91" s="77" t="str">
        <f t="shared" si="10"/>
        <v>O</v>
      </c>
      <c r="WI91" s="79">
        <v>5</v>
      </c>
      <c r="WJ91" s="75">
        <v>1276006</v>
      </c>
      <c r="WK91" s="80"/>
      <c r="WL91" s="81">
        <v>0.86944444444444446</v>
      </c>
      <c r="WM91" s="74" t="s">
        <v>27</v>
      </c>
      <c r="WN91" s="74" t="s">
        <v>24</v>
      </c>
      <c r="WO91" s="75" t="s">
        <v>25</v>
      </c>
      <c r="WP91" s="76">
        <f>IFERROR(VLOOKUP(WO91,'[1]List KPI'!$A$103:$F$118,6,0),"")</f>
        <v>1.0416666666666666E-2</v>
      </c>
      <c r="WQ91" s="76">
        <v>0.86944444444444446</v>
      </c>
      <c r="WR91" s="76">
        <v>0.86944444444444446</v>
      </c>
      <c r="WS91" s="77" t="str">
        <f t="shared" si="9"/>
        <v>O</v>
      </c>
      <c r="WT91" s="74" t="s">
        <v>28</v>
      </c>
      <c r="WU91" s="75" t="s">
        <v>23</v>
      </c>
      <c r="WV91" s="78">
        <f>IFERROR(VLOOKUP(WU91,'[1]List KPI'!$M$3:$N$8,2,0),"")</f>
        <v>2.0833333333333332E-2</v>
      </c>
      <c r="WW91" s="76">
        <v>0.89444444444444449</v>
      </c>
      <c r="WX91" s="77" t="str">
        <f t="shared" si="10"/>
        <v>O</v>
      </c>
      <c r="WY91" s="79">
        <v>5</v>
      </c>
      <c r="WZ91" s="75">
        <v>1276006</v>
      </c>
      <c r="XA91" s="80"/>
      <c r="XB91" s="81">
        <v>0.86944444444444446</v>
      </c>
      <c r="XC91" s="74" t="s">
        <v>27</v>
      </c>
      <c r="XD91" s="74" t="s">
        <v>24</v>
      </c>
      <c r="XE91" s="75" t="s">
        <v>25</v>
      </c>
      <c r="XF91" s="76">
        <f>IFERROR(VLOOKUP(XE91,'[1]List KPI'!$A$103:$F$118,6,0),"")</f>
        <v>1.0416666666666666E-2</v>
      </c>
      <c r="XG91" s="76">
        <v>0.86944444444444446</v>
      </c>
      <c r="XH91" s="76">
        <v>0.86944444444444446</v>
      </c>
      <c r="XI91" s="77" t="str">
        <f t="shared" si="9"/>
        <v>O</v>
      </c>
      <c r="XJ91" s="74" t="s">
        <v>28</v>
      </c>
      <c r="XK91" s="75" t="s">
        <v>23</v>
      </c>
      <c r="XL91" s="78">
        <f>IFERROR(VLOOKUP(XK91,'[1]List KPI'!$M$3:$N$8,2,0),"")</f>
        <v>2.0833333333333332E-2</v>
      </c>
      <c r="XM91" s="76">
        <v>0.89444444444444449</v>
      </c>
      <c r="XN91" s="77" t="str">
        <f t="shared" si="10"/>
        <v>O</v>
      </c>
      <c r="XO91" s="79">
        <v>5</v>
      </c>
      <c r="XP91" s="75">
        <v>1276006</v>
      </c>
      <c r="XQ91" s="80"/>
      <c r="XR91" s="81">
        <v>0.86944444444444446</v>
      </c>
      <c r="XS91" s="74" t="s">
        <v>27</v>
      </c>
      <c r="XT91" s="74" t="s">
        <v>24</v>
      </c>
      <c r="XU91" s="75" t="s">
        <v>25</v>
      </c>
      <c r="XV91" s="76">
        <f>IFERROR(VLOOKUP(XU91,'[1]List KPI'!$A$103:$F$118,6,0),"")</f>
        <v>1.0416666666666666E-2</v>
      </c>
      <c r="XW91" s="76">
        <v>0.86944444444444446</v>
      </c>
      <c r="XX91" s="76">
        <v>0.86944444444444446</v>
      </c>
      <c r="XY91" s="77" t="str">
        <f t="shared" ref="XY91:ZU91" si="11">IF(XX91="","",IF(XX91&gt;YG91,"O","P"))</f>
        <v>O</v>
      </c>
      <c r="XZ91" s="74" t="s">
        <v>28</v>
      </c>
      <c r="YA91" s="75" t="s">
        <v>23</v>
      </c>
      <c r="YB91" s="78">
        <f>IFERROR(VLOOKUP(YA91,'[1]List KPI'!$M$3:$N$8,2,0),"")</f>
        <v>2.0833333333333332E-2</v>
      </c>
      <c r="YC91" s="76">
        <v>0.89444444444444449</v>
      </c>
      <c r="YD91" s="77" t="str">
        <f t="shared" ref="YD91:ZZ91" si="12">IF(YC91="","",IF(YC91&gt;YH91,"O","P"))</f>
        <v>O</v>
      </c>
      <c r="YE91" s="79">
        <v>5</v>
      </c>
      <c r="YF91" s="75">
        <v>1276006</v>
      </c>
      <c r="YG91" s="80"/>
      <c r="YH91" s="81">
        <v>0.86944444444444446</v>
      </c>
      <c r="YI91" s="74" t="s">
        <v>27</v>
      </c>
      <c r="YJ91" s="74" t="s">
        <v>24</v>
      </c>
      <c r="YK91" s="75" t="s">
        <v>25</v>
      </c>
      <c r="YL91" s="76">
        <f>IFERROR(VLOOKUP(YK91,'[1]List KPI'!$A$103:$F$118,6,0),"")</f>
        <v>1.0416666666666666E-2</v>
      </c>
      <c r="YM91" s="76">
        <v>0.86944444444444446</v>
      </c>
      <c r="YN91" s="76">
        <v>0.86944444444444446</v>
      </c>
      <c r="YO91" s="77" t="str">
        <f t="shared" si="11"/>
        <v>O</v>
      </c>
      <c r="YP91" s="74" t="s">
        <v>28</v>
      </c>
      <c r="YQ91" s="75" t="s">
        <v>23</v>
      </c>
      <c r="YR91" s="78">
        <f>IFERROR(VLOOKUP(YQ91,'[1]List KPI'!$M$3:$N$8,2,0),"")</f>
        <v>2.0833333333333332E-2</v>
      </c>
      <c r="YS91" s="76">
        <v>0.89444444444444449</v>
      </c>
      <c r="YT91" s="77" t="str">
        <f t="shared" si="12"/>
        <v>O</v>
      </c>
      <c r="YU91" s="79">
        <v>5</v>
      </c>
      <c r="YV91" s="75">
        <v>1276006</v>
      </c>
      <c r="YW91" s="80"/>
      <c r="YX91" s="81">
        <v>0.86944444444444446</v>
      </c>
      <c r="YY91" s="74" t="s">
        <v>27</v>
      </c>
      <c r="YZ91" s="74" t="s">
        <v>24</v>
      </c>
      <c r="ZA91" s="75" t="s">
        <v>25</v>
      </c>
      <c r="ZB91" s="76">
        <f>IFERROR(VLOOKUP(ZA91,'[1]List KPI'!$A$103:$F$118,6,0),"")</f>
        <v>1.0416666666666666E-2</v>
      </c>
      <c r="ZC91" s="76">
        <v>0.86944444444444446</v>
      </c>
      <c r="ZD91" s="76">
        <v>0.86944444444444446</v>
      </c>
      <c r="ZE91" s="77" t="str">
        <f t="shared" si="11"/>
        <v>O</v>
      </c>
      <c r="ZF91" s="74" t="s">
        <v>28</v>
      </c>
      <c r="ZG91" s="75" t="s">
        <v>23</v>
      </c>
      <c r="ZH91" s="78">
        <f>IFERROR(VLOOKUP(ZG91,'[1]List KPI'!$M$3:$N$8,2,0),"")</f>
        <v>2.0833333333333332E-2</v>
      </c>
      <c r="ZI91" s="76">
        <v>0.89444444444444449</v>
      </c>
      <c r="ZJ91" s="77" t="str">
        <f t="shared" si="12"/>
        <v>O</v>
      </c>
      <c r="ZK91" s="79">
        <v>5</v>
      </c>
      <c r="ZL91" s="75">
        <v>1276006</v>
      </c>
      <c r="ZM91" s="80"/>
      <c r="ZN91" s="81">
        <v>0.86944444444444446</v>
      </c>
      <c r="ZO91" s="74" t="s">
        <v>27</v>
      </c>
      <c r="ZP91" s="74" t="s">
        <v>24</v>
      </c>
      <c r="ZQ91" s="75" t="s">
        <v>25</v>
      </c>
      <c r="ZR91" s="76">
        <f>IFERROR(VLOOKUP(ZQ91,'[1]List KPI'!$A$103:$F$118,6,0),"")</f>
        <v>1.0416666666666666E-2</v>
      </c>
      <c r="ZS91" s="76">
        <v>0.86944444444444446</v>
      </c>
      <c r="ZT91" s="76">
        <v>0.86944444444444446</v>
      </c>
      <c r="ZU91" s="77" t="str">
        <f t="shared" si="11"/>
        <v>O</v>
      </c>
      <c r="ZV91" s="74" t="s">
        <v>28</v>
      </c>
      <c r="ZW91" s="75" t="s">
        <v>23</v>
      </c>
      <c r="ZX91" s="78">
        <f>IFERROR(VLOOKUP(ZW91,'[1]List KPI'!$M$3:$N$8,2,0),"")</f>
        <v>2.0833333333333332E-2</v>
      </c>
      <c r="ZY91" s="76">
        <v>0.89444444444444449</v>
      </c>
      <c r="ZZ91" s="77" t="str">
        <f t="shared" si="12"/>
        <v>O</v>
      </c>
      <c r="AAA91" s="79">
        <v>5</v>
      </c>
      <c r="AAB91" s="75">
        <v>1276006</v>
      </c>
      <c r="AAC91" s="80"/>
      <c r="AAD91" s="81">
        <v>0.86944444444444446</v>
      </c>
      <c r="AAE91" s="74" t="s">
        <v>27</v>
      </c>
      <c r="AAF91" s="74" t="s">
        <v>24</v>
      </c>
      <c r="AAG91" s="75" t="s">
        <v>25</v>
      </c>
      <c r="AAH91" s="76">
        <f>IFERROR(VLOOKUP(AAG91,'[1]List KPI'!$A$103:$F$118,6,0),"")</f>
        <v>1.0416666666666666E-2</v>
      </c>
      <c r="AAI91" s="76">
        <v>0.86944444444444446</v>
      </c>
      <c r="AAJ91" s="76">
        <v>0.86944444444444446</v>
      </c>
      <c r="AAK91" s="77" t="str">
        <f t="shared" ref="AAK91:ACG91" si="13">IF(AAJ91="","",IF(AAJ91&gt;AAS91,"O","P"))</f>
        <v>O</v>
      </c>
      <c r="AAL91" s="74" t="s">
        <v>28</v>
      </c>
      <c r="AAM91" s="75" t="s">
        <v>23</v>
      </c>
      <c r="AAN91" s="78">
        <f>IFERROR(VLOOKUP(AAM91,'[1]List KPI'!$M$3:$N$8,2,0),"")</f>
        <v>2.0833333333333332E-2</v>
      </c>
      <c r="AAO91" s="76">
        <v>0.89444444444444449</v>
      </c>
      <c r="AAP91" s="77" t="str">
        <f t="shared" ref="AAP91:ACL91" si="14">IF(AAO91="","",IF(AAO91&gt;AAT91,"O","P"))</f>
        <v>O</v>
      </c>
      <c r="AAQ91" s="79">
        <v>5</v>
      </c>
      <c r="AAR91" s="75">
        <v>1276006</v>
      </c>
      <c r="AAS91" s="80"/>
      <c r="AAT91" s="81">
        <v>0.86944444444444446</v>
      </c>
      <c r="AAU91" s="74" t="s">
        <v>27</v>
      </c>
      <c r="AAV91" s="74" t="s">
        <v>24</v>
      </c>
      <c r="AAW91" s="75" t="s">
        <v>25</v>
      </c>
      <c r="AAX91" s="76">
        <f>IFERROR(VLOOKUP(AAW91,'[1]List KPI'!$A$103:$F$118,6,0),"")</f>
        <v>1.0416666666666666E-2</v>
      </c>
      <c r="AAY91" s="76">
        <v>0.86944444444444446</v>
      </c>
      <c r="AAZ91" s="76">
        <v>0.86944444444444446</v>
      </c>
      <c r="ABA91" s="77" t="str">
        <f t="shared" si="13"/>
        <v>O</v>
      </c>
      <c r="ABB91" s="74" t="s">
        <v>28</v>
      </c>
      <c r="ABC91" s="75" t="s">
        <v>23</v>
      </c>
      <c r="ABD91" s="78">
        <f>IFERROR(VLOOKUP(ABC91,'[1]List KPI'!$M$3:$N$8,2,0),"")</f>
        <v>2.0833333333333332E-2</v>
      </c>
      <c r="ABE91" s="76">
        <v>0.89444444444444449</v>
      </c>
      <c r="ABF91" s="77" t="str">
        <f t="shared" si="14"/>
        <v>O</v>
      </c>
      <c r="ABG91" s="79">
        <v>5</v>
      </c>
      <c r="ABH91" s="75">
        <v>1276006</v>
      </c>
      <c r="ABI91" s="80"/>
      <c r="ABJ91" s="81">
        <v>0.86944444444444446</v>
      </c>
      <c r="ABK91" s="74" t="s">
        <v>27</v>
      </c>
      <c r="ABL91" s="74" t="s">
        <v>24</v>
      </c>
      <c r="ABM91" s="75" t="s">
        <v>25</v>
      </c>
      <c r="ABN91" s="76">
        <f>IFERROR(VLOOKUP(ABM91,'[1]List KPI'!$A$103:$F$118,6,0),"")</f>
        <v>1.0416666666666666E-2</v>
      </c>
      <c r="ABO91" s="76">
        <v>0.86944444444444446</v>
      </c>
      <c r="ABP91" s="76">
        <v>0.86944444444444446</v>
      </c>
      <c r="ABQ91" s="77" t="str">
        <f t="shared" si="13"/>
        <v>O</v>
      </c>
      <c r="ABR91" s="74" t="s">
        <v>28</v>
      </c>
      <c r="ABS91" s="75" t="s">
        <v>23</v>
      </c>
      <c r="ABT91" s="78">
        <f>IFERROR(VLOOKUP(ABS91,'[1]List KPI'!$M$3:$N$8,2,0),"")</f>
        <v>2.0833333333333332E-2</v>
      </c>
      <c r="ABU91" s="76">
        <v>0.89444444444444449</v>
      </c>
      <c r="ABV91" s="77" t="str">
        <f t="shared" si="14"/>
        <v>O</v>
      </c>
      <c r="ABW91" s="79">
        <v>5</v>
      </c>
      <c r="ABX91" s="75">
        <v>1276006</v>
      </c>
      <c r="ABY91" s="80"/>
      <c r="ABZ91" s="81">
        <v>0.86944444444444446</v>
      </c>
      <c r="ACA91" s="74" t="s">
        <v>27</v>
      </c>
      <c r="ACB91" s="74" t="s">
        <v>24</v>
      </c>
      <c r="ACC91" s="75" t="s">
        <v>25</v>
      </c>
      <c r="ACD91" s="76">
        <f>IFERROR(VLOOKUP(ACC91,'[1]List KPI'!$A$103:$F$118,6,0),"")</f>
        <v>1.0416666666666666E-2</v>
      </c>
      <c r="ACE91" s="76">
        <v>0.86944444444444446</v>
      </c>
      <c r="ACF91" s="76">
        <v>0.86944444444444446</v>
      </c>
      <c r="ACG91" s="77" t="str">
        <f t="shared" si="13"/>
        <v>O</v>
      </c>
      <c r="ACH91" s="74" t="s">
        <v>28</v>
      </c>
      <c r="ACI91" s="75" t="s">
        <v>23</v>
      </c>
      <c r="ACJ91" s="78">
        <f>IFERROR(VLOOKUP(ACI91,'[1]List KPI'!$M$3:$N$8,2,0),"")</f>
        <v>2.0833333333333332E-2</v>
      </c>
      <c r="ACK91" s="76">
        <v>0.89444444444444449</v>
      </c>
      <c r="ACL91" s="77" t="str">
        <f t="shared" si="14"/>
        <v>O</v>
      </c>
      <c r="ACM91" s="79">
        <v>5</v>
      </c>
      <c r="ACN91" s="75">
        <v>1276006</v>
      </c>
      <c r="ACO91" s="80"/>
      <c r="ACP91" s="81">
        <v>0.86944444444444446</v>
      </c>
      <c r="ACQ91" s="74" t="s">
        <v>27</v>
      </c>
      <c r="ACR91" s="74" t="s">
        <v>24</v>
      </c>
      <c r="ACS91" s="75" t="s">
        <v>25</v>
      </c>
      <c r="ACT91" s="76">
        <f>IFERROR(VLOOKUP(ACS91,'[1]List KPI'!$A$103:$F$118,6,0),"")</f>
        <v>1.0416666666666666E-2</v>
      </c>
      <c r="ACU91" s="76">
        <v>0.86944444444444446</v>
      </c>
      <c r="ACV91" s="76">
        <v>0.86944444444444446</v>
      </c>
      <c r="ACW91" s="77" t="str">
        <f t="shared" ref="ACW91:AES91" si="15">IF(ACV91="","",IF(ACV91&gt;ADE91,"O","P"))</f>
        <v>O</v>
      </c>
      <c r="ACX91" s="74" t="s">
        <v>28</v>
      </c>
      <c r="ACY91" s="75" t="s">
        <v>23</v>
      </c>
      <c r="ACZ91" s="78">
        <f>IFERROR(VLOOKUP(ACY91,'[1]List KPI'!$M$3:$N$8,2,0),"")</f>
        <v>2.0833333333333332E-2</v>
      </c>
      <c r="ADA91" s="76">
        <v>0.89444444444444449</v>
      </c>
      <c r="ADB91" s="77" t="str">
        <f t="shared" ref="ADB91:AEX91" si="16">IF(ADA91="","",IF(ADA91&gt;ADF91,"O","P"))</f>
        <v>O</v>
      </c>
      <c r="ADC91" s="79">
        <v>5</v>
      </c>
      <c r="ADD91" s="75">
        <v>1276006</v>
      </c>
      <c r="ADE91" s="80"/>
      <c r="ADF91" s="81">
        <v>0.86944444444444446</v>
      </c>
      <c r="ADG91" s="74" t="s">
        <v>27</v>
      </c>
      <c r="ADH91" s="74" t="s">
        <v>24</v>
      </c>
      <c r="ADI91" s="75" t="s">
        <v>25</v>
      </c>
      <c r="ADJ91" s="76">
        <f>IFERROR(VLOOKUP(ADI91,'[1]List KPI'!$A$103:$F$118,6,0),"")</f>
        <v>1.0416666666666666E-2</v>
      </c>
      <c r="ADK91" s="76">
        <v>0.86944444444444446</v>
      </c>
      <c r="ADL91" s="76">
        <v>0.86944444444444446</v>
      </c>
      <c r="ADM91" s="77" t="str">
        <f t="shared" si="15"/>
        <v>O</v>
      </c>
      <c r="ADN91" s="74" t="s">
        <v>28</v>
      </c>
      <c r="ADO91" s="75" t="s">
        <v>23</v>
      </c>
      <c r="ADP91" s="78">
        <f>IFERROR(VLOOKUP(ADO91,'[1]List KPI'!$M$3:$N$8,2,0),"")</f>
        <v>2.0833333333333332E-2</v>
      </c>
      <c r="ADQ91" s="76">
        <v>0.89444444444444449</v>
      </c>
      <c r="ADR91" s="77" t="str">
        <f t="shared" si="16"/>
        <v>O</v>
      </c>
      <c r="ADS91" s="79">
        <v>5</v>
      </c>
      <c r="ADT91" s="75">
        <v>1276006</v>
      </c>
      <c r="ADU91" s="80"/>
      <c r="ADV91" s="81">
        <v>0.86944444444444446</v>
      </c>
      <c r="ADW91" s="74" t="s">
        <v>27</v>
      </c>
      <c r="ADX91" s="74" t="s">
        <v>24</v>
      </c>
      <c r="ADY91" s="75" t="s">
        <v>25</v>
      </c>
      <c r="ADZ91" s="76">
        <f>IFERROR(VLOOKUP(ADY91,'[1]List KPI'!$A$103:$F$118,6,0),"")</f>
        <v>1.0416666666666666E-2</v>
      </c>
      <c r="AEA91" s="76">
        <v>0.86944444444444446</v>
      </c>
      <c r="AEB91" s="76">
        <v>0.86944444444444446</v>
      </c>
      <c r="AEC91" s="77" t="str">
        <f t="shared" si="15"/>
        <v>O</v>
      </c>
      <c r="AED91" s="74" t="s">
        <v>28</v>
      </c>
      <c r="AEE91" s="75" t="s">
        <v>23</v>
      </c>
      <c r="AEF91" s="78">
        <f>IFERROR(VLOOKUP(AEE91,'[1]List KPI'!$M$3:$N$8,2,0),"")</f>
        <v>2.0833333333333332E-2</v>
      </c>
      <c r="AEG91" s="76">
        <v>0.89444444444444449</v>
      </c>
      <c r="AEH91" s="77" t="str">
        <f t="shared" si="16"/>
        <v>O</v>
      </c>
      <c r="AEI91" s="79">
        <v>5</v>
      </c>
      <c r="AEJ91" s="75">
        <v>1276006</v>
      </c>
      <c r="AEK91" s="80"/>
      <c r="AEL91" s="81">
        <v>0.86944444444444446</v>
      </c>
      <c r="AEM91" s="74" t="s">
        <v>27</v>
      </c>
      <c r="AEN91" s="74" t="s">
        <v>24</v>
      </c>
      <c r="AEO91" s="75" t="s">
        <v>25</v>
      </c>
      <c r="AEP91" s="76">
        <f>IFERROR(VLOOKUP(AEO91,'[1]List KPI'!$A$103:$F$118,6,0),"")</f>
        <v>1.0416666666666666E-2</v>
      </c>
      <c r="AEQ91" s="76">
        <v>0.86944444444444446</v>
      </c>
      <c r="AER91" s="76">
        <v>0.86944444444444446</v>
      </c>
      <c r="AES91" s="77" t="str">
        <f t="shared" si="15"/>
        <v>O</v>
      </c>
      <c r="AET91" s="74" t="s">
        <v>28</v>
      </c>
      <c r="AEU91" s="75" t="s">
        <v>23</v>
      </c>
      <c r="AEV91" s="78">
        <f>IFERROR(VLOOKUP(AEU91,'[1]List KPI'!$M$3:$N$8,2,0),"")</f>
        <v>2.0833333333333332E-2</v>
      </c>
      <c r="AEW91" s="76">
        <v>0.89444444444444449</v>
      </c>
      <c r="AEX91" s="77" t="str">
        <f t="shared" si="16"/>
        <v>O</v>
      </c>
      <c r="AEY91" s="79">
        <v>5</v>
      </c>
      <c r="AEZ91" s="75">
        <v>1276006</v>
      </c>
      <c r="AFA91" s="80"/>
      <c r="AFB91" s="81">
        <v>0.86944444444444446</v>
      </c>
      <c r="AFC91" s="74" t="s">
        <v>27</v>
      </c>
      <c r="AFD91" s="74" t="s">
        <v>24</v>
      </c>
      <c r="AFE91" s="75" t="s">
        <v>25</v>
      </c>
      <c r="AFF91" s="76">
        <f>IFERROR(VLOOKUP(AFE91,'[1]List KPI'!$A$103:$F$118,6,0),"")</f>
        <v>1.0416666666666666E-2</v>
      </c>
      <c r="AFG91" s="76">
        <v>0.86944444444444446</v>
      </c>
      <c r="AFH91" s="76">
        <v>0.86944444444444446</v>
      </c>
      <c r="AFI91" s="77" t="str">
        <f t="shared" ref="AFI91:AHE91" si="17">IF(AFH91="","",IF(AFH91&gt;AFQ91,"O","P"))</f>
        <v>O</v>
      </c>
      <c r="AFJ91" s="74" t="s">
        <v>28</v>
      </c>
      <c r="AFK91" s="75" t="s">
        <v>23</v>
      </c>
      <c r="AFL91" s="78">
        <f>IFERROR(VLOOKUP(AFK91,'[1]List KPI'!$M$3:$N$8,2,0),"")</f>
        <v>2.0833333333333332E-2</v>
      </c>
      <c r="AFM91" s="76">
        <v>0.89444444444444449</v>
      </c>
      <c r="AFN91" s="77" t="str">
        <f t="shared" ref="AFN91:AHJ91" si="18">IF(AFM91="","",IF(AFM91&gt;AFR91,"O","P"))</f>
        <v>O</v>
      </c>
      <c r="AFO91" s="79">
        <v>5</v>
      </c>
      <c r="AFP91" s="75">
        <v>1276006</v>
      </c>
      <c r="AFQ91" s="80"/>
      <c r="AFR91" s="81">
        <v>0.86944444444444446</v>
      </c>
      <c r="AFS91" s="74" t="s">
        <v>27</v>
      </c>
      <c r="AFT91" s="74" t="s">
        <v>24</v>
      </c>
      <c r="AFU91" s="75" t="s">
        <v>25</v>
      </c>
      <c r="AFV91" s="76">
        <f>IFERROR(VLOOKUP(AFU91,'[1]List KPI'!$A$103:$F$118,6,0),"")</f>
        <v>1.0416666666666666E-2</v>
      </c>
      <c r="AFW91" s="76">
        <v>0.86944444444444446</v>
      </c>
      <c r="AFX91" s="76">
        <v>0.86944444444444446</v>
      </c>
      <c r="AFY91" s="77" t="str">
        <f t="shared" si="17"/>
        <v>O</v>
      </c>
      <c r="AFZ91" s="74" t="s">
        <v>28</v>
      </c>
      <c r="AGA91" s="75" t="s">
        <v>23</v>
      </c>
      <c r="AGB91" s="78">
        <f>IFERROR(VLOOKUP(AGA91,'[1]List KPI'!$M$3:$N$8,2,0),"")</f>
        <v>2.0833333333333332E-2</v>
      </c>
      <c r="AGC91" s="76">
        <v>0.89444444444444449</v>
      </c>
      <c r="AGD91" s="77" t="str">
        <f t="shared" si="18"/>
        <v>O</v>
      </c>
      <c r="AGE91" s="79">
        <v>5</v>
      </c>
      <c r="AGF91" s="75">
        <v>1276006</v>
      </c>
      <c r="AGG91" s="80"/>
      <c r="AGH91" s="81">
        <v>0.86944444444444446</v>
      </c>
      <c r="AGI91" s="74" t="s">
        <v>27</v>
      </c>
      <c r="AGJ91" s="74" t="s">
        <v>24</v>
      </c>
      <c r="AGK91" s="75" t="s">
        <v>25</v>
      </c>
      <c r="AGL91" s="76">
        <f>IFERROR(VLOOKUP(AGK91,'[1]List KPI'!$A$103:$F$118,6,0),"")</f>
        <v>1.0416666666666666E-2</v>
      </c>
      <c r="AGM91" s="76">
        <v>0.86944444444444446</v>
      </c>
      <c r="AGN91" s="76">
        <v>0.86944444444444446</v>
      </c>
      <c r="AGO91" s="77" t="str">
        <f t="shared" si="17"/>
        <v>O</v>
      </c>
      <c r="AGP91" s="74" t="s">
        <v>28</v>
      </c>
      <c r="AGQ91" s="75" t="s">
        <v>23</v>
      </c>
      <c r="AGR91" s="78">
        <f>IFERROR(VLOOKUP(AGQ91,'[1]List KPI'!$M$3:$N$8,2,0),"")</f>
        <v>2.0833333333333332E-2</v>
      </c>
      <c r="AGS91" s="76">
        <v>0.89444444444444449</v>
      </c>
      <c r="AGT91" s="77" t="str">
        <f t="shared" si="18"/>
        <v>O</v>
      </c>
      <c r="AGU91" s="79">
        <v>5</v>
      </c>
      <c r="AGV91" s="75">
        <v>1276006</v>
      </c>
      <c r="AGW91" s="80"/>
      <c r="AGX91" s="81">
        <v>0.86944444444444446</v>
      </c>
      <c r="AGY91" s="74" t="s">
        <v>27</v>
      </c>
      <c r="AGZ91" s="74" t="s">
        <v>24</v>
      </c>
      <c r="AHA91" s="75" t="s">
        <v>25</v>
      </c>
      <c r="AHB91" s="76">
        <f>IFERROR(VLOOKUP(AHA91,'[1]List KPI'!$A$103:$F$118,6,0),"")</f>
        <v>1.0416666666666666E-2</v>
      </c>
      <c r="AHC91" s="76">
        <v>0.86944444444444446</v>
      </c>
      <c r="AHD91" s="76">
        <v>0.86944444444444446</v>
      </c>
      <c r="AHE91" s="77" t="str">
        <f t="shared" si="17"/>
        <v>O</v>
      </c>
      <c r="AHF91" s="74" t="s">
        <v>28</v>
      </c>
      <c r="AHG91" s="75" t="s">
        <v>23</v>
      </c>
      <c r="AHH91" s="78">
        <f>IFERROR(VLOOKUP(AHG91,'[1]List KPI'!$M$3:$N$8,2,0),"")</f>
        <v>2.0833333333333332E-2</v>
      </c>
      <c r="AHI91" s="76">
        <v>0.89444444444444449</v>
      </c>
      <c r="AHJ91" s="77" t="str">
        <f t="shared" si="18"/>
        <v>O</v>
      </c>
      <c r="AHK91" s="79">
        <v>5</v>
      </c>
      <c r="AHL91" s="75">
        <v>1276006</v>
      </c>
      <c r="AHM91" s="80"/>
      <c r="AHN91" s="81">
        <v>0.86944444444444446</v>
      </c>
      <c r="AHO91" s="74" t="s">
        <v>27</v>
      </c>
      <c r="AHP91" s="74" t="s">
        <v>24</v>
      </c>
      <c r="AHQ91" s="75" t="s">
        <v>25</v>
      </c>
      <c r="AHR91" s="76">
        <f>IFERROR(VLOOKUP(AHQ91,'[1]List KPI'!$A$103:$F$118,6,0),"")</f>
        <v>1.0416666666666666E-2</v>
      </c>
      <c r="AHS91" s="76">
        <v>0.86944444444444446</v>
      </c>
      <c r="AHT91" s="76">
        <v>0.86944444444444446</v>
      </c>
      <c r="AHU91" s="77" t="str">
        <f t="shared" ref="AHU91:AJQ91" si="19">IF(AHT91="","",IF(AHT91&gt;AIC91,"O","P"))</f>
        <v>O</v>
      </c>
      <c r="AHV91" s="74" t="s">
        <v>28</v>
      </c>
      <c r="AHW91" s="75" t="s">
        <v>23</v>
      </c>
      <c r="AHX91" s="78">
        <f>IFERROR(VLOOKUP(AHW91,'[1]List KPI'!$M$3:$N$8,2,0),"")</f>
        <v>2.0833333333333332E-2</v>
      </c>
      <c r="AHY91" s="76">
        <v>0.89444444444444449</v>
      </c>
      <c r="AHZ91" s="77" t="str">
        <f t="shared" ref="AHZ91:AJV91" si="20">IF(AHY91="","",IF(AHY91&gt;AID91,"O","P"))</f>
        <v>O</v>
      </c>
      <c r="AIA91" s="79">
        <v>5</v>
      </c>
      <c r="AIB91" s="75">
        <v>1276006</v>
      </c>
      <c r="AIC91" s="80"/>
      <c r="AID91" s="81">
        <v>0.86944444444444446</v>
      </c>
      <c r="AIE91" s="74" t="s">
        <v>27</v>
      </c>
      <c r="AIF91" s="74" t="s">
        <v>24</v>
      </c>
      <c r="AIG91" s="75" t="s">
        <v>25</v>
      </c>
      <c r="AIH91" s="76">
        <f>IFERROR(VLOOKUP(AIG91,'[1]List KPI'!$A$103:$F$118,6,0),"")</f>
        <v>1.0416666666666666E-2</v>
      </c>
      <c r="AII91" s="76">
        <v>0.86944444444444446</v>
      </c>
      <c r="AIJ91" s="76">
        <v>0.86944444444444446</v>
      </c>
      <c r="AIK91" s="77" t="str">
        <f t="shared" si="19"/>
        <v>O</v>
      </c>
      <c r="AIL91" s="74" t="s">
        <v>28</v>
      </c>
      <c r="AIM91" s="75" t="s">
        <v>23</v>
      </c>
      <c r="AIN91" s="78">
        <f>IFERROR(VLOOKUP(AIM91,'[1]List KPI'!$M$3:$N$8,2,0),"")</f>
        <v>2.0833333333333332E-2</v>
      </c>
      <c r="AIO91" s="76">
        <v>0.89444444444444449</v>
      </c>
      <c r="AIP91" s="77" t="str">
        <f t="shared" si="20"/>
        <v>O</v>
      </c>
      <c r="AIQ91" s="79">
        <v>5</v>
      </c>
      <c r="AIR91" s="75">
        <v>1276006</v>
      </c>
      <c r="AIS91" s="80"/>
      <c r="AIT91" s="81">
        <v>0.86944444444444446</v>
      </c>
      <c r="AIU91" s="74" t="s">
        <v>27</v>
      </c>
      <c r="AIV91" s="74" t="s">
        <v>24</v>
      </c>
      <c r="AIW91" s="75" t="s">
        <v>25</v>
      </c>
      <c r="AIX91" s="76">
        <f>IFERROR(VLOOKUP(AIW91,'[1]List KPI'!$A$103:$F$118,6,0),"")</f>
        <v>1.0416666666666666E-2</v>
      </c>
      <c r="AIY91" s="76">
        <v>0.86944444444444446</v>
      </c>
      <c r="AIZ91" s="76">
        <v>0.86944444444444446</v>
      </c>
      <c r="AJA91" s="77" t="str">
        <f t="shared" si="19"/>
        <v>O</v>
      </c>
      <c r="AJB91" s="74" t="s">
        <v>28</v>
      </c>
      <c r="AJC91" s="75" t="s">
        <v>23</v>
      </c>
      <c r="AJD91" s="78">
        <f>IFERROR(VLOOKUP(AJC91,'[1]List KPI'!$M$3:$N$8,2,0),"")</f>
        <v>2.0833333333333332E-2</v>
      </c>
      <c r="AJE91" s="76">
        <v>0.89444444444444449</v>
      </c>
      <c r="AJF91" s="77" t="str">
        <f t="shared" si="20"/>
        <v>O</v>
      </c>
      <c r="AJG91" s="79">
        <v>5</v>
      </c>
      <c r="AJH91" s="75">
        <v>1276006</v>
      </c>
      <c r="AJI91" s="80"/>
      <c r="AJJ91" s="81">
        <v>0.86944444444444446</v>
      </c>
      <c r="AJK91" s="74" t="s">
        <v>27</v>
      </c>
      <c r="AJL91" s="74" t="s">
        <v>24</v>
      </c>
      <c r="AJM91" s="75" t="s">
        <v>25</v>
      </c>
      <c r="AJN91" s="76">
        <f>IFERROR(VLOOKUP(AJM91,'[1]List KPI'!$A$103:$F$118,6,0),"")</f>
        <v>1.0416666666666666E-2</v>
      </c>
      <c r="AJO91" s="76">
        <v>0.86944444444444446</v>
      </c>
      <c r="AJP91" s="76">
        <v>0.86944444444444446</v>
      </c>
      <c r="AJQ91" s="77" t="str">
        <f t="shared" si="19"/>
        <v>O</v>
      </c>
      <c r="AJR91" s="74" t="s">
        <v>28</v>
      </c>
      <c r="AJS91" s="75" t="s">
        <v>23</v>
      </c>
      <c r="AJT91" s="78">
        <f>IFERROR(VLOOKUP(AJS91,'[1]List KPI'!$M$3:$N$8,2,0),"")</f>
        <v>2.0833333333333332E-2</v>
      </c>
      <c r="AJU91" s="76">
        <v>0.89444444444444449</v>
      </c>
      <c r="AJV91" s="77" t="str">
        <f t="shared" si="20"/>
        <v>O</v>
      </c>
      <c r="AJW91" s="79">
        <v>5</v>
      </c>
      <c r="AJX91" s="75">
        <v>1276006</v>
      </c>
      <c r="AJY91" s="80"/>
      <c r="AJZ91" s="81">
        <v>0.86944444444444446</v>
      </c>
      <c r="AKA91" s="74" t="s">
        <v>27</v>
      </c>
      <c r="AKB91" s="74" t="s">
        <v>24</v>
      </c>
      <c r="AKC91" s="75" t="s">
        <v>25</v>
      </c>
      <c r="AKD91" s="76">
        <f>IFERROR(VLOOKUP(AKC91,'[1]List KPI'!$A$103:$F$118,6,0),"")</f>
        <v>1.0416666666666666E-2</v>
      </c>
      <c r="AKE91" s="76">
        <v>0.86944444444444446</v>
      </c>
      <c r="AKF91" s="76">
        <v>0.86944444444444446</v>
      </c>
      <c r="AKG91" s="77" t="str">
        <f t="shared" ref="AKG91:AMC91" si="21">IF(AKF91="","",IF(AKF91&gt;AKO91,"O","P"))</f>
        <v>O</v>
      </c>
      <c r="AKH91" s="74" t="s">
        <v>28</v>
      </c>
      <c r="AKI91" s="75" t="s">
        <v>23</v>
      </c>
      <c r="AKJ91" s="78">
        <f>IFERROR(VLOOKUP(AKI91,'[1]List KPI'!$M$3:$N$8,2,0),"")</f>
        <v>2.0833333333333332E-2</v>
      </c>
      <c r="AKK91" s="76">
        <v>0.89444444444444449</v>
      </c>
      <c r="AKL91" s="77" t="str">
        <f t="shared" ref="AKL91:AMH91" si="22">IF(AKK91="","",IF(AKK91&gt;AKP91,"O","P"))</f>
        <v>O</v>
      </c>
      <c r="AKM91" s="79">
        <v>5</v>
      </c>
      <c r="AKN91" s="75">
        <v>1276006</v>
      </c>
      <c r="AKO91" s="80"/>
      <c r="AKP91" s="81">
        <v>0.86944444444444446</v>
      </c>
      <c r="AKQ91" s="74" t="s">
        <v>27</v>
      </c>
      <c r="AKR91" s="74" t="s">
        <v>24</v>
      </c>
      <c r="AKS91" s="75" t="s">
        <v>25</v>
      </c>
      <c r="AKT91" s="76">
        <f>IFERROR(VLOOKUP(AKS91,'[1]List KPI'!$A$103:$F$118,6,0),"")</f>
        <v>1.0416666666666666E-2</v>
      </c>
      <c r="AKU91" s="76">
        <v>0.86944444444444446</v>
      </c>
      <c r="AKV91" s="76">
        <v>0.86944444444444446</v>
      </c>
      <c r="AKW91" s="77" t="str">
        <f t="shared" si="21"/>
        <v>O</v>
      </c>
      <c r="AKX91" s="74" t="s">
        <v>28</v>
      </c>
      <c r="AKY91" s="75" t="s">
        <v>23</v>
      </c>
      <c r="AKZ91" s="78">
        <f>IFERROR(VLOOKUP(AKY91,'[1]List KPI'!$M$3:$N$8,2,0),"")</f>
        <v>2.0833333333333332E-2</v>
      </c>
      <c r="ALA91" s="76">
        <v>0.89444444444444449</v>
      </c>
      <c r="ALB91" s="77" t="str">
        <f t="shared" si="22"/>
        <v>O</v>
      </c>
      <c r="ALC91" s="79">
        <v>5</v>
      </c>
      <c r="ALD91" s="75">
        <v>1276006</v>
      </c>
      <c r="ALE91" s="80"/>
      <c r="ALF91" s="81">
        <v>0.86944444444444446</v>
      </c>
      <c r="ALG91" s="74" t="s">
        <v>27</v>
      </c>
      <c r="ALH91" s="74" t="s">
        <v>24</v>
      </c>
      <c r="ALI91" s="75" t="s">
        <v>25</v>
      </c>
      <c r="ALJ91" s="76">
        <f>IFERROR(VLOOKUP(ALI91,'[1]List KPI'!$A$103:$F$118,6,0),"")</f>
        <v>1.0416666666666666E-2</v>
      </c>
      <c r="ALK91" s="76">
        <v>0.86944444444444446</v>
      </c>
      <c r="ALL91" s="76">
        <v>0.86944444444444446</v>
      </c>
      <c r="ALM91" s="77" t="str">
        <f t="shared" si="21"/>
        <v>O</v>
      </c>
      <c r="ALN91" s="74" t="s">
        <v>28</v>
      </c>
      <c r="ALO91" s="75" t="s">
        <v>23</v>
      </c>
      <c r="ALP91" s="78">
        <f>IFERROR(VLOOKUP(ALO91,'[1]List KPI'!$M$3:$N$8,2,0),"")</f>
        <v>2.0833333333333332E-2</v>
      </c>
      <c r="ALQ91" s="76">
        <v>0.89444444444444449</v>
      </c>
      <c r="ALR91" s="77" t="str">
        <f t="shared" si="22"/>
        <v>O</v>
      </c>
      <c r="ALS91" s="79">
        <v>5</v>
      </c>
      <c r="ALT91" s="75">
        <v>1276006</v>
      </c>
      <c r="ALU91" s="80"/>
      <c r="ALV91" s="81">
        <v>0.86944444444444446</v>
      </c>
      <c r="ALW91" s="74" t="s">
        <v>27</v>
      </c>
      <c r="ALX91" s="74" t="s">
        <v>24</v>
      </c>
      <c r="ALY91" s="75" t="s">
        <v>25</v>
      </c>
      <c r="ALZ91" s="76">
        <f>IFERROR(VLOOKUP(ALY91,'[1]List KPI'!$A$103:$F$118,6,0),"")</f>
        <v>1.0416666666666666E-2</v>
      </c>
      <c r="AMA91" s="76">
        <v>0.86944444444444446</v>
      </c>
      <c r="AMB91" s="76">
        <v>0.86944444444444446</v>
      </c>
      <c r="AMC91" s="77" t="str">
        <f t="shared" si="21"/>
        <v>O</v>
      </c>
      <c r="AMD91" s="74" t="s">
        <v>28</v>
      </c>
      <c r="AME91" s="75" t="s">
        <v>23</v>
      </c>
      <c r="AMF91" s="78">
        <f>IFERROR(VLOOKUP(AME91,'[1]List KPI'!$M$3:$N$8,2,0),"")</f>
        <v>2.0833333333333332E-2</v>
      </c>
      <c r="AMG91" s="76">
        <v>0.89444444444444449</v>
      </c>
      <c r="AMH91" s="77" t="str">
        <f t="shared" si="22"/>
        <v>O</v>
      </c>
      <c r="AMI91" s="79">
        <v>5</v>
      </c>
      <c r="AMJ91" s="75">
        <v>1276006</v>
      </c>
      <c r="AMK91" s="80"/>
      <c r="AML91" s="81">
        <v>0.86944444444444446</v>
      </c>
      <c r="AMM91" s="74" t="s">
        <v>27</v>
      </c>
      <c r="AMN91" s="74" t="s">
        <v>24</v>
      </c>
      <c r="AMO91" s="75" t="s">
        <v>25</v>
      </c>
      <c r="AMP91" s="76">
        <f>IFERROR(VLOOKUP(AMO91,'[1]List KPI'!$A$103:$F$118,6,0),"")</f>
        <v>1.0416666666666666E-2</v>
      </c>
      <c r="AMQ91" s="76">
        <v>0.86944444444444446</v>
      </c>
      <c r="AMR91" s="76">
        <v>0.86944444444444446</v>
      </c>
      <c r="AMS91" s="77" t="str">
        <f t="shared" ref="AMS91:AOO91" si="23">IF(AMR91="","",IF(AMR91&gt;ANA91,"O","P"))</f>
        <v>O</v>
      </c>
      <c r="AMT91" s="74" t="s">
        <v>28</v>
      </c>
      <c r="AMU91" s="75" t="s">
        <v>23</v>
      </c>
      <c r="AMV91" s="78">
        <f>IFERROR(VLOOKUP(AMU91,'[1]List KPI'!$M$3:$N$8,2,0),"")</f>
        <v>2.0833333333333332E-2</v>
      </c>
      <c r="AMW91" s="76">
        <v>0.89444444444444449</v>
      </c>
      <c r="AMX91" s="77" t="str">
        <f t="shared" ref="AMX91:AOT91" si="24">IF(AMW91="","",IF(AMW91&gt;ANB91,"O","P"))</f>
        <v>O</v>
      </c>
      <c r="AMY91" s="79">
        <v>5</v>
      </c>
      <c r="AMZ91" s="75">
        <v>1276006</v>
      </c>
      <c r="ANA91" s="80"/>
      <c r="ANB91" s="81">
        <v>0.86944444444444446</v>
      </c>
      <c r="ANC91" s="74" t="s">
        <v>27</v>
      </c>
      <c r="AND91" s="74" t="s">
        <v>24</v>
      </c>
      <c r="ANE91" s="75" t="s">
        <v>25</v>
      </c>
      <c r="ANF91" s="76">
        <f>IFERROR(VLOOKUP(ANE91,'[1]List KPI'!$A$103:$F$118,6,0),"")</f>
        <v>1.0416666666666666E-2</v>
      </c>
      <c r="ANG91" s="76">
        <v>0.86944444444444446</v>
      </c>
      <c r="ANH91" s="76">
        <v>0.86944444444444446</v>
      </c>
      <c r="ANI91" s="77" t="str">
        <f t="shared" si="23"/>
        <v>O</v>
      </c>
      <c r="ANJ91" s="74" t="s">
        <v>28</v>
      </c>
      <c r="ANK91" s="75" t="s">
        <v>23</v>
      </c>
      <c r="ANL91" s="78">
        <f>IFERROR(VLOOKUP(ANK91,'[1]List KPI'!$M$3:$N$8,2,0),"")</f>
        <v>2.0833333333333332E-2</v>
      </c>
      <c r="ANM91" s="76">
        <v>0.89444444444444449</v>
      </c>
      <c r="ANN91" s="77" t="str">
        <f t="shared" si="24"/>
        <v>O</v>
      </c>
      <c r="ANO91" s="79">
        <v>5</v>
      </c>
      <c r="ANP91" s="75">
        <v>1276006</v>
      </c>
      <c r="ANQ91" s="80"/>
      <c r="ANR91" s="81">
        <v>0.86944444444444446</v>
      </c>
      <c r="ANS91" s="74" t="s">
        <v>27</v>
      </c>
      <c r="ANT91" s="74" t="s">
        <v>24</v>
      </c>
      <c r="ANU91" s="75" t="s">
        <v>25</v>
      </c>
      <c r="ANV91" s="76">
        <f>IFERROR(VLOOKUP(ANU91,'[1]List KPI'!$A$103:$F$118,6,0),"")</f>
        <v>1.0416666666666666E-2</v>
      </c>
      <c r="ANW91" s="76">
        <v>0.86944444444444446</v>
      </c>
      <c r="ANX91" s="76">
        <v>0.86944444444444446</v>
      </c>
      <c r="ANY91" s="77" t="str">
        <f t="shared" si="23"/>
        <v>O</v>
      </c>
      <c r="ANZ91" s="74" t="s">
        <v>28</v>
      </c>
      <c r="AOA91" s="75" t="s">
        <v>23</v>
      </c>
      <c r="AOB91" s="78">
        <f>IFERROR(VLOOKUP(AOA91,'[1]List KPI'!$M$3:$N$8,2,0),"")</f>
        <v>2.0833333333333332E-2</v>
      </c>
      <c r="AOC91" s="76">
        <v>0.89444444444444449</v>
      </c>
      <c r="AOD91" s="77" t="str">
        <f t="shared" si="24"/>
        <v>O</v>
      </c>
      <c r="AOE91" s="79">
        <v>5</v>
      </c>
      <c r="AOF91" s="75">
        <v>1276006</v>
      </c>
      <c r="AOG91" s="80"/>
      <c r="AOH91" s="81">
        <v>0.86944444444444446</v>
      </c>
      <c r="AOI91" s="74" t="s">
        <v>27</v>
      </c>
      <c r="AOJ91" s="74" t="s">
        <v>24</v>
      </c>
      <c r="AOK91" s="75" t="s">
        <v>25</v>
      </c>
      <c r="AOL91" s="76">
        <f>IFERROR(VLOOKUP(AOK91,'[1]List KPI'!$A$103:$F$118,6,0),"")</f>
        <v>1.0416666666666666E-2</v>
      </c>
      <c r="AOM91" s="76">
        <v>0.86944444444444446</v>
      </c>
      <c r="AON91" s="76">
        <v>0.86944444444444446</v>
      </c>
      <c r="AOO91" s="77" t="str">
        <f t="shared" si="23"/>
        <v>O</v>
      </c>
      <c r="AOP91" s="74" t="s">
        <v>28</v>
      </c>
      <c r="AOQ91" s="75" t="s">
        <v>23</v>
      </c>
      <c r="AOR91" s="78">
        <f>IFERROR(VLOOKUP(AOQ91,'[1]List KPI'!$M$3:$N$8,2,0),"")</f>
        <v>2.0833333333333332E-2</v>
      </c>
      <c r="AOS91" s="76">
        <v>0.89444444444444449</v>
      </c>
      <c r="AOT91" s="77" t="str">
        <f t="shared" si="24"/>
        <v>O</v>
      </c>
      <c r="AOU91" s="79">
        <v>5</v>
      </c>
      <c r="AOV91" s="75">
        <v>1276006</v>
      </c>
      <c r="AOW91" s="80"/>
      <c r="AOX91" s="81">
        <v>0.86944444444444446</v>
      </c>
      <c r="AOY91" s="74" t="s">
        <v>27</v>
      </c>
      <c r="AOZ91" s="74" t="s">
        <v>24</v>
      </c>
      <c r="APA91" s="75" t="s">
        <v>25</v>
      </c>
      <c r="APB91" s="76">
        <f>IFERROR(VLOOKUP(APA91,'[1]List KPI'!$A$103:$F$118,6,0),"")</f>
        <v>1.0416666666666666E-2</v>
      </c>
      <c r="APC91" s="76">
        <v>0.86944444444444446</v>
      </c>
      <c r="APD91" s="76">
        <v>0.86944444444444446</v>
      </c>
      <c r="APE91" s="77" t="str">
        <f t="shared" ref="APE91:ARA91" si="25">IF(APD91="","",IF(APD91&gt;APM91,"O","P"))</f>
        <v>O</v>
      </c>
      <c r="APF91" s="74" t="s">
        <v>28</v>
      </c>
      <c r="APG91" s="75" t="s">
        <v>23</v>
      </c>
      <c r="APH91" s="78">
        <f>IFERROR(VLOOKUP(APG91,'[1]List KPI'!$M$3:$N$8,2,0),"")</f>
        <v>2.0833333333333332E-2</v>
      </c>
      <c r="API91" s="76">
        <v>0.89444444444444449</v>
      </c>
      <c r="APJ91" s="77" t="str">
        <f t="shared" ref="APJ91:ARF91" si="26">IF(API91="","",IF(API91&gt;APN91,"O","P"))</f>
        <v>O</v>
      </c>
      <c r="APK91" s="79">
        <v>5</v>
      </c>
      <c r="APL91" s="75">
        <v>1276006</v>
      </c>
      <c r="APM91" s="80"/>
      <c r="APN91" s="81">
        <v>0.86944444444444446</v>
      </c>
      <c r="APO91" s="74" t="s">
        <v>27</v>
      </c>
      <c r="APP91" s="74" t="s">
        <v>24</v>
      </c>
      <c r="APQ91" s="75" t="s">
        <v>25</v>
      </c>
      <c r="APR91" s="76">
        <f>IFERROR(VLOOKUP(APQ91,'[1]List KPI'!$A$103:$F$118,6,0),"")</f>
        <v>1.0416666666666666E-2</v>
      </c>
      <c r="APS91" s="76">
        <v>0.86944444444444446</v>
      </c>
      <c r="APT91" s="76">
        <v>0.86944444444444446</v>
      </c>
      <c r="APU91" s="77" t="str">
        <f t="shared" si="25"/>
        <v>O</v>
      </c>
      <c r="APV91" s="74" t="s">
        <v>28</v>
      </c>
      <c r="APW91" s="75" t="s">
        <v>23</v>
      </c>
      <c r="APX91" s="78">
        <f>IFERROR(VLOOKUP(APW91,'[1]List KPI'!$M$3:$N$8,2,0),"")</f>
        <v>2.0833333333333332E-2</v>
      </c>
      <c r="APY91" s="76">
        <v>0.89444444444444449</v>
      </c>
      <c r="APZ91" s="77" t="str">
        <f t="shared" si="26"/>
        <v>O</v>
      </c>
      <c r="AQA91" s="79">
        <v>5</v>
      </c>
      <c r="AQB91" s="75">
        <v>1276006</v>
      </c>
      <c r="AQC91" s="80"/>
      <c r="AQD91" s="81">
        <v>0.86944444444444446</v>
      </c>
      <c r="AQE91" s="74" t="s">
        <v>27</v>
      </c>
      <c r="AQF91" s="74" t="s">
        <v>24</v>
      </c>
      <c r="AQG91" s="75" t="s">
        <v>25</v>
      </c>
      <c r="AQH91" s="76">
        <f>IFERROR(VLOOKUP(AQG91,'[1]List KPI'!$A$103:$F$118,6,0),"")</f>
        <v>1.0416666666666666E-2</v>
      </c>
      <c r="AQI91" s="76">
        <v>0.86944444444444446</v>
      </c>
      <c r="AQJ91" s="76">
        <v>0.86944444444444446</v>
      </c>
      <c r="AQK91" s="77" t="str">
        <f t="shared" si="25"/>
        <v>O</v>
      </c>
      <c r="AQL91" s="74" t="s">
        <v>28</v>
      </c>
      <c r="AQM91" s="75" t="s">
        <v>23</v>
      </c>
      <c r="AQN91" s="78">
        <f>IFERROR(VLOOKUP(AQM91,'[1]List KPI'!$M$3:$N$8,2,0),"")</f>
        <v>2.0833333333333332E-2</v>
      </c>
      <c r="AQO91" s="76">
        <v>0.89444444444444449</v>
      </c>
      <c r="AQP91" s="77" t="str">
        <f t="shared" si="26"/>
        <v>O</v>
      </c>
      <c r="AQQ91" s="79">
        <v>5</v>
      </c>
      <c r="AQR91" s="75">
        <v>1276006</v>
      </c>
      <c r="AQS91" s="80"/>
      <c r="AQT91" s="81">
        <v>0.86944444444444446</v>
      </c>
      <c r="AQU91" s="74" t="s">
        <v>27</v>
      </c>
      <c r="AQV91" s="74" t="s">
        <v>24</v>
      </c>
      <c r="AQW91" s="75" t="s">
        <v>25</v>
      </c>
      <c r="AQX91" s="76">
        <f>IFERROR(VLOOKUP(AQW91,'[1]List KPI'!$A$103:$F$118,6,0),"")</f>
        <v>1.0416666666666666E-2</v>
      </c>
      <c r="AQY91" s="76">
        <v>0.86944444444444446</v>
      </c>
      <c r="AQZ91" s="76">
        <v>0.86944444444444446</v>
      </c>
      <c r="ARA91" s="77" t="str">
        <f t="shared" si="25"/>
        <v>O</v>
      </c>
      <c r="ARB91" s="74" t="s">
        <v>28</v>
      </c>
      <c r="ARC91" s="75" t="s">
        <v>23</v>
      </c>
      <c r="ARD91" s="78">
        <f>IFERROR(VLOOKUP(ARC91,'[1]List KPI'!$M$3:$N$8,2,0),"")</f>
        <v>2.0833333333333332E-2</v>
      </c>
      <c r="ARE91" s="76">
        <v>0.89444444444444449</v>
      </c>
      <c r="ARF91" s="77" t="str">
        <f t="shared" si="26"/>
        <v>O</v>
      </c>
      <c r="ARG91" s="79">
        <v>5</v>
      </c>
      <c r="ARH91" s="75">
        <v>1276006</v>
      </c>
      <c r="ARI91" s="80"/>
      <c r="ARJ91" s="81">
        <v>0.86944444444444446</v>
      </c>
      <c r="ARK91" s="74" t="s">
        <v>27</v>
      </c>
      <c r="ARL91" s="74" t="s">
        <v>24</v>
      </c>
      <c r="ARM91" s="75" t="s">
        <v>25</v>
      </c>
      <c r="ARN91" s="76">
        <f>IFERROR(VLOOKUP(ARM91,'[1]List KPI'!$A$103:$F$118,6,0),"")</f>
        <v>1.0416666666666666E-2</v>
      </c>
      <c r="ARO91" s="76">
        <v>0.86944444444444446</v>
      </c>
      <c r="ARP91" s="76">
        <v>0.86944444444444446</v>
      </c>
      <c r="ARQ91" s="77" t="str">
        <f t="shared" ref="ARQ91:ATM91" si="27">IF(ARP91="","",IF(ARP91&gt;ARY91,"O","P"))</f>
        <v>O</v>
      </c>
      <c r="ARR91" s="74" t="s">
        <v>28</v>
      </c>
      <c r="ARS91" s="75" t="s">
        <v>23</v>
      </c>
      <c r="ART91" s="78">
        <f>IFERROR(VLOOKUP(ARS91,'[1]List KPI'!$M$3:$N$8,2,0),"")</f>
        <v>2.0833333333333332E-2</v>
      </c>
      <c r="ARU91" s="76">
        <v>0.89444444444444449</v>
      </c>
      <c r="ARV91" s="77" t="str">
        <f t="shared" ref="ARV91:ATR91" si="28">IF(ARU91="","",IF(ARU91&gt;ARZ91,"O","P"))</f>
        <v>O</v>
      </c>
      <c r="ARW91" s="79">
        <v>5</v>
      </c>
      <c r="ARX91" s="75">
        <v>1276006</v>
      </c>
      <c r="ARY91" s="80"/>
      <c r="ARZ91" s="81">
        <v>0.86944444444444446</v>
      </c>
      <c r="ASA91" s="74" t="s">
        <v>27</v>
      </c>
      <c r="ASB91" s="74" t="s">
        <v>24</v>
      </c>
      <c r="ASC91" s="75" t="s">
        <v>25</v>
      </c>
      <c r="ASD91" s="76">
        <f>IFERROR(VLOOKUP(ASC91,'[1]List KPI'!$A$103:$F$118,6,0),"")</f>
        <v>1.0416666666666666E-2</v>
      </c>
      <c r="ASE91" s="76">
        <v>0.86944444444444446</v>
      </c>
      <c r="ASF91" s="76">
        <v>0.86944444444444446</v>
      </c>
      <c r="ASG91" s="77" t="str">
        <f t="shared" si="27"/>
        <v>O</v>
      </c>
      <c r="ASH91" s="74" t="s">
        <v>28</v>
      </c>
      <c r="ASI91" s="75" t="s">
        <v>23</v>
      </c>
      <c r="ASJ91" s="78">
        <f>IFERROR(VLOOKUP(ASI91,'[1]List KPI'!$M$3:$N$8,2,0),"")</f>
        <v>2.0833333333333332E-2</v>
      </c>
      <c r="ASK91" s="76">
        <v>0.89444444444444449</v>
      </c>
      <c r="ASL91" s="77" t="str">
        <f t="shared" si="28"/>
        <v>O</v>
      </c>
      <c r="ASM91" s="79">
        <v>5</v>
      </c>
      <c r="ASN91" s="75">
        <v>1276006</v>
      </c>
      <c r="ASO91" s="80"/>
      <c r="ASP91" s="81">
        <v>0.86944444444444446</v>
      </c>
      <c r="ASQ91" s="74" t="s">
        <v>27</v>
      </c>
      <c r="ASR91" s="74" t="s">
        <v>24</v>
      </c>
      <c r="ASS91" s="75" t="s">
        <v>25</v>
      </c>
      <c r="AST91" s="76">
        <f>IFERROR(VLOOKUP(ASS91,'[1]List KPI'!$A$103:$F$118,6,0),"")</f>
        <v>1.0416666666666666E-2</v>
      </c>
      <c r="ASU91" s="76">
        <v>0.86944444444444446</v>
      </c>
      <c r="ASV91" s="76">
        <v>0.86944444444444446</v>
      </c>
      <c r="ASW91" s="77" t="str">
        <f t="shared" si="27"/>
        <v>O</v>
      </c>
      <c r="ASX91" s="74" t="s">
        <v>28</v>
      </c>
      <c r="ASY91" s="75" t="s">
        <v>23</v>
      </c>
      <c r="ASZ91" s="78">
        <f>IFERROR(VLOOKUP(ASY91,'[1]List KPI'!$M$3:$N$8,2,0),"")</f>
        <v>2.0833333333333332E-2</v>
      </c>
      <c r="ATA91" s="76">
        <v>0.89444444444444449</v>
      </c>
      <c r="ATB91" s="77" t="str">
        <f t="shared" si="28"/>
        <v>O</v>
      </c>
      <c r="ATC91" s="79">
        <v>5</v>
      </c>
      <c r="ATD91" s="75">
        <v>1276006</v>
      </c>
      <c r="ATE91" s="80"/>
      <c r="ATF91" s="81">
        <v>0.86944444444444446</v>
      </c>
      <c r="ATG91" s="74" t="s">
        <v>27</v>
      </c>
      <c r="ATH91" s="74" t="s">
        <v>24</v>
      </c>
      <c r="ATI91" s="75" t="s">
        <v>25</v>
      </c>
      <c r="ATJ91" s="76">
        <f>IFERROR(VLOOKUP(ATI91,'[1]List KPI'!$A$103:$F$118,6,0),"")</f>
        <v>1.0416666666666666E-2</v>
      </c>
      <c r="ATK91" s="76">
        <v>0.86944444444444446</v>
      </c>
      <c r="ATL91" s="76">
        <v>0.86944444444444446</v>
      </c>
      <c r="ATM91" s="77" t="str">
        <f t="shared" si="27"/>
        <v>O</v>
      </c>
      <c r="ATN91" s="74" t="s">
        <v>28</v>
      </c>
      <c r="ATO91" s="75" t="s">
        <v>23</v>
      </c>
      <c r="ATP91" s="78">
        <f>IFERROR(VLOOKUP(ATO91,'[1]List KPI'!$M$3:$N$8,2,0),"")</f>
        <v>2.0833333333333332E-2</v>
      </c>
      <c r="ATQ91" s="76">
        <v>0.89444444444444449</v>
      </c>
      <c r="ATR91" s="77" t="str">
        <f t="shared" si="28"/>
        <v>O</v>
      </c>
      <c r="ATS91" s="79">
        <v>5</v>
      </c>
      <c r="ATT91" s="75">
        <v>1276006</v>
      </c>
      <c r="ATU91" s="80"/>
      <c r="ATV91" s="81">
        <v>0.86944444444444446</v>
      </c>
      <c r="ATW91" s="74" t="s">
        <v>27</v>
      </c>
      <c r="ATX91" s="74" t="s">
        <v>24</v>
      </c>
      <c r="ATY91" s="75" t="s">
        <v>25</v>
      </c>
      <c r="ATZ91" s="76">
        <f>IFERROR(VLOOKUP(ATY91,'[1]List KPI'!$A$103:$F$118,6,0),"")</f>
        <v>1.0416666666666666E-2</v>
      </c>
      <c r="AUA91" s="76">
        <v>0.86944444444444446</v>
      </c>
      <c r="AUB91" s="76">
        <v>0.86944444444444446</v>
      </c>
      <c r="AUC91" s="77" t="str">
        <f t="shared" ref="AUC91:AVY91" si="29">IF(AUB91="","",IF(AUB91&gt;AUK91,"O","P"))</f>
        <v>O</v>
      </c>
      <c r="AUD91" s="74" t="s">
        <v>28</v>
      </c>
      <c r="AUE91" s="75" t="s">
        <v>23</v>
      </c>
      <c r="AUF91" s="78">
        <f>IFERROR(VLOOKUP(AUE91,'[1]List KPI'!$M$3:$N$8,2,0),"")</f>
        <v>2.0833333333333332E-2</v>
      </c>
      <c r="AUG91" s="76">
        <v>0.89444444444444449</v>
      </c>
      <c r="AUH91" s="77" t="str">
        <f t="shared" ref="AUH91:AWD91" si="30">IF(AUG91="","",IF(AUG91&gt;AUL91,"O","P"))</f>
        <v>O</v>
      </c>
      <c r="AUI91" s="79">
        <v>5</v>
      </c>
      <c r="AUJ91" s="75">
        <v>1276006</v>
      </c>
      <c r="AUK91" s="80"/>
      <c r="AUL91" s="81">
        <v>0.86944444444444446</v>
      </c>
      <c r="AUM91" s="74" t="s">
        <v>27</v>
      </c>
      <c r="AUN91" s="74" t="s">
        <v>24</v>
      </c>
      <c r="AUO91" s="75" t="s">
        <v>25</v>
      </c>
      <c r="AUP91" s="76">
        <f>IFERROR(VLOOKUP(AUO91,'[1]List KPI'!$A$103:$F$118,6,0),"")</f>
        <v>1.0416666666666666E-2</v>
      </c>
      <c r="AUQ91" s="76">
        <v>0.86944444444444446</v>
      </c>
      <c r="AUR91" s="76">
        <v>0.86944444444444446</v>
      </c>
      <c r="AUS91" s="77" t="str">
        <f t="shared" si="29"/>
        <v>O</v>
      </c>
      <c r="AUT91" s="74" t="s">
        <v>28</v>
      </c>
      <c r="AUU91" s="75" t="s">
        <v>23</v>
      </c>
      <c r="AUV91" s="78">
        <f>IFERROR(VLOOKUP(AUU91,'[1]List KPI'!$M$3:$N$8,2,0),"")</f>
        <v>2.0833333333333332E-2</v>
      </c>
      <c r="AUW91" s="76">
        <v>0.89444444444444449</v>
      </c>
      <c r="AUX91" s="77" t="str">
        <f t="shared" si="30"/>
        <v>O</v>
      </c>
      <c r="AUY91" s="79">
        <v>5</v>
      </c>
      <c r="AUZ91" s="75">
        <v>1276006</v>
      </c>
      <c r="AVA91" s="80"/>
      <c r="AVB91" s="81">
        <v>0.86944444444444446</v>
      </c>
      <c r="AVC91" s="74" t="s">
        <v>27</v>
      </c>
      <c r="AVD91" s="74" t="s">
        <v>24</v>
      </c>
      <c r="AVE91" s="75" t="s">
        <v>25</v>
      </c>
      <c r="AVF91" s="76">
        <f>IFERROR(VLOOKUP(AVE91,'[1]List KPI'!$A$103:$F$118,6,0),"")</f>
        <v>1.0416666666666666E-2</v>
      </c>
      <c r="AVG91" s="76">
        <v>0.86944444444444446</v>
      </c>
      <c r="AVH91" s="76">
        <v>0.86944444444444446</v>
      </c>
      <c r="AVI91" s="77" t="str">
        <f t="shared" si="29"/>
        <v>O</v>
      </c>
      <c r="AVJ91" s="74" t="s">
        <v>28</v>
      </c>
      <c r="AVK91" s="75" t="s">
        <v>23</v>
      </c>
      <c r="AVL91" s="78">
        <f>IFERROR(VLOOKUP(AVK91,'[1]List KPI'!$M$3:$N$8,2,0),"")</f>
        <v>2.0833333333333332E-2</v>
      </c>
      <c r="AVM91" s="76">
        <v>0.89444444444444449</v>
      </c>
      <c r="AVN91" s="77" t="str">
        <f t="shared" si="30"/>
        <v>O</v>
      </c>
      <c r="AVO91" s="79">
        <v>5</v>
      </c>
      <c r="AVP91" s="75">
        <v>1276006</v>
      </c>
      <c r="AVQ91" s="80"/>
      <c r="AVR91" s="81">
        <v>0.86944444444444446</v>
      </c>
      <c r="AVS91" s="74" t="s">
        <v>27</v>
      </c>
      <c r="AVT91" s="74" t="s">
        <v>24</v>
      </c>
      <c r="AVU91" s="75" t="s">
        <v>25</v>
      </c>
      <c r="AVV91" s="76">
        <f>IFERROR(VLOOKUP(AVU91,'[1]List KPI'!$A$103:$F$118,6,0),"")</f>
        <v>1.0416666666666666E-2</v>
      </c>
      <c r="AVW91" s="76">
        <v>0.86944444444444446</v>
      </c>
      <c r="AVX91" s="76">
        <v>0.86944444444444446</v>
      </c>
      <c r="AVY91" s="77" t="str">
        <f t="shared" si="29"/>
        <v>O</v>
      </c>
      <c r="AVZ91" s="74" t="s">
        <v>28</v>
      </c>
      <c r="AWA91" s="75" t="s">
        <v>23</v>
      </c>
      <c r="AWB91" s="78">
        <f>IFERROR(VLOOKUP(AWA91,'[1]List KPI'!$M$3:$N$8,2,0),"")</f>
        <v>2.0833333333333332E-2</v>
      </c>
      <c r="AWC91" s="76">
        <v>0.89444444444444449</v>
      </c>
      <c r="AWD91" s="77" t="str">
        <f t="shared" si="30"/>
        <v>O</v>
      </c>
      <c r="AWE91" s="79">
        <v>5</v>
      </c>
      <c r="AWF91" s="75">
        <v>1276006</v>
      </c>
      <c r="AWG91" s="80"/>
      <c r="AWH91" s="81">
        <v>0.86944444444444446</v>
      </c>
      <c r="AWI91" s="74" t="s">
        <v>27</v>
      </c>
      <c r="AWJ91" s="74" t="s">
        <v>24</v>
      </c>
      <c r="AWK91" s="75" t="s">
        <v>25</v>
      </c>
      <c r="AWL91" s="76">
        <f>IFERROR(VLOOKUP(AWK91,'[1]List KPI'!$A$103:$F$118,6,0),"")</f>
        <v>1.0416666666666666E-2</v>
      </c>
      <c r="AWM91" s="76">
        <v>0.86944444444444446</v>
      </c>
      <c r="AWN91" s="76">
        <v>0.86944444444444446</v>
      </c>
      <c r="AWO91" s="77" t="str">
        <f t="shared" ref="AWO91:AYK91" si="31">IF(AWN91="","",IF(AWN91&gt;AWW91,"O","P"))</f>
        <v>O</v>
      </c>
      <c r="AWP91" s="74" t="s">
        <v>28</v>
      </c>
      <c r="AWQ91" s="75" t="s">
        <v>23</v>
      </c>
      <c r="AWR91" s="78">
        <f>IFERROR(VLOOKUP(AWQ91,'[1]List KPI'!$M$3:$N$8,2,0),"")</f>
        <v>2.0833333333333332E-2</v>
      </c>
      <c r="AWS91" s="76">
        <v>0.89444444444444449</v>
      </c>
      <c r="AWT91" s="77" t="str">
        <f t="shared" ref="AWT91:AYP91" si="32">IF(AWS91="","",IF(AWS91&gt;AWX91,"O","P"))</f>
        <v>O</v>
      </c>
      <c r="AWU91" s="79">
        <v>5</v>
      </c>
      <c r="AWV91" s="75">
        <v>1276006</v>
      </c>
      <c r="AWW91" s="80"/>
      <c r="AWX91" s="81">
        <v>0.86944444444444446</v>
      </c>
      <c r="AWY91" s="74" t="s">
        <v>27</v>
      </c>
      <c r="AWZ91" s="74" t="s">
        <v>24</v>
      </c>
      <c r="AXA91" s="75" t="s">
        <v>25</v>
      </c>
      <c r="AXB91" s="76">
        <f>IFERROR(VLOOKUP(AXA91,'[1]List KPI'!$A$103:$F$118,6,0),"")</f>
        <v>1.0416666666666666E-2</v>
      </c>
      <c r="AXC91" s="76">
        <v>0.86944444444444446</v>
      </c>
      <c r="AXD91" s="76">
        <v>0.86944444444444446</v>
      </c>
      <c r="AXE91" s="77" t="str">
        <f t="shared" si="31"/>
        <v>O</v>
      </c>
      <c r="AXF91" s="74" t="s">
        <v>28</v>
      </c>
      <c r="AXG91" s="75" t="s">
        <v>23</v>
      </c>
      <c r="AXH91" s="78">
        <f>IFERROR(VLOOKUP(AXG91,'[1]List KPI'!$M$3:$N$8,2,0),"")</f>
        <v>2.0833333333333332E-2</v>
      </c>
      <c r="AXI91" s="76">
        <v>0.89444444444444449</v>
      </c>
      <c r="AXJ91" s="77" t="str">
        <f t="shared" si="32"/>
        <v>O</v>
      </c>
      <c r="AXK91" s="79">
        <v>5</v>
      </c>
      <c r="AXL91" s="75">
        <v>1276006</v>
      </c>
      <c r="AXM91" s="80"/>
      <c r="AXN91" s="81">
        <v>0.86944444444444446</v>
      </c>
      <c r="AXO91" s="74" t="s">
        <v>27</v>
      </c>
      <c r="AXP91" s="74" t="s">
        <v>24</v>
      </c>
      <c r="AXQ91" s="75" t="s">
        <v>25</v>
      </c>
      <c r="AXR91" s="76">
        <f>IFERROR(VLOOKUP(AXQ91,'[1]List KPI'!$A$103:$F$118,6,0),"")</f>
        <v>1.0416666666666666E-2</v>
      </c>
      <c r="AXS91" s="76">
        <v>0.86944444444444446</v>
      </c>
      <c r="AXT91" s="76">
        <v>0.86944444444444446</v>
      </c>
      <c r="AXU91" s="77" t="str">
        <f t="shared" si="31"/>
        <v>O</v>
      </c>
      <c r="AXV91" s="74" t="s">
        <v>28</v>
      </c>
      <c r="AXW91" s="75" t="s">
        <v>23</v>
      </c>
      <c r="AXX91" s="78">
        <f>IFERROR(VLOOKUP(AXW91,'[1]List KPI'!$M$3:$N$8,2,0),"")</f>
        <v>2.0833333333333332E-2</v>
      </c>
      <c r="AXY91" s="76">
        <v>0.89444444444444449</v>
      </c>
      <c r="AXZ91" s="77" t="str">
        <f t="shared" si="32"/>
        <v>O</v>
      </c>
      <c r="AYA91" s="79">
        <v>5</v>
      </c>
      <c r="AYB91" s="75">
        <v>1276006</v>
      </c>
      <c r="AYC91" s="80"/>
      <c r="AYD91" s="81">
        <v>0.86944444444444446</v>
      </c>
      <c r="AYE91" s="74" t="s">
        <v>27</v>
      </c>
      <c r="AYF91" s="74" t="s">
        <v>24</v>
      </c>
      <c r="AYG91" s="75" t="s">
        <v>25</v>
      </c>
      <c r="AYH91" s="76">
        <f>IFERROR(VLOOKUP(AYG91,'[1]List KPI'!$A$103:$F$118,6,0),"")</f>
        <v>1.0416666666666666E-2</v>
      </c>
      <c r="AYI91" s="76">
        <v>0.86944444444444446</v>
      </c>
      <c r="AYJ91" s="76">
        <v>0.86944444444444446</v>
      </c>
      <c r="AYK91" s="77" t="str">
        <f t="shared" si="31"/>
        <v>O</v>
      </c>
      <c r="AYL91" s="74" t="s">
        <v>28</v>
      </c>
      <c r="AYM91" s="75" t="s">
        <v>23</v>
      </c>
      <c r="AYN91" s="78">
        <f>IFERROR(VLOOKUP(AYM91,'[1]List KPI'!$M$3:$N$8,2,0),"")</f>
        <v>2.0833333333333332E-2</v>
      </c>
      <c r="AYO91" s="76">
        <v>0.89444444444444449</v>
      </c>
      <c r="AYP91" s="77" t="str">
        <f t="shared" si="32"/>
        <v>O</v>
      </c>
      <c r="AYQ91" s="79">
        <v>5</v>
      </c>
      <c r="AYR91" s="75">
        <v>1276006</v>
      </c>
      <c r="AYS91" s="80"/>
      <c r="AYT91" s="81">
        <v>0.86944444444444446</v>
      </c>
      <c r="AYU91" s="74" t="s">
        <v>27</v>
      </c>
      <c r="AYV91" s="74" t="s">
        <v>24</v>
      </c>
      <c r="AYW91" s="75" t="s">
        <v>25</v>
      </c>
      <c r="AYX91" s="76">
        <f>IFERROR(VLOOKUP(AYW91,'[1]List KPI'!$A$103:$F$118,6,0),"")</f>
        <v>1.0416666666666666E-2</v>
      </c>
      <c r="AYY91" s="76">
        <v>0.86944444444444446</v>
      </c>
      <c r="AYZ91" s="76">
        <v>0.86944444444444446</v>
      </c>
      <c r="AZA91" s="77" t="str">
        <f t="shared" ref="AZA91:BAW91" si="33">IF(AYZ91="","",IF(AYZ91&gt;AZI91,"O","P"))</f>
        <v>O</v>
      </c>
      <c r="AZB91" s="74" t="s">
        <v>28</v>
      </c>
      <c r="AZC91" s="75" t="s">
        <v>23</v>
      </c>
      <c r="AZD91" s="78">
        <f>IFERROR(VLOOKUP(AZC91,'[1]List KPI'!$M$3:$N$8,2,0),"")</f>
        <v>2.0833333333333332E-2</v>
      </c>
      <c r="AZE91" s="76">
        <v>0.89444444444444449</v>
      </c>
      <c r="AZF91" s="77" t="str">
        <f t="shared" ref="AZF91:BBB91" si="34">IF(AZE91="","",IF(AZE91&gt;AZJ91,"O","P"))</f>
        <v>O</v>
      </c>
      <c r="AZG91" s="79">
        <v>5</v>
      </c>
      <c r="AZH91" s="75">
        <v>1276006</v>
      </c>
      <c r="AZI91" s="80"/>
      <c r="AZJ91" s="81">
        <v>0.86944444444444446</v>
      </c>
      <c r="AZK91" s="74" t="s">
        <v>27</v>
      </c>
      <c r="AZL91" s="74" t="s">
        <v>24</v>
      </c>
      <c r="AZM91" s="75" t="s">
        <v>25</v>
      </c>
      <c r="AZN91" s="76">
        <f>IFERROR(VLOOKUP(AZM91,'[1]List KPI'!$A$103:$F$118,6,0),"")</f>
        <v>1.0416666666666666E-2</v>
      </c>
      <c r="AZO91" s="76">
        <v>0.86944444444444446</v>
      </c>
      <c r="AZP91" s="76">
        <v>0.86944444444444446</v>
      </c>
      <c r="AZQ91" s="77" t="str">
        <f t="shared" si="33"/>
        <v>O</v>
      </c>
      <c r="AZR91" s="74" t="s">
        <v>28</v>
      </c>
      <c r="AZS91" s="75" t="s">
        <v>23</v>
      </c>
      <c r="AZT91" s="78">
        <f>IFERROR(VLOOKUP(AZS91,'[1]List KPI'!$M$3:$N$8,2,0),"")</f>
        <v>2.0833333333333332E-2</v>
      </c>
      <c r="AZU91" s="76">
        <v>0.89444444444444449</v>
      </c>
      <c r="AZV91" s="77" t="str">
        <f t="shared" si="34"/>
        <v>O</v>
      </c>
      <c r="AZW91" s="79">
        <v>5</v>
      </c>
      <c r="AZX91" s="75">
        <v>1276006</v>
      </c>
      <c r="AZY91" s="80"/>
      <c r="AZZ91" s="81">
        <v>0.86944444444444446</v>
      </c>
      <c r="BAA91" s="74" t="s">
        <v>27</v>
      </c>
      <c r="BAB91" s="74" t="s">
        <v>24</v>
      </c>
      <c r="BAC91" s="75" t="s">
        <v>25</v>
      </c>
      <c r="BAD91" s="76">
        <f>IFERROR(VLOOKUP(BAC91,'[1]List KPI'!$A$103:$F$118,6,0),"")</f>
        <v>1.0416666666666666E-2</v>
      </c>
      <c r="BAE91" s="76">
        <v>0.86944444444444446</v>
      </c>
      <c r="BAF91" s="76">
        <v>0.86944444444444446</v>
      </c>
      <c r="BAG91" s="77" t="str">
        <f t="shared" si="33"/>
        <v>O</v>
      </c>
      <c r="BAH91" s="74" t="s">
        <v>28</v>
      </c>
      <c r="BAI91" s="75" t="s">
        <v>23</v>
      </c>
      <c r="BAJ91" s="78">
        <f>IFERROR(VLOOKUP(BAI91,'[1]List KPI'!$M$3:$N$8,2,0),"")</f>
        <v>2.0833333333333332E-2</v>
      </c>
      <c r="BAK91" s="76">
        <v>0.89444444444444449</v>
      </c>
      <c r="BAL91" s="77" t="str">
        <f t="shared" si="34"/>
        <v>O</v>
      </c>
      <c r="BAM91" s="79">
        <v>5</v>
      </c>
      <c r="BAN91" s="75">
        <v>1276006</v>
      </c>
      <c r="BAO91" s="80"/>
      <c r="BAP91" s="81">
        <v>0.86944444444444446</v>
      </c>
      <c r="BAQ91" s="74" t="s">
        <v>27</v>
      </c>
      <c r="BAR91" s="74" t="s">
        <v>24</v>
      </c>
      <c r="BAS91" s="75" t="s">
        <v>25</v>
      </c>
      <c r="BAT91" s="76">
        <f>IFERROR(VLOOKUP(BAS91,'[1]List KPI'!$A$103:$F$118,6,0),"")</f>
        <v>1.0416666666666666E-2</v>
      </c>
      <c r="BAU91" s="76">
        <v>0.86944444444444446</v>
      </c>
      <c r="BAV91" s="76">
        <v>0.86944444444444446</v>
      </c>
      <c r="BAW91" s="77" t="str">
        <f t="shared" si="33"/>
        <v>O</v>
      </c>
      <c r="BAX91" s="74" t="s">
        <v>28</v>
      </c>
      <c r="BAY91" s="75" t="s">
        <v>23</v>
      </c>
      <c r="BAZ91" s="78">
        <f>IFERROR(VLOOKUP(BAY91,'[1]List KPI'!$M$3:$N$8,2,0),"")</f>
        <v>2.0833333333333332E-2</v>
      </c>
      <c r="BBA91" s="76">
        <v>0.89444444444444449</v>
      </c>
      <c r="BBB91" s="77" t="str">
        <f t="shared" si="34"/>
        <v>O</v>
      </c>
      <c r="BBC91" s="79">
        <v>5</v>
      </c>
      <c r="BBD91" s="75">
        <v>1276006</v>
      </c>
      <c r="BBE91" s="80"/>
      <c r="BBF91" s="81">
        <v>0.86944444444444446</v>
      </c>
      <c r="BBG91" s="74" t="s">
        <v>27</v>
      </c>
      <c r="BBH91" s="74" t="s">
        <v>24</v>
      </c>
      <c r="BBI91" s="75" t="s">
        <v>25</v>
      </c>
      <c r="BBJ91" s="76">
        <f>IFERROR(VLOOKUP(BBI91,'[1]List KPI'!$A$103:$F$118,6,0),"")</f>
        <v>1.0416666666666666E-2</v>
      </c>
      <c r="BBK91" s="76">
        <v>0.86944444444444446</v>
      </c>
      <c r="BBL91" s="76">
        <v>0.86944444444444446</v>
      </c>
      <c r="BBM91" s="77" t="str">
        <f t="shared" ref="BBM91:BDI91" si="35">IF(BBL91="","",IF(BBL91&gt;BBU91,"O","P"))</f>
        <v>O</v>
      </c>
      <c r="BBN91" s="74" t="s">
        <v>28</v>
      </c>
      <c r="BBO91" s="75" t="s">
        <v>23</v>
      </c>
      <c r="BBP91" s="78">
        <f>IFERROR(VLOOKUP(BBO91,'[1]List KPI'!$M$3:$N$8,2,0),"")</f>
        <v>2.0833333333333332E-2</v>
      </c>
      <c r="BBQ91" s="76">
        <v>0.89444444444444449</v>
      </c>
      <c r="BBR91" s="77" t="str">
        <f t="shared" ref="BBR91:BDN91" si="36">IF(BBQ91="","",IF(BBQ91&gt;BBV91,"O","P"))</f>
        <v>O</v>
      </c>
      <c r="BBS91" s="79">
        <v>5</v>
      </c>
      <c r="BBT91" s="75">
        <v>1276006</v>
      </c>
      <c r="BBU91" s="80"/>
      <c r="BBV91" s="81">
        <v>0.86944444444444446</v>
      </c>
      <c r="BBW91" s="74" t="s">
        <v>27</v>
      </c>
      <c r="BBX91" s="74" t="s">
        <v>24</v>
      </c>
      <c r="BBY91" s="75" t="s">
        <v>25</v>
      </c>
      <c r="BBZ91" s="76">
        <f>IFERROR(VLOOKUP(BBY91,'[1]List KPI'!$A$103:$F$118,6,0),"")</f>
        <v>1.0416666666666666E-2</v>
      </c>
      <c r="BCA91" s="76">
        <v>0.86944444444444446</v>
      </c>
      <c r="BCB91" s="76">
        <v>0.86944444444444446</v>
      </c>
      <c r="BCC91" s="77" t="str">
        <f t="shared" si="35"/>
        <v>O</v>
      </c>
      <c r="BCD91" s="74" t="s">
        <v>28</v>
      </c>
      <c r="BCE91" s="75" t="s">
        <v>23</v>
      </c>
      <c r="BCF91" s="78">
        <f>IFERROR(VLOOKUP(BCE91,'[1]List KPI'!$M$3:$N$8,2,0),"")</f>
        <v>2.0833333333333332E-2</v>
      </c>
      <c r="BCG91" s="76">
        <v>0.89444444444444449</v>
      </c>
      <c r="BCH91" s="77" t="str">
        <f t="shared" si="36"/>
        <v>O</v>
      </c>
      <c r="BCI91" s="79">
        <v>5</v>
      </c>
      <c r="BCJ91" s="75">
        <v>1276006</v>
      </c>
      <c r="BCK91" s="80"/>
      <c r="BCL91" s="81">
        <v>0.86944444444444446</v>
      </c>
      <c r="BCM91" s="74" t="s">
        <v>27</v>
      </c>
      <c r="BCN91" s="74" t="s">
        <v>24</v>
      </c>
      <c r="BCO91" s="75" t="s">
        <v>25</v>
      </c>
      <c r="BCP91" s="76">
        <f>IFERROR(VLOOKUP(BCO91,'[1]List KPI'!$A$103:$F$118,6,0),"")</f>
        <v>1.0416666666666666E-2</v>
      </c>
      <c r="BCQ91" s="76">
        <v>0.86944444444444446</v>
      </c>
      <c r="BCR91" s="76">
        <v>0.86944444444444446</v>
      </c>
      <c r="BCS91" s="77" t="str">
        <f t="shared" si="35"/>
        <v>O</v>
      </c>
      <c r="BCT91" s="74" t="s">
        <v>28</v>
      </c>
      <c r="BCU91" s="75" t="s">
        <v>23</v>
      </c>
      <c r="BCV91" s="78">
        <f>IFERROR(VLOOKUP(BCU91,'[1]List KPI'!$M$3:$N$8,2,0),"")</f>
        <v>2.0833333333333332E-2</v>
      </c>
      <c r="BCW91" s="76">
        <v>0.89444444444444449</v>
      </c>
      <c r="BCX91" s="77" t="str">
        <f t="shared" si="36"/>
        <v>O</v>
      </c>
      <c r="BCY91" s="79">
        <v>5</v>
      </c>
      <c r="BCZ91" s="75">
        <v>1276006</v>
      </c>
      <c r="BDA91" s="80"/>
      <c r="BDB91" s="81">
        <v>0.86944444444444446</v>
      </c>
      <c r="BDC91" s="74" t="s">
        <v>27</v>
      </c>
      <c r="BDD91" s="74" t="s">
        <v>24</v>
      </c>
      <c r="BDE91" s="75" t="s">
        <v>25</v>
      </c>
      <c r="BDF91" s="76">
        <f>IFERROR(VLOOKUP(BDE91,'[1]List KPI'!$A$103:$F$118,6,0),"")</f>
        <v>1.0416666666666666E-2</v>
      </c>
      <c r="BDG91" s="76">
        <v>0.86944444444444446</v>
      </c>
      <c r="BDH91" s="76">
        <v>0.86944444444444446</v>
      </c>
      <c r="BDI91" s="77" t="str">
        <f t="shared" si="35"/>
        <v>O</v>
      </c>
      <c r="BDJ91" s="74" t="s">
        <v>28</v>
      </c>
      <c r="BDK91" s="75" t="s">
        <v>23</v>
      </c>
      <c r="BDL91" s="78">
        <f>IFERROR(VLOOKUP(BDK91,'[1]List KPI'!$M$3:$N$8,2,0),"")</f>
        <v>2.0833333333333332E-2</v>
      </c>
      <c r="BDM91" s="76">
        <v>0.89444444444444449</v>
      </c>
      <c r="BDN91" s="77" t="str">
        <f t="shared" si="36"/>
        <v>O</v>
      </c>
      <c r="BDO91" s="79">
        <v>5</v>
      </c>
      <c r="BDP91" s="75">
        <v>1276006</v>
      </c>
      <c r="BDQ91" s="80"/>
      <c r="BDR91" s="81">
        <v>0.86944444444444446</v>
      </c>
      <c r="BDS91" s="74" t="s">
        <v>27</v>
      </c>
      <c r="BDT91" s="74" t="s">
        <v>24</v>
      </c>
      <c r="BDU91" s="75" t="s">
        <v>25</v>
      </c>
      <c r="BDV91" s="76">
        <f>IFERROR(VLOOKUP(BDU91,'[1]List KPI'!$A$103:$F$118,6,0),"")</f>
        <v>1.0416666666666666E-2</v>
      </c>
      <c r="BDW91" s="76">
        <v>0.86944444444444446</v>
      </c>
      <c r="BDX91" s="76">
        <v>0.86944444444444446</v>
      </c>
      <c r="BDY91" s="77" t="str">
        <f t="shared" ref="BDY91:BFU91" si="37">IF(BDX91="","",IF(BDX91&gt;BEG91,"O","P"))</f>
        <v>O</v>
      </c>
      <c r="BDZ91" s="74" t="s">
        <v>28</v>
      </c>
      <c r="BEA91" s="75" t="s">
        <v>23</v>
      </c>
      <c r="BEB91" s="78">
        <f>IFERROR(VLOOKUP(BEA91,'[1]List KPI'!$M$3:$N$8,2,0),"")</f>
        <v>2.0833333333333332E-2</v>
      </c>
      <c r="BEC91" s="76">
        <v>0.89444444444444449</v>
      </c>
      <c r="BED91" s="77" t="str">
        <f t="shared" ref="BED91:BFZ91" si="38">IF(BEC91="","",IF(BEC91&gt;BEH91,"O","P"))</f>
        <v>O</v>
      </c>
      <c r="BEE91" s="79">
        <v>5</v>
      </c>
      <c r="BEF91" s="75">
        <v>1276006</v>
      </c>
      <c r="BEG91" s="80"/>
      <c r="BEH91" s="81">
        <v>0.86944444444444446</v>
      </c>
      <c r="BEI91" s="74" t="s">
        <v>27</v>
      </c>
      <c r="BEJ91" s="74" t="s">
        <v>24</v>
      </c>
      <c r="BEK91" s="75" t="s">
        <v>25</v>
      </c>
      <c r="BEL91" s="76">
        <f>IFERROR(VLOOKUP(BEK91,'[1]List KPI'!$A$103:$F$118,6,0),"")</f>
        <v>1.0416666666666666E-2</v>
      </c>
      <c r="BEM91" s="76">
        <v>0.86944444444444446</v>
      </c>
      <c r="BEN91" s="76">
        <v>0.86944444444444446</v>
      </c>
      <c r="BEO91" s="77" t="str">
        <f t="shared" si="37"/>
        <v>O</v>
      </c>
      <c r="BEP91" s="74" t="s">
        <v>28</v>
      </c>
      <c r="BEQ91" s="75" t="s">
        <v>23</v>
      </c>
      <c r="BER91" s="78">
        <f>IFERROR(VLOOKUP(BEQ91,'[1]List KPI'!$M$3:$N$8,2,0),"")</f>
        <v>2.0833333333333332E-2</v>
      </c>
      <c r="BES91" s="76">
        <v>0.89444444444444449</v>
      </c>
      <c r="BET91" s="77" t="str">
        <f t="shared" si="38"/>
        <v>O</v>
      </c>
      <c r="BEU91" s="79">
        <v>5</v>
      </c>
      <c r="BEV91" s="75">
        <v>1276006</v>
      </c>
      <c r="BEW91" s="80"/>
      <c r="BEX91" s="81">
        <v>0.86944444444444446</v>
      </c>
      <c r="BEY91" s="74" t="s">
        <v>27</v>
      </c>
      <c r="BEZ91" s="74" t="s">
        <v>24</v>
      </c>
      <c r="BFA91" s="75" t="s">
        <v>25</v>
      </c>
      <c r="BFB91" s="76">
        <f>IFERROR(VLOOKUP(BFA91,'[1]List KPI'!$A$103:$F$118,6,0),"")</f>
        <v>1.0416666666666666E-2</v>
      </c>
      <c r="BFC91" s="76">
        <v>0.86944444444444446</v>
      </c>
      <c r="BFD91" s="76">
        <v>0.86944444444444446</v>
      </c>
      <c r="BFE91" s="77" t="str">
        <f t="shared" si="37"/>
        <v>O</v>
      </c>
      <c r="BFF91" s="74" t="s">
        <v>28</v>
      </c>
      <c r="BFG91" s="75" t="s">
        <v>23</v>
      </c>
      <c r="BFH91" s="78">
        <f>IFERROR(VLOOKUP(BFG91,'[1]List KPI'!$M$3:$N$8,2,0),"")</f>
        <v>2.0833333333333332E-2</v>
      </c>
      <c r="BFI91" s="76">
        <v>0.89444444444444449</v>
      </c>
      <c r="BFJ91" s="77" t="str">
        <f t="shared" si="38"/>
        <v>O</v>
      </c>
      <c r="BFK91" s="79">
        <v>5</v>
      </c>
      <c r="BFL91" s="75">
        <v>1276006</v>
      </c>
      <c r="BFM91" s="80"/>
      <c r="BFN91" s="81">
        <v>0.86944444444444446</v>
      </c>
      <c r="BFO91" s="74" t="s">
        <v>27</v>
      </c>
      <c r="BFP91" s="74" t="s">
        <v>24</v>
      </c>
      <c r="BFQ91" s="75" t="s">
        <v>25</v>
      </c>
      <c r="BFR91" s="76">
        <f>IFERROR(VLOOKUP(BFQ91,'[1]List KPI'!$A$103:$F$118,6,0),"")</f>
        <v>1.0416666666666666E-2</v>
      </c>
      <c r="BFS91" s="76">
        <v>0.86944444444444446</v>
      </c>
      <c r="BFT91" s="76">
        <v>0.86944444444444446</v>
      </c>
      <c r="BFU91" s="77" t="str">
        <f t="shared" si="37"/>
        <v>O</v>
      </c>
      <c r="BFV91" s="74" t="s">
        <v>28</v>
      </c>
      <c r="BFW91" s="75" t="s">
        <v>23</v>
      </c>
      <c r="BFX91" s="78">
        <f>IFERROR(VLOOKUP(BFW91,'[1]List KPI'!$M$3:$N$8,2,0),"")</f>
        <v>2.0833333333333332E-2</v>
      </c>
      <c r="BFY91" s="76">
        <v>0.89444444444444449</v>
      </c>
      <c r="BFZ91" s="77" t="str">
        <f t="shared" si="38"/>
        <v>O</v>
      </c>
      <c r="BGA91" s="79">
        <v>5</v>
      </c>
      <c r="BGB91" s="75">
        <v>1276006</v>
      </c>
      <c r="BGC91" s="80"/>
      <c r="BGD91" s="81">
        <v>0.86944444444444446</v>
      </c>
      <c r="BGE91" s="74" t="s">
        <v>27</v>
      </c>
      <c r="BGF91" s="74" t="s">
        <v>24</v>
      </c>
      <c r="BGG91" s="75" t="s">
        <v>25</v>
      </c>
      <c r="BGH91" s="76">
        <f>IFERROR(VLOOKUP(BGG91,'[1]List KPI'!$A$103:$F$118,6,0),"")</f>
        <v>1.0416666666666666E-2</v>
      </c>
      <c r="BGI91" s="76">
        <v>0.86944444444444446</v>
      </c>
      <c r="BGJ91" s="76">
        <v>0.86944444444444446</v>
      </c>
      <c r="BGK91" s="77" t="str">
        <f t="shared" ref="BGK91:BIG91" si="39">IF(BGJ91="","",IF(BGJ91&gt;BGS91,"O","P"))</f>
        <v>O</v>
      </c>
      <c r="BGL91" s="74" t="s">
        <v>28</v>
      </c>
      <c r="BGM91" s="75" t="s">
        <v>23</v>
      </c>
      <c r="BGN91" s="78">
        <f>IFERROR(VLOOKUP(BGM91,'[1]List KPI'!$M$3:$N$8,2,0),"")</f>
        <v>2.0833333333333332E-2</v>
      </c>
      <c r="BGO91" s="76">
        <v>0.89444444444444449</v>
      </c>
      <c r="BGP91" s="77" t="str">
        <f t="shared" ref="BGP91:BIL91" si="40">IF(BGO91="","",IF(BGO91&gt;BGT91,"O","P"))</f>
        <v>O</v>
      </c>
      <c r="BGQ91" s="79">
        <v>5</v>
      </c>
      <c r="BGR91" s="75">
        <v>1276006</v>
      </c>
      <c r="BGS91" s="80"/>
      <c r="BGT91" s="81">
        <v>0.86944444444444446</v>
      </c>
      <c r="BGU91" s="74" t="s">
        <v>27</v>
      </c>
      <c r="BGV91" s="74" t="s">
        <v>24</v>
      </c>
      <c r="BGW91" s="75" t="s">
        <v>25</v>
      </c>
      <c r="BGX91" s="76">
        <f>IFERROR(VLOOKUP(BGW91,'[1]List KPI'!$A$103:$F$118,6,0),"")</f>
        <v>1.0416666666666666E-2</v>
      </c>
      <c r="BGY91" s="76">
        <v>0.86944444444444446</v>
      </c>
      <c r="BGZ91" s="76">
        <v>0.86944444444444446</v>
      </c>
      <c r="BHA91" s="77" t="str">
        <f t="shared" si="39"/>
        <v>O</v>
      </c>
      <c r="BHB91" s="74" t="s">
        <v>28</v>
      </c>
      <c r="BHC91" s="75" t="s">
        <v>23</v>
      </c>
      <c r="BHD91" s="78">
        <f>IFERROR(VLOOKUP(BHC91,'[1]List KPI'!$M$3:$N$8,2,0),"")</f>
        <v>2.0833333333333332E-2</v>
      </c>
      <c r="BHE91" s="76">
        <v>0.89444444444444449</v>
      </c>
      <c r="BHF91" s="77" t="str">
        <f t="shared" si="40"/>
        <v>O</v>
      </c>
      <c r="BHG91" s="79">
        <v>5</v>
      </c>
      <c r="BHH91" s="75">
        <v>1276006</v>
      </c>
      <c r="BHI91" s="80"/>
      <c r="BHJ91" s="81">
        <v>0.86944444444444446</v>
      </c>
      <c r="BHK91" s="74" t="s">
        <v>27</v>
      </c>
      <c r="BHL91" s="74" t="s">
        <v>24</v>
      </c>
      <c r="BHM91" s="75" t="s">
        <v>25</v>
      </c>
      <c r="BHN91" s="76">
        <f>IFERROR(VLOOKUP(BHM91,'[1]List KPI'!$A$103:$F$118,6,0),"")</f>
        <v>1.0416666666666666E-2</v>
      </c>
      <c r="BHO91" s="76">
        <v>0.86944444444444446</v>
      </c>
      <c r="BHP91" s="76">
        <v>0.86944444444444446</v>
      </c>
      <c r="BHQ91" s="77" t="str">
        <f t="shared" si="39"/>
        <v>O</v>
      </c>
      <c r="BHR91" s="74" t="s">
        <v>28</v>
      </c>
      <c r="BHS91" s="75" t="s">
        <v>23</v>
      </c>
      <c r="BHT91" s="78">
        <f>IFERROR(VLOOKUP(BHS91,'[1]List KPI'!$M$3:$N$8,2,0),"")</f>
        <v>2.0833333333333332E-2</v>
      </c>
      <c r="BHU91" s="76">
        <v>0.89444444444444449</v>
      </c>
      <c r="BHV91" s="77" t="str">
        <f t="shared" si="40"/>
        <v>O</v>
      </c>
      <c r="BHW91" s="79">
        <v>5</v>
      </c>
      <c r="BHX91" s="75">
        <v>1276006</v>
      </c>
      <c r="BHY91" s="80"/>
      <c r="BHZ91" s="81">
        <v>0.86944444444444446</v>
      </c>
      <c r="BIA91" s="74" t="s">
        <v>27</v>
      </c>
      <c r="BIB91" s="74" t="s">
        <v>24</v>
      </c>
      <c r="BIC91" s="75" t="s">
        <v>25</v>
      </c>
      <c r="BID91" s="76">
        <f>IFERROR(VLOOKUP(BIC91,'[1]List KPI'!$A$103:$F$118,6,0),"")</f>
        <v>1.0416666666666666E-2</v>
      </c>
      <c r="BIE91" s="76">
        <v>0.86944444444444446</v>
      </c>
      <c r="BIF91" s="76">
        <v>0.86944444444444446</v>
      </c>
      <c r="BIG91" s="77" t="str">
        <f t="shared" si="39"/>
        <v>O</v>
      </c>
      <c r="BIH91" s="74" t="s">
        <v>28</v>
      </c>
      <c r="BII91" s="75" t="s">
        <v>23</v>
      </c>
      <c r="BIJ91" s="78">
        <f>IFERROR(VLOOKUP(BII91,'[1]List KPI'!$M$3:$N$8,2,0),"")</f>
        <v>2.0833333333333332E-2</v>
      </c>
      <c r="BIK91" s="76">
        <v>0.89444444444444449</v>
      </c>
      <c r="BIL91" s="77" t="str">
        <f t="shared" si="40"/>
        <v>O</v>
      </c>
      <c r="BIM91" s="79">
        <v>5</v>
      </c>
      <c r="BIN91" s="75">
        <v>1276006</v>
      </c>
      <c r="BIO91" s="80"/>
      <c r="BIP91" s="81">
        <v>0.86944444444444446</v>
      </c>
      <c r="BIQ91" s="74" t="s">
        <v>27</v>
      </c>
      <c r="BIR91" s="74" t="s">
        <v>24</v>
      </c>
      <c r="BIS91" s="75" t="s">
        <v>25</v>
      </c>
      <c r="BIT91" s="76">
        <f>IFERROR(VLOOKUP(BIS91,'[1]List KPI'!$A$103:$F$118,6,0),"")</f>
        <v>1.0416666666666666E-2</v>
      </c>
      <c r="BIU91" s="76">
        <v>0.86944444444444446</v>
      </c>
      <c r="BIV91" s="76">
        <v>0.86944444444444446</v>
      </c>
      <c r="BIW91" s="77" t="str">
        <f t="shared" ref="BIW91:BKS91" si="41">IF(BIV91="","",IF(BIV91&gt;BJE91,"O","P"))</f>
        <v>O</v>
      </c>
      <c r="BIX91" s="74" t="s">
        <v>28</v>
      </c>
      <c r="BIY91" s="75" t="s">
        <v>23</v>
      </c>
      <c r="BIZ91" s="78">
        <f>IFERROR(VLOOKUP(BIY91,'[1]List KPI'!$M$3:$N$8,2,0),"")</f>
        <v>2.0833333333333332E-2</v>
      </c>
      <c r="BJA91" s="76">
        <v>0.89444444444444449</v>
      </c>
      <c r="BJB91" s="77" t="str">
        <f t="shared" ref="BJB91:BKX91" si="42">IF(BJA91="","",IF(BJA91&gt;BJF91,"O","P"))</f>
        <v>O</v>
      </c>
      <c r="BJC91" s="79">
        <v>5</v>
      </c>
      <c r="BJD91" s="75">
        <v>1276006</v>
      </c>
      <c r="BJE91" s="80"/>
      <c r="BJF91" s="81">
        <v>0.86944444444444446</v>
      </c>
      <c r="BJG91" s="74" t="s">
        <v>27</v>
      </c>
      <c r="BJH91" s="74" t="s">
        <v>24</v>
      </c>
      <c r="BJI91" s="75" t="s">
        <v>25</v>
      </c>
      <c r="BJJ91" s="76">
        <f>IFERROR(VLOOKUP(BJI91,'[1]List KPI'!$A$103:$F$118,6,0),"")</f>
        <v>1.0416666666666666E-2</v>
      </c>
      <c r="BJK91" s="76">
        <v>0.86944444444444446</v>
      </c>
      <c r="BJL91" s="76">
        <v>0.86944444444444446</v>
      </c>
      <c r="BJM91" s="77" t="str">
        <f t="shared" si="41"/>
        <v>O</v>
      </c>
      <c r="BJN91" s="74" t="s">
        <v>28</v>
      </c>
      <c r="BJO91" s="75" t="s">
        <v>23</v>
      </c>
      <c r="BJP91" s="78">
        <f>IFERROR(VLOOKUP(BJO91,'[1]List KPI'!$M$3:$N$8,2,0),"")</f>
        <v>2.0833333333333332E-2</v>
      </c>
      <c r="BJQ91" s="76">
        <v>0.89444444444444449</v>
      </c>
      <c r="BJR91" s="77" t="str">
        <f t="shared" si="42"/>
        <v>O</v>
      </c>
      <c r="BJS91" s="79">
        <v>5</v>
      </c>
      <c r="BJT91" s="75">
        <v>1276006</v>
      </c>
      <c r="BJU91" s="80"/>
      <c r="BJV91" s="81">
        <v>0.86944444444444446</v>
      </c>
      <c r="BJW91" s="74" t="s">
        <v>27</v>
      </c>
      <c r="BJX91" s="74" t="s">
        <v>24</v>
      </c>
      <c r="BJY91" s="75" t="s">
        <v>25</v>
      </c>
      <c r="BJZ91" s="76">
        <f>IFERROR(VLOOKUP(BJY91,'[1]List KPI'!$A$103:$F$118,6,0),"")</f>
        <v>1.0416666666666666E-2</v>
      </c>
      <c r="BKA91" s="76">
        <v>0.86944444444444446</v>
      </c>
      <c r="BKB91" s="76">
        <v>0.86944444444444446</v>
      </c>
      <c r="BKC91" s="77" t="str">
        <f t="shared" si="41"/>
        <v>O</v>
      </c>
      <c r="BKD91" s="74" t="s">
        <v>28</v>
      </c>
      <c r="BKE91" s="75" t="s">
        <v>23</v>
      </c>
      <c r="BKF91" s="78">
        <f>IFERROR(VLOOKUP(BKE91,'[1]List KPI'!$M$3:$N$8,2,0),"")</f>
        <v>2.0833333333333332E-2</v>
      </c>
      <c r="BKG91" s="76">
        <v>0.89444444444444449</v>
      </c>
      <c r="BKH91" s="77" t="str">
        <f t="shared" si="42"/>
        <v>O</v>
      </c>
      <c r="BKI91" s="79">
        <v>5</v>
      </c>
      <c r="BKJ91" s="75">
        <v>1276006</v>
      </c>
      <c r="BKK91" s="80"/>
      <c r="BKL91" s="81">
        <v>0.86944444444444446</v>
      </c>
      <c r="BKM91" s="74" t="s">
        <v>27</v>
      </c>
      <c r="BKN91" s="74" t="s">
        <v>24</v>
      </c>
      <c r="BKO91" s="75" t="s">
        <v>25</v>
      </c>
      <c r="BKP91" s="76">
        <f>IFERROR(VLOOKUP(BKO91,'[1]List KPI'!$A$103:$F$118,6,0),"")</f>
        <v>1.0416666666666666E-2</v>
      </c>
      <c r="BKQ91" s="76">
        <v>0.86944444444444446</v>
      </c>
      <c r="BKR91" s="76">
        <v>0.86944444444444446</v>
      </c>
      <c r="BKS91" s="77" t="str">
        <f t="shared" si="41"/>
        <v>O</v>
      </c>
      <c r="BKT91" s="74" t="s">
        <v>28</v>
      </c>
      <c r="BKU91" s="75" t="s">
        <v>23</v>
      </c>
      <c r="BKV91" s="78">
        <f>IFERROR(VLOOKUP(BKU91,'[1]List KPI'!$M$3:$N$8,2,0),"")</f>
        <v>2.0833333333333332E-2</v>
      </c>
      <c r="BKW91" s="76">
        <v>0.89444444444444449</v>
      </c>
      <c r="BKX91" s="77" t="str">
        <f t="shared" si="42"/>
        <v>O</v>
      </c>
      <c r="BKY91" s="79">
        <v>5</v>
      </c>
      <c r="BKZ91" s="75">
        <v>1276006</v>
      </c>
      <c r="BLA91" s="80"/>
      <c r="BLB91" s="81">
        <v>0.86944444444444446</v>
      </c>
      <c r="BLC91" s="74" t="s">
        <v>27</v>
      </c>
      <c r="BLD91" s="74" t="s">
        <v>24</v>
      </c>
      <c r="BLE91" s="75" t="s">
        <v>25</v>
      </c>
      <c r="BLF91" s="76">
        <f>IFERROR(VLOOKUP(BLE91,'[1]List KPI'!$A$103:$F$118,6,0),"")</f>
        <v>1.0416666666666666E-2</v>
      </c>
      <c r="BLG91" s="76">
        <v>0.86944444444444446</v>
      </c>
      <c r="BLH91" s="76">
        <v>0.86944444444444446</v>
      </c>
      <c r="BLI91" s="77" t="str">
        <f t="shared" ref="BLI91:BNE91" si="43">IF(BLH91="","",IF(BLH91&gt;BLQ91,"O","P"))</f>
        <v>O</v>
      </c>
      <c r="BLJ91" s="74" t="s">
        <v>28</v>
      </c>
      <c r="BLK91" s="75" t="s">
        <v>23</v>
      </c>
      <c r="BLL91" s="78">
        <f>IFERROR(VLOOKUP(BLK91,'[1]List KPI'!$M$3:$N$8,2,0),"")</f>
        <v>2.0833333333333332E-2</v>
      </c>
      <c r="BLM91" s="76">
        <v>0.89444444444444449</v>
      </c>
      <c r="BLN91" s="77" t="str">
        <f t="shared" ref="BLN91:BNJ91" si="44">IF(BLM91="","",IF(BLM91&gt;BLR91,"O","P"))</f>
        <v>O</v>
      </c>
      <c r="BLO91" s="79">
        <v>5</v>
      </c>
      <c r="BLP91" s="75">
        <v>1276006</v>
      </c>
      <c r="BLQ91" s="80"/>
      <c r="BLR91" s="81">
        <v>0.86944444444444446</v>
      </c>
      <c r="BLS91" s="74" t="s">
        <v>27</v>
      </c>
      <c r="BLT91" s="74" t="s">
        <v>24</v>
      </c>
      <c r="BLU91" s="75" t="s">
        <v>25</v>
      </c>
      <c r="BLV91" s="76">
        <f>IFERROR(VLOOKUP(BLU91,'[1]List KPI'!$A$103:$F$118,6,0),"")</f>
        <v>1.0416666666666666E-2</v>
      </c>
      <c r="BLW91" s="76">
        <v>0.86944444444444446</v>
      </c>
      <c r="BLX91" s="76">
        <v>0.86944444444444446</v>
      </c>
      <c r="BLY91" s="77" t="str">
        <f t="shared" si="43"/>
        <v>O</v>
      </c>
      <c r="BLZ91" s="74" t="s">
        <v>28</v>
      </c>
      <c r="BMA91" s="75" t="s">
        <v>23</v>
      </c>
      <c r="BMB91" s="78">
        <f>IFERROR(VLOOKUP(BMA91,'[1]List KPI'!$M$3:$N$8,2,0),"")</f>
        <v>2.0833333333333332E-2</v>
      </c>
      <c r="BMC91" s="76">
        <v>0.89444444444444449</v>
      </c>
      <c r="BMD91" s="77" t="str">
        <f t="shared" si="44"/>
        <v>O</v>
      </c>
      <c r="BME91" s="79">
        <v>5</v>
      </c>
      <c r="BMF91" s="75">
        <v>1276006</v>
      </c>
      <c r="BMG91" s="80"/>
      <c r="BMH91" s="81">
        <v>0.86944444444444446</v>
      </c>
      <c r="BMI91" s="74" t="s">
        <v>27</v>
      </c>
      <c r="BMJ91" s="74" t="s">
        <v>24</v>
      </c>
      <c r="BMK91" s="75" t="s">
        <v>25</v>
      </c>
      <c r="BML91" s="76">
        <f>IFERROR(VLOOKUP(BMK91,'[1]List KPI'!$A$103:$F$118,6,0),"")</f>
        <v>1.0416666666666666E-2</v>
      </c>
      <c r="BMM91" s="76">
        <v>0.86944444444444446</v>
      </c>
      <c r="BMN91" s="76">
        <v>0.86944444444444446</v>
      </c>
      <c r="BMO91" s="77" t="str">
        <f t="shared" si="43"/>
        <v>O</v>
      </c>
      <c r="BMP91" s="74" t="s">
        <v>28</v>
      </c>
      <c r="BMQ91" s="75" t="s">
        <v>23</v>
      </c>
      <c r="BMR91" s="78">
        <f>IFERROR(VLOOKUP(BMQ91,'[1]List KPI'!$M$3:$N$8,2,0),"")</f>
        <v>2.0833333333333332E-2</v>
      </c>
      <c r="BMS91" s="76">
        <v>0.89444444444444449</v>
      </c>
      <c r="BMT91" s="77" t="str">
        <f t="shared" si="44"/>
        <v>O</v>
      </c>
      <c r="BMU91" s="79">
        <v>5</v>
      </c>
      <c r="BMV91" s="75">
        <v>1276006</v>
      </c>
      <c r="BMW91" s="80"/>
      <c r="BMX91" s="81">
        <v>0.86944444444444446</v>
      </c>
      <c r="BMY91" s="74" t="s">
        <v>27</v>
      </c>
      <c r="BMZ91" s="74" t="s">
        <v>24</v>
      </c>
      <c r="BNA91" s="75" t="s">
        <v>25</v>
      </c>
      <c r="BNB91" s="76">
        <f>IFERROR(VLOOKUP(BNA91,'[1]List KPI'!$A$103:$F$118,6,0),"")</f>
        <v>1.0416666666666666E-2</v>
      </c>
      <c r="BNC91" s="76">
        <v>0.86944444444444446</v>
      </c>
      <c r="BND91" s="76">
        <v>0.86944444444444446</v>
      </c>
      <c r="BNE91" s="77" t="str">
        <f t="shared" si="43"/>
        <v>O</v>
      </c>
      <c r="BNF91" s="74" t="s">
        <v>28</v>
      </c>
      <c r="BNG91" s="75" t="s">
        <v>23</v>
      </c>
      <c r="BNH91" s="78">
        <f>IFERROR(VLOOKUP(BNG91,'[1]List KPI'!$M$3:$N$8,2,0),"")</f>
        <v>2.0833333333333332E-2</v>
      </c>
      <c r="BNI91" s="76">
        <v>0.89444444444444449</v>
      </c>
      <c r="BNJ91" s="77" t="str">
        <f t="shared" si="44"/>
        <v>O</v>
      </c>
      <c r="BNK91" s="79">
        <v>5</v>
      </c>
      <c r="BNL91" s="75">
        <v>1276006</v>
      </c>
      <c r="BNM91" s="80"/>
      <c r="BNN91" s="81">
        <v>0.86944444444444446</v>
      </c>
      <c r="BNO91" s="74" t="s">
        <v>27</v>
      </c>
      <c r="BNP91" s="74" t="s">
        <v>24</v>
      </c>
      <c r="BNQ91" s="75" t="s">
        <v>25</v>
      </c>
      <c r="BNR91" s="76">
        <f>IFERROR(VLOOKUP(BNQ91,'[1]List KPI'!$A$103:$F$118,6,0),"")</f>
        <v>1.0416666666666666E-2</v>
      </c>
      <c r="BNS91" s="76">
        <v>0.86944444444444446</v>
      </c>
      <c r="BNT91" s="76">
        <v>0.86944444444444446</v>
      </c>
      <c r="BNU91" s="77" t="str">
        <f t="shared" ref="BNU91:BPQ91" si="45">IF(BNT91="","",IF(BNT91&gt;BOC91,"O","P"))</f>
        <v>O</v>
      </c>
      <c r="BNV91" s="74" t="s">
        <v>28</v>
      </c>
      <c r="BNW91" s="75" t="s">
        <v>23</v>
      </c>
      <c r="BNX91" s="78">
        <f>IFERROR(VLOOKUP(BNW91,'[1]List KPI'!$M$3:$N$8,2,0),"")</f>
        <v>2.0833333333333332E-2</v>
      </c>
      <c r="BNY91" s="76">
        <v>0.89444444444444449</v>
      </c>
      <c r="BNZ91" s="77" t="str">
        <f t="shared" ref="BNZ91:BPV91" si="46">IF(BNY91="","",IF(BNY91&gt;BOD91,"O","P"))</f>
        <v>O</v>
      </c>
      <c r="BOA91" s="79">
        <v>5</v>
      </c>
      <c r="BOB91" s="75">
        <v>1276006</v>
      </c>
      <c r="BOC91" s="80"/>
      <c r="BOD91" s="81">
        <v>0.86944444444444446</v>
      </c>
      <c r="BOE91" s="74" t="s">
        <v>27</v>
      </c>
      <c r="BOF91" s="74" t="s">
        <v>24</v>
      </c>
      <c r="BOG91" s="75" t="s">
        <v>25</v>
      </c>
      <c r="BOH91" s="76">
        <f>IFERROR(VLOOKUP(BOG91,'[1]List KPI'!$A$103:$F$118,6,0),"")</f>
        <v>1.0416666666666666E-2</v>
      </c>
      <c r="BOI91" s="76">
        <v>0.86944444444444446</v>
      </c>
      <c r="BOJ91" s="76">
        <v>0.86944444444444446</v>
      </c>
      <c r="BOK91" s="77" t="str">
        <f t="shared" si="45"/>
        <v>O</v>
      </c>
      <c r="BOL91" s="74" t="s">
        <v>28</v>
      </c>
      <c r="BOM91" s="75" t="s">
        <v>23</v>
      </c>
      <c r="BON91" s="78">
        <f>IFERROR(VLOOKUP(BOM91,'[1]List KPI'!$M$3:$N$8,2,0),"")</f>
        <v>2.0833333333333332E-2</v>
      </c>
      <c r="BOO91" s="76">
        <v>0.89444444444444449</v>
      </c>
      <c r="BOP91" s="77" t="str">
        <f t="shared" si="46"/>
        <v>O</v>
      </c>
      <c r="BOQ91" s="79">
        <v>5</v>
      </c>
      <c r="BOR91" s="75">
        <v>1276006</v>
      </c>
      <c r="BOS91" s="80"/>
      <c r="BOT91" s="81">
        <v>0.86944444444444446</v>
      </c>
      <c r="BOU91" s="74" t="s">
        <v>27</v>
      </c>
      <c r="BOV91" s="74" t="s">
        <v>24</v>
      </c>
      <c r="BOW91" s="75" t="s">
        <v>25</v>
      </c>
      <c r="BOX91" s="76">
        <f>IFERROR(VLOOKUP(BOW91,'[1]List KPI'!$A$103:$F$118,6,0),"")</f>
        <v>1.0416666666666666E-2</v>
      </c>
      <c r="BOY91" s="76">
        <v>0.86944444444444446</v>
      </c>
      <c r="BOZ91" s="76">
        <v>0.86944444444444446</v>
      </c>
      <c r="BPA91" s="77" t="str">
        <f t="shared" si="45"/>
        <v>O</v>
      </c>
      <c r="BPB91" s="74" t="s">
        <v>28</v>
      </c>
      <c r="BPC91" s="75" t="s">
        <v>23</v>
      </c>
      <c r="BPD91" s="78">
        <f>IFERROR(VLOOKUP(BPC91,'[1]List KPI'!$M$3:$N$8,2,0),"")</f>
        <v>2.0833333333333332E-2</v>
      </c>
      <c r="BPE91" s="76">
        <v>0.89444444444444449</v>
      </c>
      <c r="BPF91" s="77" t="str">
        <f t="shared" si="46"/>
        <v>O</v>
      </c>
      <c r="BPG91" s="79">
        <v>5</v>
      </c>
      <c r="BPH91" s="75">
        <v>1276006</v>
      </c>
      <c r="BPI91" s="80"/>
      <c r="BPJ91" s="81">
        <v>0.86944444444444446</v>
      </c>
      <c r="BPK91" s="74" t="s">
        <v>27</v>
      </c>
      <c r="BPL91" s="74" t="s">
        <v>24</v>
      </c>
      <c r="BPM91" s="75" t="s">
        <v>25</v>
      </c>
      <c r="BPN91" s="76">
        <f>IFERROR(VLOOKUP(BPM91,'[1]List KPI'!$A$103:$F$118,6,0),"")</f>
        <v>1.0416666666666666E-2</v>
      </c>
      <c r="BPO91" s="76">
        <v>0.86944444444444446</v>
      </c>
      <c r="BPP91" s="76">
        <v>0.86944444444444446</v>
      </c>
      <c r="BPQ91" s="77" t="str">
        <f t="shared" si="45"/>
        <v>O</v>
      </c>
      <c r="BPR91" s="74" t="s">
        <v>28</v>
      </c>
      <c r="BPS91" s="75" t="s">
        <v>23</v>
      </c>
      <c r="BPT91" s="78">
        <f>IFERROR(VLOOKUP(BPS91,'[1]List KPI'!$M$3:$N$8,2,0),"")</f>
        <v>2.0833333333333332E-2</v>
      </c>
      <c r="BPU91" s="76">
        <v>0.89444444444444449</v>
      </c>
      <c r="BPV91" s="77" t="str">
        <f t="shared" si="46"/>
        <v>O</v>
      </c>
      <c r="BPW91" s="79">
        <v>5</v>
      </c>
      <c r="BPX91" s="75">
        <v>1276006</v>
      </c>
      <c r="BPY91" s="80"/>
      <c r="BPZ91" s="81">
        <v>0.86944444444444446</v>
      </c>
      <c r="BQA91" s="74" t="s">
        <v>27</v>
      </c>
      <c r="BQB91" s="74" t="s">
        <v>24</v>
      </c>
      <c r="BQC91" s="75" t="s">
        <v>25</v>
      </c>
      <c r="BQD91" s="76">
        <f>IFERROR(VLOOKUP(BQC91,'[1]List KPI'!$A$103:$F$118,6,0),"")</f>
        <v>1.0416666666666666E-2</v>
      </c>
      <c r="BQE91" s="76">
        <v>0.86944444444444446</v>
      </c>
      <c r="BQF91" s="76">
        <v>0.86944444444444446</v>
      </c>
      <c r="BQG91" s="77" t="str">
        <f t="shared" ref="BQG91:BSC91" si="47">IF(BQF91="","",IF(BQF91&gt;BQO91,"O","P"))</f>
        <v>O</v>
      </c>
      <c r="BQH91" s="74" t="s">
        <v>28</v>
      </c>
      <c r="BQI91" s="75" t="s">
        <v>23</v>
      </c>
      <c r="BQJ91" s="78">
        <f>IFERROR(VLOOKUP(BQI91,'[1]List KPI'!$M$3:$N$8,2,0),"")</f>
        <v>2.0833333333333332E-2</v>
      </c>
      <c r="BQK91" s="76">
        <v>0.89444444444444449</v>
      </c>
      <c r="BQL91" s="77" t="str">
        <f t="shared" ref="BQL91:BSH91" si="48">IF(BQK91="","",IF(BQK91&gt;BQP91,"O","P"))</f>
        <v>O</v>
      </c>
      <c r="BQM91" s="79">
        <v>5</v>
      </c>
      <c r="BQN91" s="75">
        <v>1276006</v>
      </c>
      <c r="BQO91" s="80"/>
      <c r="BQP91" s="81">
        <v>0.86944444444444446</v>
      </c>
      <c r="BQQ91" s="74" t="s">
        <v>27</v>
      </c>
      <c r="BQR91" s="74" t="s">
        <v>24</v>
      </c>
      <c r="BQS91" s="75" t="s">
        <v>25</v>
      </c>
      <c r="BQT91" s="76">
        <f>IFERROR(VLOOKUP(BQS91,'[1]List KPI'!$A$103:$F$118,6,0),"")</f>
        <v>1.0416666666666666E-2</v>
      </c>
      <c r="BQU91" s="76">
        <v>0.86944444444444446</v>
      </c>
      <c r="BQV91" s="76">
        <v>0.86944444444444446</v>
      </c>
      <c r="BQW91" s="77" t="str">
        <f t="shared" si="47"/>
        <v>O</v>
      </c>
      <c r="BQX91" s="74" t="s">
        <v>28</v>
      </c>
      <c r="BQY91" s="75" t="s">
        <v>23</v>
      </c>
      <c r="BQZ91" s="78">
        <f>IFERROR(VLOOKUP(BQY91,'[1]List KPI'!$M$3:$N$8,2,0),"")</f>
        <v>2.0833333333333332E-2</v>
      </c>
      <c r="BRA91" s="76">
        <v>0.89444444444444449</v>
      </c>
      <c r="BRB91" s="77" t="str">
        <f t="shared" si="48"/>
        <v>O</v>
      </c>
      <c r="BRC91" s="79">
        <v>5</v>
      </c>
      <c r="BRD91" s="75">
        <v>1276006</v>
      </c>
      <c r="BRE91" s="80"/>
      <c r="BRF91" s="81">
        <v>0.86944444444444446</v>
      </c>
      <c r="BRG91" s="74" t="s">
        <v>27</v>
      </c>
      <c r="BRH91" s="74" t="s">
        <v>24</v>
      </c>
      <c r="BRI91" s="75" t="s">
        <v>25</v>
      </c>
      <c r="BRJ91" s="76">
        <f>IFERROR(VLOOKUP(BRI91,'[1]List KPI'!$A$103:$F$118,6,0),"")</f>
        <v>1.0416666666666666E-2</v>
      </c>
      <c r="BRK91" s="76">
        <v>0.86944444444444446</v>
      </c>
      <c r="BRL91" s="76">
        <v>0.86944444444444446</v>
      </c>
      <c r="BRM91" s="77" t="str">
        <f t="shared" si="47"/>
        <v>O</v>
      </c>
      <c r="BRN91" s="74" t="s">
        <v>28</v>
      </c>
      <c r="BRO91" s="75" t="s">
        <v>23</v>
      </c>
      <c r="BRP91" s="78">
        <f>IFERROR(VLOOKUP(BRO91,'[1]List KPI'!$M$3:$N$8,2,0),"")</f>
        <v>2.0833333333333332E-2</v>
      </c>
      <c r="BRQ91" s="76">
        <v>0.89444444444444449</v>
      </c>
      <c r="BRR91" s="77" t="str">
        <f t="shared" si="48"/>
        <v>O</v>
      </c>
      <c r="BRS91" s="79">
        <v>5</v>
      </c>
      <c r="BRT91" s="75">
        <v>1276006</v>
      </c>
      <c r="BRU91" s="80"/>
      <c r="BRV91" s="81">
        <v>0.86944444444444446</v>
      </c>
      <c r="BRW91" s="74" t="s">
        <v>27</v>
      </c>
      <c r="BRX91" s="74" t="s">
        <v>24</v>
      </c>
      <c r="BRY91" s="75" t="s">
        <v>25</v>
      </c>
      <c r="BRZ91" s="76">
        <f>IFERROR(VLOOKUP(BRY91,'[1]List KPI'!$A$103:$F$118,6,0),"")</f>
        <v>1.0416666666666666E-2</v>
      </c>
      <c r="BSA91" s="76">
        <v>0.86944444444444446</v>
      </c>
      <c r="BSB91" s="76">
        <v>0.86944444444444446</v>
      </c>
      <c r="BSC91" s="77" t="str">
        <f t="shared" si="47"/>
        <v>O</v>
      </c>
      <c r="BSD91" s="74" t="s">
        <v>28</v>
      </c>
      <c r="BSE91" s="75" t="s">
        <v>23</v>
      </c>
      <c r="BSF91" s="78">
        <f>IFERROR(VLOOKUP(BSE91,'[1]List KPI'!$M$3:$N$8,2,0),"")</f>
        <v>2.0833333333333332E-2</v>
      </c>
      <c r="BSG91" s="76">
        <v>0.89444444444444449</v>
      </c>
      <c r="BSH91" s="77" t="str">
        <f t="shared" si="48"/>
        <v>O</v>
      </c>
      <c r="BSI91" s="79">
        <v>5</v>
      </c>
      <c r="BSJ91" s="75">
        <v>1276006</v>
      </c>
      <c r="BSK91" s="80"/>
      <c r="BSL91" s="81">
        <v>0.86944444444444446</v>
      </c>
      <c r="BSM91" s="74" t="s">
        <v>27</v>
      </c>
      <c r="BSN91" s="74" t="s">
        <v>24</v>
      </c>
      <c r="BSO91" s="75" t="s">
        <v>25</v>
      </c>
      <c r="BSP91" s="76">
        <f>IFERROR(VLOOKUP(BSO91,'[1]List KPI'!$A$103:$F$118,6,0),"")</f>
        <v>1.0416666666666666E-2</v>
      </c>
      <c r="BSQ91" s="76">
        <v>0.86944444444444446</v>
      </c>
      <c r="BSR91" s="76">
        <v>0.86944444444444446</v>
      </c>
      <c r="BSS91" s="77" t="str">
        <f t="shared" ref="BSS91:BUO91" si="49">IF(BSR91="","",IF(BSR91&gt;BTA91,"O","P"))</f>
        <v>O</v>
      </c>
      <c r="BST91" s="74" t="s">
        <v>28</v>
      </c>
      <c r="BSU91" s="75" t="s">
        <v>23</v>
      </c>
      <c r="BSV91" s="78">
        <f>IFERROR(VLOOKUP(BSU91,'[1]List KPI'!$M$3:$N$8,2,0),"")</f>
        <v>2.0833333333333332E-2</v>
      </c>
      <c r="BSW91" s="76">
        <v>0.89444444444444449</v>
      </c>
      <c r="BSX91" s="77" t="str">
        <f t="shared" ref="BSX91:BUT91" si="50">IF(BSW91="","",IF(BSW91&gt;BTB91,"O","P"))</f>
        <v>O</v>
      </c>
      <c r="BSY91" s="79">
        <v>5</v>
      </c>
      <c r="BSZ91" s="75">
        <v>1276006</v>
      </c>
      <c r="BTA91" s="80"/>
      <c r="BTB91" s="81">
        <v>0.86944444444444446</v>
      </c>
      <c r="BTC91" s="74" t="s">
        <v>27</v>
      </c>
      <c r="BTD91" s="74" t="s">
        <v>24</v>
      </c>
      <c r="BTE91" s="75" t="s">
        <v>25</v>
      </c>
      <c r="BTF91" s="76">
        <f>IFERROR(VLOOKUP(BTE91,'[1]List KPI'!$A$103:$F$118,6,0),"")</f>
        <v>1.0416666666666666E-2</v>
      </c>
      <c r="BTG91" s="76">
        <v>0.86944444444444446</v>
      </c>
      <c r="BTH91" s="76">
        <v>0.86944444444444446</v>
      </c>
      <c r="BTI91" s="77" t="str">
        <f t="shared" si="49"/>
        <v>O</v>
      </c>
      <c r="BTJ91" s="74" t="s">
        <v>28</v>
      </c>
      <c r="BTK91" s="75" t="s">
        <v>23</v>
      </c>
      <c r="BTL91" s="78">
        <f>IFERROR(VLOOKUP(BTK91,'[1]List KPI'!$M$3:$N$8,2,0),"")</f>
        <v>2.0833333333333332E-2</v>
      </c>
      <c r="BTM91" s="76">
        <v>0.89444444444444449</v>
      </c>
      <c r="BTN91" s="77" t="str">
        <f t="shared" si="50"/>
        <v>O</v>
      </c>
      <c r="BTO91" s="79">
        <v>5</v>
      </c>
      <c r="BTP91" s="75">
        <v>1276006</v>
      </c>
      <c r="BTQ91" s="80"/>
      <c r="BTR91" s="81">
        <v>0.86944444444444446</v>
      </c>
      <c r="BTS91" s="74" t="s">
        <v>27</v>
      </c>
      <c r="BTT91" s="74" t="s">
        <v>24</v>
      </c>
      <c r="BTU91" s="75" t="s">
        <v>25</v>
      </c>
      <c r="BTV91" s="76">
        <f>IFERROR(VLOOKUP(BTU91,'[1]List KPI'!$A$103:$F$118,6,0),"")</f>
        <v>1.0416666666666666E-2</v>
      </c>
      <c r="BTW91" s="76">
        <v>0.86944444444444446</v>
      </c>
      <c r="BTX91" s="76">
        <v>0.86944444444444446</v>
      </c>
      <c r="BTY91" s="77" t="str">
        <f t="shared" si="49"/>
        <v>O</v>
      </c>
      <c r="BTZ91" s="74" t="s">
        <v>28</v>
      </c>
      <c r="BUA91" s="75" t="s">
        <v>23</v>
      </c>
      <c r="BUB91" s="78">
        <f>IFERROR(VLOOKUP(BUA91,'[1]List KPI'!$M$3:$N$8,2,0),"")</f>
        <v>2.0833333333333332E-2</v>
      </c>
      <c r="BUC91" s="76">
        <v>0.89444444444444449</v>
      </c>
      <c r="BUD91" s="77" t="str">
        <f t="shared" si="50"/>
        <v>O</v>
      </c>
      <c r="BUE91" s="79">
        <v>5</v>
      </c>
      <c r="BUF91" s="75">
        <v>1276006</v>
      </c>
      <c r="BUG91" s="80"/>
      <c r="BUH91" s="81">
        <v>0.86944444444444446</v>
      </c>
      <c r="BUI91" s="74" t="s">
        <v>27</v>
      </c>
      <c r="BUJ91" s="74" t="s">
        <v>24</v>
      </c>
      <c r="BUK91" s="75" t="s">
        <v>25</v>
      </c>
      <c r="BUL91" s="76">
        <f>IFERROR(VLOOKUP(BUK91,'[1]List KPI'!$A$103:$F$118,6,0),"")</f>
        <v>1.0416666666666666E-2</v>
      </c>
      <c r="BUM91" s="76">
        <v>0.86944444444444446</v>
      </c>
      <c r="BUN91" s="76">
        <v>0.86944444444444446</v>
      </c>
      <c r="BUO91" s="77" t="str">
        <f t="shared" si="49"/>
        <v>O</v>
      </c>
      <c r="BUP91" s="74" t="s">
        <v>28</v>
      </c>
      <c r="BUQ91" s="75" t="s">
        <v>23</v>
      </c>
      <c r="BUR91" s="78">
        <f>IFERROR(VLOOKUP(BUQ91,'[1]List KPI'!$M$3:$N$8,2,0),"")</f>
        <v>2.0833333333333332E-2</v>
      </c>
      <c r="BUS91" s="76">
        <v>0.89444444444444449</v>
      </c>
      <c r="BUT91" s="77" t="str">
        <f t="shared" si="50"/>
        <v>O</v>
      </c>
      <c r="BUU91" s="79">
        <v>5</v>
      </c>
      <c r="BUV91" s="75">
        <v>1276006</v>
      </c>
      <c r="BUW91" s="80"/>
      <c r="BUX91" s="81">
        <v>0.86944444444444446</v>
      </c>
      <c r="BUY91" s="74" t="s">
        <v>27</v>
      </c>
      <c r="BUZ91" s="74" t="s">
        <v>24</v>
      </c>
      <c r="BVA91" s="75" t="s">
        <v>25</v>
      </c>
      <c r="BVB91" s="76">
        <f>IFERROR(VLOOKUP(BVA91,'[1]List KPI'!$A$103:$F$118,6,0),"")</f>
        <v>1.0416666666666666E-2</v>
      </c>
      <c r="BVC91" s="76">
        <v>0.86944444444444446</v>
      </c>
      <c r="BVD91" s="76">
        <v>0.86944444444444446</v>
      </c>
      <c r="BVE91" s="77" t="str">
        <f t="shared" ref="BVE91:BXA91" si="51">IF(BVD91="","",IF(BVD91&gt;BVM91,"O","P"))</f>
        <v>O</v>
      </c>
      <c r="BVF91" s="74" t="s">
        <v>28</v>
      </c>
      <c r="BVG91" s="75" t="s">
        <v>23</v>
      </c>
      <c r="BVH91" s="78">
        <f>IFERROR(VLOOKUP(BVG91,'[1]List KPI'!$M$3:$N$8,2,0),"")</f>
        <v>2.0833333333333332E-2</v>
      </c>
      <c r="BVI91" s="76">
        <v>0.89444444444444449</v>
      </c>
      <c r="BVJ91" s="77" t="str">
        <f t="shared" ref="BVJ91:BXF91" si="52">IF(BVI91="","",IF(BVI91&gt;BVN91,"O","P"))</f>
        <v>O</v>
      </c>
      <c r="BVK91" s="79">
        <v>5</v>
      </c>
      <c r="BVL91" s="75">
        <v>1276006</v>
      </c>
      <c r="BVM91" s="80"/>
      <c r="BVN91" s="81">
        <v>0.86944444444444446</v>
      </c>
      <c r="BVO91" s="74" t="s">
        <v>27</v>
      </c>
      <c r="BVP91" s="74" t="s">
        <v>24</v>
      </c>
      <c r="BVQ91" s="75" t="s">
        <v>25</v>
      </c>
      <c r="BVR91" s="76">
        <f>IFERROR(VLOOKUP(BVQ91,'[1]List KPI'!$A$103:$F$118,6,0),"")</f>
        <v>1.0416666666666666E-2</v>
      </c>
      <c r="BVS91" s="76">
        <v>0.86944444444444446</v>
      </c>
      <c r="BVT91" s="76">
        <v>0.86944444444444446</v>
      </c>
      <c r="BVU91" s="77" t="str">
        <f t="shared" si="51"/>
        <v>O</v>
      </c>
      <c r="BVV91" s="74" t="s">
        <v>28</v>
      </c>
      <c r="BVW91" s="75" t="s">
        <v>23</v>
      </c>
      <c r="BVX91" s="78">
        <f>IFERROR(VLOOKUP(BVW91,'[1]List KPI'!$M$3:$N$8,2,0),"")</f>
        <v>2.0833333333333332E-2</v>
      </c>
      <c r="BVY91" s="76">
        <v>0.89444444444444449</v>
      </c>
      <c r="BVZ91" s="77" t="str">
        <f t="shared" si="52"/>
        <v>O</v>
      </c>
      <c r="BWA91" s="79">
        <v>5</v>
      </c>
      <c r="BWB91" s="75">
        <v>1276006</v>
      </c>
      <c r="BWC91" s="80"/>
      <c r="BWD91" s="81">
        <v>0.86944444444444446</v>
      </c>
      <c r="BWE91" s="74" t="s">
        <v>27</v>
      </c>
      <c r="BWF91" s="74" t="s">
        <v>24</v>
      </c>
      <c r="BWG91" s="75" t="s">
        <v>25</v>
      </c>
      <c r="BWH91" s="76">
        <f>IFERROR(VLOOKUP(BWG91,'[1]List KPI'!$A$103:$F$118,6,0),"")</f>
        <v>1.0416666666666666E-2</v>
      </c>
      <c r="BWI91" s="76">
        <v>0.86944444444444446</v>
      </c>
      <c r="BWJ91" s="76">
        <v>0.86944444444444446</v>
      </c>
      <c r="BWK91" s="77" t="str">
        <f t="shared" si="51"/>
        <v>O</v>
      </c>
      <c r="BWL91" s="74" t="s">
        <v>28</v>
      </c>
      <c r="BWM91" s="75" t="s">
        <v>23</v>
      </c>
      <c r="BWN91" s="78">
        <f>IFERROR(VLOOKUP(BWM91,'[1]List KPI'!$M$3:$N$8,2,0),"")</f>
        <v>2.0833333333333332E-2</v>
      </c>
      <c r="BWO91" s="76">
        <v>0.89444444444444449</v>
      </c>
      <c r="BWP91" s="77" t="str">
        <f t="shared" si="52"/>
        <v>O</v>
      </c>
      <c r="BWQ91" s="79">
        <v>5</v>
      </c>
      <c r="BWR91" s="75">
        <v>1276006</v>
      </c>
      <c r="BWS91" s="80"/>
      <c r="BWT91" s="81">
        <v>0.86944444444444446</v>
      </c>
      <c r="BWU91" s="74" t="s">
        <v>27</v>
      </c>
      <c r="BWV91" s="74" t="s">
        <v>24</v>
      </c>
      <c r="BWW91" s="75" t="s">
        <v>25</v>
      </c>
      <c r="BWX91" s="76">
        <f>IFERROR(VLOOKUP(BWW91,'[1]List KPI'!$A$103:$F$118,6,0),"")</f>
        <v>1.0416666666666666E-2</v>
      </c>
      <c r="BWY91" s="76">
        <v>0.86944444444444446</v>
      </c>
      <c r="BWZ91" s="76">
        <v>0.86944444444444446</v>
      </c>
      <c r="BXA91" s="77" t="str">
        <f t="shared" si="51"/>
        <v>O</v>
      </c>
      <c r="BXB91" s="74" t="s">
        <v>28</v>
      </c>
      <c r="BXC91" s="75" t="s">
        <v>23</v>
      </c>
      <c r="BXD91" s="78">
        <f>IFERROR(VLOOKUP(BXC91,'[1]List KPI'!$M$3:$N$8,2,0),"")</f>
        <v>2.0833333333333332E-2</v>
      </c>
      <c r="BXE91" s="76">
        <v>0.89444444444444449</v>
      </c>
      <c r="BXF91" s="77" t="str">
        <f t="shared" si="52"/>
        <v>O</v>
      </c>
      <c r="BXG91" s="79">
        <v>5</v>
      </c>
      <c r="BXH91" s="75">
        <v>1276006</v>
      </c>
      <c r="BXI91" s="80"/>
      <c r="BXJ91" s="81">
        <v>0.86944444444444446</v>
      </c>
      <c r="BXK91" s="74" t="s">
        <v>27</v>
      </c>
      <c r="BXL91" s="74" t="s">
        <v>24</v>
      </c>
      <c r="BXM91" s="75" t="s">
        <v>25</v>
      </c>
      <c r="BXN91" s="76">
        <f>IFERROR(VLOOKUP(BXM91,'[1]List KPI'!$A$103:$F$118,6,0),"")</f>
        <v>1.0416666666666666E-2</v>
      </c>
      <c r="BXO91" s="76">
        <v>0.86944444444444446</v>
      </c>
      <c r="BXP91" s="76">
        <v>0.86944444444444446</v>
      </c>
      <c r="BXQ91" s="77" t="str">
        <f t="shared" ref="BXQ91:BZM91" si="53">IF(BXP91="","",IF(BXP91&gt;BXY91,"O","P"))</f>
        <v>O</v>
      </c>
      <c r="BXR91" s="74" t="s">
        <v>28</v>
      </c>
      <c r="BXS91" s="75" t="s">
        <v>23</v>
      </c>
      <c r="BXT91" s="78">
        <f>IFERROR(VLOOKUP(BXS91,'[1]List KPI'!$M$3:$N$8,2,0),"")</f>
        <v>2.0833333333333332E-2</v>
      </c>
      <c r="BXU91" s="76">
        <v>0.89444444444444449</v>
      </c>
      <c r="BXV91" s="77" t="str">
        <f t="shared" ref="BXV91:BZR91" si="54">IF(BXU91="","",IF(BXU91&gt;BXZ91,"O","P"))</f>
        <v>O</v>
      </c>
      <c r="BXW91" s="79">
        <v>5</v>
      </c>
      <c r="BXX91" s="75">
        <v>1276006</v>
      </c>
      <c r="BXY91" s="80"/>
      <c r="BXZ91" s="81">
        <v>0.86944444444444446</v>
      </c>
      <c r="BYA91" s="74" t="s">
        <v>27</v>
      </c>
      <c r="BYB91" s="74" t="s">
        <v>24</v>
      </c>
      <c r="BYC91" s="75" t="s">
        <v>25</v>
      </c>
      <c r="BYD91" s="76">
        <f>IFERROR(VLOOKUP(BYC91,'[1]List KPI'!$A$103:$F$118,6,0),"")</f>
        <v>1.0416666666666666E-2</v>
      </c>
      <c r="BYE91" s="76">
        <v>0.86944444444444446</v>
      </c>
      <c r="BYF91" s="76">
        <v>0.86944444444444446</v>
      </c>
      <c r="BYG91" s="77" t="str">
        <f t="shared" si="53"/>
        <v>O</v>
      </c>
      <c r="BYH91" s="74" t="s">
        <v>28</v>
      </c>
      <c r="BYI91" s="75" t="s">
        <v>23</v>
      </c>
      <c r="BYJ91" s="78">
        <f>IFERROR(VLOOKUP(BYI91,'[1]List KPI'!$M$3:$N$8,2,0),"")</f>
        <v>2.0833333333333332E-2</v>
      </c>
      <c r="BYK91" s="76">
        <v>0.89444444444444449</v>
      </c>
      <c r="BYL91" s="77" t="str">
        <f t="shared" si="54"/>
        <v>O</v>
      </c>
      <c r="BYM91" s="79">
        <v>5</v>
      </c>
      <c r="BYN91" s="75">
        <v>1276006</v>
      </c>
      <c r="BYO91" s="80"/>
      <c r="BYP91" s="81">
        <v>0.86944444444444446</v>
      </c>
      <c r="BYQ91" s="74" t="s">
        <v>27</v>
      </c>
      <c r="BYR91" s="74" t="s">
        <v>24</v>
      </c>
      <c r="BYS91" s="75" t="s">
        <v>25</v>
      </c>
      <c r="BYT91" s="76">
        <f>IFERROR(VLOOKUP(BYS91,'[1]List KPI'!$A$103:$F$118,6,0),"")</f>
        <v>1.0416666666666666E-2</v>
      </c>
      <c r="BYU91" s="76">
        <v>0.86944444444444446</v>
      </c>
      <c r="BYV91" s="76">
        <v>0.86944444444444446</v>
      </c>
      <c r="BYW91" s="77" t="str">
        <f t="shared" si="53"/>
        <v>O</v>
      </c>
      <c r="BYX91" s="74" t="s">
        <v>28</v>
      </c>
      <c r="BYY91" s="75" t="s">
        <v>23</v>
      </c>
      <c r="BYZ91" s="78">
        <f>IFERROR(VLOOKUP(BYY91,'[1]List KPI'!$M$3:$N$8,2,0),"")</f>
        <v>2.0833333333333332E-2</v>
      </c>
      <c r="BZA91" s="76">
        <v>0.89444444444444449</v>
      </c>
      <c r="BZB91" s="77" t="str">
        <f t="shared" si="54"/>
        <v>O</v>
      </c>
      <c r="BZC91" s="79">
        <v>5</v>
      </c>
      <c r="BZD91" s="75">
        <v>1276006</v>
      </c>
      <c r="BZE91" s="80"/>
      <c r="BZF91" s="81">
        <v>0.86944444444444446</v>
      </c>
      <c r="BZG91" s="74" t="s">
        <v>27</v>
      </c>
      <c r="BZH91" s="74" t="s">
        <v>24</v>
      </c>
      <c r="BZI91" s="75" t="s">
        <v>25</v>
      </c>
      <c r="BZJ91" s="76">
        <f>IFERROR(VLOOKUP(BZI91,'[1]List KPI'!$A$103:$F$118,6,0),"")</f>
        <v>1.0416666666666666E-2</v>
      </c>
      <c r="BZK91" s="76">
        <v>0.86944444444444446</v>
      </c>
      <c r="BZL91" s="76">
        <v>0.86944444444444446</v>
      </c>
      <c r="BZM91" s="77" t="str">
        <f t="shared" si="53"/>
        <v>O</v>
      </c>
      <c r="BZN91" s="74" t="s">
        <v>28</v>
      </c>
      <c r="BZO91" s="75" t="s">
        <v>23</v>
      </c>
      <c r="BZP91" s="78">
        <f>IFERROR(VLOOKUP(BZO91,'[1]List KPI'!$M$3:$N$8,2,0),"")</f>
        <v>2.0833333333333332E-2</v>
      </c>
      <c r="BZQ91" s="76">
        <v>0.89444444444444449</v>
      </c>
      <c r="BZR91" s="77" t="str">
        <f t="shared" si="54"/>
        <v>O</v>
      </c>
      <c r="BZS91" s="79">
        <v>5</v>
      </c>
      <c r="BZT91" s="75">
        <v>1276006</v>
      </c>
      <c r="BZU91" s="80"/>
      <c r="BZV91" s="81">
        <v>0.86944444444444446</v>
      </c>
      <c r="BZW91" s="74" t="s">
        <v>27</v>
      </c>
      <c r="BZX91" s="74" t="s">
        <v>24</v>
      </c>
      <c r="BZY91" s="75" t="s">
        <v>25</v>
      </c>
      <c r="BZZ91" s="76">
        <f>IFERROR(VLOOKUP(BZY91,'[1]List KPI'!$A$103:$F$118,6,0),"")</f>
        <v>1.0416666666666666E-2</v>
      </c>
      <c r="CAA91" s="76">
        <v>0.86944444444444446</v>
      </c>
      <c r="CAB91" s="76">
        <v>0.86944444444444446</v>
      </c>
      <c r="CAC91" s="77" t="str">
        <f t="shared" ref="CAC91:CBY91" si="55">IF(CAB91="","",IF(CAB91&gt;CAK91,"O","P"))</f>
        <v>O</v>
      </c>
      <c r="CAD91" s="74" t="s">
        <v>28</v>
      </c>
      <c r="CAE91" s="75" t="s">
        <v>23</v>
      </c>
      <c r="CAF91" s="78">
        <f>IFERROR(VLOOKUP(CAE91,'[1]List KPI'!$M$3:$N$8,2,0),"")</f>
        <v>2.0833333333333332E-2</v>
      </c>
      <c r="CAG91" s="76">
        <v>0.89444444444444449</v>
      </c>
      <c r="CAH91" s="77" t="str">
        <f t="shared" ref="CAH91:CCD91" si="56">IF(CAG91="","",IF(CAG91&gt;CAL91,"O","P"))</f>
        <v>O</v>
      </c>
      <c r="CAI91" s="79">
        <v>5</v>
      </c>
      <c r="CAJ91" s="75">
        <v>1276006</v>
      </c>
      <c r="CAK91" s="80"/>
      <c r="CAL91" s="81">
        <v>0.86944444444444446</v>
      </c>
      <c r="CAM91" s="74" t="s">
        <v>27</v>
      </c>
      <c r="CAN91" s="74" t="s">
        <v>24</v>
      </c>
      <c r="CAO91" s="75" t="s">
        <v>25</v>
      </c>
      <c r="CAP91" s="76">
        <f>IFERROR(VLOOKUP(CAO91,'[1]List KPI'!$A$103:$F$118,6,0),"")</f>
        <v>1.0416666666666666E-2</v>
      </c>
      <c r="CAQ91" s="76">
        <v>0.86944444444444446</v>
      </c>
      <c r="CAR91" s="76">
        <v>0.86944444444444446</v>
      </c>
      <c r="CAS91" s="77" t="str">
        <f t="shared" si="55"/>
        <v>O</v>
      </c>
      <c r="CAT91" s="74" t="s">
        <v>28</v>
      </c>
      <c r="CAU91" s="75" t="s">
        <v>23</v>
      </c>
      <c r="CAV91" s="78">
        <f>IFERROR(VLOOKUP(CAU91,'[1]List KPI'!$M$3:$N$8,2,0),"")</f>
        <v>2.0833333333333332E-2</v>
      </c>
      <c r="CAW91" s="76">
        <v>0.89444444444444449</v>
      </c>
      <c r="CAX91" s="77" t="str">
        <f t="shared" si="56"/>
        <v>O</v>
      </c>
      <c r="CAY91" s="79">
        <v>5</v>
      </c>
      <c r="CAZ91" s="75">
        <v>1276006</v>
      </c>
      <c r="CBA91" s="80"/>
      <c r="CBB91" s="81">
        <v>0.86944444444444446</v>
      </c>
      <c r="CBC91" s="74" t="s">
        <v>27</v>
      </c>
      <c r="CBD91" s="74" t="s">
        <v>24</v>
      </c>
      <c r="CBE91" s="75" t="s">
        <v>25</v>
      </c>
      <c r="CBF91" s="76">
        <f>IFERROR(VLOOKUP(CBE91,'[1]List KPI'!$A$103:$F$118,6,0),"")</f>
        <v>1.0416666666666666E-2</v>
      </c>
      <c r="CBG91" s="76">
        <v>0.86944444444444446</v>
      </c>
      <c r="CBH91" s="76">
        <v>0.86944444444444446</v>
      </c>
      <c r="CBI91" s="77" t="str">
        <f t="shared" si="55"/>
        <v>O</v>
      </c>
      <c r="CBJ91" s="74" t="s">
        <v>28</v>
      </c>
      <c r="CBK91" s="75" t="s">
        <v>23</v>
      </c>
      <c r="CBL91" s="78">
        <f>IFERROR(VLOOKUP(CBK91,'[1]List KPI'!$M$3:$N$8,2,0),"")</f>
        <v>2.0833333333333332E-2</v>
      </c>
      <c r="CBM91" s="76">
        <v>0.89444444444444449</v>
      </c>
      <c r="CBN91" s="77" t="str">
        <f t="shared" si="56"/>
        <v>O</v>
      </c>
      <c r="CBO91" s="79">
        <v>5</v>
      </c>
      <c r="CBP91" s="75">
        <v>1276006</v>
      </c>
      <c r="CBQ91" s="80"/>
      <c r="CBR91" s="81">
        <v>0.86944444444444446</v>
      </c>
      <c r="CBS91" s="74" t="s">
        <v>27</v>
      </c>
      <c r="CBT91" s="74" t="s">
        <v>24</v>
      </c>
      <c r="CBU91" s="75" t="s">
        <v>25</v>
      </c>
      <c r="CBV91" s="76">
        <f>IFERROR(VLOOKUP(CBU91,'[1]List KPI'!$A$103:$F$118,6,0),"")</f>
        <v>1.0416666666666666E-2</v>
      </c>
      <c r="CBW91" s="76">
        <v>0.86944444444444446</v>
      </c>
      <c r="CBX91" s="76">
        <v>0.86944444444444446</v>
      </c>
      <c r="CBY91" s="77" t="str">
        <f t="shared" si="55"/>
        <v>O</v>
      </c>
      <c r="CBZ91" s="74" t="s">
        <v>28</v>
      </c>
      <c r="CCA91" s="75" t="s">
        <v>23</v>
      </c>
      <c r="CCB91" s="78">
        <f>IFERROR(VLOOKUP(CCA91,'[1]List KPI'!$M$3:$N$8,2,0),"")</f>
        <v>2.0833333333333332E-2</v>
      </c>
      <c r="CCC91" s="76">
        <v>0.89444444444444449</v>
      </c>
      <c r="CCD91" s="77" t="str">
        <f t="shared" si="56"/>
        <v>O</v>
      </c>
      <c r="CCE91" s="79">
        <v>5</v>
      </c>
      <c r="CCF91" s="75">
        <v>1276006</v>
      </c>
      <c r="CCG91" s="80"/>
      <c r="CCH91" s="81">
        <v>0.86944444444444446</v>
      </c>
      <c r="CCI91" s="74" t="s">
        <v>27</v>
      </c>
      <c r="CCJ91" s="74" t="s">
        <v>24</v>
      </c>
      <c r="CCK91" s="75" t="s">
        <v>25</v>
      </c>
      <c r="CCL91" s="76">
        <f>IFERROR(VLOOKUP(CCK91,'[1]List KPI'!$A$103:$F$118,6,0),"")</f>
        <v>1.0416666666666666E-2</v>
      </c>
      <c r="CCM91" s="76">
        <v>0.86944444444444446</v>
      </c>
      <c r="CCN91" s="76">
        <v>0.86944444444444446</v>
      </c>
      <c r="CCO91" s="77" t="str">
        <f t="shared" ref="CCO91:CEK91" si="57">IF(CCN91="","",IF(CCN91&gt;CCW91,"O","P"))</f>
        <v>O</v>
      </c>
      <c r="CCP91" s="74" t="s">
        <v>28</v>
      </c>
      <c r="CCQ91" s="75" t="s">
        <v>23</v>
      </c>
      <c r="CCR91" s="78">
        <f>IFERROR(VLOOKUP(CCQ91,'[1]List KPI'!$M$3:$N$8,2,0),"")</f>
        <v>2.0833333333333332E-2</v>
      </c>
      <c r="CCS91" s="76">
        <v>0.89444444444444449</v>
      </c>
      <c r="CCT91" s="77" t="str">
        <f t="shared" ref="CCT91:CEP91" si="58">IF(CCS91="","",IF(CCS91&gt;CCX91,"O","P"))</f>
        <v>O</v>
      </c>
      <c r="CCU91" s="79">
        <v>5</v>
      </c>
      <c r="CCV91" s="75">
        <v>1276006</v>
      </c>
      <c r="CCW91" s="80"/>
      <c r="CCX91" s="81">
        <v>0.86944444444444446</v>
      </c>
      <c r="CCY91" s="74" t="s">
        <v>27</v>
      </c>
      <c r="CCZ91" s="74" t="s">
        <v>24</v>
      </c>
      <c r="CDA91" s="75" t="s">
        <v>25</v>
      </c>
      <c r="CDB91" s="76">
        <f>IFERROR(VLOOKUP(CDA91,'[1]List KPI'!$A$103:$F$118,6,0),"")</f>
        <v>1.0416666666666666E-2</v>
      </c>
      <c r="CDC91" s="76">
        <v>0.86944444444444446</v>
      </c>
      <c r="CDD91" s="76">
        <v>0.86944444444444446</v>
      </c>
      <c r="CDE91" s="77" t="str">
        <f t="shared" si="57"/>
        <v>O</v>
      </c>
      <c r="CDF91" s="74" t="s">
        <v>28</v>
      </c>
      <c r="CDG91" s="75" t="s">
        <v>23</v>
      </c>
      <c r="CDH91" s="78">
        <f>IFERROR(VLOOKUP(CDG91,'[1]List KPI'!$M$3:$N$8,2,0),"")</f>
        <v>2.0833333333333332E-2</v>
      </c>
      <c r="CDI91" s="76">
        <v>0.89444444444444449</v>
      </c>
      <c r="CDJ91" s="77" t="str">
        <f t="shared" si="58"/>
        <v>O</v>
      </c>
      <c r="CDK91" s="79">
        <v>5</v>
      </c>
      <c r="CDL91" s="75">
        <v>1276006</v>
      </c>
      <c r="CDM91" s="80"/>
      <c r="CDN91" s="81">
        <v>0.86944444444444446</v>
      </c>
      <c r="CDO91" s="74" t="s">
        <v>27</v>
      </c>
      <c r="CDP91" s="74" t="s">
        <v>24</v>
      </c>
      <c r="CDQ91" s="75" t="s">
        <v>25</v>
      </c>
      <c r="CDR91" s="76">
        <f>IFERROR(VLOOKUP(CDQ91,'[1]List KPI'!$A$103:$F$118,6,0),"")</f>
        <v>1.0416666666666666E-2</v>
      </c>
      <c r="CDS91" s="76">
        <v>0.86944444444444446</v>
      </c>
      <c r="CDT91" s="76">
        <v>0.86944444444444446</v>
      </c>
      <c r="CDU91" s="77" t="str">
        <f t="shared" si="57"/>
        <v>O</v>
      </c>
      <c r="CDV91" s="74" t="s">
        <v>28</v>
      </c>
      <c r="CDW91" s="75" t="s">
        <v>23</v>
      </c>
      <c r="CDX91" s="78">
        <f>IFERROR(VLOOKUP(CDW91,'[1]List KPI'!$M$3:$N$8,2,0),"")</f>
        <v>2.0833333333333332E-2</v>
      </c>
      <c r="CDY91" s="76">
        <v>0.89444444444444449</v>
      </c>
      <c r="CDZ91" s="77" t="str">
        <f t="shared" si="58"/>
        <v>O</v>
      </c>
      <c r="CEA91" s="79">
        <v>5</v>
      </c>
      <c r="CEB91" s="75">
        <v>1276006</v>
      </c>
      <c r="CEC91" s="80"/>
      <c r="CED91" s="81">
        <v>0.86944444444444446</v>
      </c>
      <c r="CEE91" s="74" t="s">
        <v>27</v>
      </c>
      <c r="CEF91" s="74" t="s">
        <v>24</v>
      </c>
      <c r="CEG91" s="75" t="s">
        <v>25</v>
      </c>
      <c r="CEH91" s="76">
        <f>IFERROR(VLOOKUP(CEG91,'[1]List KPI'!$A$103:$F$118,6,0),"")</f>
        <v>1.0416666666666666E-2</v>
      </c>
      <c r="CEI91" s="76">
        <v>0.86944444444444446</v>
      </c>
      <c r="CEJ91" s="76">
        <v>0.86944444444444446</v>
      </c>
      <c r="CEK91" s="77" t="str">
        <f t="shared" si="57"/>
        <v>O</v>
      </c>
      <c r="CEL91" s="74" t="s">
        <v>28</v>
      </c>
      <c r="CEM91" s="75" t="s">
        <v>23</v>
      </c>
      <c r="CEN91" s="78">
        <f>IFERROR(VLOOKUP(CEM91,'[1]List KPI'!$M$3:$N$8,2,0),"")</f>
        <v>2.0833333333333332E-2</v>
      </c>
      <c r="CEO91" s="76">
        <v>0.89444444444444449</v>
      </c>
      <c r="CEP91" s="77" t="str">
        <f t="shared" si="58"/>
        <v>O</v>
      </c>
      <c r="CEQ91" s="79">
        <v>5</v>
      </c>
      <c r="CER91" s="75">
        <v>1276006</v>
      </c>
      <c r="CES91" s="80"/>
      <c r="CET91" s="81">
        <v>0.86944444444444446</v>
      </c>
      <c r="CEU91" s="74" t="s">
        <v>27</v>
      </c>
      <c r="CEV91" s="74" t="s">
        <v>24</v>
      </c>
      <c r="CEW91" s="75" t="s">
        <v>25</v>
      </c>
      <c r="CEX91" s="76">
        <f>IFERROR(VLOOKUP(CEW91,'[1]List KPI'!$A$103:$F$118,6,0),"")</f>
        <v>1.0416666666666666E-2</v>
      </c>
      <c r="CEY91" s="76">
        <v>0.86944444444444446</v>
      </c>
      <c r="CEZ91" s="76">
        <v>0.86944444444444446</v>
      </c>
      <c r="CFA91" s="77" t="str">
        <f t="shared" ref="CFA91:CGW91" si="59">IF(CEZ91="","",IF(CEZ91&gt;CFI91,"O","P"))</f>
        <v>O</v>
      </c>
      <c r="CFB91" s="74" t="s">
        <v>28</v>
      </c>
      <c r="CFC91" s="75" t="s">
        <v>23</v>
      </c>
      <c r="CFD91" s="78">
        <f>IFERROR(VLOOKUP(CFC91,'[1]List KPI'!$M$3:$N$8,2,0),"")</f>
        <v>2.0833333333333332E-2</v>
      </c>
      <c r="CFE91" s="76">
        <v>0.89444444444444449</v>
      </c>
      <c r="CFF91" s="77" t="str">
        <f t="shared" ref="CFF91:CHB91" si="60">IF(CFE91="","",IF(CFE91&gt;CFJ91,"O","P"))</f>
        <v>O</v>
      </c>
      <c r="CFG91" s="79">
        <v>5</v>
      </c>
      <c r="CFH91" s="75">
        <v>1276006</v>
      </c>
      <c r="CFI91" s="80"/>
      <c r="CFJ91" s="81">
        <v>0.86944444444444446</v>
      </c>
      <c r="CFK91" s="74" t="s">
        <v>27</v>
      </c>
      <c r="CFL91" s="74" t="s">
        <v>24</v>
      </c>
      <c r="CFM91" s="75" t="s">
        <v>25</v>
      </c>
      <c r="CFN91" s="76">
        <f>IFERROR(VLOOKUP(CFM91,'[1]List KPI'!$A$103:$F$118,6,0),"")</f>
        <v>1.0416666666666666E-2</v>
      </c>
      <c r="CFO91" s="76">
        <v>0.86944444444444446</v>
      </c>
      <c r="CFP91" s="76">
        <v>0.86944444444444446</v>
      </c>
      <c r="CFQ91" s="77" t="str">
        <f t="shared" si="59"/>
        <v>O</v>
      </c>
      <c r="CFR91" s="74" t="s">
        <v>28</v>
      </c>
      <c r="CFS91" s="75" t="s">
        <v>23</v>
      </c>
      <c r="CFT91" s="78">
        <f>IFERROR(VLOOKUP(CFS91,'[1]List KPI'!$M$3:$N$8,2,0),"")</f>
        <v>2.0833333333333332E-2</v>
      </c>
      <c r="CFU91" s="76">
        <v>0.89444444444444449</v>
      </c>
      <c r="CFV91" s="77" t="str">
        <f t="shared" si="60"/>
        <v>O</v>
      </c>
      <c r="CFW91" s="79">
        <v>5</v>
      </c>
      <c r="CFX91" s="75">
        <v>1276006</v>
      </c>
      <c r="CFY91" s="80"/>
      <c r="CFZ91" s="81">
        <v>0.86944444444444446</v>
      </c>
      <c r="CGA91" s="74" t="s">
        <v>27</v>
      </c>
      <c r="CGB91" s="74" t="s">
        <v>24</v>
      </c>
      <c r="CGC91" s="75" t="s">
        <v>25</v>
      </c>
      <c r="CGD91" s="76">
        <f>IFERROR(VLOOKUP(CGC91,'[1]List KPI'!$A$103:$F$118,6,0),"")</f>
        <v>1.0416666666666666E-2</v>
      </c>
      <c r="CGE91" s="76">
        <v>0.86944444444444446</v>
      </c>
      <c r="CGF91" s="76">
        <v>0.86944444444444446</v>
      </c>
      <c r="CGG91" s="77" t="str">
        <f t="shared" si="59"/>
        <v>O</v>
      </c>
      <c r="CGH91" s="74" t="s">
        <v>28</v>
      </c>
      <c r="CGI91" s="75" t="s">
        <v>23</v>
      </c>
      <c r="CGJ91" s="78">
        <f>IFERROR(VLOOKUP(CGI91,'[1]List KPI'!$M$3:$N$8,2,0),"")</f>
        <v>2.0833333333333332E-2</v>
      </c>
      <c r="CGK91" s="76">
        <v>0.89444444444444449</v>
      </c>
      <c r="CGL91" s="77" t="str">
        <f t="shared" si="60"/>
        <v>O</v>
      </c>
      <c r="CGM91" s="79">
        <v>5</v>
      </c>
      <c r="CGN91" s="75">
        <v>1276006</v>
      </c>
      <c r="CGO91" s="80"/>
      <c r="CGP91" s="81">
        <v>0.86944444444444446</v>
      </c>
      <c r="CGQ91" s="74" t="s">
        <v>27</v>
      </c>
      <c r="CGR91" s="74" t="s">
        <v>24</v>
      </c>
      <c r="CGS91" s="75" t="s">
        <v>25</v>
      </c>
      <c r="CGT91" s="76">
        <f>IFERROR(VLOOKUP(CGS91,'[1]List KPI'!$A$103:$F$118,6,0),"")</f>
        <v>1.0416666666666666E-2</v>
      </c>
      <c r="CGU91" s="76">
        <v>0.86944444444444446</v>
      </c>
      <c r="CGV91" s="76">
        <v>0.86944444444444446</v>
      </c>
      <c r="CGW91" s="77" t="str">
        <f t="shared" si="59"/>
        <v>O</v>
      </c>
      <c r="CGX91" s="74" t="s">
        <v>28</v>
      </c>
      <c r="CGY91" s="75" t="s">
        <v>23</v>
      </c>
      <c r="CGZ91" s="78">
        <f>IFERROR(VLOOKUP(CGY91,'[1]List KPI'!$M$3:$N$8,2,0),"")</f>
        <v>2.0833333333333332E-2</v>
      </c>
      <c r="CHA91" s="76">
        <v>0.89444444444444449</v>
      </c>
      <c r="CHB91" s="77" t="str">
        <f t="shared" si="60"/>
        <v>O</v>
      </c>
      <c r="CHC91" s="79">
        <v>5</v>
      </c>
      <c r="CHD91" s="75">
        <v>1276006</v>
      </c>
      <c r="CHE91" s="80"/>
      <c r="CHF91" s="81">
        <v>0.86944444444444446</v>
      </c>
      <c r="CHG91" s="74" t="s">
        <v>27</v>
      </c>
      <c r="CHH91" s="74" t="s">
        <v>24</v>
      </c>
      <c r="CHI91" s="75" t="s">
        <v>25</v>
      </c>
      <c r="CHJ91" s="76">
        <f>IFERROR(VLOOKUP(CHI91,'[1]List KPI'!$A$103:$F$118,6,0),"")</f>
        <v>1.0416666666666666E-2</v>
      </c>
      <c r="CHK91" s="76">
        <v>0.86944444444444446</v>
      </c>
      <c r="CHL91" s="76">
        <v>0.86944444444444446</v>
      </c>
      <c r="CHM91" s="77" t="str">
        <f t="shared" ref="CHM91:CJI91" si="61">IF(CHL91="","",IF(CHL91&gt;CHU91,"O","P"))</f>
        <v>O</v>
      </c>
      <c r="CHN91" s="74" t="s">
        <v>28</v>
      </c>
      <c r="CHO91" s="75" t="s">
        <v>23</v>
      </c>
      <c r="CHP91" s="78">
        <f>IFERROR(VLOOKUP(CHO91,'[1]List KPI'!$M$3:$N$8,2,0),"")</f>
        <v>2.0833333333333332E-2</v>
      </c>
      <c r="CHQ91" s="76">
        <v>0.89444444444444449</v>
      </c>
      <c r="CHR91" s="77" t="str">
        <f t="shared" ref="CHR91:CJN91" si="62">IF(CHQ91="","",IF(CHQ91&gt;CHV91,"O","P"))</f>
        <v>O</v>
      </c>
      <c r="CHS91" s="79">
        <v>5</v>
      </c>
      <c r="CHT91" s="75">
        <v>1276006</v>
      </c>
      <c r="CHU91" s="80"/>
      <c r="CHV91" s="81">
        <v>0.86944444444444446</v>
      </c>
      <c r="CHW91" s="74" t="s">
        <v>27</v>
      </c>
      <c r="CHX91" s="74" t="s">
        <v>24</v>
      </c>
      <c r="CHY91" s="75" t="s">
        <v>25</v>
      </c>
      <c r="CHZ91" s="76">
        <f>IFERROR(VLOOKUP(CHY91,'[1]List KPI'!$A$103:$F$118,6,0),"")</f>
        <v>1.0416666666666666E-2</v>
      </c>
      <c r="CIA91" s="76">
        <v>0.86944444444444446</v>
      </c>
      <c r="CIB91" s="76">
        <v>0.86944444444444446</v>
      </c>
      <c r="CIC91" s="77" t="str">
        <f t="shared" si="61"/>
        <v>O</v>
      </c>
      <c r="CID91" s="74" t="s">
        <v>28</v>
      </c>
      <c r="CIE91" s="75" t="s">
        <v>23</v>
      </c>
      <c r="CIF91" s="78">
        <f>IFERROR(VLOOKUP(CIE91,'[1]List KPI'!$M$3:$N$8,2,0),"")</f>
        <v>2.0833333333333332E-2</v>
      </c>
      <c r="CIG91" s="76">
        <v>0.89444444444444449</v>
      </c>
      <c r="CIH91" s="77" t="str">
        <f t="shared" si="62"/>
        <v>O</v>
      </c>
      <c r="CII91" s="79">
        <v>5</v>
      </c>
      <c r="CIJ91" s="75">
        <v>1276006</v>
      </c>
      <c r="CIK91" s="80"/>
      <c r="CIL91" s="81">
        <v>0.86944444444444446</v>
      </c>
      <c r="CIM91" s="74" t="s">
        <v>27</v>
      </c>
      <c r="CIN91" s="74" t="s">
        <v>24</v>
      </c>
      <c r="CIO91" s="75" t="s">
        <v>25</v>
      </c>
      <c r="CIP91" s="76">
        <f>IFERROR(VLOOKUP(CIO91,'[1]List KPI'!$A$103:$F$118,6,0),"")</f>
        <v>1.0416666666666666E-2</v>
      </c>
      <c r="CIQ91" s="76">
        <v>0.86944444444444446</v>
      </c>
      <c r="CIR91" s="76">
        <v>0.86944444444444446</v>
      </c>
      <c r="CIS91" s="77" t="str">
        <f t="shared" si="61"/>
        <v>O</v>
      </c>
      <c r="CIT91" s="74" t="s">
        <v>28</v>
      </c>
      <c r="CIU91" s="75" t="s">
        <v>23</v>
      </c>
      <c r="CIV91" s="78">
        <f>IFERROR(VLOOKUP(CIU91,'[1]List KPI'!$M$3:$N$8,2,0),"")</f>
        <v>2.0833333333333332E-2</v>
      </c>
      <c r="CIW91" s="76">
        <v>0.89444444444444449</v>
      </c>
      <c r="CIX91" s="77" t="str">
        <f t="shared" si="62"/>
        <v>O</v>
      </c>
      <c r="CIY91" s="79">
        <v>5</v>
      </c>
      <c r="CIZ91" s="75">
        <v>1276006</v>
      </c>
      <c r="CJA91" s="80"/>
      <c r="CJB91" s="81">
        <v>0.86944444444444446</v>
      </c>
      <c r="CJC91" s="74" t="s">
        <v>27</v>
      </c>
      <c r="CJD91" s="74" t="s">
        <v>24</v>
      </c>
      <c r="CJE91" s="75" t="s">
        <v>25</v>
      </c>
      <c r="CJF91" s="76">
        <f>IFERROR(VLOOKUP(CJE91,'[1]List KPI'!$A$103:$F$118,6,0),"")</f>
        <v>1.0416666666666666E-2</v>
      </c>
      <c r="CJG91" s="76">
        <v>0.86944444444444446</v>
      </c>
      <c r="CJH91" s="76">
        <v>0.86944444444444446</v>
      </c>
      <c r="CJI91" s="77" t="str">
        <f t="shared" si="61"/>
        <v>O</v>
      </c>
      <c r="CJJ91" s="74" t="s">
        <v>28</v>
      </c>
      <c r="CJK91" s="75" t="s">
        <v>23</v>
      </c>
      <c r="CJL91" s="78">
        <f>IFERROR(VLOOKUP(CJK91,'[1]List KPI'!$M$3:$N$8,2,0),"")</f>
        <v>2.0833333333333332E-2</v>
      </c>
      <c r="CJM91" s="76">
        <v>0.89444444444444449</v>
      </c>
      <c r="CJN91" s="77" t="str">
        <f t="shared" si="62"/>
        <v>O</v>
      </c>
      <c r="CJO91" s="79">
        <v>5</v>
      </c>
      <c r="CJP91" s="75">
        <v>1276006</v>
      </c>
      <c r="CJQ91" s="80"/>
      <c r="CJR91" s="81">
        <v>0.86944444444444446</v>
      </c>
      <c r="CJS91" s="74" t="s">
        <v>27</v>
      </c>
      <c r="CJT91" s="74" t="s">
        <v>24</v>
      </c>
      <c r="CJU91" s="75" t="s">
        <v>25</v>
      </c>
      <c r="CJV91" s="76">
        <f>IFERROR(VLOOKUP(CJU91,'[1]List KPI'!$A$103:$F$118,6,0),"")</f>
        <v>1.0416666666666666E-2</v>
      </c>
      <c r="CJW91" s="76">
        <v>0.86944444444444446</v>
      </c>
      <c r="CJX91" s="76">
        <v>0.86944444444444446</v>
      </c>
      <c r="CJY91" s="77" t="str">
        <f t="shared" ref="CJY91:CLU91" si="63">IF(CJX91="","",IF(CJX91&gt;CKG91,"O","P"))</f>
        <v>O</v>
      </c>
      <c r="CJZ91" s="74" t="s">
        <v>28</v>
      </c>
      <c r="CKA91" s="75" t="s">
        <v>23</v>
      </c>
      <c r="CKB91" s="78">
        <f>IFERROR(VLOOKUP(CKA91,'[1]List KPI'!$M$3:$N$8,2,0),"")</f>
        <v>2.0833333333333332E-2</v>
      </c>
      <c r="CKC91" s="76">
        <v>0.89444444444444449</v>
      </c>
      <c r="CKD91" s="77" t="str">
        <f t="shared" ref="CKD91:CLZ91" si="64">IF(CKC91="","",IF(CKC91&gt;CKH91,"O","P"))</f>
        <v>O</v>
      </c>
      <c r="CKE91" s="79">
        <v>5</v>
      </c>
      <c r="CKF91" s="75">
        <v>1276006</v>
      </c>
      <c r="CKG91" s="80"/>
      <c r="CKH91" s="81">
        <v>0.86944444444444446</v>
      </c>
      <c r="CKI91" s="74" t="s">
        <v>27</v>
      </c>
      <c r="CKJ91" s="74" t="s">
        <v>24</v>
      </c>
      <c r="CKK91" s="75" t="s">
        <v>25</v>
      </c>
      <c r="CKL91" s="76">
        <f>IFERROR(VLOOKUP(CKK91,'[1]List KPI'!$A$103:$F$118,6,0),"")</f>
        <v>1.0416666666666666E-2</v>
      </c>
      <c r="CKM91" s="76">
        <v>0.86944444444444446</v>
      </c>
      <c r="CKN91" s="76">
        <v>0.86944444444444446</v>
      </c>
      <c r="CKO91" s="77" t="str">
        <f t="shared" si="63"/>
        <v>O</v>
      </c>
      <c r="CKP91" s="74" t="s">
        <v>28</v>
      </c>
      <c r="CKQ91" s="75" t="s">
        <v>23</v>
      </c>
      <c r="CKR91" s="78">
        <f>IFERROR(VLOOKUP(CKQ91,'[1]List KPI'!$M$3:$N$8,2,0),"")</f>
        <v>2.0833333333333332E-2</v>
      </c>
      <c r="CKS91" s="76">
        <v>0.89444444444444449</v>
      </c>
      <c r="CKT91" s="77" t="str">
        <f t="shared" si="64"/>
        <v>O</v>
      </c>
      <c r="CKU91" s="79">
        <v>5</v>
      </c>
      <c r="CKV91" s="75">
        <v>1276006</v>
      </c>
      <c r="CKW91" s="80"/>
      <c r="CKX91" s="81">
        <v>0.86944444444444446</v>
      </c>
      <c r="CKY91" s="74" t="s">
        <v>27</v>
      </c>
      <c r="CKZ91" s="74" t="s">
        <v>24</v>
      </c>
      <c r="CLA91" s="75" t="s">
        <v>25</v>
      </c>
      <c r="CLB91" s="76">
        <f>IFERROR(VLOOKUP(CLA91,'[1]List KPI'!$A$103:$F$118,6,0),"")</f>
        <v>1.0416666666666666E-2</v>
      </c>
      <c r="CLC91" s="76">
        <v>0.86944444444444446</v>
      </c>
      <c r="CLD91" s="76">
        <v>0.86944444444444446</v>
      </c>
      <c r="CLE91" s="77" t="str">
        <f t="shared" si="63"/>
        <v>O</v>
      </c>
      <c r="CLF91" s="74" t="s">
        <v>28</v>
      </c>
      <c r="CLG91" s="75" t="s">
        <v>23</v>
      </c>
      <c r="CLH91" s="78">
        <f>IFERROR(VLOOKUP(CLG91,'[1]List KPI'!$M$3:$N$8,2,0),"")</f>
        <v>2.0833333333333332E-2</v>
      </c>
      <c r="CLI91" s="76">
        <v>0.89444444444444449</v>
      </c>
      <c r="CLJ91" s="77" t="str">
        <f t="shared" si="64"/>
        <v>O</v>
      </c>
      <c r="CLK91" s="79">
        <v>5</v>
      </c>
      <c r="CLL91" s="75">
        <v>1276006</v>
      </c>
      <c r="CLM91" s="80"/>
      <c r="CLN91" s="81">
        <v>0.86944444444444446</v>
      </c>
      <c r="CLO91" s="74" t="s">
        <v>27</v>
      </c>
      <c r="CLP91" s="74" t="s">
        <v>24</v>
      </c>
      <c r="CLQ91" s="75" t="s">
        <v>25</v>
      </c>
      <c r="CLR91" s="76">
        <f>IFERROR(VLOOKUP(CLQ91,'[1]List KPI'!$A$103:$F$118,6,0),"")</f>
        <v>1.0416666666666666E-2</v>
      </c>
      <c r="CLS91" s="76">
        <v>0.86944444444444446</v>
      </c>
      <c r="CLT91" s="76">
        <v>0.86944444444444446</v>
      </c>
      <c r="CLU91" s="77" t="str">
        <f t="shared" si="63"/>
        <v>O</v>
      </c>
      <c r="CLV91" s="74" t="s">
        <v>28</v>
      </c>
      <c r="CLW91" s="75" t="s">
        <v>23</v>
      </c>
      <c r="CLX91" s="78">
        <f>IFERROR(VLOOKUP(CLW91,'[1]List KPI'!$M$3:$N$8,2,0),"")</f>
        <v>2.0833333333333332E-2</v>
      </c>
      <c r="CLY91" s="76">
        <v>0.89444444444444449</v>
      </c>
      <c r="CLZ91" s="77" t="str">
        <f t="shared" si="64"/>
        <v>O</v>
      </c>
      <c r="CMA91" s="79">
        <v>5</v>
      </c>
      <c r="CMB91" s="75">
        <v>1276006</v>
      </c>
      <c r="CMC91" s="80"/>
      <c r="CMD91" s="81">
        <v>0.86944444444444446</v>
      </c>
      <c r="CME91" s="74" t="s">
        <v>27</v>
      </c>
      <c r="CMF91" s="74" t="s">
        <v>24</v>
      </c>
      <c r="CMG91" s="75" t="s">
        <v>25</v>
      </c>
      <c r="CMH91" s="76">
        <f>IFERROR(VLOOKUP(CMG91,'[1]List KPI'!$A$103:$F$118,6,0),"")</f>
        <v>1.0416666666666666E-2</v>
      </c>
      <c r="CMI91" s="76">
        <v>0.86944444444444446</v>
      </c>
      <c r="CMJ91" s="76">
        <v>0.86944444444444446</v>
      </c>
      <c r="CMK91" s="77" t="str">
        <f t="shared" ref="CMK91:COG91" si="65">IF(CMJ91="","",IF(CMJ91&gt;CMS91,"O","P"))</f>
        <v>O</v>
      </c>
      <c r="CML91" s="74" t="s">
        <v>28</v>
      </c>
      <c r="CMM91" s="75" t="s">
        <v>23</v>
      </c>
      <c r="CMN91" s="78">
        <f>IFERROR(VLOOKUP(CMM91,'[1]List KPI'!$M$3:$N$8,2,0),"")</f>
        <v>2.0833333333333332E-2</v>
      </c>
      <c r="CMO91" s="76">
        <v>0.89444444444444449</v>
      </c>
      <c r="CMP91" s="77" t="str">
        <f t="shared" ref="CMP91:COL91" si="66">IF(CMO91="","",IF(CMO91&gt;CMT91,"O","P"))</f>
        <v>O</v>
      </c>
      <c r="CMQ91" s="79">
        <v>5</v>
      </c>
      <c r="CMR91" s="75">
        <v>1276006</v>
      </c>
      <c r="CMS91" s="80"/>
      <c r="CMT91" s="81">
        <v>0.86944444444444446</v>
      </c>
      <c r="CMU91" s="74" t="s">
        <v>27</v>
      </c>
      <c r="CMV91" s="74" t="s">
        <v>24</v>
      </c>
      <c r="CMW91" s="75" t="s">
        <v>25</v>
      </c>
      <c r="CMX91" s="76">
        <f>IFERROR(VLOOKUP(CMW91,'[1]List KPI'!$A$103:$F$118,6,0),"")</f>
        <v>1.0416666666666666E-2</v>
      </c>
      <c r="CMY91" s="76">
        <v>0.86944444444444446</v>
      </c>
      <c r="CMZ91" s="76">
        <v>0.86944444444444446</v>
      </c>
      <c r="CNA91" s="77" t="str">
        <f t="shared" si="65"/>
        <v>O</v>
      </c>
      <c r="CNB91" s="74" t="s">
        <v>28</v>
      </c>
      <c r="CNC91" s="75" t="s">
        <v>23</v>
      </c>
      <c r="CND91" s="78">
        <f>IFERROR(VLOOKUP(CNC91,'[1]List KPI'!$M$3:$N$8,2,0),"")</f>
        <v>2.0833333333333332E-2</v>
      </c>
      <c r="CNE91" s="76">
        <v>0.89444444444444449</v>
      </c>
      <c r="CNF91" s="77" t="str">
        <f t="shared" si="66"/>
        <v>O</v>
      </c>
      <c r="CNG91" s="79">
        <v>5</v>
      </c>
      <c r="CNH91" s="75">
        <v>1276006</v>
      </c>
      <c r="CNI91" s="80"/>
      <c r="CNJ91" s="81">
        <v>0.86944444444444446</v>
      </c>
      <c r="CNK91" s="74" t="s">
        <v>27</v>
      </c>
      <c r="CNL91" s="74" t="s">
        <v>24</v>
      </c>
      <c r="CNM91" s="75" t="s">
        <v>25</v>
      </c>
      <c r="CNN91" s="76">
        <f>IFERROR(VLOOKUP(CNM91,'[1]List KPI'!$A$103:$F$118,6,0),"")</f>
        <v>1.0416666666666666E-2</v>
      </c>
      <c r="CNO91" s="76">
        <v>0.86944444444444446</v>
      </c>
      <c r="CNP91" s="76">
        <v>0.86944444444444446</v>
      </c>
      <c r="CNQ91" s="77" t="str">
        <f t="shared" si="65"/>
        <v>O</v>
      </c>
      <c r="CNR91" s="74" t="s">
        <v>28</v>
      </c>
      <c r="CNS91" s="75" t="s">
        <v>23</v>
      </c>
      <c r="CNT91" s="78">
        <f>IFERROR(VLOOKUP(CNS91,'[1]List KPI'!$M$3:$N$8,2,0),"")</f>
        <v>2.0833333333333332E-2</v>
      </c>
      <c r="CNU91" s="76">
        <v>0.89444444444444449</v>
      </c>
      <c r="CNV91" s="77" t="str">
        <f t="shared" si="66"/>
        <v>O</v>
      </c>
      <c r="CNW91" s="79">
        <v>5</v>
      </c>
      <c r="CNX91" s="75">
        <v>1276006</v>
      </c>
      <c r="CNY91" s="80"/>
      <c r="CNZ91" s="81">
        <v>0.86944444444444446</v>
      </c>
      <c r="COA91" s="74" t="s">
        <v>27</v>
      </c>
      <c r="COB91" s="74" t="s">
        <v>24</v>
      </c>
      <c r="COC91" s="75" t="s">
        <v>25</v>
      </c>
      <c r="COD91" s="76">
        <f>IFERROR(VLOOKUP(COC91,'[1]List KPI'!$A$103:$F$118,6,0),"")</f>
        <v>1.0416666666666666E-2</v>
      </c>
      <c r="COE91" s="76">
        <v>0.86944444444444446</v>
      </c>
      <c r="COF91" s="76">
        <v>0.86944444444444446</v>
      </c>
      <c r="COG91" s="77" t="str">
        <f t="shared" si="65"/>
        <v>O</v>
      </c>
      <c r="COH91" s="74" t="s">
        <v>28</v>
      </c>
      <c r="COI91" s="75" t="s">
        <v>23</v>
      </c>
      <c r="COJ91" s="78">
        <f>IFERROR(VLOOKUP(COI91,'[1]List KPI'!$M$3:$N$8,2,0),"")</f>
        <v>2.0833333333333332E-2</v>
      </c>
      <c r="COK91" s="76">
        <v>0.89444444444444449</v>
      </c>
      <c r="COL91" s="77" t="str">
        <f t="shared" si="66"/>
        <v>O</v>
      </c>
      <c r="COM91" s="79">
        <v>5</v>
      </c>
      <c r="CON91" s="75">
        <v>1276006</v>
      </c>
      <c r="COO91" s="80"/>
      <c r="COP91" s="81">
        <v>0.86944444444444446</v>
      </c>
      <c r="COQ91" s="74" t="s">
        <v>27</v>
      </c>
      <c r="COR91" s="74" t="s">
        <v>24</v>
      </c>
      <c r="COS91" s="75" t="s">
        <v>25</v>
      </c>
      <c r="COT91" s="76">
        <f>IFERROR(VLOOKUP(COS91,'[1]List KPI'!$A$103:$F$118,6,0),"")</f>
        <v>1.0416666666666666E-2</v>
      </c>
      <c r="COU91" s="76">
        <v>0.86944444444444446</v>
      </c>
      <c r="COV91" s="76">
        <v>0.86944444444444446</v>
      </c>
      <c r="COW91" s="77" t="str">
        <f t="shared" ref="COW91:CQS91" si="67">IF(COV91="","",IF(COV91&gt;CPE91,"O","P"))</f>
        <v>O</v>
      </c>
      <c r="COX91" s="74" t="s">
        <v>28</v>
      </c>
      <c r="COY91" s="75" t="s">
        <v>23</v>
      </c>
      <c r="COZ91" s="78">
        <f>IFERROR(VLOOKUP(COY91,'[1]List KPI'!$M$3:$N$8,2,0),"")</f>
        <v>2.0833333333333332E-2</v>
      </c>
      <c r="CPA91" s="76">
        <v>0.89444444444444449</v>
      </c>
      <c r="CPB91" s="77" t="str">
        <f t="shared" ref="CPB91:CQX91" si="68">IF(CPA91="","",IF(CPA91&gt;CPF91,"O","P"))</f>
        <v>O</v>
      </c>
      <c r="CPC91" s="79">
        <v>5</v>
      </c>
      <c r="CPD91" s="75">
        <v>1276006</v>
      </c>
      <c r="CPE91" s="80"/>
      <c r="CPF91" s="81">
        <v>0.86944444444444446</v>
      </c>
      <c r="CPG91" s="74" t="s">
        <v>27</v>
      </c>
      <c r="CPH91" s="74" t="s">
        <v>24</v>
      </c>
      <c r="CPI91" s="75" t="s">
        <v>25</v>
      </c>
      <c r="CPJ91" s="76">
        <f>IFERROR(VLOOKUP(CPI91,'[1]List KPI'!$A$103:$F$118,6,0),"")</f>
        <v>1.0416666666666666E-2</v>
      </c>
      <c r="CPK91" s="76">
        <v>0.86944444444444446</v>
      </c>
      <c r="CPL91" s="76">
        <v>0.86944444444444446</v>
      </c>
      <c r="CPM91" s="77" t="str">
        <f t="shared" si="67"/>
        <v>O</v>
      </c>
      <c r="CPN91" s="74" t="s">
        <v>28</v>
      </c>
      <c r="CPO91" s="75" t="s">
        <v>23</v>
      </c>
      <c r="CPP91" s="78">
        <f>IFERROR(VLOOKUP(CPO91,'[1]List KPI'!$M$3:$N$8,2,0),"")</f>
        <v>2.0833333333333332E-2</v>
      </c>
      <c r="CPQ91" s="76">
        <v>0.89444444444444449</v>
      </c>
      <c r="CPR91" s="77" t="str">
        <f t="shared" si="68"/>
        <v>O</v>
      </c>
      <c r="CPS91" s="79">
        <v>5</v>
      </c>
      <c r="CPT91" s="75">
        <v>1276006</v>
      </c>
      <c r="CPU91" s="80"/>
      <c r="CPV91" s="81">
        <v>0.86944444444444446</v>
      </c>
      <c r="CPW91" s="74" t="s">
        <v>27</v>
      </c>
      <c r="CPX91" s="74" t="s">
        <v>24</v>
      </c>
      <c r="CPY91" s="75" t="s">
        <v>25</v>
      </c>
      <c r="CPZ91" s="76">
        <f>IFERROR(VLOOKUP(CPY91,'[1]List KPI'!$A$103:$F$118,6,0),"")</f>
        <v>1.0416666666666666E-2</v>
      </c>
      <c r="CQA91" s="76">
        <v>0.86944444444444446</v>
      </c>
      <c r="CQB91" s="76">
        <v>0.86944444444444446</v>
      </c>
      <c r="CQC91" s="77" t="str">
        <f t="shared" si="67"/>
        <v>O</v>
      </c>
      <c r="CQD91" s="74" t="s">
        <v>28</v>
      </c>
      <c r="CQE91" s="75" t="s">
        <v>23</v>
      </c>
      <c r="CQF91" s="78">
        <f>IFERROR(VLOOKUP(CQE91,'[1]List KPI'!$M$3:$N$8,2,0),"")</f>
        <v>2.0833333333333332E-2</v>
      </c>
      <c r="CQG91" s="76">
        <v>0.89444444444444449</v>
      </c>
      <c r="CQH91" s="77" t="str">
        <f t="shared" si="68"/>
        <v>O</v>
      </c>
      <c r="CQI91" s="79">
        <v>5</v>
      </c>
      <c r="CQJ91" s="75">
        <v>1276006</v>
      </c>
      <c r="CQK91" s="80"/>
      <c r="CQL91" s="81">
        <v>0.86944444444444446</v>
      </c>
      <c r="CQM91" s="74" t="s">
        <v>27</v>
      </c>
      <c r="CQN91" s="74" t="s">
        <v>24</v>
      </c>
      <c r="CQO91" s="75" t="s">
        <v>25</v>
      </c>
      <c r="CQP91" s="76">
        <f>IFERROR(VLOOKUP(CQO91,'[1]List KPI'!$A$103:$F$118,6,0),"")</f>
        <v>1.0416666666666666E-2</v>
      </c>
      <c r="CQQ91" s="76">
        <v>0.86944444444444446</v>
      </c>
      <c r="CQR91" s="76">
        <v>0.86944444444444446</v>
      </c>
      <c r="CQS91" s="77" t="str">
        <f t="shared" si="67"/>
        <v>O</v>
      </c>
      <c r="CQT91" s="74" t="s">
        <v>28</v>
      </c>
      <c r="CQU91" s="75" t="s">
        <v>23</v>
      </c>
      <c r="CQV91" s="78">
        <f>IFERROR(VLOOKUP(CQU91,'[1]List KPI'!$M$3:$N$8,2,0),"")</f>
        <v>2.0833333333333332E-2</v>
      </c>
      <c r="CQW91" s="76">
        <v>0.89444444444444449</v>
      </c>
      <c r="CQX91" s="77" t="str">
        <f t="shared" si="68"/>
        <v>O</v>
      </c>
      <c r="CQY91" s="79">
        <v>5</v>
      </c>
      <c r="CQZ91" s="75">
        <v>1276006</v>
      </c>
      <c r="CRA91" s="80"/>
      <c r="CRB91" s="81">
        <v>0.86944444444444446</v>
      </c>
      <c r="CRC91" s="74" t="s">
        <v>27</v>
      </c>
      <c r="CRD91" s="74" t="s">
        <v>24</v>
      </c>
      <c r="CRE91" s="75" t="s">
        <v>25</v>
      </c>
      <c r="CRF91" s="76">
        <f>IFERROR(VLOOKUP(CRE91,'[1]List KPI'!$A$103:$F$118,6,0),"")</f>
        <v>1.0416666666666666E-2</v>
      </c>
      <c r="CRG91" s="76">
        <v>0.86944444444444446</v>
      </c>
      <c r="CRH91" s="76">
        <v>0.86944444444444446</v>
      </c>
      <c r="CRI91" s="77" t="str">
        <f t="shared" ref="CRI91:CTE91" si="69">IF(CRH91="","",IF(CRH91&gt;CRQ91,"O","P"))</f>
        <v>O</v>
      </c>
      <c r="CRJ91" s="74" t="s">
        <v>28</v>
      </c>
      <c r="CRK91" s="75" t="s">
        <v>23</v>
      </c>
      <c r="CRL91" s="78">
        <f>IFERROR(VLOOKUP(CRK91,'[1]List KPI'!$M$3:$N$8,2,0),"")</f>
        <v>2.0833333333333332E-2</v>
      </c>
      <c r="CRM91" s="76">
        <v>0.89444444444444449</v>
      </c>
      <c r="CRN91" s="77" t="str">
        <f t="shared" ref="CRN91:CTJ91" si="70">IF(CRM91="","",IF(CRM91&gt;CRR91,"O","P"))</f>
        <v>O</v>
      </c>
      <c r="CRO91" s="79">
        <v>5</v>
      </c>
      <c r="CRP91" s="75">
        <v>1276006</v>
      </c>
      <c r="CRQ91" s="80"/>
      <c r="CRR91" s="81">
        <v>0.86944444444444446</v>
      </c>
      <c r="CRS91" s="74" t="s">
        <v>27</v>
      </c>
      <c r="CRT91" s="74" t="s">
        <v>24</v>
      </c>
      <c r="CRU91" s="75" t="s">
        <v>25</v>
      </c>
      <c r="CRV91" s="76">
        <f>IFERROR(VLOOKUP(CRU91,'[1]List KPI'!$A$103:$F$118,6,0),"")</f>
        <v>1.0416666666666666E-2</v>
      </c>
      <c r="CRW91" s="76">
        <v>0.86944444444444446</v>
      </c>
      <c r="CRX91" s="76">
        <v>0.86944444444444446</v>
      </c>
      <c r="CRY91" s="77" t="str">
        <f t="shared" si="69"/>
        <v>O</v>
      </c>
      <c r="CRZ91" s="74" t="s">
        <v>28</v>
      </c>
      <c r="CSA91" s="75" t="s">
        <v>23</v>
      </c>
      <c r="CSB91" s="78">
        <f>IFERROR(VLOOKUP(CSA91,'[1]List KPI'!$M$3:$N$8,2,0),"")</f>
        <v>2.0833333333333332E-2</v>
      </c>
      <c r="CSC91" s="76">
        <v>0.89444444444444449</v>
      </c>
      <c r="CSD91" s="77" t="str">
        <f t="shared" si="70"/>
        <v>O</v>
      </c>
      <c r="CSE91" s="79">
        <v>5</v>
      </c>
      <c r="CSF91" s="75">
        <v>1276006</v>
      </c>
      <c r="CSG91" s="80"/>
      <c r="CSH91" s="81">
        <v>0.86944444444444446</v>
      </c>
      <c r="CSI91" s="74" t="s">
        <v>27</v>
      </c>
      <c r="CSJ91" s="74" t="s">
        <v>24</v>
      </c>
      <c r="CSK91" s="75" t="s">
        <v>25</v>
      </c>
      <c r="CSL91" s="76">
        <f>IFERROR(VLOOKUP(CSK91,'[1]List KPI'!$A$103:$F$118,6,0),"")</f>
        <v>1.0416666666666666E-2</v>
      </c>
      <c r="CSM91" s="76">
        <v>0.86944444444444446</v>
      </c>
      <c r="CSN91" s="76">
        <v>0.86944444444444446</v>
      </c>
      <c r="CSO91" s="77" t="str">
        <f t="shared" si="69"/>
        <v>O</v>
      </c>
      <c r="CSP91" s="74" t="s">
        <v>28</v>
      </c>
      <c r="CSQ91" s="75" t="s">
        <v>23</v>
      </c>
      <c r="CSR91" s="78">
        <f>IFERROR(VLOOKUP(CSQ91,'[1]List KPI'!$M$3:$N$8,2,0),"")</f>
        <v>2.0833333333333332E-2</v>
      </c>
      <c r="CSS91" s="76">
        <v>0.89444444444444449</v>
      </c>
      <c r="CST91" s="77" t="str">
        <f t="shared" si="70"/>
        <v>O</v>
      </c>
      <c r="CSU91" s="79">
        <v>5</v>
      </c>
      <c r="CSV91" s="75">
        <v>1276006</v>
      </c>
      <c r="CSW91" s="80"/>
      <c r="CSX91" s="81">
        <v>0.86944444444444446</v>
      </c>
      <c r="CSY91" s="74" t="s">
        <v>27</v>
      </c>
      <c r="CSZ91" s="74" t="s">
        <v>24</v>
      </c>
      <c r="CTA91" s="75" t="s">
        <v>25</v>
      </c>
      <c r="CTB91" s="76">
        <f>IFERROR(VLOOKUP(CTA91,'[1]List KPI'!$A$103:$F$118,6,0),"")</f>
        <v>1.0416666666666666E-2</v>
      </c>
      <c r="CTC91" s="76">
        <v>0.86944444444444446</v>
      </c>
      <c r="CTD91" s="76">
        <v>0.86944444444444446</v>
      </c>
      <c r="CTE91" s="77" t="str">
        <f t="shared" si="69"/>
        <v>O</v>
      </c>
      <c r="CTF91" s="74" t="s">
        <v>28</v>
      </c>
      <c r="CTG91" s="75" t="s">
        <v>23</v>
      </c>
      <c r="CTH91" s="78">
        <f>IFERROR(VLOOKUP(CTG91,'[1]List KPI'!$M$3:$N$8,2,0),"")</f>
        <v>2.0833333333333332E-2</v>
      </c>
      <c r="CTI91" s="76">
        <v>0.89444444444444449</v>
      </c>
      <c r="CTJ91" s="77" t="str">
        <f t="shared" si="70"/>
        <v>O</v>
      </c>
      <c r="CTK91" s="79">
        <v>5</v>
      </c>
      <c r="CTL91" s="75">
        <v>1276006</v>
      </c>
      <c r="CTM91" s="80"/>
      <c r="CTN91" s="81">
        <v>0.86944444444444446</v>
      </c>
      <c r="CTO91" s="74" t="s">
        <v>27</v>
      </c>
      <c r="CTP91" s="74" t="s">
        <v>24</v>
      </c>
      <c r="CTQ91" s="75" t="s">
        <v>25</v>
      </c>
      <c r="CTR91" s="76">
        <f>IFERROR(VLOOKUP(CTQ91,'[1]List KPI'!$A$103:$F$118,6,0),"")</f>
        <v>1.0416666666666666E-2</v>
      </c>
      <c r="CTS91" s="76">
        <v>0.86944444444444446</v>
      </c>
      <c r="CTT91" s="76">
        <v>0.86944444444444446</v>
      </c>
      <c r="CTU91" s="77" t="str">
        <f t="shared" ref="CTU91:CVQ91" si="71">IF(CTT91="","",IF(CTT91&gt;CUC91,"O","P"))</f>
        <v>O</v>
      </c>
      <c r="CTV91" s="74" t="s">
        <v>28</v>
      </c>
      <c r="CTW91" s="75" t="s">
        <v>23</v>
      </c>
      <c r="CTX91" s="78">
        <f>IFERROR(VLOOKUP(CTW91,'[1]List KPI'!$M$3:$N$8,2,0),"")</f>
        <v>2.0833333333333332E-2</v>
      </c>
      <c r="CTY91" s="76">
        <v>0.89444444444444449</v>
      </c>
      <c r="CTZ91" s="77" t="str">
        <f t="shared" ref="CTZ91:CVV91" si="72">IF(CTY91="","",IF(CTY91&gt;CUD91,"O","P"))</f>
        <v>O</v>
      </c>
      <c r="CUA91" s="79">
        <v>5</v>
      </c>
      <c r="CUB91" s="75">
        <v>1276006</v>
      </c>
      <c r="CUC91" s="80"/>
      <c r="CUD91" s="81">
        <v>0.86944444444444446</v>
      </c>
      <c r="CUE91" s="74" t="s">
        <v>27</v>
      </c>
      <c r="CUF91" s="74" t="s">
        <v>24</v>
      </c>
      <c r="CUG91" s="75" t="s">
        <v>25</v>
      </c>
      <c r="CUH91" s="76">
        <f>IFERROR(VLOOKUP(CUG91,'[1]List KPI'!$A$103:$F$118,6,0),"")</f>
        <v>1.0416666666666666E-2</v>
      </c>
      <c r="CUI91" s="76">
        <v>0.86944444444444446</v>
      </c>
      <c r="CUJ91" s="76">
        <v>0.86944444444444446</v>
      </c>
      <c r="CUK91" s="77" t="str">
        <f t="shared" si="71"/>
        <v>O</v>
      </c>
      <c r="CUL91" s="74" t="s">
        <v>28</v>
      </c>
      <c r="CUM91" s="75" t="s">
        <v>23</v>
      </c>
      <c r="CUN91" s="78">
        <f>IFERROR(VLOOKUP(CUM91,'[1]List KPI'!$M$3:$N$8,2,0),"")</f>
        <v>2.0833333333333332E-2</v>
      </c>
      <c r="CUO91" s="76">
        <v>0.89444444444444449</v>
      </c>
      <c r="CUP91" s="77" t="str">
        <f t="shared" si="72"/>
        <v>O</v>
      </c>
      <c r="CUQ91" s="79">
        <v>5</v>
      </c>
      <c r="CUR91" s="75">
        <v>1276006</v>
      </c>
      <c r="CUS91" s="80"/>
      <c r="CUT91" s="81">
        <v>0.86944444444444446</v>
      </c>
      <c r="CUU91" s="74" t="s">
        <v>27</v>
      </c>
      <c r="CUV91" s="74" t="s">
        <v>24</v>
      </c>
      <c r="CUW91" s="75" t="s">
        <v>25</v>
      </c>
      <c r="CUX91" s="76">
        <f>IFERROR(VLOOKUP(CUW91,'[1]List KPI'!$A$103:$F$118,6,0),"")</f>
        <v>1.0416666666666666E-2</v>
      </c>
      <c r="CUY91" s="76">
        <v>0.86944444444444446</v>
      </c>
      <c r="CUZ91" s="76">
        <v>0.86944444444444446</v>
      </c>
      <c r="CVA91" s="77" t="str">
        <f t="shared" si="71"/>
        <v>O</v>
      </c>
      <c r="CVB91" s="74" t="s">
        <v>28</v>
      </c>
      <c r="CVC91" s="75" t="s">
        <v>23</v>
      </c>
      <c r="CVD91" s="78">
        <f>IFERROR(VLOOKUP(CVC91,'[1]List KPI'!$M$3:$N$8,2,0),"")</f>
        <v>2.0833333333333332E-2</v>
      </c>
      <c r="CVE91" s="76">
        <v>0.89444444444444449</v>
      </c>
      <c r="CVF91" s="77" t="str">
        <f t="shared" si="72"/>
        <v>O</v>
      </c>
      <c r="CVG91" s="79">
        <v>5</v>
      </c>
      <c r="CVH91" s="75">
        <v>1276006</v>
      </c>
      <c r="CVI91" s="80"/>
      <c r="CVJ91" s="81">
        <v>0.86944444444444446</v>
      </c>
      <c r="CVK91" s="74" t="s">
        <v>27</v>
      </c>
      <c r="CVL91" s="74" t="s">
        <v>24</v>
      </c>
      <c r="CVM91" s="75" t="s">
        <v>25</v>
      </c>
      <c r="CVN91" s="76">
        <f>IFERROR(VLOOKUP(CVM91,'[1]List KPI'!$A$103:$F$118,6,0),"")</f>
        <v>1.0416666666666666E-2</v>
      </c>
      <c r="CVO91" s="76">
        <v>0.86944444444444446</v>
      </c>
      <c r="CVP91" s="76">
        <v>0.86944444444444446</v>
      </c>
      <c r="CVQ91" s="77" t="str">
        <f t="shared" si="71"/>
        <v>O</v>
      </c>
      <c r="CVR91" s="74" t="s">
        <v>28</v>
      </c>
      <c r="CVS91" s="75" t="s">
        <v>23</v>
      </c>
      <c r="CVT91" s="78">
        <f>IFERROR(VLOOKUP(CVS91,'[1]List KPI'!$M$3:$N$8,2,0),"")</f>
        <v>2.0833333333333332E-2</v>
      </c>
      <c r="CVU91" s="76">
        <v>0.89444444444444449</v>
      </c>
      <c r="CVV91" s="77" t="str">
        <f t="shared" si="72"/>
        <v>O</v>
      </c>
      <c r="CVW91" s="79">
        <v>5</v>
      </c>
      <c r="CVX91" s="75">
        <v>1276006</v>
      </c>
      <c r="CVY91" s="80"/>
      <c r="CVZ91" s="81">
        <v>0.86944444444444446</v>
      </c>
      <c r="CWA91" s="74" t="s">
        <v>27</v>
      </c>
      <c r="CWB91" s="74" t="s">
        <v>24</v>
      </c>
      <c r="CWC91" s="75" t="s">
        <v>25</v>
      </c>
      <c r="CWD91" s="76">
        <f>IFERROR(VLOOKUP(CWC91,'[1]List KPI'!$A$103:$F$118,6,0),"")</f>
        <v>1.0416666666666666E-2</v>
      </c>
      <c r="CWE91" s="76">
        <v>0.86944444444444446</v>
      </c>
      <c r="CWF91" s="76">
        <v>0.86944444444444446</v>
      </c>
      <c r="CWG91" s="77" t="str">
        <f t="shared" ref="CWG91:CYC91" si="73">IF(CWF91="","",IF(CWF91&gt;CWO91,"O","P"))</f>
        <v>O</v>
      </c>
      <c r="CWH91" s="74" t="s">
        <v>28</v>
      </c>
      <c r="CWI91" s="75" t="s">
        <v>23</v>
      </c>
      <c r="CWJ91" s="78">
        <f>IFERROR(VLOOKUP(CWI91,'[1]List KPI'!$M$3:$N$8,2,0),"")</f>
        <v>2.0833333333333332E-2</v>
      </c>
      <c r="CWK91" s="76">
        <v>0.89444444444444449</v>
      </c>
      <c r="CWL91" s="77" t="str">
        <f t="shared" ref="CWL91:CYH91" si="74">IF(CWK91="","",IF(CWK91&gt;CWP91,"O","P"))</f>
        <v>O</v>
      </c>
      <c r="CWM91" s="79">
        <v>5</v>
      </c>
      <c r="CWN91" s="75">
        <v>1276006</v>
      </c>
      <c r="CWO91" s="80"/>
      <c r="CWP91" s="81">
        <v>0.86944444444444446</v>
      </c>
      <c r="CWQ91" s="74" t="s">
        <v>27</v>
      </c>
      <c r="CWR91" s="74" t="s">
        <v>24</v>
      </c>
      <c r="CWS91" s="75" t="s">
        <v>25</v>
      </c>
      <c r="CWT91" s="76">
        <f>IFERROR(VLOOKUP(CWS91,'[1]List KPI'!$A$103:$F$118,6,0),"")</f>
        <v>1.0416666666666666E-2</v>
      </c>
      <c r="CWU91" s="76">
        <v>0.86944444444444446</v>
      </c>
      <c r="CWV91" s="76">
        <v>0.86944444444444446</v>
      </c>
      <c r="CWW91" s="77" t="str">
        <f t="shared" si="73"/>
        <v>O</v>
      </c>
      <c r="CWX91" s="74" t="s">
        <v>28</v>
      </c>
      <c r="CWY91" s="75" t="s">
        <v>23</v>
      </c>
      <c r="CWZ91" s="78">
        <f>IFERROR(VLOOKUP(CWY91,'[1]List KPI'!$M$3:$N$8,2,0),"")</f>
        <v>2.0833333333333332E-2</v>
      </c>
      <c r="CXA91" s="76">
        <v>0.89444444444444449</v>
      </c>
      <c r="CXB91" s="77" t="str">
        <f t="shared" si="74"/>
        <v>O</v>
      </c>
      <c r="CXC91" s="79">
        <v>5</v>
      </c>
      <c r="CXD91" s="75">
        <v>1276006</v>
      </c>
      <c r="CXE91" s="80"/>
      <c r="CXF91" s="81">
        <v>0.86944444444444446</v>
      </c>
      <c r="CXG91" s="74" t="s">
        <v>27</v>
      </c>
      <c r="CXH91" s="74" t="s">
        <v>24</v>
      </c>
      <c r="CXI91" s="75" t="s">
        <v>25</v>
      </c>
      <c r="CXJ91" s="76">
        <f>IFERROR(VLOOKUP(CXI91,'[1]List KPI'!$A$103:$F$118,6,0),"")</f>
        <v>1.0416666666666666E-2</v>
      </c>
      <c r="CXK91" s="76">
        <v>0.86944444444444446</v>
      </c>
      <c r="CXL91" s="76">
        <v>0.86944444444444446</v>
      </c>
      <c r="CXM91" s="77" t="str">
        <f t="shared" si="73"/>
        <v>O</v>
      </c>
      <c r="CXN91" s="74" t="s">
        <v>28</v>
      </c>
      <c r="CXO91" s="75" t="s">
        <v>23</v>
      </c>
      <c r="CXP91" s="78">
        <f>IFERROR(VLOOKUP(CXO91,'[1]List KPI'!$M$3:$N$8,2,0),"")</f>
        <v>2.0833333333333332E-2</v>
      </c>
      <c r="CXQ91" s="76">
        <v>0.89444444444444449</v>
      </c>
      <c r="CXR91" s="77" t="str">
        <f t="shared" si="74"/>
        <v>O</v>
      </c>
      <c r="CXS91" s="79">
        <v>5</v>
      </c>
      <c r="CXT91" s="75">
        <v>1276006</v>
      </c>
      <c r="CXU91" s="80"/>
      <c r="CXV91" s="81">
        <v>0.86944444444444446</v>
      </c>
      <c r="CXW91" s="74" t="s">
        <v>27</v>
      </c>
      <c r="CXX91" s="74" t="s">
        <v>24</v>
      </c>
      <c r="CXY91" s="75" t="s">
        <v>25</v>
      </c>
      <c r="CXZ91" s="76">
        <f>IFERROR(VLOOKUP(CXY91,'[1]List KPI'!$A$103:$F$118,6,0),"")</f>
        <v>1.0416666666666666E-2</v>
      </c>
      <c r="CYA91" s="76">
        <v>0.86944444444444446</v>
      </c>
      <c r="CYB91" s="76">
        <v>0.86944444444444446</v>
      </c>
      <c r="CYC91" s="77" t="str">
        <f t="shared" si="73"/>
        <v>O</v>
      </c>
      <c r="CYD91" s="74" t="s">
        <v>28</v>
      </c>
      <c r="CYE91" s="75" t="s">
        <v>23</v>
      </c>
      <c r="CYF91" s="78">
        <f>IFERROR(VLOOKUP(CYE91,'[1]List KPI'!$M$3:$N$8,2,0),"")</f>
        <v>2.0833333333333332E-2</v>
      </c>
      <c r="CYG91" s="76">
        <v>0.89444444444444449</v>
      </c>
      <c r="CYH91" s="77" t="str">
        <f t="shared" si="74"/>
        <v>O</v>
      </c>
      <c r="CYI91" s="79">
        <v>5</v>
      </c>
      <c r="CYJ91" s="75">
        <v>1276006</v>
      </c>
      <c r="CYK91" s="80"/>
      <c r="CYL91" s="81">
        <v>0.86944444444444446</v>
      </c>
      <c r="CYM91" s="74" t="s">
        <v>27</v>
      </c>
      <c r="CYN91" s="74" t="s">
        <v>24</v>
      </c>
      <c r="CYO91" s="75" t="s">
        <v>25</v>
      </c>
      <c r="CYP91" s="76">
        <f>IFERROR(VLOOKUP(CYO91,'[1]List KPI'!$A$103:$F$118,6,0),"")</f>
        <v>1.0416666666666666E-2</v>
      </c>
      <c r="CYQ91" s="76">
        <v>0.86944444444444446</v>
      </c>
      <c r="CYR91" s="76">
        <v>0.86944444444444446</v>
      </c>
      <c r="CYS91" s="77" t="str">
        <f t="shared" ref="CYS91:DAO91" si="75">IF(CYR91="","",IF(CYR91&gt;CZA91,"O","P"))</f>
        <v>O</v>
      </c>
      <c r="CYT91" s="74" t="s">
        <v>28</v>
      </c>
      <c r="CYU91" s="75" t="s">
        <v>23</v>
      </c>
      <c r="CYV91" s="78">
        <f>IFERROR(VLOOKUP(CYU91,'[1]List KPI'!$M$3:$N$8,2,0),"")</f>
        <v>2.0833333333333332E-2</v>
      </c>
      <c r="CYW91" s="76">
        <v>0.89444444444444449</v>
      </c>
      <c r="CYX91" s="77" t="str">
        <f t="shared" ref="CYX91:DAT91" si="76">IF(CYW91="","",IF(CYW91&gt;CZB91,"O","P"))</f>
        <v>O</v>
      </c>
      <c r="CYY91" s="79">
        <v>5</v>
      </c>
      <c r="CYZ91" s="75">
        <v>1276006</v>
      </c>
      <c r="CZA91" s="80"/>
      <c r="CZB91" s="81">
        <v>0.86944444444444446</v>
      </c>
      <c r="CZC91" s="74" t="s">
        <v>27</v>
      </c>
      <c r="CZD91" s="74" t="s">
        <v>24</v>
      </c>
      <c r="CZE91" s="75" t="s">
        <v>25</v>
      </c>
      <c r="CZF91" s="76">
        <f>IFERROR(VLOOKUP(CZE91,'[1]List KPI'!$A$103:$F$118,6,0),"")</f>
        <v>1.0416666666666666E-2</v>
      </c>
      <c r="CZG91" s="76">
        <v>0.86944444444444446</v>
      </c>
      <c r="CZH91" s="76">
        <v>0.86944444444444446</v>
      </c>
      <c r="CZI91" s="77" t="str">
        <f t="shared" si="75"/>
        <v>O</v>
      </c>
      <c r="CZJ91" s="74" t="s">
        <v>28</v>
      </c>
      <c r="CZK91" s="75" t="s">
        <v>23</v>
      </c>
      <c r="CZL91" s="78">
        <f>IFERROR(VLOOKUP(CZK91,'[1]List KPI'!$M$3:$N$8,2,0),"")</f>
        <v>2.0833333333333332E-2</v>
      </c>
      <c r="CZM91" s="76">
        <v>0.89444444444444449</v>
      </c>
      <c r="CZN91" s="77" t="str">
        <f t="shared" si="76"/>
        <v>O</v>
      </c>
      <c r="CZO91" s="79">
        <v>5</v>
      </c>
      <c r="CZP91" s="75">
        <v>1276006</v>
      </c>
      <c r="CZQ91" s="80"/>
      <c r="CZR91" s="81">
        <v>0.86944444444444446</v>
      </c>
      <c r="CZS91" s="74" t="s">
        <v>27</v>
      </c>
      <c r="CZT91" s="74" t="s">
        <v>24</v>
      </c>
      <c r="CZU91" s="75" t="s">
        <v>25</v>
      </c>
      <c r="CZV91" s="76">
        <f>IFERROR(VLOOKUP(CZU91,'[1]List KPI'!$A$103:$F$118,6,0),"")</f>
        <v>1.0416666666666666E-2</v>
      </c>
      <c r="CZW91" s="76">
        <v>0.86944444444444446</v>
      </c>
      <c r="CZX91" s="76">
        <v>0.86944444444444446</v>
      </c>
      <c r="CZY91" s="77" t="str">
        <f t="shared" si="75"/>
        <v>O</v>
      </c>
      <c r="CZZ91" s="74" t="s">
        <v>28</v>
      </c>
      <c r="DAA91" s="75" t="s">
        <v>23</v>
      </c>
      <c r="DAB91" s="78">
        <f>IFERROR(VLOOKUP(DAA91,'[1]List KPI'!$M$3:$N$8,2,0),"")</f>
        <v>2.0833333333333332E-2</v>
      </c>
      <c r="DAC91" s="76">
        <v>0.89444444444444449</v>
      </c>
      <c r="DAD91" s="77" t="str">
        <f t="shared" si="76"/>
        <v>O</v>
      </c>
      <c r="DAE91" s="79">
        <v>5</v>
      </c>
      <c r="DAF91" s="75">
        <v>1276006</v>
      </c>
      <c r="DAG91" s="80"/>
      <c r="DAH91" s="81">
        <v>0.86944444444444446</v>
      </c>
      <c r="DAI91" s="74" t="s">
        <v>27</v>
      </c>
      <c r="DAJ91" s="74" t="s">
        <v>24</v>
      </c>
      <c r="DAK91" s="75" t="s">
        <v>25</v>
      </c>
      <c r="DAL91" s="76">
        <f>IFERROR(VLOOKUP(DAK91,'[1]List KPI'!$A$103:$F$118,6,0),"")</f>
        <v>1.0416666666666666E-2</v>
      </c>
      <c r="DAM91" s="76">
        <v>0.86944444444444446</v>
      </c>
      <c r="DAN91" s="76">
        <v>0.86944444444444446</v>
      </c>
      <c r="DAO91" s="77" t="str">
        <f t="shared" si="75"/>
        <v>O</v>
      </c>
      <c r="DAP91" s="74" t="s">
        <v>28</v>
      </c>
      <c r="DAQ91" s="75" t="s">
        <v>23</v>
      </c>
      <c r="DAR91" s="78">
        <f>IFERROR(VLOOKUP(DAQ91,'[1]List KPI'!$M$3:$N$8,2,0),"")</f>
        <v>2.0833333333333332E-2</v>
      </c>
      <c r="DAS91" s="76">
        <v>0.89444444444444449</v>
      </c>
      <c r="DAT91" s="77" t="str">
        <f t="shared" si="76"/>
        <v>O</v>
      </c>
      <c r="DAU91" s="79">
        <v>5</v>
      </c>
      <c r="DAV91" s="75">
        <v>1276006</v>
      </c>
      <c r="DAW91" s="80"/>
      <c r="DAX91" s="81">
        <v>0.86944444444444446</v>
      </c>
      <c r="DAY91" s="74" t="s">
        <v>27</v>
      </c>
      <c r="DAZ91" s="74" t="s">
        <v>24</v>
      </c>
      <c r="DBA91" s="75" t="s">
        <v>25</v>
      </c>
      <c r="DBB91" s="76">
        <f>IFERROR(VLOOKUP(DBA91,'[1]List KPI'!$A$103:$F$118,6,0),"")</f>
        <v>1.0416666666666666E-2</v>
      </c>
      <c r="DBC91" s="76">
        <v>0.86944444444444446</v>
      </c>
      <c r="DBD91" s="76">
        <v>0.86944444444444446</v>
      </c>
      <c r="DBE91" s="77" t="str">
        <f t="shared" ref="DBE91:DDA91" si="77">IF(DBD91="","",IF(DBD91&gt;DBM91,"O","P"))</f>
        <v>O</v>
      </c>
      <c r="DBF91" s="74" t="s">
        <v>28</v>
      </c>
      <c r="DBG91" s="75" t="s">
        <v>23</v>
      </c>
      <c r="DBH91" s="78">
        <f>IFERROR(VLOOKUP(DBG91,'[1]List KPI'!$M$3:$N$8,2,0),"")</f>
        <v>2.0833333333333332E-2</v>
      </c>
      <c r="DBI91" s="76">
        <v>0.89444444444444449</v>
      </c>
      <c r="DBJ91" s="77" t="str">
        <f t="shared" ref="DBJ91:DDF91" si="78">IF(DBI91="","",IF(DBI91&gt;DBN91,"O","P"))</f>
        <v>O</v>
      </c>
      <c r="DBK91" s="79">
        <v>5</v>
      </c>
      <c r="DBL91" s="75">
        <v>1276006</v>
      </c>
      <c r="DBM91" s="80"/>
      <c r="DBN91" s="81">
        <v>0.86944444444444446</v>
      </c>
      <c r="DBO91" s="74" t="s">
        <v>27</v>
      </c>
      <c r="DBP91" s="74" t="s">
        <v>24</v>
      </c>
      <c r="DBQ91" s="75" t="s">
        <v>25</v>
      </c>
      <c r="DBR91" s="76">
        <f>IFERROR(VLOOKUP(DBQ91,'[1]List KPI'!$A$103:$F$118,6,0),"")</f>
        <v>1.0416666666666666E-2</v>
      </c>
      <c r="DBS91" s="76">
        <v>0.86944444444444446</v>
      </c>
      <c r="DBT91" s="76">
        <v>0.86944444444444446</v>
      </c>
      <c r="DBU91" s="77" t="str">
        <f t="shared" si="77"/>
        <v>O</v>
      </c>
      <c r="DBV91" s="74" t="s">
        <v>28</v>
      </c>
      <c r="DBW91" s="75" t="s">
        <v>23</v>
      </c>
      <c r="DBX91" s="78">
        <f>IFERROR(VLOOKUP(DBW91,'[1]List KPI'!$M$3:$N$8,2,0),"")</f>
        <v>2.0833333333333332E-2</v>
      </c>
      <c r="DBY91" s="76">
        <v>0.89444444444444449</v>
      </c>
      <c r="DBZ91" s="77" t="str">
        <f t="shared" si="78"/>
        <v>O</v>
      </c>
      <c r="DCA91" s="79">
        <v>5</v>
      </c>
      <c r="DCB91" s="75">
        <v>1276006</v>
      </c>
      <c r="DCC91" s="80"/>
      <c r="DCD91" s="81">
        <v>0.86944444444444446</v>
      </c>
      <c r="DCE91" s="74" t="s">
        <v>27</v>
      </c>
      <c r="DCF91" s="74" t="s">
        <v>24</v>
      </c>
      <c r="DCG91" s="75" t="s">
        <v>25</v>
      </c>
      <c r="DCH91" s="76">
        <f>IFERROR(VLOOKUP(DCG91,'[1]List KPI'!$A$103:$F$118,6,0),"")</f>
        <v>1.0416666666666666E-2</v>
      </c>
      <c r="DCI91" s="76">
        <v>0.86944444444444446</v>
      </c>
      <c r="DCJ91" s="76">
        <v>0.86944444444444446</v>
      </c>
      <c r="DCK91" s="77" t="str">
        <f t="shared" si="77"/>
        <v>O</v>
      </c>
      <c r="DCL91" s="74" t="s">
        <v>28</v>
      </c>
      <c r="DCM91" s="75" t="s">
        <v>23</v>
      </c>
      <c r="DCN91" s="78">
        <f>IFERROR(VLOOKUP(DCM91,'[1]List KPI'!$M$3:$N$8,2,0),"")</f>
        <v>2.0833333333333332E-2</v>
      </c>
      <c r="DCO91" s="76">
        <v>0.89444444444444449</v>
      </c>
      <c r="DCP91" s="77" t="str">
        <f t="shared" si="78"/>
        <v>O</v>
      </c>
      <c r="DCQ91" s="79">
        <v>5</v>
      </c>
      <c r="DCR91" s="75">
        <v>1276006</v>
      </c>
      <c r="DCS91" s="80"/>
      <c r="DCT91" s="81">
        <v>0.86944444444444446</v>
      </c>
      <c r="DCU91" s="74" t="s">
        <v>27</v>
      </c>
      <c r="DCV91" s="74" t="s">
        <v>24</v>
      </c>
      <c r="DCW91" s="75" t="s">
        <v>25</v>
      </c>
      <c r="DCX91" s="76">
        <f>IFERROR(VLOOKUP(DCW91,'[1]List KPI'!$A$103:$F$118,6,0),"")</f>
        <v>1.0416666666666666E-2</v>
      </c>
      <c r="DCY91" s="76">
        <v>0.86944444444444446</v>
      </c>
      <c r="DCZ91" s="76">
        <v>0.86944444444444446</v>
      </c>
      <c r="DDA91" s="77" t="str">
        <f t="shared" si="77"/>
        <v>O</v>
      </c>
      <c r="DDB91" s="74" t="s">
        <v>28</v>
      </c>
      <c r="DDC91" s="75" t="s">
        <v>23</v>
      </c>
      <c r="DDD91" s="78">
        <f>IFERROR(VLOOKUP(DDC91,'[1]List KPI'!$M$3:$N$8,2,0),"")</f>
        <v>2.0833333333333332E-2</v>
      </c>
      <c r="DDE91" s="76">
        <v>0.89444444444444449</v>
      </c>
      <c r="DDF91" s="77" t="str">
        <f t="shared" si="78"/>
        <v>O</v>
      </c>
      <c r="DDG91" s="79">
        <v>5</v>
      </c>
      <c r="DDH91" s="75">
        <v>1276006</v>
      </c>
      <c r="DDI91" s="80"/>
      <c r="DDJ91" s="81">
        <v>0.86944444444444446</v>
      </c>
      <c r="DDK91" s="74" t="s">
        <v>27</v>
      </c>
      <c r="DDL91" s="74" t="s">
        <v>24</v>
      </c>
      <c r="DDM91" s="75" t="s">
        <v>25</v>
      </c>
      <c r="DDN91" s="76">
        <f>IFERROR(VLOOKUP(DDM91,'[1]List KPI'!$A$103:$F$118,6,0),"")</f>
        <v>1.0416666666666666E-2</v>
      </c>
      <c r="DDO91" s="76">
        <v>0.86944444444444446</v>
      </c>
      <c r="DDP91" s="76">
        <v>0.86944444444444446</v>
      </c>
      <c r="DDQ91" s="77" t="str">
        <f t="shared" ref="DDQ91:DFM91" si="79">IF(DDP91="","",IF(DDP91&gt;DDY91,"O","P"))</f>
        <v>O</v>
      </c>
      <c r="DDR91" s="74" t="s">
        <v>28</v>
      </c>
      <c r="DDS91" s="75" t="s">
        <v>23</v>
      </c>
      <c r="DDT91" s="78">
        <f>IFERROR(VLOOKUP(DDS91,'[1]List KPI'!$M$3:$N$8,2,0),"")</f>
        <v>2.0833333333333332E-2</v>
      </c>
      <c r="DDU91" s="76">
        <v>0.89444444444444449</v>
      </c>
      <c r="DDV91" s="77" t="str">
        <f t="shared" ref="DDV91:DFR91" si="80">IF(DDU91="","",IF(DDU91&gt;DDZ91,"O","P"))</f>
        <v>O</v>
      </c>
      <c r="DDW91" s="79">
        <v>5</v>
      </c>
      <c r="DDX91" s="75">
        <v>1276006</v>
      </c>
      <c r="DDY91" s="80"/>
      <c r="DDZ91" s="81">
        <v>0.86944444444444446</v>
      </c>
      <c r="DEA91" s="74" t="s">
        <v>27</v>
      </c>
      <c r="DEB91" s="74" t="s">
        <v>24</v>
      </c>
      <c r="DEC91" s="75" t="s">
        <v>25</v>
      </c>
      <c r="DED91" s="76">
        <f>IFERROR(VLOOKUP(DEC91,'[1]List KPI'!$A$103:$F$118,6,0),"")</f>
        <v>1.0416666666666666E-2</v>
      </c>
      <c r="DEE91" s="76">
        <v>0.86944444444444446</v>
      </c>
      <c r="DEF91" s="76">
        <v>0.86944444444444446</v>
      </c>
      <c r="DEG91" s="77" t="str">
        <f t="shared" si="79"/>
        <v>O</v>
      </c>
      <c r="DEH91" s="74" t="s">
        <v>28</v>
      </c>
      <c r="DEI91" s="75" t="s">
        <v>23</v>
      </c>
      <c r="DEJ91" s="78">
        <f>IFERROR(VLOOKUP(DEI91,'[1]List KPI'!$M$3:$N$8,2,0),"")</f>
        <v>2.0833333333333332E-2</v>
      </c>
      <c r="DEK91" s="76">
        <v>0.89444444444444449</v>
      </c>
      <c r="DEL91" s="77" t="str">
        <f t="shared" si="80"/>
        <v>O</v>
      </c>
      <c r="DEM91" s="79">
        <v>5</v>
      </c>
      <c r="DEN91" s="75">
        <v>1276006</v>
      </c>
      <c r="DEO91" s="80"/>
      <c r="DEP91" s="81">
        <v>0.86944444444444446</v>
      </c>
      <c r="DEQ91" s="74" t="s">
        <v>27</v>
      </c>
      <c r="DER91" s="74" t="s">
        <v>24</v>
      </c>
      <c r="DES91" s="75" t="s">
        <v>25</v>
      </c>
      <c r="DET91" s="76">
        <f>IFERROR(VLOOKUP(DES91,'[1]List KPI'!$A$103:$F$118,6,0),"")</f>
        <v>1.0416666666666666E-2</v>
      </c>
      <c r="DEU91" s="76">
        <v>0.86944444444444446</v>
      </c>
      <c r="DEV91" s="76">
        <v>0.86944444444444446</v>
      </c>
      <c r="DEW91" s="77" t="str">
        <f t="shared" si="79"/>
        <v>O</v>
      </c>
      <c r="DEX91" s="74" t="s">
        <v>28</v>
      </c>
      <c r="DEY91" s="75" t="s">
        <v>23</v>
      </c>
      <c r="DEZ91" s="78">
        <f>IFERROR(VLOOKUP(DEY91,'[1]List KPI'!$M$3:$N$8,2,0),"")</f>
        <v>2.0833333333333332E-2</v>
      </c>
      <c r="DFA91" s="76">
        <v>0.89444444444444449</v>
      </c>
      <c r="DFB91" s="77" t="str">
        <f t="shared" si="80"/>
        <v>O</v>
      </c>
      <c r="DFC91" s="79">
        <v>5</v>
      </c>
      <c r="DFD91" s="75">
        <v>1276006</v>
      </c>
      <c r="DFE91" s="80"/>
      <c r="DFF91" s="81">
        <v>0.86944444444444446</v>
      </c>
      <c r="DFG91" s="74" t="s">
        <v>27</v>
      </c>
      <c r="DFH91" s="74" t="s">
        <v>24</v>
      </c>
      <c r="DFI91" s="75" t="s">
        <v>25</v>
      </c>
      <c r="DFJ91" s="76">
        <f>IFERROR(VLOOKUP(DFI91,'[1]List KPI'!$A$103:$F$118,6,0),"")</f>
        <v>1.0416666666666666E-2</v>
      </c>
      <c r="DFK91" s="76">
        <v>0.86944444444444446</v>
      </c>
      <c r="DFL91" s="76">
        <v>0.86944444444444446</v>
      </c>
      <c r="DFM91" s="77" t="str">
        <f t="shared" si="79"/>
        <v>O</v>
      </c>
      <c r="DFN91" s="74" t="s">
        <v>28</v>
      </c>
      <c r="DFO91" s="75" t="s">
        <v>23</v>
      </c>
      <c r="DFP91" s="78">
        <f>IFERROR(VLOOKUP(DFO91,'[1]List KPI'!$M$3:$N$8,2,0),"")</f>
        <v>2.0833333333333332E-2</v>
      </c>
      <c r="DFQ91" s="76">
        <v>0.89444444444444449</v>
      </c>
      <c r="DFR91" s="77" t="str">
        <f t="shared" si="80"/>
        <v>O</v>
      </c>
      <c r="DFS91" s="79">
        <v>5</v>
      </c>
      <c r="DFT91" s="75">
        <v>1276006</v>
      </c>
      <c r="DFU91" s="80"/>
      <c r="DFV91" s="81">
        <v>0.86944444444444446</v>
      </c>
      <c r="DFW91" s="74" t="s">
        <v>27</v>
      </c>
      <c r="DFX91" s="74" t="s">
        <v>24</v>
      </c>
      <c r="DFY91" s="75" t="s">
        <v>25</v>
      </c>
      <c r="DFZ91" s="76">
        <f>IFERROR(VLOOKUP(DFY91,'[1]List KPI'!$A$103:$F$118,6,0),"")</f>
        <v>1.0416666666666666E-2</v>
      </c>
      <c r="DGA91" s="76">
        <v>0.86944444444444446</v>
      </c>
      <c r="DGB91" s="76">
        <v>0.86944444444444446</v>
      </c>
      <c r="DGC91" s="77" t="str">
        <f t="shared" ref="DGC91:DHY91" si="81">IF(DGB91="","",IF(DGB91&gt;DGK91,"O","P"))</f>
        <v>O</v>
      </c>
      <c r="DGD91" s="74" t="s">
        <v>28</v>
      </c>
      <c r="DGE91" s="75" t="s">
        <v>23</v>
      </c>
      <c r="DGF91" s="78">
        <f>IFERROR(VLOOKUP(DGE91,'[1]List KPI'!$M$3:$N$8,2,0),"")</f>
        <v>2.0833333333333332E-2</v>
      </c>
      <c r="DGG91" s="76">
        <v>0.89444444444444449</v>
      </c>
      <c r="DGH91" s="77" t="str">
        <f t="shared" ref="DGH91:DID91" si="82">IF(DGG91="","",IF(DGG91&gt;DGL91,"O","P"))</f>
        <v>O</v>
      </c>
      <c r="DGI91" s="79">
        <v>5</v>
      </c>
      <c r="DGJ91" s="75">
        <v>1276006</v>
      </c>
      <c r="DGK91" s="80"/>
      <c r="DGL91" s="81">
        <v>0.86944444444444446</v>
      </c>
      <c r="DGM91" s="74" t="s">
        <v>27</v>
      </c>
      <c r="DGN91" s="74" t="s">
        <v>24</v>
      </c>
      <c r="DGO91" s="75" t="s">
        <v>25</v>
      </c>
      <c r="DGP91" s="76">
        <f>IFERROR(VLOOKUP(DGO91,'[1]List KPI'!$A$103:$F$118,6,0),"")</f>
        <v>1.0416666666666666E-2</v>
      </c>
      <c r="DGQ91" s="76">
        <v>0.86944444444444446</v>
      </c>
      <c r="DGR91" s="76">
        <v>0.86944444444444446</v>
      </c>
      <c r="DGS91" s="77" t="str">
        <f t="shared" si="81"/>
        <v>O</v>
      </c>
      <c r="DGT91" s="74" t="s">
        <v>28</v>
      </c>
      <c r="DGU91" s="75" t="s">
        <v>23</v>
      </c>
      <c r="DGV91" s="78">
        <f>IFERROR(VLOOKUP(DGU91,'[1]List KPI'!$M$3:$N$8,2,0),"")</f>
        <v>2.0833333333333332E-2</v>
      </c>
      <c r="DGW91" s="76">
        <v>0.89444444444444449</v>
      </c>
      <c r="DGX91" s="77" t="str">
        <f t="shared" si="82"/>
        <v>O</v>
      </c>
      <c r="DGY91" s="79">
        <v>5</v>
      </c>
      <c r="DGZ91" s="75">
        <v>1276006</v>
      </c>
      <c r="DHA91" s="80"/>
      <c r="DHB91" s="81">
        <v>0.86944444444444446</v>
      </c>
      <c r="DHC91" s="74" t="s">
        <v>27</v>
      </c>
      <c r="DHD91" s="74" t="s">
        <v>24</v>
      </c>
      <c r="DHE91" s="75" t="s">
        <v>25</v>
      </c>
      <c r="DHF91" s="76">
        <f>IFERROR(VLOOKUP(DHE91,'[1]List KPI'!$A$103:$F$118,6,0),"")</f>
        <v>1.0416666666666666E-2</v>
      </c>
      <c r="DHG91" s="76">
        <v>0.86944444444444446</v>
      </c>
      <c r="DHH91" s="76">
        <v>0.86944444444444446</v>
      </c>
      <c r="DHI91" s="77" t="str">
        <f t="shared" si="81"/>
        <v>O</v>
      </c>
      <c r="DHJ91" s="74" t="s">
        <v>28</v>
      </c>
      <c r="DHK91" s="75" t="s">
        <v>23</v>
      </c>
      <c r="DHL91" s="78">
        <f>IFERROR(VLOOKUP(DHK91,'[1]List KPI'!$M$3:$N$8,2,0),"")</f>
        <v>2.0833333333333332E-2</v>
      </c>
      <c r="DHM91" s="76">
        <v>0.89444444444444449</v>
      </c>
      <c r="DHN91" s="77" t="str">
        <f t="shared" si="82"/>
        <v>O</v>
      </c>
      <c r="DHO91" s="79">
        <v>5</v>
      </c>
      <c r="DHP91" s="75">
        <v>1276006</v>
      </c>
      <c r="DHQ91" s="80"/>
      <c r="DHR91" s="81">
        <v>0.86944444444444446</v>
      </c>
      <c r="DHS91" s="74" t="s">
        <v>27</v>
      </c>
      <c r="DHT91" s="74" t="s">
        <v>24</v>
      </c>
      <c r="DHU91" s="75" t="s">
        <v>25</v>
      </c>
      <c r="DHV91" s="76">
        <f>IFERROR(VLOOKUP(DHU91,'[1]List KPI'!$A$103:$F$118,6,0),"")</f>
        <v>1.0416666666666666E-2</v>
      </c>
      <c r="DHW91" s="76">
        <v>0.86944444444444446</v>
      </c>
      <c r="DHX91" s="76">
        <v>0.86944444444444446</v>
      </c>
      <c r="DHY91" s="77" t="str">
        <f t="shared" si="81"/>
        <v>O</v>
      </c>
      <c r="DHZ91" s="74" t="s">
        <v>28</v>
      </c>
      <c r="DIA91" s="75" t="s">
        <v>23</v>
      </c>
      <c r="DIB91" s="78">
        <f>IFERROR(VLOOKUP(DIA91,'[1]List KPI'!$M$3:$N$8,2,0),"")</f>
        <v>2.0833333333333332E-2</v>
      </c>
      <c r="DIC91" s="76">
        <v>0.89444444444444449</v>
      </c>
      <c r="DID91" s="77" t="str">
        <f t="shared" si="82"/>
        <v>O</v>
      </c>
      <c r="DIE91" s="79">
        <v>5</v>
      </c>
      <c r="DIF91" s="75">
        <v>1276006</v>
      </c>
      <c r="DIG91" s="80"/>
      <c r="DIH91" s="81">
        <v>0.86944444444444446</v>
      </c>
      <c r="DII91" s="74" t="s">
        <v>27</v>
      </c>
      <c r="DIJ91" s="74" t="s">
        <v>24</v>
      </c>
      <c r="DIK91" s="75" t="s">
        <v>25</v>
      </c>
      <c r="DIL91" s="76">
        <f>IFERROR(VLOOKUP(DIK91,'[1]List KPI'!$A$103:$F$118,6,0),"")</f>
        <v>1.0416666666666666E-2</v>
      </c>
      <c r="DIM91" s="76">
        <v>0.86944444444444446</v>
      </c>
      <c r="DIN91" s="76">
        <v>0.86944444444444446</v>
      </c>
      <c r="DIO91" s="77" t="str">
        <f t="shared" ref="DIO91:DKK91" si="83">IF(DIN91="","",IF(DIN91&gt;DIW91,"O","P"))</f>
        <v>O</v>
      </c>
      <c r="DIP91" s="74" t="s">
        <v>28</v>
      </c>
      <c r="DIQ91" s="75" t="s">
        <v>23</v>
      </c>
      <c r="DIR91" s="78">
        <f>IFERROR(VLOOKUP(DIQ91,'[1]List KPI'!$M$3:$N$8,2,0),"")</f>
        <v>2.0833333333333332E-2</v>
      </c>
      <c r="DIS91" s="76">
        <v>0.89444444444444449</v>
      </c>
      <c r="DIT91" s="77" t="str">
        <f t="shared" ref="DIT91:DKP91" si="84">IF(DIS91="","",IF(DIS91&gt;DIX91,"O","P"))</f>
        <v>O</v>
      </c>
      <c r="DIU91" s="79">
        <v>5</v>
      </c>
      <c r="DIV91" s="75">
        <v>1276006</v>
      </c>
      <c r="DIW91" s="80"/>
      <c r="DIX91" s="81">
        <v>0.86944444444444446</v>
      </c>
      <c r="DIY91" s="74" t="s">
        <v>27</v>
      </c>
      <c r="DIZ91" s="74" t="s">
        <v>24</v>
      </c>
      <c r="DJA91" s="75" t="s">
        <v>25</v>
      </c>
      <c r="DJB91" s="76">
        <f>IFERROR(VLOOKUP(DJA91,'[1]List KPI'!$A$103:$F$118,6,0),"")</f>
        <v>1.0416666666666666E-2</v>
      </c>
      <c r="DJC91" s="76">
        <v>0.86944444444444446</v>
      </c>
      <c r="DJD91" s="76">
        <v>0.86944444444444446</v>
      </c>
      <c r="DJE91" s="77" t="str">
        <f t="shared" si="83"/>
        <v>O</v>
      </c>
      <c r="DJF91" s="74" t="s">
        <v>28</v>
      </c>
      <c r="DJG91" s="75" t="s">
        <v>23</v>
      </c>
      <c r="DJH91" s="78">
        <f>IFERROR(VLOOKUP(DJG91,'[1]List KPI'!$M$3:$N$8,2,0),"")</f>
        <v>2.0833333333333332E-2</v>
      </c>
      <c r="DJI91" s="76">
        <v>0.89444444444444449</v>
      </c>
      <c r="DJJ91" s="77" t="str">
        <f t="shared" si="84"/>
        <v>O</v>
      </c>
      <c r="DJK91" s="79">
        <v>5</v>
      </c>
      <c r="DJL91" s="75">
        <v>1276006</v>
      </c>
      <c r="DJM91" s="80"/>
      <c r="DJN91" s="81">
        <v>0.86944444444444446</v>
      </c>
      <c r="DJO91" s="74" t="s">
        <v>27</v>
      </c>
      <c r="DJP91" s="74" t="s">
        <v>24</v>
      </c>
      <c r="DJQ91" s="75" t="s">
        <v>25</v>
      </c>
      <c r="DJR91" s="76">
        <f>IFERROR(VLOOKUP(DJQ91,'[1]List KPI'!$A$103:$F$118,6,0),"")</f>
        <v>1.0416666666666666E-2</v>
      </c>
      <c r="DJS91" s="76">
        <v>0.86944444444444446</v>
      </c>
      <c r="DJT91" s="76">
        <v>0.86944444444444446</v>
      </c>
      <c r="DJU91" s="77" t="str">
        <f t="shared" si="83"/>
        <v>O</v>
      </c>
      <c r="DJV91" s="74" t="s">
        <v>28</v>
      </c>
      <c r="DJW91" s="75" t="s">
        <v>23</v>
      </c>
      <c r="DJX91" s="78">
        <f>IFERROR(VLOOKUP(DJW91,'[1]List KPI'!$M$3:$N$8,2,0),"")</f>
        <v>2.0833333333333332E-2</v>
      </c>
      <c r="DJY91" s="76">
        <v>0.89444444444444449</v>
      </c>
      <c r="DJZ91" s="77" t="str">
        <f t="shared" si="84"/>
        <v>O</v>
      </c>
      <c r="DKA91" s="79">
        <v>5</v>
      </c>
      <c r="DKB91" s="75">
        <v>1276006</v>
      </c>
      <c r="DKC91" s="80"/>
      <c r="DKD91" s="81">
        <v>0.86944444444444446</v>
      </c>
      <c r="DKE91" s="74" t="s">
        <v>27</v>
      </c>
      <c r="DKF91" s="74" t="s">
        <v>24</v>
      </c>
      <c r="DKG91" s="75" t="s">
        <v>25</v>
      </c>
      <c r="DKH91" s="76">
        <f>IFERROR(VLOOKUP(DKG91,'[1]List KPI'!$A$103:$F$118,6,0),"")</f>
        <v>1.0416666666666666E-2</v>
      </c>
      <c r="DKI91" s="76">
        <v>0.86944444444444446</v>
      </c>
      <c r="DKJ91" s="76">
        <v>0.86944444444444446</v>
      </c>
      <c r="DKK91" s="77" t="str">
        <f t="shared" si="83"/>
        <v>O</v>
      </c>
      <c r="DKL91" s="74" t="s">
        <v>28</v>
      </c>
      <c r="DKM91" s="75" t="s">
        <v>23</v>
      </c>
      <c r="DKN91" s="78">
        <f>IFERROR(VLOOKUP(DKM91,'[1]List KPI'!$M$3:$N$8,2,0),"")</f>
        <v>2.0833333333333332E-2</v>
      </c>
      <c r="DKO91" s="76">
        <v>0.89444444444444449</v>
      </c>
      <c r="DKP91" s="77" t="str">
        <f t="shared" si="84"/>
        <v>O</v>
      </c>
      <c r="DKQ91" s="79">
        <v>5</v>
      </c>
      <c r="DKR91" s="75">
        <v>1276006</v>
      </c>
      <c r="DKS91" s="80"/>
      <c r="DKT91" s="81">
        <v>0.86944444444444446</v>
      </c>
      <c r="DKU91" s="74" t="s">
        <v>27</v>
      </c>
      <c r="DKV91" s="74" t="s">
        <v>24</v>
      </c>
      <c r="DKW91" s="75" t="s">
        <v>25</v>
      </c>
      <c r="DKX91" s="76">
        <f>IFERROR(VLOOKUP(DKW91,'[1]List KPI'!$A$103:$F$118,6,0),"")</f>
        <v>1.0416666666666666E-2</v>
      </c>
      <c r="DKY91" s="76">
        <v>0.86944444444444446</v>
      </c>
      <c r="DKZ91" s="76">
        <v>0.86944444444444446</v>
      </c>
      <c r="DLA91" s="77" t="str">
        <f t="shared" ref="DLA91:DMW91" si="85">IF(DKZ91="","",IF(DKZ91&gt;DLI91,"O","P"))</f>
        <v>O</v>
      </c>
      <c r="DLB91" s="74" t="s">
        <v>28</v>
      </c>
      <c r="DLC91" s="75" t="s">
        <v>23</v>
      </c>
      <c r="DLD91" s="78">
        <f>IFERROR(VLOOKUP(DLC91,'[1]List KPI'!$M$3:$N$8,2,0),"")</f>
        <v>2.0833333333333332E-2</v>
      </c>
      <c r="DLE91" s="76">
        <v>0.89444444444444449</v>
      </c>
      <c r="DLF91" s="77" t="str">
        <f t="shared" ref="DLF91:DNB91" si="86">IF(DLE91="","",IF(DLE91&gt;DLJ91,"O","P"))</f>
        <v>O</v>
      </c>
      <c r="DLG91" s="79">
        <v>5</v>
      </c>
      <c r="DLH91" s="75">
        <v>1276006</v>
      </c>
      <c r="DLI91" s="80"/>
      <c r="DLJ91" s="81">
        <v>0.86944444444444446</v>
      </c>
      <c r="DLK91" s="74" t="s">
        <v>27</v>
      </c>
      <c r="DLL91" s="74" t="s">
        <v>24</v>
      </c>
      <c r="DLM91" s="75" t="s">
        <v>25</v>
      </c>
      <c r="DLN91" s="76">
        <f>IFERROR(VLOOKUP(DLM91,'[1]List KPI'!$A$103:$F$118,6,0),"")</f>
        <v>1.0416666666666666E-2</v>
      </c>
      <c r="DLO91" s="76">
        <v>0.86944444444444446</v>
      </c>
      <c r="DLP91" s="76">
        <v>0.86944444444444446</v>
      </c>
      <c r="DLQ91" s="77" t="str">
        <f t="shared" si="85"/>
        <v>O</v>
      </c>
      <c r="DLR91" s="74" t="s">
        <v>28</v>
      </c>
      <c r="DLS91" s="75" t="s">
        <v>23</v>
      </c>
      <c r="DLT91" s="78">
        <f>IFERROR(VLOOKUP(DLS91,'[1]List KPI'!$M$3:$N$8,2,0),"")</f>
        <v>2.0833333333333332E-2</v>
      </c>
      <c r="DLU91" s="76">
        <v>0.89444444444444449</v>
      </c>
      <c r="DLV91" s="77" t="str">
        <f t="shared" si="86"/>
        <v>O</v>
      </c>
      <c r="DLW91" s="79">
        <v>5</v>
      </c>
      <c r="DLX91" s="75">
        <v>1276006</v>
      </c>
      <c r="DLY91" s="80"/>
      <c r="DLZ91" s="81">
        <v>0.86944444444444446</v>
      </c>
      <c r="DMA91" s="74" t="s">
        <v>27</v>
      </c>
      <c r="DMB91" s="74" t="s">
        <v>24</v>
      </c>
      <c r="DMC91" s="75" t="s">
        <v>25</v>
      </c>
      <c r="DMD91" s="76">
        <f>IFERROR(VLOOKUP(DMC91,'[1]List KPI'!$A$103:$F$118,6,0),"")</f>
        <v>1.0416666666666666E-2</v>
      </c>
      <c r="DME91" s="76">
        <v>0.86944444444444446</v>
      </c>
      <c r="DMF91" s="76">
        <v>0.86944444444444446</v>
      </c>
      <c r="DMG91" s="77" t="str">
        <f t="shared" si="85"/>
        <v>O</v>
      </c>
      <c r="DMH91" s="74" t="s">
        <v>28</v>
      </c>
      <c r="DMI91" s="75" t="s">
        <v>23</v>
      </c>
      <c r="DMJ91" s="78">
        <f>IFERROR(VLOOKUP(DMI91,'[1]List KPI'!$M$3:$N$8,2,0),"")</f>
        <v>2.0833333333333332E-2</v>
      </c>
      <c r="DMK91" s="76">
        <v>0.89444444444444449</v>
      </c>
      <c r="DML91" s="77" t="str">
        <f t="shared" si="86"/>
        <v>O</v>
      </c>
      <c r="DMM91" s="79">
        <v>5</v>
      </c>
      <c r="DMN91" s="75">
        <v>1276006</v>
      </c>
      <c r="DMO91" s="80"/>
      <c r="DMP91" s="81">
        <v>0.86944444444444446</v>
      </c>
      <c r="DMQ91" s="74" t="s">
        <v>27</v>
      </c>
      <c r="DMR91" s="74" t="s">
        <v>24</v>
      </c>
      <c r="DMS91" s="75" t="s">
        <v>25</v>
      </c>
      <c r="DMT91" s="76">
        <f>IFERROR(VLOOKUP(DMS91,'[1]List KPI'!$A$103:$F$118,6,0),"")</f>
        <v>1.0416666666666666E-2</v>
      </c>
      <c r="DMU91" s="76">
        <v>0.86944444444444446</v>
      </c>
      <c r="DMV91" s="76">
        <v>0.86944444444444446</v>
      </c>
      <c r="DMW91" s="77" t="str">
        <f t="shared" si="85"/>
        <v>O</v>
      </c>
      <c r="DMX91" s="74" t="s">
        <v>28</v>
      </c>
      <c r="DMY91" s="75" t="s">
        <v>23</v>
      </c>
      <c r="DMZ91" s="78">
        <f>IFERROR(VLOOKUP(DMY91,'[1]List KPI'!$M$3:$N$8,2,0),"")</f>
        <v>2.0833333333333332E-2</v>
      </c>
      <c r="DNA91" s="76">
        <v>0.89444444444444449</v>
      </c>
      <c r="DNB91" s="77" t="str">
        <f t="shared" si="86"/>
        <v>O</v>
      </c>
      <c r="DNC91" s="79">
        <v>5</v>
      </c>
      <c r="DND91" s="75">
        <v>1276006</v>
      </c>
      <c r="DNE91" s="80"/>
      <c r="DNF91" s="81">
        <v>0.86944444444444446</v>
      </c>
      <c r="DNG91" s="74" t="s">
        <v>27</v>
      </c>
      <c r="DNH91" s="74" t="s">
        <v>24</v>
      </c>
      <c r="DNI91" s="75" t="s">
        <v>25</v>
      </c>
      <c r="DNJ91" s="76">
        <f>IFERROR(VLOOKUP(DNI91,'[1]List KPI'!$A$103:$F$118,6,0),"")</f>
        <v>1.0416666666666666E-2</v>
      </c>
      <c r="DNK91" s="76">
        <v>0.86944444444444446</v>
      </c>
      <c r="DNL91" s="76">
        <v>0.86944444444444446</v>
      </c>
      <c r="DNM91" s="77" t="str">
        <f t="shared" ref="DNM91:DPI91" si="87">IF(DNL91="","",IF(DNL91&gt;DNU91,"O","P"))</f>
        <v>O</v>
      </c>
      <c r="DNN91" s="74" t="s">
        <v>28</v>
      </c>
      <c r="DNO91" s="75" t="s">
        <v>23</v>
      </c>
      <c r="DNP91" s="78">
        <f>IFERROR(VLOOKUP(DNO91,'[1]List KPI'!$M$3:$N$8,2,0),"")</f>
        <v>2.0833333333333332E-2</v>
      </c>
      <c r="DNQ91" s="76">
        <v>0.89444444444444449</v>
      </c>
      <c r="DNR91" s="77" t="str">
        <f t="shared" ref="DNR91:DPN91" si="88">IF(DNQ91="","",IF(DNQ91&gt;DNV91,"O","P"))</f>
        <v>O</v>
      </c>
      <c r="DNS91" s="79">
        <v>5</v>
      </c>
      <c r="DNT91" s="75">
        <v>1276006</v>
      </c>
      <c r="DNU91" s="80"/>
      <c r="DNV91" s="81">
        <v>0.86944444444444446</v>
      </c>
      <c r="DNW91" s="74" t="s">
        <v>27</v>
      </c>
      <c r="DNX91" s="74" t="s">
        <v>24</v>
      </c>
      <c r="DNY91" s="75" t="s">
        <v>25</v>
      </c>
      <c r="DNZ91" s="76">
        <f>IFERROR(VLOOKUP(DNY91,'[1]List KPI'!$A$103:$F$118,6,0),"")</f>
        <v>1.0416666666666666E-2</v>
      </c>
      <c r="DOA91" s="76">
        <v>0.86944444444444446</v>
      </c>
      <c r="DOB91" s="76">
        <v>0.86944444444444446</v>
      </c>
      <c r="DOC91" s="77" t="str">
        <f t="shared" si="87"/>
        <v>O</v>
      </c>
      <c r="DOD91" s="74" t="s">
        <v>28</v>
      </c>
      <c r="DOE91" s="75" t="s">
        <v>23</v>
      </c>
      <c r="DOF91" s="78">
        <f>IFERROR(VLOOKUP(DOE91,'[1]List KPI'!$M$3:$N$8,2,0),"")</f>
        <v>2.0833333333333332E-2</v>
      </c>
      <c r="DOG91" s="76">
        <v>0.89444444444444449</v>
      </c>
      <c r="DOH91" s="77" t="str">
        <f t="shared" si="88"/>
        <v>O</v>
      </c>
      <c r="DOI91" s="79">
        <v>5</v>
      </c>
      <c r="DOJ91" s="75">
        <v>1276006</v>
      </c>
      <c r="DOK91" s="80"/>
      <c r="DOL91" s="81">
        <v>0.86944444444444446</v>
      </c>
      <c r="DOM91" s="74" t="s">
        <v>27</v>
      </c>
      <c r="DON91" s="74" t="s">
        <v>24</v>
      </c>
      <c r="DOO91" s="75" t="s">
        <v>25</v>
      </c>
      <c r="DOP91" s="76">
        <f>IFERROR(VLOOKUP(DOO91,'[1]List KPI'!$A$103:$F$118,6,0),"")</f>
        <v>1.0416666666666666E-2</v>
      </c>
      <c r="DOQ91" s="76">
        <v>0.86944444444444446</v>
      </c>
      <c r="DOR91" s="76">
        <v>0.86944444444444446</v>
      </c>
      <c r="DOS91" s="77" t="str">
        <f t="shared" si="87"/>
        <v>O</v>
      </c>
      <c r="DOT91" s="74" t="s">
        <v>28</v>
      </c>
      <c r="DOU91" s="75" t="s">
        <v>23</v>
      </c>
      <c r="DOV91" s="78">
        <f>IFERROR(VLOOKUP(DOU91,'[1]List KPI'!$M$3:$N$8,2,0),"")</f>
        <v>2.0833333333333332E-2</v>
      </c>
      <c r="DOW91" s="76">
        <v>0.89444444444444449</v>
      </c>
      <c r="DOX91" s="77" t="str">
        <f t="shared" si="88"/>
        <v>O</v>
      </c>
      <c r="DOY91" s="79">
        <v>5</v>
      </c>
      <c r="DOZ91" s="75">
        <v>1276006</v>
      </c>
      <c r="DPA91" s="80"/>
      <c r="DPB91" s="81">
        <v>0.86944444444444446</v>
      </c>
      <c r="DPC91" s="74" t="s">
        <v>27</v>
      </c>
      <c r="DPD91" s="74" t="s">
        <v>24</v>
      </c>
      <c r="DPE91" s="75" t="s">
        <v>25</v>
      </c>
      <c r="DPF91" s="76">
        <f>IFERROR(VLOOKUP(DPE91,'[1]List KPI'!$A$103:$F$118,6,0),"")</f>
        <v>1.0416666666666666E-2</v>
      </c>
      <c r="DPG91" s="76">
        <v>0.86944444444444446</v>
      </c>
      <c r="DPH91" s="76">
        <v>0.86944444444444446</v>
      </c>
      <c r="DPI91" s="77" t="str">
        <f t="shared" si="87"/>
        <v>O</v>
      </c>
      <c r="DPJ91" s="74" t="s">
        <v>28</v>
      </c>
      <c r="DPK91" s="75" t="s">
        <v>23</v>
      </c>
      <c r="DPL91" s="78">
        <f>IFERROR(VLOOKUP(DPK91,'[1]List KPI'!$M$3:$N$8,2,0),"")</f>
        <v>2.0833333333333332E-2</v>
      </c>
      <c r="DPM91" s="76">
        <v>0.89444444444444449</v>
      </c>
      <c r="DPN91" s="77" t="str">
        <f t="shared" si="88"/>
        <v>O</v>
      </c>
      <c r="DPO91" s="79">
        <v>5</v>
      </c>
      <c r="DPP91" s="75">
        <v>1276006</v>
      </c>
      <c r="DPQ91" s="80"/>
      <c r="DPR91" s="81">
        <v>0.86944444444444446</v>
      </c>
      <c r="DPS91" s="74" t="s">
        <v>27</v>
      </c>
      <c r="DPT91" s="74" t="s">
        <v>24</v>
      </c>
      <c r="DPU91" s="75" t="s">
        <v>25</v>
      </c>
      <c r="DPV91" s="76">
        <f>IFERROR(VLOOKUP(DPU91,'[1]List KPI'!$A$103:$F$118,6,0),"")</f>
        <v>1.0416666666666666E-2</v>
      </c>
      <c r="DPW91" s="76">
        <v>0.86944444444444446</v>
      </c>
      <c r="DPX91" s="76">
        <v>0.86944444444444446</v>
      </c>
      <c r="DPY91" s="77" t="str">
        <f t="shared" ref="DPY91:DRU91" si="89">IF(DPX91="","",IF(DPX91&gt;DQG91,"O","P"))</f>
        <v>O</v>
      </c>
      <c r="DPZ91" s="74" t="s">
        <v>28</v>
      </c>
      <c r="DQA91" s="75" t="s">
        <v>23</v>
      </c>
      <c r="DQB91" s="78">
        <f>IFERROR(VLOOKUP(DQA91,'[1]List KPI'!$M$3:$N$8,2,0),"")</f>
        <v>2.0833333333333332E-2</v>
      </c>
      <c r="DQC91" s="76">
        <v>0.89444444444444449</v>
      </c>
      <c r="DQD91" s="77" t="str">
        <f t="shared" ref="DQD91:DRZ91" si="90">IF(DQC91="","",IF(DQC91&gt;DQH91,"O","P"))</f>
        <v>O</v>
      </c>
      <c r="DQE91" s="79">
        <v>5</v>
      </c>
      <c r="DQF91" s="75">
        <v>1276006</v>
      </c>
      <c r="DQG91" s="80"/>
      <c r="DQH91" s="81">
        <v>0.86944444444444446</v>
      </c>
      <c r="DQI91" s="74" t="s">
        <v>27</v>
      </c>
      <c r="DQJ91" s="74" t="s">
        <v>24</v>
      </c>
      <c r="DQK91" s="75" t="s">
        <v>25</v>
      </c>
      <c r="DQL91" s="76">
        <f>IFERROR(VLOOKUP(DQK91,'[1]List KPI'!$A$103:$F$118,6,0),"")</f>
        <v>1.0416666666666666E-2</v>
      </c>
      <c r="DQM91" s="76">
        <v>0.86944444444444446</v>
      </c>
      <c r="DQN91" s="76">
        <v>0.86944444444444446</v>
      </c>
      <c r="DQO91" s="77" t="str">
        <f t="shared" si="89"/>
        <v>O</v>
      </c>
      <c r="DQP91" s="74" t="s">
        <v>28</v>
      </c>
      <c r="DQQ91" s="75" t="s">
        <v>23</v>
      </c>
      <c r="DQR91" s="78">
        <f>IFERROR(VLOOKUP(DQQ91,'[1]List KPI'!$M$3:$N$8,2,0),"")</f>
        <v>2.0833333333333332E-2</v>
      </c>
      <c r="DQS91" s="76">
        <v>0.89444444444444449</v>
      </c>
      <c r="DQT91" s="77" t="str">
        <f t="shared" si="90"/>
        <v>O</v>
      </c>
      <c r="DQU91" s="79">
        <v>5</v>
      </c>
      <c r="DQV91" s="75">
        <v>1276006</v>
      </c>
      <c r="DQW91" s="80"/>
      <c r="DQX91" s="81">
        <v>0.86944444444444446</v>
      </c>
      <c r="DQY91" s="74" t="s">
        <v>27</v>
      </c>
      <c r="DQZ91" s="74" t="s">
        <v>24</v>
      </c>
      <c r="DRA91" s="75" t="s">
        <v>25</v>
      </c>
      <c r="DRB91" s="76">
        <f>IFERROR(VLOOKUP(DRA91,'[1]List KPI'!$A$103:$F$118,6,0),"")</f>
        <v>1.0416666666666666E-2</v>
      </c>
      <c r="DRC91" s="76">
        <v>0.86944444444444446</v>
      </c>
      <c r="DRD91" s="76">
        <v>0.86944444444444446</v>
      </c>
      <c r="DRE91" s="77" t="str">
        <f t="shared" si="89"/>
        <v>O</v>
      </c>
      <c r="DRF91" s="74" t="s">
        <v>28</v>
      </c>
      <c r="DRG91" s="75" t="s">
        <v>23</v>
      </c>
      <c r="DRH91" s="78">
        <f>IFERROR(VLOOKUP(DRG91,'[1]List KPI'!$M$3:$N$8,2,0),"")</f>
        <v>2.0833333333333332E-2</v>
      </c>
      <c r="DRI91" s="76">
        <v>0.89444444444444449</v>
      </c>
      <c r="DRJ91" s="77" t="str">
        <f t="shared" si="90"/>
        <v>O</v>
      </c>
      <c r="DRK91" s="79">
        <v>5</v>
      </c>
      <c r="DRL91" s="75">
        <v>1276006</v>
      </c>
      <c r="DRM91" s="80"/>
      <c r="DRN91" s="81">
        <v>0.86944444444444446</v>
      </c>
      <c r="DRO91" s="74" t="s">
        <v>27</v>
      </c>
      <c r="DRP91" s="74" t="s">
        <v>24</v>
      </c>
      <c r="DRQ91" s="75" t="s">
        <v>25</v>
      </c>
      <c r="DRR91" s="76">
        <f>IFERROR(VLOOKUP(DRQ91,'[1]List KPI'!$A$103:$F$118,6,0),"")</f>
        <v>1.0416666666666666E-2</v>
      </c>
      <c r="DRS91" s="76">
        <v>0.86944444444444446</v>
      </c>
      <c r="DRT91" s="76">
        <v>0.86944444444444446</v>
      </c>
      <c r="DRU91" s="77" t="str">
        <f t="shared" si="89"/>
        <v>O</v>
      </c>
      <c r="DRV91" s="74" t="s">
        <v>28</v>
      </c>
      <c r="DRW91" s="75" t="s">
        <v>23</v>
      </c>
      <c r="DRX91" s="78">
        <f>IFERROR(VLOOKUP(DRW91,'[1]List KPI'!$M$3:$N$8,2,0),"")</f>
        <v>2.0833333333333332E-2</v>
      </c>
      <c r="DRY91" s="76">
        <v>0.89444444444444449</v>
      </c>
      <c r="DRZ91" s="77" t="str">
        <f t="shared" si="90"/>
        <v>O</v>
      </c>
      <c r="DSA91" s="79">
        <v>5</v>
      </c>
      <c r="DSB91" s="75">
        <v>1276006</v>
      </c>
      <c r="DSC91" s="80"/>
      <c r="DSD91" s="81">
        <v>0.86944444444444446</v>
      </c>
      <c r="DSE91" s="74" t="s">
        <v>27</v>
      </c>
      <c r="DSF91" s="74" t="s">
        <v>24</v>
      </c>
      <c r="DSG91" s="75" t="s">
        <v>25</v>
      </c>
      <c r="DSH91" s="76">
        <f>IFERROR(VLOOKUP(DSG91,'[1]List KPI'!$A$103:$F$118,6,0),"")</f>
        <v>1.0416666666666666E-2</v>
      </c>
      <c r="DSI91" s="76">
        <v>0.86944444444444446</v>
      </c>
      <c r="DSJ91" s="76">
        <v>0.86944444444444446</v>
      </c>
      <c r="DSK91" s="77" t="str">
        <f t="shared" ref="DSK91:DUG91" si="91">IF(DSJ91="","",IF(DSJ91&gt;DSS91,"O","P"))</f>
        <v>O</v>
      </c>
      <c r="DSL91" s="74" t="s">
        <v>28</v>
      </c>
      <c r="DSM91" s="75" t="s">
        <v>23</v>
      </c>
      <c r="DSN91" s="78">
        <f>IFERROR(VLOOKUP(DSM91,'[1]List KPI'!$M$3:$N$8,2,0),"")</f>
        <v>2.0833333333333332E-2</v>
      </c>
      <c r="DSO91" s="76">
        <v>0.89444444444444449</v>
      </c>
      <c r="DSP91" s="77" t="str">
        <f t="shared" ref="DSP91:DUL91" si="92">IF(DSO91="","",IF(DSO91&gt;DST91,"O","P"))</f>
        <v>O</v>
      </c>
      <c r="DSQ91" s="79">
        <v>5</v>
      </c>
      <c r="DSR91" s="75">
        <v>1276006</v>
      </c>
      <c r="DSS91" s="80"/>
      <c r="DST91" s="81">
        <v>0.86944444444444446</v>
      </c>
      <c r="DSU91" s="74" t="s">
        <v>27</v>
      </c>
      <c r="DSV91" s="74" t="s">
        <v>24</v>
      </c>
      <c r="DSW91" s="75" t="s">
        <v>25</v>
      </c>
      <c r="DSX91" s="76">
        <f>IFERROR(VLOOKUP(DSW91,'[1]List KPI'!$A$103:$F$118,6,0),"")</f>
        <v>1.0416666666666666E-2</v>
      </c>
      <c r="DSY91" s="76">
        <v>0.86944444444444446</v>
      </c>
      <c r="DSZ91" s="76">
        <v>0.86944444444444446</v>
      </c>
      <c r="DTA91" s="77" t="str">
        <f t="shared" si="91"/>
        <v>O</v>
      </c>
      <c r="DTB91" s="74" t="s">
        <v>28</v>
      </c>
      <c r="DTC91" s="75" t="s">
        <v>23</v>
      </c>
      <c r="DTD91" s="78">
        <f>IFERROR(VLOOKUP(DTC91,'[1]List KPI'!$M$3:$N$8,2,0),"")</f>
        <v>2.0833333333333332E-2</v>
      </c>
      <c r="DTE91" s="76">
        <v>0.89444444444444449</v>
      </c>
      <c r="DTF91" s="77" t="str">
        <f t="shared" si="92"/>
        <v>O</v>
      </c>
      <c r="DTG91" s="79">
        <v>5</v>
      </c>
      <c r="DTH91" s="75">
        <v>1276006</v>
      </c>
      <c r="DTI91" s="80"/>
      <c r="DTJ91" s="81">
        <v>0.86944444444444446</v>
      </c>
      <c r="DTK91" s="74" t="s">
        <v>27</v>
      </c>
      <c r="DTL91" s="74" t="s">
        <v>24</v>
      </c>
      <c r="DTM91" s="75" t="s">
        <v>25</v>
      </c>
      <c r="DTN91" s="76">
        <f>IFERROR(VLOOKUP(DTM91,'[1]List KPI'!$A$103:$F$118,6,0),"")</f>
        <v>1.0416666666666666E-2</v>
      </c>
      <c r="DTO91" s="76">
        <v>0.86944444444444446</v>
      </c>
      <c r="DTP91" s="76">
        <v>0.86944444444444446</v>
      </c>
      <c r="DTQ91" s="77" t="str">
        <f t="shared" si="91"/>
        <v>O</v>
      </c>
      <c r="DTR91" s="74" t="s">
        <v>28</v>
      </c>
      <c r="DTS91" s="75" t="s">
        <v>23</v>
      </c>
      <c r="DTT91" s="78">
        <f>IFERROR(VLOOKUP(DTS91,'[1]List KPI'!$M$3:$N$8,2,0),"")</f>
        <v>2.0833333333333332E-2</v>
      </c>
      <c r="DTU91" s="76">
        <v>0.89444444444444449</v>
      </c>
      <c r="DTV91" s="77" t="str">
        <f t="shared" si="92"/>
        <v>O</v>
      </c>
      <c r="DTW91" s="79">
        <v>5</v>
      </c>
      <c r="DTX91" s="75">
        <v>1276006</v>
      </c>
      <c r="DTY91" s="80"/>
      <c r="DTZ91" s="81">
        <v>0.86944444444444446</v>
      </c>
      <c r="DUA91" s="74" t="s">
        <v>27</v>
      </c>
      <c r="DUB91" s="74" t="s">
        <v>24</v>
      </c>
      <c r="DUC91" s="75" t="s">
        <v>25</v>
      </c>
      <c r="DUD91" s="76">
        <f>IFERROR(VLOOKUP(DUC91,'[1]List KPI'!$A$103:$F$118,6,0),"")</f>
        <v>1.0416666666666666E-2</v>
      </c>
      <c r="DUE91" s="76">
        <v>0.86944444444444446</v>
      </c>
      <c r="DUF91" s="76">
        <v>0.86944444444444446</v>
      </c>
      <c r="DUG91" s="77" t="str">
        <f t="shared" si="91"/>
        <v>O</v>
      </c>
      <c r="DUH91" s="74" t="s">
        <v>28</v>
      </c>
      <c r="DUI91" s="75" t="s">
        <v>23</v>
      </c>
      <c r="DUJ91" s="78">
        <f>IFERROR(VLOOKUP(DUI91,'[1]List KPI'!$M$3:$N$8,2,0),"")</f>
        <v>2.0833333333333332E-2</v>
      </c>
      <c r="DUK91" s="76">
        <v>0.89444444444444449</v>
      </c>
      <c r="DUL91" s="77" t="str">
        <f t="shared" si="92"/>
        <v>O</v>
      </c>
      <c r="DUM91" s="79">
        <v>5</v>
      </c>
      <c r="DUN91" s="75">
        <v>1276006</v>
      </c>
      <c r="DUO91" s="80"/>
      <c r="DUP91" s="81">
        <v>0.86944444444444446</v>
      </c>
      <c r="DUQ91" s="74" t="s">
        <v>27</v>
      </c>
      <c r="DUR91" s="74" t="s">
        <v>24</v>
      </c>
      <c r="DUS91" s="75" t="s">
        <v>25</v>
      </c>
      <c r="DUT91" s="76">
        <f>IFERROR(VLOOKUP(DUS91,'[1]List KPI'!$A$103:$F$118,6,0),"")</f>
        <v>1.0416666666666666E-2</v>
      </c>
      <c r="DUU91" s="76">
        <v>0.86944444444444446</v>
      </c>
      <c r="DUV91" s="76">
        <v>0.86944444444444446</v>
      </c>
      <c r="DUW91" s="77" t="str">
        <f t="shared" ref="DUW91:DWS91" si="93">IF(DUV91="","",IF(DUV91&gt;DVE91,"O","P"))</f>
        <v>O</v>
      </c>
      <c r="DUX91" s="74" t="s">
        <v>28</v>
      </c>
      <c r="DUY91" s="75" t="s">
        <v>23</v>
      </c>
      <c r="DUZ91" s="78">
        <f>IFERROR(VLOOKUP(DUY91,'[1]List KPI'!$M$3:$N$8,2,0),"")</f>
        <v>2.0833333333333332E-2</v>
      </c>
      <c r="DVA91" s="76">
        <v>0.89444444444444449</v>
      </c>
      <c r="DVB91" s="77" t="str">
        <f t="shared" ref="DVB91:DWX91" si="94">IF(DVA91="","",IF(DVA91&gt;DVF91,"O","P"))</f>
        <v>O</v>
      </c>
      <c r="DVC91" s="79">
        <v>5</v>
      </c>
      <c r="DVD91" s="75">
        <v>1276006</v>
      </c>
      <c r="DVE91" s="80"/>
      <c r="DVF91" s="81">
        <v>0.86944444444444446</v>
      </c>
      <c r="DVG91" s="74" t="s">
        <v>27</v>
      </c>
      <c r="DVH91" s="74" t="s">
        <v>24</v>
      </c>
      <c r="DVI91" s="75" t="s">
        <v>25</v>
      </c>
      <c r="DVJ91" s="76">
        <f>IFERROR(VLOOKUP(DVI91,'[1]List KPI'!$A$103:$F$118,6,0),"")</f>
        <v>1.0416666666666666E-2</v>
      </c>
      <c r="DVK91" s="76">
        <v>0.86944444444444446</v>
      </c>
      <c r="DVL91" s="76">
        <v>0.86944444444444446</v>
      </c>
      <c r="DVM91" s="77" t="str">
        <f t="shared" si="93"/>
        <v>O</v>
      </c>
      <c r="DVN91" s="74" t="s">
        <v>28</v>
      </c>
      <c r="DVO91" s="75" t="s">
        <v>23</v>
      </c>
      <c r="DVP91" s="78">
        <f>IFERROR(VLOOKUP(DVO91,'[1]List KPI'!$M$3:$N$8,2,0),"")</f>
        <v>2.0833333333333332E-2</v>
      </c>
      <c r="DVQ91" s="76">
        <v>0.89444444444444449</v>
      </c>
      <c r="DVR91" s="77" t="str">
        <f t="shared" si="94"/>
        <v>O</v>
      </c>
      <c r="DVS91" s="79">
        <v>5</v>
      </c>
      <c r="DVT91" s="75">
        <v>1276006</v>
      </c>
      <c r="DVU91" s="80"/>
      <c r="DVV91" s="81">
        <v>0.86944444444444446</v>
      </c>
      <c r="DVW91" s="74" t="s">
        <v>27</v>
      </c>
      <c r="DVX91" s="74" t="s">
        <v>24</v>
      </c>
      <c r="DVY91" s="75" t="s">
        <v>25</v>
      </c>
      <c r="DVZ91" s="76">
        <f>IFERROR(VLOOKUP(DVY91,'[1]List KPI'!$A$103:$F$118,6,0),"")</f>
        <v>1.0416666666666666E-2</v>
      </c>
      <c r="DWA91" s="76">
        <v>0.86944444444444446</v>
      </c>
      <c r="DWB91" s="76">
        <v>0.86944444444444446</v>
      </c>
      <c r="DWC91" s="77" t="str">
        <f t="shared" si="93"/>
        <v>O</v>
      </c>
      <c r="DWD91" s="74" t="s">
        <v>28</v>
      </c>
      <c r="DWE91" s="75" t="s">
        <v>23</v>
      </c>
      <c r="DWF91" s="78">
        <f>IFERROR(VLOOKUP(DWE91,'[1]List KPI'!$M$3:$N$8,2,0),"")</f>
        <v>2.0833333333333332E-2</v>
      </c>
      <c r="DWG91" s="76">
        <v>0.89444444444444449</v>
      </c>
      <c r="DWH91" s="77" t="str">
        <f t="shared" si="94"/>
        <v>O</v>
      </c>
      <c r="DWI91" s="79">
        <v>5</v>
      </c>
      <c r="DWJ91" s="75">
        <v>1276006</v>
      </c>
      <c r="DWK91" s="80"/>
      <c r="DWL91" s="81">
        <v>0.86944444444444446</v>
      </c>
      <c r="DWM91" s="74" t="s">
        <v>27</v>
      </c>
      <c r="DWN91" s="74" t="s">
        <v>24</v>
      </c>
      <c r="DWO91" s="75" t="s">
        <v>25</v>
      </c>
      <c r="DWP91" s="76">
        <f>IFERROR(VLOOKUP(DWO91,'[1]List KPI'!$A$103:$F$118,6,0),"")</f>
        <v>1.0416666666666666E-2</v>
      </c>
      <c r="DWQ91" s="76">
        <v>0.86944444444444446</v>
      </c>
      <c r="DWR91" s="76">
        <v>0.86944444444444446</v>
      </c>
      <c r="DWS91" s="77" t="str">
        <f t="shared" si="93"/>
        <v>O</v>
      </c>
      <c r="DWT91" s="74" t="s">
        <v>28</v>
      </c>
      <c r="DWU91" s="75" t="s">
        <v>23</v>
      </c>
      <c r="DWV91" s="78">
        <f>IFERROR(VLOOKUP(DWU91,'[1]List KPI'!$M$3:$N$8,2,0),"")</f>
        <v>2.0833333333333332E-2</v>
      </c>
      <c r="DWW91" s="76">
        <v>0.89444444444444449</v>
      </c>
      <c r="DWX91" s="77" t="str">
        <f t="shared" si="94"/>
        <v>O</v>
      </c>
      <c r="DWY91" s="79">
        <v>5</v>
      </c>
      <c r="DWZ91" s="75">
        <v>1276006</v>
      </c>
      <c r="DXA91" s="80"/>
      <c r="DXB91" s="81">
        <v>0.86944444444444446</v>
      </c>
      <c r="DXC91" s="74" t="s">
        <v>27</v>
      </c>
      <c r="DXD91" s="74" t="s">
        <v>24</v>
      </c>
      <c r="DXE91" s="75" t="s">
        <v>25</v>
      </c>
      <c r="DXF91" s="76">
        <f>IFERROR(VLOOKUP(DXE91,'[1]List KPI'!$A$103:$F$118,6,0),"")</f>
        <v>1.0416666666666666E-2</v>
      </c>
      <c r="DXG91" s="76">
        <v>0.86944444444444446</v>
      </c>
      <c r="DXH91" s="76">
        <v>0.86944444444444446</v>
      </c>
      <c r="DXI91" s="77" t="str">
        <f t="shared" ref="DXI91:DZE91" si="95">IF(DXH91="","",IF(DXH91&gt;DXQ91,"O","P"))</f>
        <v>O</v>
      </c>
      <c r="DXJ91" s="74" t="s">
        <v>28</v>
      </c>
      <c r="DXK91" s="75" t="s">
        <v>23</v>
      </c>
      <c r="DXL91" s="78">
        <f>IFERROR(VLOOKUP(DXK91,'[1]List KPI'!$M$3:$N$8,2,0),"")</f>
        <v>2.0833333333333332E-2</v>
      </c>
      <c r="DXM91" s="76">
        <v>0.89444444444444449</v>
      </c>
      <c r="DXN91" s="77" t="str">
        <f t="shared" ref="DXN91:DZJ91" si="96">IF(DXM91="","",IF(DXM91&gt;DXR91,"O","P"))</f>
        <v>O</v>
      </c>
      <c r="DXO91" s="79">
        <v>5</v>
      </c>
      <c r="DXP91" s="75">
        <v>1276006</v>
      </c>
      <c r="DXQ91" s="80"/>
      <c r="DXR91" s="81">
        <v>0.86944444444444446</v>
      </c>
      <c r="DXS91" s="74" t="s">
        <v>27</v>
      </c>
      <c r="DXT91" s="74" t="s">
        <v>24</v>
      </c>
      <c r="DXU91" s="75" t="s">
        <v>25</v>
      </c>
      <c r="DXV91" s="76">
        <f>IFERROR(VLOOKUP(DXU91,'[1]List KPI'!$A$103:$F$118,6,0),"")</f>
        <v>1.0416666666666666E-2</v>
      </c>
      <c r="DXW91" s="76">
        <v>0.86944444444444446</v>
      </c>
      <c r="DXX91" s="76">
        <v>0.86944444444444446</v>
      </c>
      <c r="DXY91" s="77" t="str">
        <f t="shared" si="95"/>
        <v>O</v>
      </c>
      <c r="DXZ91" s="74" t="s">
        <v>28</v>
      </c>
      <c r="DYA91" s="75" t="s">
        <v>23</v>
      </c>
      <c r="DYB91" s="78">
        <f>IFERROR(VLOOKUP(DYA91,'[1]List KPI'!$M$3:$N$8,2,0),"")</f>
        <v>2.0833333333333332E-2</v>
      </c>
      <c r="DYC91" s="76">
        <v>0.89444444444444449</v>
      </c>
      <c r="DYD91" s="77" t="str">
        <f t="shared" si="96"/>
        <v>O</v>
      </c>
      <c r="DYE91" s="79">
        <v>5</v>
      </c>
      <c r="DYF91" s="75">
        <v>1276006</v>
      </c>
      <c r="DYG91" s="80"/>
      <c r="DYH91" s="81">
        <v>0.86944444444444446</v>
      </c>
      <c r="DYI91" s="74" t="s">
        <v>27</v>
      </c>
      <c r="DYJ91" s="74" t="s">
        <v>24</v>
      </c>
      <c r="DYK91" s="75" t="s">
        <v>25</v>
      </c>
      <c r="DYL91" s="76">
        <f>IFERROR(VLOOKUP(DYK91,'[1]List KPI'!$A$103:$F$118,6,0),"")</f>
        <v>1.0416666666666666E-2</v>
      </c>
      <c r="DYM91" s="76">
        <v>0.86944444444444446</v>
      </c>
      <c r="DYN91" s="76">
        <v>0.86944444444444446</v>
      </c>
      <c r="DYO91" s="77" t="str">
        <f t="shared" si="95"/>
        <v>O</v>
      </c>
      <c r="DYP91" s="74" t="s">
        <v>28</v>
      </c>
      <c r="DYQ91" s="75" t="s">
        <v>23</v>
      </c>
      <c r="DYR91" s="78">
        <f>IFERROR(VLOOKUP(DYQ91,'[1]List KPI'!$M$3:$N$8,2,0),"")</f>
        <v>2.0833333333333332E-2</v>
      </c>
      <c r="DYS91" s="76">
        <v>0.89444444444444449</v>
      </c>
      <c r="DYT91" s="77" t="str">
        <f t="shared" si="96"/>
        <v>O</v>
      </c>
      <c r="DYU91" s="79">
        <v>5</v>
      </c>
      <c r="DYV91" s="75">
        <v>1276006</v>
      </c>
      <c r="DYW91" s="80"/>
      <c r="DYX91" s="81">
        <v>0.86944444444444446</v>
      </c>
      <c r="DYY91" s="74" t="s">
        <v>27</v>
      </c>
      <c r="DYZ91" s="74" t="s">
        <v>24</v>
      </c>
      <c r="DZA91" s="75" t="s">
        <v>25</v>
      </c>
      <c r="DZB91" s="76">
        <f>IFERROR(VLOOKUP(DZA91,'[1]List KPI'!$A$103:$F$118,6,0),"")</f>
        <v>1.0416666666666666E-2</v>
      </c>
      <c r="DZC91" s="76">
        <v>0.86944444444444446</v>
      </c>
      <c r="DZD91" s="76">
        <v>0.86944444444444446</v>
      </c>
      <c r="DZE91" s="77" t="str">
        <f t="shared" si="95"/>
        <v>O</v>
      </c>
      <c r="DZF91" s="74" t="s">
        <v>28</v>
      </c>
      <c r="DZG91" s="75" t="s">
        <v>23</v>
      </c>
      <c r="DZH91" s="78">
        <f>IFERROR(VLOOKUP(DZG91,'[1]List KPI'!$M$3:$N$8,2,0),"")</f>
        <v>2.0833333333333332E-2</v>
      </c>
      <c r="DZI91" s="76">
        <v>0.89444444444444449</v>
      </c>
      <c r="DZJ91" s="77" t="str">
        <f t="shared" si="96"/>
        <v>O</v>
      </c>
      <c r="DZK91" s="79">
        <v>5</v>
      </c>
      <c r="DZL91" s="75">
        <v>1276006</v>
      </c>
      <c r="DZM91" s="80"/>
      <c r="DZN91" s="81">
        <v>0.86944444444444446</v>
      </c>
      <c r="DZO91" s="74" t="s">
        <v>27</v>
      </c>
      <c r="DZP91" s="74" t="s">
        <v>24</v>
      </c>
      <c r="DZQ91" s="75" t="s">
        <v>25</v>
      </c>
      <c r="DZR91" s="76">
        <f>IFERROR(VLOOKUP(DZQ91,'[1]List KPI'!$A$103:$F$118,6,0),"")</f>
        <v>1.0416666666666666E-2</v>
      </c>
      <c r="DZS91" s="76">
        <v>0.86944444444444446</v>
      </c>
      <c r="DZT91" s="76">
        <v>0.86944444444444446</v>
      </c>
      <c r="DZU91" s="77" t="str">
        <f t="shared" ref="DZU91:EBQ91" si="97">IF(DZT91="","",IF(DZT91&gt;EAC91,"O","P"))</f>
        <v>O</v>
      </c>
      <c r="DZV91" s="74" t="s">
        <v>28</v>
      </c>
      <c r="DZW91" s="75" t="s">
        <v>23</v>
      </c>
      <c r="DZX91" s="78">
        <f>IFERROR(VLOOKUP(DZW91,'[1]List KPI'!$M$3:$N$8,2,0),"")</f>
        <v>2.0833333333333332E-2</v>
      </c>
      <c r="DZY91" s="76">
        <v>0.89444444444444449</v>
      </c>
      <c r="DZZ91" s="77" t="str">
        <f t="shared" ref="DZZ91:EBV91" si="98">IF(DZY91="","",IF(DZY91&gt;EAD91,"O","P"))</f>
        <v>O</v>
      </c>
      <c r="EAA91" s="79">
        <v>5</v>
      </c>
      <c r="EAB91" s="75">
        <v>1276006</v>
      </c>
      <c r="EAC91" s="80"/>
      <c r="EAD91" s="81">
        <v>0.86944444444444446</v>
      </c>
      <c r="EAE91" s="74" t="s">
        <v>27</v>
      </c>
      <c r="EAF91" s="74" t="s">
        <v>24</v>
      </c>
      <c r="EAG91" s="75" t="s">
        <v>25</v>
      </c>
      <c r="EAH91" s="76">
        <f>IFERROR(VLOOKUP(EAG91,'[1]List KPI'!$A$103:$F$118,6,0),"")</f>
        <v>1.0416666666666666E-2</v>
      </c>
      <c r="EAI91" s="76">
        <v>0.86944444444444446</v>
      </c>
      <c r="EAJ91" s="76">
        <v>0.86944444444444446</v>
      </c>
      <c r="EAK91" s="77" t="str">
        <f t="shared" si="97"/>
        <v>O</v>
      </c>
      <c r="EAL91" s="74" t="s">
        <v>28</v>
      </c>
      <c r="EAM91" s="75" t="s">
        <v>23</v>
      </c>
      <c r="EAN91" s="78">
        <f>IFERROR(VLOOKUP(EAM91,'[1]List KPI'!$M$3:$N$8,2,0),"")</f>
        <v>2.0833333333333332E-2</v>
      </c>
      <c r="EAO91" s="76">
        <v>0.89444444444444449</v>
      </c>
      <c r="EAP91" s="77" t="str">
        <f t="shared" si="98"/>
        <v>O</v>
      </c>
      <c r="EAQ91" s="79">
        <v>5</v>
      </c>
      <c r="EAR91" s="75">
        <v>1276006</v>
      </c>
      <c r="EAS91" s="80"/>
      <c r="EAT91" s="81">
        <v>0.86944444444444446</v>
      </c>
      <c r="EAU91" s="74" t="s">
        <v>27</v>
      </c>
      <c r="EAV91" s="74" t="s">
        <v>24</v>
      </c>
      <c r="EAW91" s="75" t="s">
        <v>25</v>
      </c>
      <c r="EAX91" s="76">
        <f>IFERROR(VLOOKUP(EAW91,'[1]List KPI'!$A$103:$F$118,6,0),"")</f>
        <v>1.0416666666666666E-2</v>
      </c>
      <c r="EAY91" s="76">
        <v>0.86944444444444446</v>
      </c>
      <c r="EAZ91" s="76">
        <v>0.86944444444444446</v>
      </c>
      <c r="EBA91" s="77" t="str">
        <f t="shared" si="97"/>
        <v>O</v>
      </c>
      <c r="EBB91" s="74" t="s">
        <v>28</v>
      </c>
      <c r="EBC91" s="75" t="s">
        <v>23</v>
      </c>
      <c r="EBD91" s="78">
        <f>IFERROR(VLOOKUP(EBC91,'[1]List KPI'!$M$3:$N$8,2,0),"")</f>
        <v>2.0833333333333332E-2</v>
      </c>
      <c r="EBE91" s="76">
        <v>0.89444444444444449</v>
      </c>
      <c r="EBF91" s="77" t="str">
        <f t="shared" si="98"/>
        <v>O</v>
      </c>
      <c r="EBG91" s="79">
        <v>5</v>
      </c>
      <c r="EBH91" s="75">
        <v>1276006</v>
      </c>
      <c r="EBI91" s="80"/>
      <c r="EBJ91" s="81">
        <v>0.86944444444444446</v>
      </c>
      <c r="EBK91" s="74" t="s">
        <v>27</v>
      </c>
      <c r="EBL91" s="74" t="s">
        <v>24</v>
      </c>
      <c r="EBM91" s="75" t="s">
        <v>25</v>
      </c>
      <c r="EBN91" s="76">
        <f>IFERROR(VLOOKUP(EBM91,'[1]List KPI'!$A$103:$F$118,6,0),"")</f>
        <v>1.0416666666666666E-2</v>
      </c>
      <c r="EBO91" s="76">
        <v>0.86944444444444446</v>
      </c>
      <c r="EBP91" s="76">
        <v>0.86944444444444446</v>
      </c>
      <c r="EBQ91" s="77" t="str">
        <f t="shared" si="97"/>
        <v>O</v>
      </c>
      <c r="EBR91" s="74" t="s">
        <v>28</v>
      </c>
      <c r="EBS91" s="75" t="s">
        <v>23</v>
      </c>
      <c r="EBT91" s="78">
        <f>IFERROR(VLOOKUP(EBS91,'[1]List KPI'!$M$3:$N$8,2,0),"")</f>
        <v>2.0833333333333332E-2</v>
      </c>
      <c r="EBU91" s="76">
        <v>0.89444444444444449</v>
      </c>
      <c r="EBV91" s="77" t="str">
        <f t="shared" si="98"/>
        <v>O</v>
      </c>
      <c r="EBW91" s="79">
        <v>5</v>
      </c>
      <c r="EBX91" s="75">
        <v>1276006</v>
      </c>
      <c r="EBY91" s="80"/>
      <c r="EBZ91" s="81">
        <v>0.86944444444444446</v>
      </c>
      <c r="ECA91" s="74" t="s">
        <v>27</v>
      </c>
      <c r="ECB91" s="74" t="s">
        <v>24</v>
      </c>
      <c r="ECC91" s="75" t="s">
        <v>25</v>
      </c>
      <c r="ECD91" s="76">
        <f>IFERROR(VLOOKUP(ECC91,'[1]List KPI'!$A$103:$F$118,6,0),"")</f>
        <v>1.0416666666666666E-2</v>
      </c>
      <c r="ECE91" s="76">
        <v>0.86944444444444446</v>
      </c>
      <c r="ECF91" s="76">
        <v>0.86944444444444446</v>
      </c>
      <c r="ECG91" s="77" t="str">
        <f t="shared" ref="ECG91:EEC91" si="99">IF(ECF91="","",IF(ECF91&gt;ECO91,"O","P"))</f>
        <v>O</v>
      </c>
      <c r="ECH91" s="74" t="s">
        <v>28</v>
      </c>
      <c r="ECI91" s="75" t="s">
        <v>23</v>
      </c>
      <c r="ECJ91" s="78">
        <f>IFERROR(VLOOKUP(ECI91,'[1]List KPI'!$M$3:$N$8,2,0),"")</f>
        <v>2.0833333333333332E-2</v>
      </c>
      <c r="ECK91" s="76">
        <v>0.89444444444444449</v>
      </c>
      <c r="ECL91" s="77" t="str">
        <f t="shared" ref="ECL91:EEH91" si="100">IF(ECK91="","",IF(ECK91&gt;ECP91,"O","P"))</f>
        <v>O</v>
      </c>
      <c r="ECM91" s="79">
        <v>5</v>
      </c>
      <c r="ECN91" s="75">
        <v>1276006</v>
      </c>
      <c r="ECO91" s="80"/>
      <c r="ECP91" s="81">
        <v>0.86944444444444446</v>
      </c>
      <c r="ECQ91" s="74" t="s">
        <v>27</v>
      </c>
      <c r="ECR91" s="74" t="s">
        <v>24</v>
      </c>
      <c r="ECS91" s="75" t="s">
        <v>25</v>
      </c>
      <c r="ECT91" s="76">
        <f>IFERROR(VLOOKUP(ECS91,'[1]List KPI'!$A$103:$F$118,6,0),"")</f>
        <v>1.0416666666666666E-2</v>
      </c>
      <c r="ECU91" s="76">
        <v>0.86944444444444446</v>
      </c>
      <c r="ECV91" s="76">
        <v>0.86944444444444446</v>
      </c>
      <c r="ECW91" s="77" t="str">
        <f t="shared" si="99"/>
        <v>O</v>
      </c>
      <c r="ECX91" s="74" t="s">
        <v>28</v>
      </c>
      <c r="ECY91" s="75" t="s">
        <v>23</v>
      </c>
      <c r="ECZ91" s="78">
        <f>IFERROR(VLOOKUP(ECY91,'[1]List KPI'!$M$3:$N$8,2,0),"")</f>
        <v>2.0833333333333332E-2</v>
      </c>
      <c r="EDA91" s="76">
        <v>0.89444444444444449</v>
      </c>
      <c r="EDB91" s="77" t="str">
        <f t="shared" si="100"/>
        <v>O</v>
      </c>
      <c r="EDC91" s="79">
        <v>5</v>
      </c>
      <c r="EDD91" s="75">
        <v>1276006</v>
      </c>
      <c r="EDE91" s="80"/>
      <c r="EDF91" s="81">
        <v>0.86944444444444446</v>
      </c>
      <c r="EDG91" s="74" t="s">
        <v>27</v>
      </c>
      <c r="EDH91" s="74" t="s">
        <v>24</v>
      </c>
      <c r="EDI91" s="75" t="s">
        <v>25</v>
      </c>
      <c r="EDJ91" s="76">
        <f>IFERROR(VLOOKUP(EDI91,'[1]List KPI'!$A$103:$F$118,6,0),"")</f>
        <v>1.0416666666666666E-2</v>
      </c>
      <c r="EDK91" s="76">
        <v>0.86944444444444446</v>
      </c>
      <c r="EDL91" s="76">
        <v>0.86944444444444446</v>
      </c>
      <c r="EDM91" s="77" t="str">
        <f t="shared" si="99"/>
        <v>O</v>
      </c>
      <c r="EDN91" s="74" t="s">
        <v>28</v>
      </c>
      <c r="EDO91" s="75" t="s">
        <v>23</v>
      </c>
      <c r="EDP91" s="78">
        <f>IFERROR(VLOOKUP(EDO91,'[1]List KPI'!$M$3:$N$8,2,0),"")</f>
        <v>2.0833333333333332E-2</v>
      </c>
      <c r="EDQ91" s="76">
        <v>0.89444444444444449</v>
      </c>
      <c r="EDR91" s="77" t="str">
        <f t="shared" si="100"/>
        <v>O</v>
      </c>
      <c r="EDS91" s="79">
        <v>5</v>
      </c>
      <c r="EDT91" s="75">
        <v>1276006</v>
      </c>
      <c r="EDU91" s="80"/>
      <c r="EDV91" s="81">
        <v>0.86944444444444446</v>
      </c>
      <c r="EDW91" s="74" t="s">
        <v>27</v>
      </c>
      <c r="EDX91" s="74" t="s">
        <v>24</v>
      </c>
      <c r="EDY91" s="75" t="s">
        <v>25</v>
      </c>
      <c r="EDZ91" s="76">
        <f>IFERROR(VLOOKUP(EDY91,'[1]List KPI'!$A$103:$F$118,6,0),"")</f>
        <v>1.0416666666666666E-2</v>
      </c>
      <c r="EEA91" s="76">
        <v>0.86944444444444446</v>
      </c>
      <c r="EEB91" s="76">
        <v>0.86944444444444446</v>
      </c>
      <c r="EEC91" s="77" t="str">
        <f t="shared" si="99"/>
        <v>O</v>
      </c>
      <c r="EED91" s="74" t="s">
        <v>28</v>
      </c>
      <c r="EEE91" s="75" t="s">
        <v>23</v>
      </c>
      <c r="EEF91" s="78">
        <f>IFERROR(VLOOKUP(EEE91,'[1]List KPI'!$M$3:$N$8,2,0),"")</f>
        <v>2.0833333333333332E-2</v>
      </c>
      <c r="EEG91" s="76">
        <v>0.89444444444444449</v>
      </c>
      <c r="EEH91" s="77" t="str">
        <f t="shared" si="100"/>
        <v>O</v>
      </c>
      <c r="EEI91" s="79">
        <v>5</v>
      </c>
      <c r="EEJ91" s="75">
        <v>1276006</v>
      </c>
      <c r="EEK91" s="80"/>
      <c r="EEL91" s="81">
        <v>0.86944444444444446</v>
      </c>
      <c r="EEM91" s="74" t="s">
        <v>27</v>
      </c>
      <c r="EEN91" s="74" t="s">
        <v>24</v>
      </c>
      <c r="EEO91" s="75" t="s">
        <v>25</v>
      </c>
      <c r="EEP91" s="76">
        <f>IFERROR(VLOOKUP(EEO91,'[1]List KPI'!$A$103:$F$118,6,0),"")</f>
        <v>1.0416666666666666E-2</v>
      </c>
      <c r="EEQ91" s="76">
        <v>0.86944444444444446</v>
      </c>
      <c r="EER91" s="76">
        <v>0.86944444444444446</v>
      </c>
      <c r="EES91" s="77" t="str">
        <f t="shared" ref="EES91:EGO91" si="101">IF(EER91="","",IF(EER91&gt;EFA91,"O","P"))</f>
        <v>O</v>
      </c>
      <c r="EET91" s="74" t="s">
        <v>28</v>
      </c>
      <c r="EEU91" s="75" t="s">
        <v>23</v>
      </c>
      <c r="EEV91" s="78">
        <f>IFERROR(VLOOKUP(EEU91,'[1]List KPI'!$M$3:$N$8,2,0),"")</f>
        <v>2.0833333333333332E-2</v>
      </c>
      <c r="EEW91" s="76">
        <v>0.89444444444444449</v>
      </c>
      <c r="EEX91" s="77" t="str">
        <f t="shared" ref="EEX91:EGT91" si="102">IF(EEW91="","",IF(EEW91&gt;EFB91,"O","P"))</f>
        <v>O</v>
      </c>
      <c r="EEY91" s="79">
        <v>5</v>
      </c>
      <c r="EEZ91" s="75">
        <v>1276006</v>
      </c>
      <c r="EFA91" s="80"/>
      <c r="EFB91" s="81">
        <v>0.86944444444444446</v>
      </c>
      <c r="EFC91" s="74" t="s">
        <v>27</v>
      </c>
      <c r="EFD91" s="74" t="s">
        <v>24</v>
      </c>
      <c r="EFE91" s="75" t="s">
        <v>25</v>
      </c>
      <c r="EFF91" s="76">
        <f>IFERROR(VLOOKUP(EFE91,'[1]List KPI'!$A$103:$F$118,6,0),"")</f>
        <v>1.0416666666666666E-2</v>
      </c>
      <c r="EFG91" s="76">
        <v>0.86944444444444446</v>
      </c>
      <c r="EFH91" s="76">
        <v>0.86944444444444446</v>
      </c>
      <c r="EFI91" s="77" t="str">
        <f t="shared" si="101"/>
        <v>O</v>
      </c>
      <c r="EFJ91" s="74" t="s">
        <v>28</v>
      </c>
      <c r="EFK91" s="75" t="s">
        <v>23</v>
      </c>
      <c r="EFL91" s="78">
        <f>IFERROR(VLOOKUP(EFK91,'[1]List KPI'!$M$3:$N$8,2,0),"")</f>
        <v>2.0833333333333332E-2</v>
      </c>
      <c r="EFM91" s="76">
        <v>0.89444444444444449</v>
      </c>
      <c r="EFN91" s="77" t="str">
        <f t="shared" si="102"/>
        <v>O</v>
      </c>
      <c r="EFO91" s="79">
        <v>5</v>
      </c>
      <c r="EFP91" s="75">
        <v>1276006</v>
      </c>
      <c r="EFQ91" s="80"/>
      <c r="EFR91" s="81">
        <v>0.86944444444444446</v>
      </c>
      <c r="EFS91" s="74" t="s">
        <v>27</v>
      </c>
      <c r="EFT91" s="74" t="s">
        <v>24</v>
      </c>
      <c r="EFU91" s="75" t="s">
        <v>25</v>
      </c>
      <c r="EFV91" s="76">
        <f>IFERROR(VLOOKUP(EFU91,'[1]List KPI'!$A$103:$F$118,6,0),"")</f>
        <v>1.0416666666666666E-2</v>
      </c>
      <c r="EFW91" s="76">
        <v>0.86944444444444446</v>
      </c>
      <c r="EFX91" s="76">
        <v>0.86944444444444446</v>
      </c>
      <c r="EFY91" s="77" t="str">
        <f t="shared" si="101"/>
        <v>O</v>
      </c>
      <c r="EFZ91" s="74" t="s">
        <v>28</v>
      </c>
      <c r="EGA91" s="75" t="s">
        <v>23</v>
      </c>
      <c r="EGB91" s="78">
        <f>IFERROR(VLOOKUP(EGA91,'[1]List KPI'!$M$3:$N$8,2,0),"")</f>
        <v>2.0833333333333332E-2</v>
      </c>
      <c r="EGC91" s="76">
        <v>0.89444444444444449</v>
      </c>
      <c r="EGD91" s="77" t="str">
        <f t="shared" si="102"/>
        <v>O</v>
      </c>
      <c r="EGE91" s="79">
        <v>5</v>
      </c>
      <c r="EGF91" s="75">
        <v>1276006</v>
      </c>
      <c r="EGG91" s="80"/>
      <c r="EGH91" s="81">
        <v>0.86944444444444446</v>
      </c>
      <c r="EGI91" s="74" t="s">
        <v>27</v>
      </c>
      <c r="EGJ91" s="74" t="s">
        <v>24</v>
      </c>
      <c r="EGK91" s="75" t="s">
        <v>25</v>
      </c>
      <c r="EGL91" s="76">
        <f>IFERROR(VLOOKUP(EGK91,'[1]List KPI'!$A$103:$F$118,6,0),"")</f>
        <v>1.0416666666666666E-2</v>
      </c>
      <c r="EGM91" s="76">
        <v>0.86944444444444446</v>
      </c>
      <c r="EGN91" s="76">
        <v>0.86944444444444446</v>
      </c>
      <c r="EGO91" s="77" t="str">
        <f t="shared" si="101"/>
        <v>O</v>
      </c>
      <c r="EGP91" s="74" t="s">
        <v>28</v>
      </c>
      <c r="EGQ91" s="75" t="s">
        <v>23</v>
      </c>
      <c r="EGR91" s="78">
        <f>IFERROR(VLOOKUP(EGQ91,'[1]List KPI'!$M$3:$N$8,2,0),"")</f>
        <v>2.0833333333333332E-2</v>
      </c>
      <c r="EGS91" s="76">
        <v>0.89444444444444449</v>
      </c>
      <c r="EGT91" s="77" t="str">
        <f t="shared" si="102"/>
        <v>O</v>
      </c>
      <c r="EGU91" s="79">
        <v>5</v>
      </c>
      <c r="EGV91" s="75">
        <v>1276006</v>
      </c>
      <c r="EGW91" s="80"/>
      <c r="EGX91" s="81">
        <v>0.86944444444444446</v>
      </c>
      <c r="EGY91" s="74" t="s">
        <v>27</v>
      </c>
      <c r="EGZ91" s="74" t="s">
        <v>24</v>
      </c>
      <c r="EHA91" s="75" t="s">
        <v>25</v>
      </c>
      <c r="EHB91" s="76">
        <f>IFERROR(VLOOKUP(EHA91,'[1]List KPI'!$A$103:$F$118,6,0),"")</f>
        <v>1.0416666666666666E-2</v>
      </c>
      <c r="EHC91" s="76">
        <v>0.86944444444444446</v>
      </c>
      <c r="EHD91" s="76">
        <v>0.86944444444444446</v>
      </c>
      <c r="EHE91" s="77" t="str">
        <f t="shared" ref="EHE91:EJA91" si="103">IF(EHD91="","",IF(EHD91&gt;EHM91,"O","P"))</f>
        <v>O</v>
      </c>
      <c r="EHF91" s="74" t="s">
        <v>28</v>
      </c>
      <c r="EHG91" s="75" t="s">
        <v>23</v>
      </c>
      <c r="EHH91" s="78">
        <f>IFERROR(VLOOKUP(EHG91,'[1]List KPI'!$M$3:$N$8,2,0),"")</f>
        <v>2.0833333333333332E-2</v>
      </c>
      <c r="EHI91" s="76">
        <v>0.89444444444444449</v>
      </c>
      <c r="EHJ91" s="77" t="str">
        <f t="shared" ref="EHJ91:EJF91" si="104">IF(EHI91="","",IF(EHI91&gt;EHN91,"O","P"))</f>
        <v>O</v>
      </c>
      <c r="EHK91" s="79">
        <v>5</v>
      </c>
      <c r="EHL91" s="75">
        <v>1276006</v>
      </c>
      <c r="EHM91" s="80"/>
      <c r="EHN91" s="81">
        <v>0.86944444444444446</v>
      </c>
      <c r="EHO91" s="74" t="s">
        <v>27</v>
      </c>
      <c r="EHP91" s="74" t="s">
        <v>24</v>
      </c>
      <c r="EHQ91" s="75" t="s">
        <v>25</v>
      </c>
      <c r="EHR91" s="76">
        <f>IFERROR(VLOOKUP(EHQ91,'[1]List KPI'!$A$103:$F$118,6,0),"")</f>
        <v>1.0416666666666666E-2</v>
      </c>
      <c r="EHS91" s="76">
        <v>0.86944444444444446</v>
      </c>
      <c r="EHT91" s="76">
        <v>0.86944444444444446</v>
      </c>
      <c r="EHU91" s="77" t="str">
        <f t="shared" si="103"/>
        <v>O</v>
      </c>
      <c r="EHV91" s="74" t="s">
        <v>28</v>
      </c>
      <c r="EHW91" s="75" t="s">
        <v>23</v>
      </c>
      <c r="EHX91" s="78">
        <f>IFERROR(VLOOKUP(EHW91,'[1]List KPI'!$M$3:$N$8,2,0),"")</f>
        <v>2.0833333333333332E-2</v>
      </c>
      <c r="EHY91" s="76">
        <v>0.89444444444444449</v>
      </c>
      <c r="EHZ91" s="77" t="str">
        <f t="shared" si="104"/>
        <v>O</v>
      </c>
      <c r="EIA91" s="79">
        <v>5</v>
      </c>
      <c r="EIB91" s="75">
        <v>1276006</v>
      </c>
      <c r="EIC91" s="80"/>
      <c r="EID91" s="81">
        <v>0.86944444444444446</v>
      </c>
      <c r="EIE91" s="74" t="s">
        <v>27</v>
      </c>
      <c r="EIF91" s="74" t="s">
        <v>24</v>
      </c>
      <c r="EIG91" s="75" t="s">
        <v>25</v>
      </c>
      <c r="EIH91" s="76">
        <f>IFERROR(VLOOKUP(EIG91,'[1]List KPI'!$A$103:$F$118,6,0),"")</f>
        <v>1.0416666666666666E-2</v>
      </c>
      <c r="EII91" s="76">
        <v>0.86944444444444446</v>
      </c>
      <c r="EIJ91" s="76">
        <v>0.86944444444444446</v>
      </c>
      <c r="EIK91" s="77" t="str">
        <f t="shared" si="103"/>
        <v>O</v>
      </c>
      <c r="EIL91" s="74" t="s">
        <v>28</v>
      </c>
      <c r="EIM91" s="75" t="s">
        <v>23</v>
      </c>
      <c r="EIN91" s="78">
        <f>IFERROR(VLOOKUP(EIM91,'[1]List KPI'!$M$3:$N$8,2,0),"")</f>
        <v>2.0833333333333332E-2</v>
      </c>
      <c r="EIO91" s="76">
        <v>0.89444444444444449</v>
      </c>
      <c r="EIP91" s="77" t="str">
        <f t="shared" si="104"/>
        <v>O</v>
      </c>
      <c r="EIQ91" s="79">
        <v>5</v>
      </c>
      <c r="EIR91" s="75">
        <v>1276006</v>
      </c>
      <c r="EIS91" s="80"/>
      <c r="EIT91" s="81">
        <v>0.86944444444444446</v>
      </c>
      <c r="EIU91" s="74" t="s">
        <v>27</v>
      </c>
      <c r="EIV91" s="74" t="s">
        <v>24</v>
      </c>
      <c r="EIW91" s="75" t="s">
        <v>25</v>
      </c>
      <c r="EIX91" s="76">
        <f>IFERROR(VLOOKUP(EIW91,'[1]List KPI'!$A$103:$F$118,6,0),"")</f>
        <v>1.0416666666666666E-2</v>
      </c>
      <c r="EIY91" s="76">
        <v>0.86944444444444446</v>
      </c>
      <c r="EIZ91" s="76">
        <v>0.86944444444444446</v>
      </c>
      <c r="EJA91" s="77" t="str">
        <f t="shared" si="103"/>
        <v>O</v>
      </c>
      <c r="EJB91" s="74" t="s">
        <v>28</v>
      </c>
      <c r="EJC91" s="75" t="s">
        <v>23</v>
      </c>
      <c r="EJD91" s="78">
        <f>IFERROR(VLOOKUP(EJC91,'[1]List KPI'!$M$3:$N$8,2,0),"")</f>
        <v>2.0833333333333332E-2</v>
      </c>
      <c r="EJE91" s="76">
        <v>0.89444444444444449</v>
      </c>
      <c r="EJF91" s="77" t="str">
        <f t="shared" si="104"/>
        <v>O</v>
      </c>
      <c r="EJG91" s="79">
        <v>5</v>
      </c>
      <c r="EJH91" s="75">
        <v>1276006</v>
      </c>
      <c r="EJI91" s="80"/>
      <c r="EJJ91" s="81">
        <v>0.86944444444444446</v>
      </c>
      <c r="EJK91" s="74" t="s">
        <v>27</v>
      </c>
      <c r="EJL91" s="74" t="s">
        <v>24</v>
      </c>
      <c r="EJM91" s="75" t="s">
        <v>25</v>
      </c>
      <c r="EJN91" s="76">
        <f>IFERROR(VLOOKUP(EJM91,'[1]List KPI'!$A$103:$F$118,6,0),"")</f>
        <v>1.0416666666666666E-2</v>
      </c>
      <c r="EJO91" s="76">
        <v>0.86944444444444446</v>
      </c>
      <c r="EJP91" s="76">
        <v>0.86944444444444446</v>
      </c>
      <c r="EJQ91" s="77" t="str">
        <f t="shared" ref="EJQ91:ELM91" si="105">IF(EJP91="","",IF(EJP91&gt;EJY91,"O","P"))</f>
        <v>O</v>
      </c>
      <c r="EJR91" s="74" t="s">
        <v>28</v>
      </c>
      <c r="EJS91" s="75" t="s">
        <v>23</v>
      </c>
      <c r="EJT91" s="78">
        <f>IFERROR(VLOOKUP(EJS91,'[1]List KPI'!$M$3:$N$8,2,0),"")</f>
        <v>2.0833333333333332E-2</v>
      </c>
      <c r="EJU91" s="76">
        <v>0.89444444444444449</v>
      </c>
      <c r="EJV91" s="77" t="str">
        <f t="shared" ref="EJV91:ELR91" si="106">IF(EJU91="","",IF(EJU91&gt;EJZ91,"O","P"))</f>
        <v>O</v>
      </c>
      <c r="EJW91" s="79">
        <v>5</v>
      </c>
      <c r="EJX91" s="75">
        <v>1276006</v>
      </c>
      <c r="EJY91" s="80"/>
      <c r="EJZ91" s="81">
        <v>0.86944444444444446</v>
      </c>
      <c r="EKA91" s="74" t="s">
        <v>27</v>
      </c>
      <c r="EKB91" s="74" t="s">
        <v>24</v>
      </c>
      <c r="EKC91" s="75" t="s">
        <v>25</v>
      </c>
      <c r="EKD91" s="76">
        <f>IFERROR(VLOOKUP(EKC91,'[1]List KPI'!$A$103:$F$118,6,0),"")</f>
        <v>1.0416666666666666E-2</v>
      </c>
      <c r="EKE91" s="76">
        <v>0.86944444444444446</v>
      </c>
      <c r="EKF91" s="76">
        <v>0.86944444444444446</v>
      </c>
      <c r="EKG91" s="77" t="str">
        <f t="shared" si="105"/>
        <v>O</v>
      </c>
      <c r="EKH91" s="74" t="s">
        <v>28</v>
      </c>
      <c r="EKI91" s="75" t="s">
        <v>23</v>
      </c>
      <c r="EKJ91" s="78">
        <f>IFERROR(VLOOKUP(EKI91,'[1]List KPI'!$M$3:$N$8,2,0),"")</f>
        <v>2.0833333333333332E-2</v>
      </c>
      <c r="EKK91" s="76">
        <v>0.89444444444444449</v>
      </c>
      <c r="EKL91" s="77" t="str">
        <f t="shared" si="106"/>
        <v>O</v>
      </c>
      <c r="EKM91" s="79">
        <v>5</v>
      </c>
      <c r="EKN91" s="75">
        <v>1276006</v>
      </c>
      <c r="EKO91" s="80"/>
      <c r="EKP91" s="81">
        <v>0.86944444444444446</v>
      </c>
      <c r="EKQ91" s="74" t="s">
        <v>27</v>
      </c>
      <c r="EKR91" s="74" t="s">
        <v>24</v>
      </c>
      <c r="EKS91" s="75" t="s">
        <v>25</v>
      </c>
      <c r="EKT91" s="76">
        <f>IFERROR(VLOOKUP(EKS91,'[1]List KPI'!$A$103:$F$118,6,0),"")</f>
        <v>1.0416666666666666E-2</v>
      </c>
      <c r="EKU91" s="76">
        <v>0.86944444444444446</v>
      </c>
      <c r="EKV91" s="76">
        <v>0.86944444444444446</v>
      </c>
      <c r="EKW91" s="77" t="str">
        <f t="shared" si="105"/>
        <v>O</v>
      </c>
      <c r="EKX91" s="74" t="s">
        <v>28</v>
      </c>
      <c r="EKY91" s="75" t="s">
        <v>23</v>
      </c>
      <c r="EKZ91" s="78">
        <f>IFERROR(VLOOKUP(EKY91,'[1]List KPI'!$M$3:$N$8,2,0),"")</f>
        <v>2.0833333333333332E-2</v>
      </c>
      <c r="ELA91" s="76">
        <v>0.89444444444444449</v>
      </c>
      <c r="ELB91" s="77" t="str">
        <f t="shared" si="106"/>
        <v>O</v>
      </c>
      <c r="ELC91" s="79">
        <v>5</v>
      </c>
      <c r="ELD91" s="75">
        <v>1276006</v>
      </c>
      <c r="ELE91" s="80"/>
      <c r="ELF91" s="81">
        <v>0.86944444444444446</v>
      </c>
      <c r="ELG91" s="74" t="s">
        <v>27</v>
      </c>
      <c r="ELH91" s="74" t="s">
        <v>24</v>
      </c>
      <c r="ELI91" s="75" t="s">
        <v>25</v>
      </c>
      <c r="ELJ91" s="76">
        <f>IFERROR(VLOOKUP(ELI91,'[1]List KPI'!$A$103:$F$118,6,0),"")</f>
        <v>1.0416666666666666E-2</v>
      </c>
      <c r="ELK91" s="76">
        <v>0.86944444444444446</v>
      </c>
      <c r="ELL91" s="76">
        <v>0.86944444444444446</v>
      </c>
      <c r="ELM91" s="77" t="str">
        <f t="shared" si="105"/>
        <v>O</v>
      </c>
      <c r="ELN91" s="74" t="s">
        <v>28</v>
      </c>
      <c r="ELO91" s="75" t="s">
        <v>23</v>
      </c>
      <c r="ELP91" s="78">
        <f>IFERROR(VLOOKUP(ELO91,'[1]List KPI'!$M$3:$N$8,2,0),"")</f>
        <v>2.0833333333333332E-2</v>
      </c>
      <c r="ELQ91" s="76">
        <v>0.89444444444444449</v>
      </c>
      <c r="ELR91" s="77" t="str">
        <f t="shared" si="106"/>
        <v>O</v>
      </c>
      <c r="ELS91" s="79">
        <v>5</v>
      </c>
      <c r="ELT91" s="75">
        <v>1276006</v>
      </c>
      <c r="ELU91" s="80"/>
      <c r="ELV91" s="81">
        <v>0.86944444444444446</v>
      </c>
      <c r="ELW91" s="74" t="s">
        <v>27</v>
      </c>
      <c r="ELX91" s="74" t="s">
        <v>24</v>
      </c>
      <c r="ELY91" s="75" t="s">
        <v>25</v>
      </c>
      <c r="ELZ91" s="76">
        <f>IFERROR(VLOOKUP(ELY91,'[1]List KPI'!$A$103:$F$118,6,0),"")</f>
        <v>1.0416666666666666E-2</v>
      </c>
      <c r="EMA91" s="76">
        <v>0.86944444444444446</v>
      </c>
      <c r="EMB91" s="76">
        <v>0.86944444444444446</v>
      </c>
      <c r="EMC91" s="77" t="str">
        <f t="shared" ref="EMC91:ENY91" si="107">IF(EMB91="","",IF(EMB91&gt;EMK91,"O","P"))</f>
        <v>O</v>
      </c>
      <c r="EMD91" s="74" t="s">
        <v>28</v>
      </c>
      <c r="EME91" s="75" t="s">
        <v>23</v>
      </c>
      <c r="EMF91" s="78">
        <f>IFERROR(VLOOKUP(EME91,'[1]List KPI'!$M$3:$N$8,2,0),"")</f>
        <v>2.0833333333333332E-2</v>
      </c>
      <c r="EMG91" s="76">
        <v>0.89444444444444449</v>
      </c>
      <c r="EMH91" s="77" t="str">
        <f t="shared" ref="EMH91:EOD91" si="108">IF(EMG91="","",IF(EMG91&gt;EML91,"O","P"))</f>
        <v>O</v>
      </c>
      <c r="EMI91" s="79">
        <v>5</v>
      </c>
      <c r="EMJ91" s="75">
        <v>1276006</v>
      </c>
      <c r="EMK91" s="80"/>
      <c r="EML91" s="81">
        <v>0.86944444444444446</v>
      </c>
      <c r="EMM91" s="74" t="s">
        <v>27</v>
      </c>
      <c r="EMN91" s="74" t="s">
        <v>24</v>
      </c>
      <c r="EMO91" s="75" t="s">
        <v>25</v>
      </c>
      <c r="EMP91" s="76">
        <f>IFERROR(VLOOKUP(EMO91,'[1]List KPI'!$A$103:$F$118,6,0),"")</f>
        <v>1.0416666666666666E-2</v>
      </c>
      <c r="EMQ91" s="76">
        <v>0.86944444444444446</v>
      </c>
      <c r="EMR91" s="76">
        <v>0.86944444444444446</v>
      </c>
      <c r="EMS91" s="77" t="str">
        <f t="shared" si="107"/>
        <v>O</v>
      </c>
      <c r="EMT91" s="74" t="s">
        <v>28</v>
      </c>
      <c r="EMU91" s="75" t="s">
        <v>23</v>
      </c>
      <c r="EMV91" s="78">
        <f>IFERROR(VLOOKUP(EMU91,'[1]List KPI'!$M$3:$N$8,2,0),"")</f>
        <v>2.0833333333333332E-2</v>
      </c>
      <c r="EMW91" s="76">
        <v>0.89444444444444449</v>
      </c>
      <c r="EMX91" s="77" t="str">
        <f t="shared" si="108"/>
        <v>O</v>
      </c>
      <c r="EMY91" s="79">
        <v>5</v>
      </c>
      <c r="EMZ91" s="75">
        <v>1276006</v>
      </c>
      <c r="ENA91" s="80"/>
      <c r="ENB91" s="81">
        <v>0.86944444444444446</v>
      </c>
      <c r="ENC91" s="74" t="s">
        <v>27</v>
      </c>
      <c r="END91" s="74" t="s">
        <v>24</v>
      </c>
      <c r="ENE91" s="75" t="s">
        <v>25</v>
      </c>
      <c r="ENF91" s="76">
        <f>IFERROR(VLOOKUP(ENE91,'[1]List KPI'!$A$103:$F$118,6,0),"")</f>
        <v>1.0416666666666666E-2</v>
      </c>
      <c r="ENG91" s="76">
        <v>0.86944444444444446</v>
      </c>
      <c r="ENH91" s="76">
        <v>0.86944444444444446</v>
      </c>
      <c r="ENI91" s="77" t="str">
        <f t="shared" si="107"/>
        <v>O</v>
      </c>
      <c r="ENJ91" s="74" t="s">
        <v>28</v>
      </c>
      <c r="ENK91" s="75" t="s">
        <v>23</v>
      </c>
      <c r="ENL91" s="78">
        <f>IFERROR(VLOOKUP(ENK91,'[1]List KPI'!$M$3:$N$8,2,0),"")</f>
        <v>2.0833333333333332E-2</v>
      </c>
      <c r="ENM91" s="76">
        <v>0.89444444444444449</v>
      </c>
      <c r="ENN91" s="77" t="str">
        <f t="shared" si="108"/>
        <v>O</v>
      </c>
      <c r="ENO91" s="79">
        <v>5</v>
      </c>
      <c r="ENP91" s="75">
        <v>1276006</v>
      </c>
      <c r="ENQ91" s="80"/>
      <c r="ENR91" s="81">
        <v>0.86944444444444446</v>
      </c>
      <c r="ENS91" s="74" t="s">
        <v>27</v>
      </c>
      <c r="ENT91" s="74" t="s">
        <v>24</v>
      </c>
      <c r="ENU91" s="75" t="s">
        <v>25</v>
      </c>
      <c r="ENV91" s="76">
        <f>IFERROR(VLOOKUP(ENU91,'[1]List KPI'!$A$103:$F$118,6,0),"")</f>
        <v>1.0416666666666666E-2</v>
      </c>
      <c r="ENW91" s="76">
        <v>0.86944444444444446</v>
      </c>
      <c r="ENX91" s="76">
        <v>0.86944444444444446</v>
      </c>
      <c r="ENY91" s="77" t="str">
        <f t="shared" si="107"/>
        <v>O</v>
      </c>
      <c r="ENZ91" s="74" t="s">
        <v>28</v>
      </c>
      <c r="EOA91" s="75" t="s">
        <v>23</v>
      </c>
      <c r="EOB91" s="78">
        <f>IFERROR(VLOOKUP(EOA91,'[1]List KPI'!$M$3:$N$8,2,0),"")</f>
        <v>2.0833333333333332E-2</v>
      </c>
      <c r="EOC91" s="76">
        <v>0.89444444444444449</v>
      </c>
      <c r="EOD91" s="77" t="str">
        <f t="shared" si="108"/>
        <v>O</v>
      </c>
      <c r="EOE91" s="79">
        <v>5</v>
      </c>
      <c r="EOF91" s="75">
        <v>1276006</v>
      </c>
      <c r="EOG91" s="80"/>
      <c r="EOH91" s="81">
        <v>0.86944444444444446</v>
      </c>
      <c r="EOI91" s="74" t="s">
        <v>27</v>
      </c>
      <c r="EOJ91" s="74" t="s">
        <v>24</v>
      </c>
      <c r="EOK91" s="75" t="s">
        <v>25</v>
      </c>
      <c r="EOL91" s="76">
        <f>IFERROR(VLOOKUP(EOK91,'[1]List KPI'!$A$103:$F$118,6,0),"")</f>
        <v>1.0416666666666666E-2</v>
      </c>
      <c r="EOM91" s="76">
        <v>0.86944444444444446</v>
      </c>
      <c r="EON91" s="76">
        <v>0.86944444444444446</v>
      </c>
      <c r="EOO91" s="77" t="str">
        <f t="shared" ref="EOO91:EQK91" si="109">IF(EON91="","",IF(EON91&gt;EOW91,"O","P"))</f>
        <v>O</v>
      </c>
      <c r="EOP91" s="74" t="s">
        <v>28</v>
      </c>
      <c r="EOQ91" s="75" t="s">
        <v>23</v>
      </c>
      <c r="EOR91" s="78">
        <f>IFERROR(VLOOKUP(EOQ91,'[1]List KPI'!$M$3:$N$8,2,0),"")</f>
        <v>2.0833333333333332E-2</v>
      </c>
      <c r="EOS91" s="76">
        <v>0.89444444444444449</v>
      </c>
      <c r="EOT91" s="77" t="str">
        <f t="shared" ref="EOT91:EQP91" si="110">IF(EOS91="","",IF(EOS91&gt;EOX91,"O","P"))</f>
        <v>O</v>
      </c>
      <c r="EOU91" s="79">
        <v>5</v>
      </c>
      <c r="EOV91" s="75">
        <v>1276006</v>
      </c>
      <c r="EOW91" s="80"/>
      <c r="EOX91" s="81">
        <v>0.86944444444444446</v>
      </c>
      <c r="EOY91" s="74" t="s">
        <v>27</v>
      </c>
      <c r="EOZ91" s="74" t="s">
        <v>24</v>
      </c>
      <c r="EPA91" s="75" t="s">
        <v>25</v>
      </c>
      <c r="EPB91" s="76">
        <f>IFERROR(VLOOKUP(EPA91,'[1]List KPI'!$A$103:$F$118,6,0),"")</f>
        <v>1.0416666666666666E-2</v>
      </c>
      <c r="EPC91" s="76">
        <v>0.86944444444444446</v>
      </c>
      <c r="EPD91" s="76">
        <v>0.86944444444444446</v>
      </c>
      <c r="EPE91" s="77" t="str">
        <f t="shared" si="109"/>
        <v>O</v>
      </c>
      <c r="EPF91" s="74" t="s">
        <v>28</v>
      </c>
      <c r="EPG91" s="75" t="s">
        <v>23</v>
      </c>
      <c r="EPH91" s="78">
        <f>IFERROR(VLOOKUP(EPG91,'[1]List KPI'!$M$3:$N$8,2,0),"")</f>
        <v>2.0833333333333332E-2</v>
      </c>
      <c r="EPI91" s="76">
        <v>0.89444444444444449</v>
      </c>
      <c r="EPJ91" s="77" t="str">
        <f t="shared" si="110"/>
        <v>O</v>
      </c>
      <c r="EPK91" s="79">
        <v>5</v>
      </c>
      <c r="EPL91" s="75">
        <v>1276006</v>
      </c>
      <c r="EPM91" s="80"/>
      <c r="EPN91" s="81">
        <v>0.86944444444444446</v>
      </c>
      <c r="EPO91" s="74" t="s">
        <v>27</v>
      </c>
      <c r="EPP91" s="74" t="s">
        <v>24</v>
      </c>
      <c r="EPQ91" s="75" t="s">
        <v>25</v>
      </c>
      <c r="EPR91" s="76">
        <f>IFERROR(VLOOKUP(EPQ91,'[1]List KPI'!$A$103:$F$118,6,0),"")</f>
        <v>1.0416666666666666E-2</v>
      </c>
      <c r="EPS91" s="76">
        <v>0.86944444444444446</v>
      </c>
      <c r="EPT91" s="76">
        <v>0.86944444444444446</v>
      </c>
      <c r="EPU91" s="77" t="str">
        <f t="shared" si="109"/>
        <v>O</v>
      </c>
      <c r="EPV91" s="74" t="s">
        <v>28</v>
      </c>
      <c r="EPW91" s="75" t="s">
        <v>23</v>
      </c>
      <c r="EPX91" s="78">
        <f>IFERROR(VLOOKUP(EPW91,'[1]List KPI'!$M$3:$N$8,2,0),"")</f>
        <v>2.0833333333333332E-2</v>
      </c>
      <c r="EPY91" s="76">
        <v>0.89444444444444449</v>
      </c>
      <c r="EPZ91" s="77" t="str">
        <f t="shared" si="110"/>
        <v>O</v>
      </c>
      <c r="EQA91" s="79">
        <v>5</v>
      </c>
      <c r="EQB91" s="75">
        <v>1276006</v>
      </c>
      <c r="EQC91" s="80"/>
      <c r="EQD91" s="81">
        <v>0.86944444444444446</v>
      </c>
      <c r="EQE91" s="74" t="s">
        <v>27</v>
      </c>
      <c r="EQF91" s="74" t="s">
        <v>24</v>
      </c>
      <c r="EQG91" s="75" t="s">
        <v>25</v>
      </c>
      <c r="EQH91" s="76">
        <f>IFERROR(VLOOKUP(EQG91,'[1]List KPI'!$A$103:$F$118,6,0),"")</f>
        <v>1.0416666666666666E-2</v>
      </c>
      <c r="EQI91" s="76">
        <v>0.86944444444444446</v>
      </c>
      <c r="EQJ91" s="76">
        <v>0.86944444444444446</v>
      </c>
      <c r="EQK91" s="77" t="str">
        <f t="shared" si="109"/>
        <v>O</v>
      </c>
      <c r="EQL91" s="74" t="s">
        <v>28</v>
      </c>
      <c r="EQM91" s="75" t="s">
        <v>23</v>
      </c>
      <c r="EQN91" s="78">
        <f>IFERROR(VLOOKUP(EQM91,'[1]List KPI'!$M$3:$N$8,2,0),"")</f>
        <v>2.0833333333333332E-2</v>
      </c>
      <c r="EQO91" s="76">
        <v>0.89444444444444449</v>
      </c>
      <c r="EQP91" s="77" t="str">
        <f t="shared" si="110"/>
        <v>O</v>
      </c>
      <c r="EQQ91" s="79">
        <v>5</v>
      </c>
      <c r="EQR91" s="75">
        <v>1276006</v>
      </c>
      <c r="EQS91" s="80"/>
      <c r="EQT91" s="81">
        <v>0.86944444444444446</v>
      </c>
      <c r="EQU91" s="74" t="s">
        <v>27</v>
      </c>
      <c r="EQV91" s="74" t="s">
        <v>24</v>
      </c>
      <c r="EQW91" s="75" t="s">
        <v>25</v>
      </c>
      <c r="EQX91" s="76">
        <f>IFERROR(VLOOKUP(EQW91,'[1]List KPI'!$A$103:$F$118,6,0),"")</f>
        <v>1.0416666666666666E-2</v>
      </c>
      <c r="EQY91" s="76">
        <v>0.86944444444444446</v>
      </c>
      <c r="EQZ91" s="76">
        <v>0.86944444444444446</v>
      </c>
      <c r="ERA91" s="77" t="str">
        <f t="shared" ref="ERA91:ESW91" si="111">IF(EQZ91="","",IF(EQZ91&gt;ERI91,"O","P"))</f>
        <v>O</v>
      </c>
      <c r="ERB91" s="74" t="s">
        <v>28</v>
      </c>
      <c r="ERC91" s="75" t="s">
        <v>23</v>
      </c>
      <c r="ERD91" s="78">
        <f>IFERROR(VLOOKUP(ERC91,'[1]List KPI'!$M$3:$N$8,2,0),"")</f>
        <v>2.0833333333333332E-2</v>
      </c>
      <c r="ERE91" s="76">
        <v>0.89444444444444449</v>
      </c>
      <c r="ERF91" s="77" t="str">
        <f t="shared" ref="ERF91:ETB91" si="112">IF(ERE91="","",IF(ERE91&gt;ERJ91,"O","P"))</f>
        <v>O</v>
      </c>
      <c r="ERG91" s="79">
        <v>5</v>
      </c>
      <c r="ERH91" s="75">
        <v>1276006</v>
      </c>
      <c r="ERI91" s="80"/>
      <c r="ERJ91" s="81">
        <v>0.86944444444444446</v>
      </c>
      <c r="ERK91" s="74" t="s">
        <v>27</v>
      </c>
      <c r="ERL91" s="74" t="s">
        <v>24</v>
      </c>
      <c r="ERM91" s="75" t="s">
        <v>25</v>
      </c>
      <c r="ERN91" s="76">
        <f>IFERROR(VLOOKUP(ERM91,'[1]List KPI'!$A$103:$F$118,6,0),"")</f>
        <v>1.0416666666666666E-2</v>
      </c>
      <c r="ERO91" s="76">
        <v>0.86944444444444446</v>
      </c>
      <c r="ERP91" s="76">
        <v>0.86944444444444446</v>
      </c>
      <c r="ERQ91" s="77" t="str">
        <f t="shared" si="111"/>
        <v>O</v>
      </c>
      <c r="ERR91" s="74" t="s">
        <v>28</v>
      </c>
      <c r="ERS91" s="75" t="s">
        <v>23</v>
      </c>
      <c r="ERT91" s="78">
        <f>IFERROR(VLOOKUP(ERS91,'[1]List KPI'!$M$3:$N$8,2,0),"")</f>
        <v>2.0833333333333332E-2</v>
      </c>
      <c r="ERU91" s="76">
        <v>0.89444444444444449</v>
      </c>
      <c r="ERV91" s="77" t="str">
        <f t="shared" si="112"/>
        <v>O</v>
      </c>
      <c r="ERW91" s="79">
        <v>5</v>
      </c>
      <c r="ERX91" s="75">
        <v>1276006</v>
      </c>
      <c r="ERY91" s="80"/>
      <c r="ERZ91" s="81">
        <v>0.86944444444444446</v>
      </c>
      <c r="ESA91" s="74" t="s">
        <v>27</v>
      </c>
      <c r="ESB91" s="74" t="s">
        <v>24</v>
      </c>
      <c r="ESC91" s="75" t="s">
        <v>25</v>
      </c>
      <c r="ESD91" s="76">
        <f>IFERROR(VLOOKUP(ESC91,'[1]List KPI'!$A$103:$F$118,6,0),"")</f>
        <v>1.0416666666666666E-2</v>
      </c>
      <c r="ESE91" s="76">
        <v>0.86944444444444446</v>
      </c>
      <c r="ESF91" s="76">
        <v>0.86944444444444446</v>
      </c>
      <c r="ESG91" s="77" t="str">
        <f t="shared" si="111"/>
        <v>O</v>
      </c>
      <c r="ESH91" s="74" t="s">
        <v>28</v>
      </c>
      <c r="ESI91" s="75" t="s">
        <v>23</v>
      </c>
      <c r="ESJ91" s="78">
        <f>IFERROR(VLOOKUP(ESI91,'[1]List KPI'!$M$3:$N$8,2,0),"")</f>
        <v>2.0833333333333332E-2</v>
      </c>
      <c r="ESK91" s="76">
        <v>0.89444444444444449</v>
      </c>
      <c r="ESL91" s="77" t="str">
        <f t="shared" si="112"/>
        <v>O</v>
      </c>
      <c r="ESM91" s="79">
        <v>5</v>
      </c>
      <c r="ESN91" s="75">
        <v>1276006</v>
      </c>
      <c r="ESO91" s="80"/>
      <c r="ESP91" s="81">
        <v>0.86944444444444446</v>
      </c>
      <c r="ESQ91" s="74" t="s">
        <v>27</v>
      </c>
      <c r="ESR91" s="74" t="s">
        <v>24</v>
      </c>
      <c r="ESS91" s="75" t="s">
        <v>25</v>
      </c>
      <c r="EST91" s="76">
        <f>IFERROR(VLOOKUP(ESS91,'[1]List KPI'!$A$103:$F$118,6,0),"")</f>
        <v>1.0416666666666666E-2</v>
      </c>
      <c r="ESU91" s="76">
        <v>0.86944444444444446</v>
      </c>
      <c r="ESV91" s="76">
        <v>0.86944444444444446</v>
      </c>
      <c r="ESW91" s="77" t="str">
        <f t="shared" si="111"/>
        <v>O</v>
      </c>
      <c r="ESX91" s="74" t="s">
        <v>28</v>
      </c>
      <c r="ESY91" s="75" t="s">
        <v>23</v>
      </c>
      <c r="ESZ91" s="78">
        <f>IFERROR(VLOOKUP(ESY91,'[1]List KPI'!$M$3:$N$8,2,0),"")</f>
        <v>2.0833333333333332E-2</v>
      </c>
      <c r="ETA91" s="76">
        <v>0.89444444444444449</v>
      </c>
      <c r="ETB91" s="77" t="str">
        <f t="shared" si="112"/>
        <v>O</v>
      </c>
      <c r="ETC91" s="79">
        <v>5</v>
      </c>
      <c r="ETD91" s="75">
        <v>1276006</v>
      </c>
      <c r="ETE91" s="80"/>
      <c r="ETF91" s="81">
        <v>0.86944444444444446</v>
      </c>
      <c r="ETG91" s="74" t="s">
        <v>27</v>
      </c>
      <c r="ETH91" s="74" t="s">
        <v>24</v>
      </c>
      <c r="ETI91" s="75" t="s">
        <v>25</v>
      </c>
      <c r="ETJ91" s="76">
        <f>IFERROR(VLOOKUP(ETI91,'[1]List KPI'!$A$103:$F$118,6,0),"")</f>
        <v>1.0416666666666666E-2</v>
      </c>
      <c r="ETK91" s="76">
        <v>0.86944444444444446</v>
      </c>
      <c r="ETL91" s="76">
        <v>0.86944444444444446</v>
      </c>
      <c r="ETM91" s="77" t="str">
        <f t="shared" ref="ETM91:EVI91" si="113">IF(ETL91="","",IF(ETL91&gt;ETU91,"O","P"))</f>
        <v>O</v>
      </c>
      <c r="ETN91" s="74" t="s">
        <v>28</v>
      </c>
      <c r="ETO91" s="75" t="s">
        <v>23</v>
      </c>
      <c r="ETP91" s="78">
        <f>IFERROR(VLOOKUP(ETO91,'[1]List KPI'!$M$3:$N$8,2,0),"")</f>
        <v>2.0833333333333332E-2</v>
      </c>
      <c r="ETQ91" s="76">
        <v>0.89444444444444449</v>
      </c>
      <c r="ETR91" s="77" t="str">
        <f t="shared" ref="ETR91:EVN91" si="114">IF(ETQ91="","",IF(ETQ91&gt;ETV91,"O","P"))</f>
        <v>O</v>
      </c>
      <c r="ETS91" s="79">
        <v>5</v>
      </c>
      <c r="ETT91" s="75">
        <v>1276006</v>
      </c>
      <c r="ETU91" s="80"/>
      <c r="ETV91" s="81">
        <v>0.86944444444444446</v>
      </c>
      <c r="ETW91" s="74" t="s">
        <v>27</v>
      </c>
      <c r="ETX91" s="74" t="s">
        <v>24</v>
      </c>
      <c r="ETY91" s="75" t="s">
        <v>25</v>
      </c>
      <c r="ETZ91" s="76">
        <f>IFERROR(VLOOKUP(ETY91,'[1]List KPI'!$A$103:$F$118,6,0),"")</f>
        <v>1.0416666666666666E-2</v>
      </c>
      <c r="EUA91" s="76">
        <v>0.86944444444444446</v>
      </c>
      <c r="EUB91" s="76">
        <v>0.86944444444444446</v>
      </c>
      <c r="EUC91" s="77" t="str">
        <f t="shared" si="113"/>
        <v>O</v>
      </c>
      <c r="EUD91" s="74" t="s">
        <v>28</v>
      </c>
      <c r="EUE91" s="75" t="s">
        <v>23</v>
      </c>
      <c r="EUF91" s="78">
        <f>IFERROR(VLOOKUP(EUE91,'[1]List KPI'!$M$3:$N$8,2,0),"")</f>
        <v>2.0833333333333332E-2</v>
      </c>
      <c r="EUG91" s="76">
        <v>0.89444444444444449</v>
      </c>
      <c r="EUH91" s="77" t="str">
        <f t="shared" si="114"/>
        <v>O</v>
      </c>
      <c r="EUI91" s="79">
        <v>5</v>
      </c>
      <c r="EUJ91" s="75">
        <v>1276006</v>
      </c>
      <c r="EUK91" s="80"/>
      <c r="EUL91" s="81">
        <v>0.86944444444444446</v>
      </c>
      <c r="EUM91" s="74" t="s">
        <v>27</v>
      </c>
      <c r="EUN91" s="74" t="s">
        <v>24</v>
      </c>
      <c r="EUO91" s="75" t="s">
        <v>25</v>
      </c>
      <c r="EUP91" s="76">
        <f>IFERROR(VLOOKUP(EUO91,'[1]List KPI'!$A$103:$F$118,6,0),"")</f>
        <v>1.0416666666666666E-2</v>
      </c>
      <c r="EUQ91" s="76">
        <v>0.86944444444444446</v>
      </c>
      <c r="EUR91" s="76">
        <v>0.86944444444444446</v>
      </c>
      <c r="EUS91" s="77" t="str">
        <f t="shared" si="113"/>
        <v>O</v>
      </c>
      <c r="EUT91" s="74" t="s">
        <v>28</v>
      </c>
      <c r="EUU91" s="75" t="s">
        <v>23</v>
      </c>
      <c r="EUV91" s="78">
        <f>IFERROR(VLOOKUP(EUU91,'[1]List KPI'!$M$3:$N$8,2,0),"")</f>
        <v>2.0833333333333332E-2</v>
      </c>
      <c r="EUW91" s="76">
        <v>0.89444444444444449</v>
      </c>
      <c r="EUX91" s="77" t="str">
        <f t="shared" si="114"/>
        <v>O</v>
      </c>
      <c r="EUY91" s="79">
        <v>5</v>
      </c>
      <c r="EUZ91" s="75">
        <v>1276006</v>
      </c>
      <c r="EVA91" s="80"/>
      <c r="EVB91" s="81">
        <v>0.86944444444444446</v>
      </c>
      <c r="EVC91" s="74" t="s">
        <v>27</v>
      </c>
      <c r="EVD91" s="74" t="s">
        <v>24</v>
      </c>
      <c r="EVE91" s="75" t="s">
        <v>25</v>
      </c>
      <c r="EVF91" s="76">
        <f>IFERROR(VLOOKUP(EVE91,'[1]List KPI'!$A$103:$F$118,6,0),"")</f>
        <v>1.0416666666666666E-2</v>
      </c>
      <c r="EVG91" s="76">
        <v>0.86944444444444446</v>
      </c>
      <c r="EVH91" s="76">
        <v>0.86944444444444446</v>
      </c>
      <c r="EVI91" s="77" t="str">
        <f t="shared" si="113"/>
        <v>O</v>
      </c>
      <c r="EVJ91" s="74" t="s">
        <v>28</v>
      </c>
      <c r="EVK91" s="75" t="s">
        <v>23</v>
      </c>
      <c r="EVL91" s="78">
        <f>IFERROR(VLOOKUP(EVK91,'[1]List KPI'!$M$3:$N$8,2,0),"")</f>
        <v>2.0833333333333332E-2</v>
      </c>
      <c r="EVM91" s="76">
        <v>0.89444444444444449</v>
      </c>
      <c r="EVN91" s="77" t="str">
        <f t="shared" si="114"/>
        <v>O</v>
      </c>
      <c r="EVO91" s="79">
        <v>5</v>
      </c>
      <c r="EVP91" s="75">
        <v>1276006</v>
      </c>
      <c r="EVQ91" s="80"/>
      <c r="EVR91" s="81">
        <v>0.86944444444444446</v>
      </c>
      <c r="EVS91" s="74" t="s">
        <v>27</v>
      </c>
      <c r="EVT91" s="74" t="s">
        <v>24</v>
      </c>
      <c r="EVU91" s="75" t="s">
        <v>25</v>
      </c>
      <c r="EVV91" s="76">
        <f>IFERROR(VLOOKUP(EVU91,'[1]List KPI'!$A$103:$F$118,6,0),"")</f>
        <v>1.0416666666666666E-2</v>
      </c>
      <c r="EVW91" s="76">
        <v>0.86944444444444446</v>
      </c>
      <c r="EVX91" s="76">
        <v>0.86944444444444446</v>
      </c>
      <c r="EVY91" s="77" t="str">
        <f t="shared" ref="EVY91:EXU91" si="115">IF(EVX91="","",IF(EVX91&gt;EWG91,"O","P"))</f>
        <v>O</v>
      </c>
      <c r="EVZ91" s="74" t="s">
        <v>28</v>
      </c>
      <c r="EWA91" s="75" t="s">
        <v>23</v>
      </c>
      <c r="EWB91" s="78">
        <f>IFERROR(VLOOKUP(EWA91,'[1]List KPI'!$M$3:$N$8,2,0),"")</f>
        <v>2.0833333333333332E-2</v>
      </c>
      <c r="EWC91" s="76">
        <v>0.89444444444444449</v>
      </c>
      <c r="EWD91" s="77" t="str">
        <f t="shared" ref="EWD91:EXZ91" si="116">IF(EWC91="","",IF(EWC91&gt;EWH91,"O","P"))</f>
        <v>O</v>
      </c>
      <c r="EWE91" s="79">
        <v>5</v>
      </c>
      <c r="EWF91" s="75">
        <v>1276006</v>
      </c>
      <c r="EWG91" s="80"/>
      <c r="EWH91" s="81">
        <v>0.86944444444444446</v>
      </c>
      <c r="EWI91" s="74" t="s">
        <v>27</v>
      </c>
      <c r="EWJ91" s="74" t="s">
        <v>24</v>
      </c>
      <c r="EWK91" s="75" t="s">
        <v>25</v>
      </c>
      <c r="EWL91" s="76">
        <f>IFERROR(VLOOKUP(EWK91,'[1]List KPI'!$A$103:$F$118,6,0),"")</f>
        <v>1.0416666666666666E-2</v>
      </c>
      <c r="EWM91" s="76">
        <v>0.86944444444444446</v>
      </c>
      <c r="EWN91" s="76">
        <v>0.86944444444444446</v>
      </c>
      <c r="EWO91" s="77" t="str">
        <f t="shared" si="115"/>
        <v>O</v>
      </c>
      <c r="EWP91" s="74" t="s">
        <v>28</v>
      </c>
      <c r="EWQ91" s="75" t="s">
        <v>23</v>
      </c>
      <c r="EWR91" s="78">
        <f>IFERROR(VLOOKUP(EWQ91,'[1]List KPI'!$M$3:$N$8,2,0),"")</f>
        <v>2.0833333333333332E-2</v>
      </c>
      <c r="EWS91" s="76">
        <v>0.89444444444444449</v>
      </c>
      <c r="EWT91" s="77" t="str">
        <f t="shared" si="116"/>
        <v>O</v>
      </c>
      <c r="EWU91" s="79">
        <v>5</v>
      </c>
      <c r="EWV91" s="75">
        <v>1276006</v>
      </c>
      <c r="EWW91" s="80"/>
      <c r="EWX91" s="81">
        <v>0.86944444444444446</v>
      </c>
      <c r="EWY91" s="74" t="s">
        <v>27</v>
      </c>
      <c r="EWZ91" s="74" t="s">
        <v>24</v>
      </c>
      <c r="EXA91" s="75" t="s">
        <v>25</v>
      </c>
      <c r="EXB91" s="76">
        <f>IFERROR(VLOOKUP(EXA91,'[1]List KPI'!$A$103:$F$118,6,0),"")</f>
        <v>1.0416666666666666E-2</v>
      </c>
      <c r="EXC91" s="76">
        <v>0.86944444444444446</v>
      </c>
      <c r="EXD91" s="76">
        <v>0.86944444444444446</v>
      </c>
      <c r="EXE91" s="77" t="str">
        <f t="shared" si="115"/>
        <v>O</v>
      </c>
      <c r="EXF91" s="74" t="s">
        <v>28</v>
      </c>
      <c r="EXG91" s="75" t="s">
        <v>23</v>
      </c>
      <c r="EXH91" s="78">
        <f>IFERROR(VLOOKUP(EXG91,'[1]List KPI'!$M$3:$N$8,2,0),"")</f>
        <v>2.0833333333333332E-2</v>
      </c>
      <c r="EXI91" s="76">
        <v>0.89444444444444449</v>
      </c>
      <c r="EXJ91" s="77" t="str">
        <f t="shared" si="116"/>
        <v>O</v>
      </c>
      <c r="EXK91" s="79">
        <v>5</v>
      </c>
      <c r="EXL91" s="75">
        <v>1276006</v>
      </c>
      <c r="EXM91" s="80"/>
      <c r="EXN91" s="81">
        <v>0.86944444444444446</v>
      </c>
      <c r="EXO91" s="74" t="s">
        <v>27</v>
      </c>
      <c r="EXP91" s="74" t="s">
        <v>24</v>
      </c>
      <c r="EXQ91" s="75" t="s">
        <v>25</v>
      </c>
      <c r="EXR91" s="76">
        <f>IFERROR(VLOOKUP(EXQ91,'[1]List KPI'!$A$103:$F$118,6,0),"")</f>
        <v>1.0416666666666666E-2</v>
      </c>
      <c r="EXS91" s="76">
        <v>0.86944444444444446</v>
      </c>
      <c r="EXT91" s="76">
        <v>0.86944444444444446</v>
      </c>
      <c r="EXU91" s="77" t="str">
        <f t="shared" si="115"/>
        <v>O</v>
      </c>
      <c r="EXV91" s="74" t="s">
        <v>28</v>
      </c>
      <c r="EXW91" s="75" t="s">
        <v>23</v>
      </c>
      <c r="EXX91" s="78">
        <f>IFERROR(VLOOKUP(EXW91,'[1]List KPI'!$M$3:$N$8,2,0),"")</f>
        <v>2.0833333333333332E-2</v>
      </c>
      <c r="EXY91" s="76">
        <v>0.89444444444444449</v>
      </c>
      <c r="EXZ91" s="77" t="str">
        <f t="shared" si="116"/>
        <v>O</v>
      </c>
      <c r="EYA91" s="79">
        <v>5</v>
      </c>
      <c r="EYB91" s="75">
        <v>1276006</v>
      </c>
      <c r="EYC91" s="80"/>
      <c r="EYD91" s="81">
        <v>0.86944444444444446</v>
      </c>
      <c r="EYE91" s="74" t="s">
        <v>27</v>
      </c>
      <c r="EYF91" s="74" t="s">
        <v>24</v>
      </c>
      <c r="EYG91" s="75" t="s">
        <v>25</v>
      </c>
      <c r="EYH91" s="76">
        <f>IFERROR(VLOOKUP(EYG91,'[1]List KPI'!$A$103:$F$118,6,0),"")</f>
        <v>1.0416666666666666E-2</v>
      </c>
      <c r="EYI91" s="76">
        <v>0.86944444444444446</v>
      </c>
      <c r="EYJ91" s="76">
        <v>0.86944444444444446</v>
      </c>
      <c r="EYK91" s="77" t="str">
        <f t="shared" ref="EYK91:FAG91" si="117">IF(EYJ91="","",IF(EYJ91&gt;EYS91,"O","P"))</f>
        <v>O</v>
      </c>
      <c r="EYL91" s="74" t="s">
        <v>28</v>
      </c>
      <c r="EYM91" s="75" t="s">
        <v>23</v>
      </c>
      <c r="EYN91" s="78">
        <f>IFERROR(VLOOKUP(EYM91,'[1]List KPI'!$M$3:$N$8,2,0),"")</f>
        <v>2.0833333333333332E-2</v>
      </c>
      <c r="EYO91" s="76">
        <v>0.89444444444444449</v>
      </c>
      <c r="EYP91" s="77" t="str">
        <f t="shared" ref="EYP91:FAL91" si="118">IF(EYO91="","",IF(EYO91&gt;EYT91,"O","P"))</f>
        <v>O</v>
      </c>
      <c r="EYQ91" s="79">
        <v>5</v>
      </c>
      <c r="EYR91" s="75">
        <v>1276006</v>
      </c>
      <c r="EYS91" s="80"/>
      <c r="EYT91" s="81">
        <v>0.86944444444444446</v>
      </c>
      <c r="EYU91" s="74" t="s">
        <v>27</v>
      </c>
      <c r="EYV91" s="74" t="s">
        <v>24</v>
      </c>
      <c r="EYW91" s="75" t="s">
        <v>25</v>
      </c>
      <c r="EYX91" s="76">
        <f>IFERROR(VLOOKUP(EYW91,'[1]List KPI'!$A$103:$F$118,6,0),"")</f>
        <v>1.0416666666666666E-2</v>
      </c>
      <c r="EYY91" s="76">
        <v>0.86944444444444446</v>
      </c>
      <c r="EYZ91" s="76">
        <v>0.86944444444444446</v>
      </c>
      <c r="EZA91" s="77" t="str">
        <f t="shared" si="117"/>
        <v>O</v>
      </c>
      <c r="EZB91" s="74" t="s">
        <v>28</v>
      </c>
      <c r="EZC91" s="75" t="s">
        <v>23</v>
      </c>
      <c r="EZD91" s="78">
        <f>IFERROR(VLOOKUP(EZC91,'[1]List KPI'!$M$3:$N$8,2,0),"")</f>
        <v>2.0833333333333332E-2</v>
      </c>
      <c r="EZE91" s="76">
        <v>0.89444444444444449</v>
      </c>
      <c r="EZF91" s="77" t="str">
        <f t="shared" si="118"/>
        <v>O</v>
      </c>
      <c r="EZG91" s="79">
        <v>5</v>
      </c>
      <c r="EZH91" s="75">
        <v>1276006</v>
      </c>
      <c r="EZI91" s="80"/>
      <c r="EZJ91" s="81">
        <v>0.86944444444444446</v>
      </c>
      <c r="EZK91" s="74" t="s">
        <v>27</v>
      </c>
      <c r="EZL91" s="74" t="s">
        <v>24</v>
      </c>
      <c r="EZM91" s="75" t="s">
        <v>25</v>
      </c>
      <c r="EZN91" s="76">
        <f>IFERROR(VLOOKUP(EZM91,'[1]List KPI'!$A$103:$F$118,6,0),"")</f>
        <v>1.0416666666666666E-2</v>
      </c>
      <c r="EZO91" s="76">
        <v>0.86944444444444446</v>
      </c>
      <c r="EZP91" s="76">
        <v>0.86944444444444446</v>
      </c>
      <c r="EZQ91" s="77" t="str">
        <f t="shared" si="117"/>
        <v>O</v>
      </c>
      <c r="EZR91" s="74" t="s">
        <v>28</v>
      </c>
      <c r="EZS91" s="75" t="s">
        <v>23</v>
      </c>
      <c r="EZT91" s="78">
        <f>IFERROR(VLOOKUP(EZS91,'[1]List KPI'!$M$3:$N$8,2,0),"")</f>
        <v>2.0833333333333332E-2</v>
      </c>
      <c r="EZU91" s="76">
        <v>0.89444444444444449</v>
      </c>
      <c r="EZV91" s="77" t="str">
        <f t="shared" si="118"/>
        <v>O</v>
      </c>
      <c r="EZW91" s="79">
        <v>5</v>
      </c>
      <c r="EZX91" s="75">
        <v>1276006</v>
      </c>
      <c r="EZY91" s="80"/>
      <c r="EZZ91" s="81">
        <v>0.86944444444444446</v>
      </c>
      <c r="FAA91" s="74" t="s">
        <v>27</v>
      </c>
      <c r="FAB91" s="74" t="s">
        <v>24</v>
      </c>
      <c r="FAC91" s="75" t="s">
        <v>25</v>
      </c>
      <c r="FAD91" s="76">
        <f>IFERROR(VLOOKUP(FAC91,'[1]List KPI'!$A$103:$F$118,6,0),"")</f>
        <v>1.0416666666666666E-2</v>
      </c>
      <c r="FAE91" s="76">
        <v>0.86944444444444446</v>
      </c>
      <c r="FAF91" s="76">
        <v>0.86944444444444446</v>
      </c>
      <c r="FAG91" s="77" t="str">
        <f t="shared" si="117"/>
        <v>O</v>
      </c>
      <c r="FAH91" s="74" t="s">
        <v>28</v>
      </c>
      <c r="FAI91" s="75" t="s">
        <v>23</v>
      </c>
      <c r="FAJ91" s="78">
        <f>IFERROR(VLOOKUP(FAI91,'[1]List KPI'!$M$3:$N$8,2,0),"")</f>
        <v>2.0833333333333332E-2</v>
      </c>
      <c r="FAK91" s="76">
        <v>0.89444444444444449</v>
      </c>
      <c r="FAL91" s="77" t="str">
        <f t="shared" si="118"/>
        <v>O</v>
      </c>
      <c r="FAM91" s="79">
        <v>5</v>
      </c>
      <c r="FAN91" s="75">
        <v>1276006</v>
      </c>
      <c r="FAO91" s="80"/>
      <c r="FAP91" s="81">
        <v>0.86944444444444446</v>
      </c>
      <c r="FAQ91" s="74" t="s">
        <v>27</v>
      </c>
      <c r="FAR91" s="74" t="s">
        <v>24</v>
      </c>
      <c r="FAS91" s="75" t="s">
        <v>25</v>
      </c>
      <c r="FAT91" s="76">
        <f>IFERROR(VLOOKUP(FAS91,'[1]List KPI'!$A$103:$F$118,6,0),"")</f>
        <v>1.0416666666666666E-2</v>
      </c>
      <c r="FAU91" s="76">
        <v>0.86944444444444446</v>
      </c>
      <c r="FAV91" s="76">
        <v>0.86944444444444446</v>
      </c>
      <c r="FAW91" s="77" t="str">
        <f t="shared" ref="FAW91:FCS91" si="119">IF(FAV91="","",IF(FAV91&gt;FBE91,"O","P"))</f>
        <v>O</v>
      </c>
      <c r="FAX91" s="74" t="s">
        <v>28</v>
      </c>
      <c r="FAY91" s="75" t="s">
        <v>23</v>
      </c>
      <c r="FAZ91" s="78">
        <f>IFERROR(VLOOKUP(FAY91,'[1]List KPI'!$M$3:$N$8,2,0),"")</f>
        <v>2.0833333333333332E-2</v>
      </c>
      <c r="FBA91" s="76">
        <v>0.89444444444444449</v>
      </c>
      <c r="FBB91" s="77" t="str">
        <f t="shared" ref="FBB91:FCX91" si="120">IF(FBA91="","",IF(FBA91&gt;FBF91,"O","P"))</f>
        <v>O</v>
      </c>
      <c r="FBC91" s="79">
        <v>5</v>
      </c>
      <c r="FBD91" s="75">
        <v>1276006</v>
      </c>
      <c r="FBE91" s="80"/>
      <c r="FBF91" s="81">
        <v>0.86944444444444446</v>
      </c>
      <c r="FBG91" s="74" t="s">
        <v>27</v>
      </c>
      <c r="FBH91" s="74" t="s">
        <v>24</v>
      </c>
      <c r="FBI91" s="75" t="s">
        <v>25</v>
      </c>
      <c r="FBJ91" s="76">
        <f>IFERROR(VLOOKUP(FBI91,'[1]List KPI'!$A$103:$F$118,6,0),"")</f>
        <v>1.0416666666666666E-2</v>
      </c>
      <c r="FBK91" s="76">
        <v>0.86944444444444446</v>
      </c>
      <c r="FBL91" s="76">
        <v>0.86944444444444446</v>
      </c>
      <c r="FBM91" s="77" t="str">
        <f t="shared" si="119"/>
        <v>O</v>
      </c>
      <c r="FBN91" s="74" t="s">
        <v>28</v>
      </c>
      <c r="FBO91" s="75" t="s">
        <v>23</v>
      </c>
      <c r="FBP91" s="78">
        <f>IFERROR(VLOOKUP(FBO91,'[1]List KPI'!$M$3:$N$8,2,0),"")</f>
        <v>2.0833333333333332E-2</v>
      </c>
      <c r="FBQ91" s="76">
        <v>0.89444444444444449</v>
      </c>
      <c r="FBR91" s="77" t="str">
        <f t="shared" si="120"/>
        <v>O</v>
      </c>
      <c r="FBS91" s="79">
        <v>5</v>
      </c>
      <c r="FBT91" s="75">
        <v>1276006</v>
      </c>
      <c r="FBU91" s="80"/>
      <c r="FBV91" s="81">
        <v>0.86944444444444446</v>
      </c>
      <c r="FBW91" s="74" t="s">
        <v>27</v>
      </c>
      <c r="FBX91" s="74" t="s">
        <v>24</v>
      </c>
      <c r="FBY91" s="75" t="s">
        <v>25</v>
      </c>
      <c r="FBZ91" s="76">
        <f>IFERROR(VLOOKUP(FBY91,'[1]List KPI'!$A$103:$F$118,6,0),"")</f>
        <v>1.0416666666666666E-2</v>
      </c>
      <c r="FCA91" s="76">
        <v>0.86944444444444446</v>
      </c>
      <c r="FCB91" s="76">
        <v>0.86944444444444446</v>
      </c>
      <c r="FCC91" s="77" t="str">
        <f t="shared" si="119"/>
        <v>O</v>
      </c>
      <c r="FCD91" s="74" t="s">
        <v>28</v>
      </c>
      <c r="FCE91" s="75" t="s">
        <v>23</v>
      </c>
      <c r="FCF91" s="78">
        <f>IFERROR(VLOOKUP(FCE91,'[1]List KPI'!$M$3:$N$8,2,0),"")</f>
        <v>2.0833333333333332E-2</v>
      </c>
      <c r="FCG91" s="76">
        <v>0.89444444444444449</v>
      </c>
      <c r="FCH91" s="77" t="str">
        <f t="shared" si="120"/>
        <v>O</v>
      </c>
      <c r="FCI91" s="79">
        <v>5</v>
      </c>
      <c r="FCJ91" s="75">
        <v>1276006</v>
      </c>
      <c r="FCK91" s="80"/>
      <c r="FCL91" s="81">
        <v>0.86944444444444446</v>
      </c>
      <c r="FCM91" s="74" t="s">
        <v>27</v>
      </c>
      <c r="FCN91" s="74" t="s">
        <v>24</v>
      </c>
      <c r="FCO91" s="75" t="s">
        <v>25</v>
      </c>
      <c r="FCP91" s="76">
        <f>IFERROR(VLOOKUP(FCO91,'[1]List KPI'!$A$103:$F$118,6,0),"")</f>
        <v>1.0416666666666666E-2</v>
      </c>
      <c r="FCQ91" s="76">
        <v>0.86944444444444446</v>
      </c>
      <c r="FCR91" s="76">
        <v>0.86944444444444446</v>
      </c>
      <c r="FCS91" s="77" t="str">
        <f t="shared" si="119"/>
        <v>O</v>
      </c>
      <c r="FCT91" s="74" t="s">
        <v>28</v>
      </c>
      <c r="FCU91" s="75" t="s">
        <v>23</v>
      </c>
      <c r="FCV91" s="78">
        <f>IFERROR(VLOOKUP(FCU91,'[1]List KPI'!$M$3:$N$8,2,0),"")</f>
        <v>2.0833333333333332E-2</v>
      </c>
      <c r="FCW91" s="76">
        <v>0.89444444444444449</v>
      </c>
      <c r="FCX91" s="77" t="str">
        <f t="shared" si="120"/>
        <v>O</v>
      </c>
      <c r="FCY91" s="79">
        <v>5</v>
      </c>
      <c r="FCZ91" s="75">
        <v>1276006</v>
      </c>
      <c r="FDA91" s="80"/>
      <c r="FDB91" s="81">
        <v>0.86944444444444446</v>
      </c>
      <c r="FDC91" s="74" t="s">
        <v>27</v>
      </c>
      <c r="FDD91" s="74" t="s">
        <v>24</v>
      </c>
      <c r="FDE91" s="75" t="s">
        <v>25</v>
      </c>
      <c r="FDF91" s="76">
        <f>IFERROR(VLOOKUP(FDE91,'[1]List KPI'!$A$103:$F$118,6,0),"")</f>
        <v>1.0416666666666666E-2</v>
      </c>
      <c r="FDG91" s="76">
        <v>0.86944444444444446</v>
      </c>
      <c r="FDH91" s="76">
        <v>0.86944444444444446</v>
      </c>
      <c r="FDI91" s="77" t="str">
        <f t="shared" ref="FDI91:FFE91" si="121">IF(FDH91="","",IF(FDH91&gt;FDQ91,"O","P"))</f>
        <v>O</v>
      </c>
      <c r="FDJ91" s="74" t="s">
        <v>28</v>
      </c>
      <c r="FDK91" s="75" t="s">
        <v>23</v>
      </c>
      <c r="FDL91" s="78">
        <f>IFERROR(VLOOKUP(FDK91,'[1]List KPI'!$M$3:$N$8,2,0),"")</f>
        <v>2.0833333333333332E-2</v>
      </c>
      <c r="FDM91" s="76">
        <v>0.89444444444444449</v>
      </c>
      <c r="FDN91" s="77" t="str">
        <f t="shared" ref="FDN91:FFJ91" si="122">IF(FDM91="","",IF(FDM91&gt;FDR91,"O","P"))</f>
        <v>O</v>
      </c>
      <c r="FDO91" s="79">
        <v>5</v>
      </c>
      <c r="FDP91" s="75">
        <v>1276006</v>
      </c>
      <c r="FDQ91" s="80"/>
      <c r="FDR91" s="81">
        <v>0.86944444444444446</v>
      </c>
      <c r="FDS91" s="74" t="s">
        <v>27</v>
      </c>
      <c r="FDT91" s="74" t="s">
        <v>24</v>
      </c>
      <c r="FDU91" s="75" t="s">
        <v>25</v>
      </c>
      <c r="FDV91" s="76">
        <f>IFERROR(VLOOKUP(FDU91,'[1]List KPI'!$A$103:$F$118,6,0),"")</f>
        <v>1.0416666666666666E-2</v>
      </c>
      <c r="FDW91" s="76">
        <v>0.86944444444444446</v>
      </c>
      <c r="FDX91" s="76">
        <v>0.86944444444444446</v>
      </c>
      <c r="FDY91" s="77" t="str">
        <f t="shared" si="121"/>
        <v>O</v>
      </c>
      <c r="FDZ91" s="74" t="s">
        <v>28</v>
      </c>
      <c r="FEA91" s="75" t="s">
        <v>23</v>
      </c>
      <c r="FEB91" s="78">
        <f>IFERROR(VLOOKUP(FEA91,'[1]List KPI'!$M$3:$N$8,2,0),"")</f>
        <v>2.0833333333333332E-2</v>
      </c>
      <c r="FEC91" s="76">
        <v>0.89444444444444449</v>
      </c>
      <c r="FED91" s="77" t="str">
        <f t="shared" si="122"/>
        <v>O</v>
      </c>
      <c r="FEE91" s="79">
        <v>5</v>
      </c>
      <c r="FEF91" s="75">
        <v>1276006</v>
      </c>
      <c r="FEG91" s="80"/>
      <c r="FEH91" s="81">
        <v>0.86944444444444446</v>
      </c>
      <c r="FEI91" s="74" t="s">
        <v>27</v>
      </c>
      <c r="FEJ91" s="74" t="s">
        <v>24</v>
      </c>
      <c r="FEK91" s="75" t="s">
        <v>25</v>
      </c>
      <c r="FEL91" s="76">
        <f>IFERROR(VLOOKUP(FEK91,'[1]List KPI'!$A$103:$F$118,6,0),"")</f>
        <v>1.0416666666666666E-2</v>
      </c>
      <c r="FEM91" s="76">
        <v>0.86944444444444446</v>
      </c>
      <c r="FEN91" s="76">
        <v>0.86944444444444446</v>
      </c>
      <c r="FEO91" s="77" t="str">
        <f t="shared" si="121"/>
        <v>O</v>
      </c>
      <c r="FEP91" s="74" t="s">
        <v>28</v>
      </c>
      <c r="FEQ91" s="75" t="s">
        <v>23</v>
      </c>
      <c r="FER91" s="78">
        <f>IFERROR(VLOOKUP(FEQ91,'[1]List KPI'!$M$3:$N$8,2,0),"")</f>
        <v>2.0833333333333332E-2</v>
      </c>
      <c r="FES91" s="76">
        <v>0.89444444444444449</v>
      </c>
      <c r="FET91" s="77" t="str">
        <f t="shared" si="122"/>
        <v>O</v>
      </c>
      <c r="FEU91" s="79">
        <v>5</v>
      </c>
      <c r="FEV91" s="75">
        <v>1276006</v>
      </c>
      <c r="FEW91" s="80"/>
      <c r="FEX91" s="81">
        <v>0.86944444444444446</v>
      </c>
      <c r="FEY91" s="74" t="s">
        <v>27</v>
      </c>
      <c r="FEZ91" s="74" t="s">
        <v>24</v>
      </c>
      <c r="FFA91" s="75" t="s">
        <v>25</v>
      </c>
      <c r="FFB91" s="76">
        <f>IFERROR(VLOOKUP(FFA91,'[1]List KPI'!$A$103:$F$118,6,0),"")</f>
        <v>1.0416666666666666E-2</v>
      </c>
      <c r="FFC91" s="76">
        <v>0.86944444444444446</v>
      </c>
      <c r="FFD91" s="76">
        <v>0.86944444444444446</v>
      </c>
      <c r="FFE91" s="77" t="str">
        <f t="shared" si="121"/>
        <v>O</v>
      </c>
      <c r="FFF91" s="74" t="s">
        <v>28</v>
      </c>
      <c r="FFG91" s="75" t="s">
        <v>23</v>
      </c>
      <c r="FFH91" s="78">
        <f>IFERROR(VLOOKUP(FFG91,'[1]List KPI'!$M$3:$N$8,2,0),"")</f>
        <v>2.0833333333333332E-2</v>
      </c>
      <c r="FFI91" s="76">
        <v>0.89444444444444449</v>
      </c>
      <c r="FFJ91" s="77" t="str">
        <f t="shared" si="122"/>
        <v>O</v>
      </c>
      <c r="FFK91" s="79">
        <v>5</v>
      </c>
      <c r="FFL91" s="75">
        <v>1276006</v>
      </c>
      <c r="FFM91" s="80"/>
      <c r="FFN91" s="81">
        <v>0.86944444444444446</v>
      </c>
      <c r="FFO91" s="74" t="s">
        <v>27</v>
      </c>
      <c r="FFP91" s="74" t="s">
        <v>24</v>
      </c>
      <c r="FFQ91" s="75" t="s">
        <v>25</v>
      </c>
      <c r="FFR91" s="76">
        <f>IFERROR(VLOOKUP(FFQ91,'[1]List KPI'!$A$103:$F$118,6,0),"")</f>
        <v>1.0416666666666666E-2</v>
      </c>
      <c r="FFS91" s="76">
        <v>0.86944444444444446</v>
      </c>
      <c r="FFT91" s="76">
        <v>0.86944444444444446</v>
      </c>
      <c r="FFU91" s="77" t="str">
        <f t="shared" ref="FFU91:FHQ91" si="123">IF(FFT91="","",IF(FFT91&gt;FGC91,"O","P"))</f>
        <v>O</v>
      </c>
      <c r="FFV91" s="74" t="s">
        <v>28</v>
      </c>
      <c r="FFW91" s="75" t="s">
        <v>23</v>
      </c>
      <c r="FFX91" s="78">
        <f>IFERROR(VLOOKUP(FFW91,'[1]List KPI'!$M$3:$N$8,2,0),"")</f>
        <v>2.0833333333333332E-2</v>
      </c>
      <c r="FFY91" s="76">
        <v>0.89444444444444449</v>
      </c>
      <c r="FFZ91" s="77" t="str">
        <f t="shared" ref="FFZ91:FHV91" si="124">IF(FFY91="","",IF(FFY91&gt;FGD91,"O","P"))</f>
        <v>O</v>
      </c>
      <c r="FGA91" s="79">
        <v>5</v>
      </c>
      <c r="FGB91" s="75">
        <v>1276006</v>
      </c>
      <c r="FGC91" s="80"/>
      <c r="FGD91" s="81">
        <v>0.86944444444444446</v>
      </c>
      <c r="FGE91" s="74" t="s">
        <v>27</v>
      </c>
      <c r="FGF91" s="74" t="s">
        <v>24</v>
      </c>
      <c r="FGG91" s="75" t="s">
        <v>25</v>
      </c>
      <c r="FGH91" s="76">
        <f>IFERROR(VLOOKUP(FGG91,'[1]List KPI'!$A$103:$F$118,6,0),"")</f>
        <v>1.0416666666666666E-2</v>
      </c>
      <c r="FGI91" s="76">
        <v>0.86944444444444446</v>
      </c>
      <c r="FGJ91" s="76">
        <v>0.86944444444444446</v>
      </c>
      <c r="FGK91" s="77" t="str">
        <f t="shared" si="123"/>
        <v>O</v>
      </c>
      <c r="FGL91" s="74" t="s">
        <v>28</v>
      </c>
      <c r="FGM91" s="75" t="s">
        <v>23</v>
      </c>
      <c r="FGN91" s="78">
        <f>IFERROR(VLOOKUP(FGM91,'[1]List KPI'!$M$3:$N$8,2,0),"")</f>
        <v>2.0833333333333332E-2</v>
      </c>
      <c r="FGO91" s="76">
        <v>0.89444444444444449</v>
      </c>
      <c r="FGP91" s="77" t="str">
        <f t="shared" si="124"/>
        <v>O</v>
      </c>
      <c r="FGQ91" s="79">
        <v>5</v>
      </c>
      <c r="FGR91" s="75">
        <v>1276006</v>
      </c>
      <c r="FGS91" s="80"/>
      <c r="FGT91" s="81">
        <v>0.86944444444444446</v>
      </c>
      <c r="FGU91" s="74" t="s">
        <v>27</v>
      </c>
      <c r="FGV91" s="74" t="s">
        <v>24</v>
      </c>
      <c r="FGW91" s="75" t="s">
        <v>25</v>
      </c>
      <c r="FGX91" s="76">
        <f>IFERROR(VLOOKUP(FGW91,'[1]List KPI'!$A$103:$F$118,6,0),"")</f>
        <v>1.0416666666666666E-2</v>
      </c>
      <c r="FGY91" s="76">
        <v>0.86944444444444446</v>
      </c>
      <c r="FGZ91" s="76">
        <v>0.86944444444444446</v>
      </c>
      <c r="FHA91" s="77" t="str">
        <f t="shared" si="123"/>
        <v>O</v>
      </c>
      <c r="FHB91" s="74" t="s">
        <v>28</v>
      </c>
      <c r="FHC91" s="75" t="s">
        <v>23</v>
      </c>
      <c r="FHD91" s="78">
        <f>IFERROR(VLOOKUP(FHC91,'[1]List KPI'!$M$3:$N$8,2,0),"")</f>
        <v>2.0833333333333332E-2</v>
      </c>
      <c r="FHE91" s="76">
        <v>0.89444444444444449</v>
      </c>
      <c r="FHF91" s="77" t="str">
        <f t="shared" si="124"/>
        <v>O</v>
      </c>
      <c r="FHG91" s="79">
        <v>5</v>
      </c>
      <c r="FHH91" s="75">
        <v>1276006</v>
      </c>
      <c r="FHI91" s="80"/>
      <c r="FHJ91" s="81">
        <v>0.86944444444444446</v>
      </c>
      <c r="FHK91" s="74" t="s">
        <v>27</v>
      </c>
      <c r="FHL91" s="74" t="s">
        <v>24</v>
      </c>
      <c r="FHM91" s="75" t="s">
        <v>25</v>
      </c>
      <c r="FHN91" s="76">
        <f>IFERROR(VLOOKUP(FHM91,'[1]List KPI'!$A$103:$F$118,6,0),"")</f>
        <v>1.0416666666666666E-2</v>
      </c>
      <c r="FHO91" s="76">
        <v>0.86944444444444446</v>
      </c>
      <c r="FHP91" s="76">
        <v>0.86944444444444446</v>
      </c>
      <c r="FHQ91" s="77" t="str">
        <f t="shared" si="123"/>
        <v>O</v>
      </c>
      <c r="FHR91" s="74" t="s">
        <v>28</v>
      </c>
      <c r="FHS91" s="75" t="s">
        <v>23</v>
      </c>
      <c r="FHT91" s="78">
        <f>IFERROR(VLOOKUP(FHS91,'[1]List KPI'!$M$3:$N$8,2,0),"")</f>
        <v>2.0833333333333332E-2</v>
      </c>
      <c r="FHU91" s="76">
        <v>0.89444444444444449</v>
      </c>
      <c r="FHV91" s="77" t="str">
        <f t="shared" si="124"/>
        <v>O</v>
      </c>
      <c r="FHW91" s="79">
        <v>5</v>
      </c>
      <c r="FHX91" s="75">
        <v>1276006</v>
      </c>
      <c r="FHY91" s="80"/>
      <c r="FHZ91" s="81">
        <v>0.86944444444444446</v>
      </c>
      <c r="FIA91" s="74" t="s">
        <v>27</v>
      </c>
      <c r="FIB91" s="74" t="s">
        <v>24</v>
      </c>
      <c r="FIC91" s="75" t="s">
        <v>25</v>
      </c>
      <c r="FID91" s="76">
        <f>IFERROR(VLOOKUP(FIC91,'[1]List KPI'!$A$103:$F$118,6,0),"")</f>
        <v>1.0416666666666666E-2</v>
      </c>
      <c r="FIE91" s="76">
        <v>0.86944444444444446</v>
      </c>
      <c r="FIF91" s="76">
        <v>0.86944444444444446</v>
      </c>
      <c r="FIG91" s="77" t="str">
        <f t="shared" ref="FIG91:FKC91" si="125">IF(FIF91="","",IF(FIF91&gt;FIO91,"O","P"))</f>
        <v>O</v>
      </c>
      <c r="FIH91" s="74" t="s">
        <v>28</v>
      </c>
      <c r="FII91" s="75" t="s">
        <v>23</v>
      </c>
      <c r="FIJ91" s="78">
        <f>IFERROR(VLOOKUP(FII91,'[1]List KPI'!$M$3:$N$8,2,0),"")</f>
        <v>2.0833333333333332E-2</v>
      </c>
      <c r="FIK91" s="76">
        <v>0.89444444444444449</v>
      </c>
      <c r="FIL91" s="77" t="str">
        <f t="shared" ref="FIL91:FKH91" si="126">IF(FIK91="","",IF(FIK91&gt;FIP91,"O","P"))</f>
        <v>O</v>
      </c>
      <c r="FIM91" s="79">
        <v>5</v>
      </c>
      <c r="FIN91" s="75">
        <v>1276006</v>
      </c>
      <c r="FIO91" s="80"/>
      <c r="FIP91" s="81">
        <v>0.86944444444444446</v>
      </c>
      <c r="FIQ91" s="74" t="s">
        <v>27</v>
      </c>
      <c r="FIR91" s="74" t="s">
        <v>24</v>
      </c>
      <c r="FIS91" s="75" t="s">
        <v>25</v>
      </c>
      <c r="FIT91" s="76">
        <f>IFERROR(VLOOKUP(FIS91,'[1]List KPI'!$A$103:$F$118,6,0),"")</f>
        <v>1.0416666666666666E-2</v>
      </c>
      <c r="FIU91" s="76">
        <v>0.86944444444444446</v>
      </c>
      <c r="FIV91" s="76">
        <v>0.86944444444444446</v>
      </c>
      <c r="FIW91" s="77" t="str">
        <f t="shared" si="125"/>
        <v>O</v>
      </c>
      <c r="FIX91" s="74" t="s">
        <v>28</v>
      </c>
      <c r="FIY91" s="75" t="s">
        <v>23</v>
      </c>
      <c r="FIZ91" s="78">
        <f>IFERROR(VLOOKUP(FIY91,'[1]List KPI'!$M$3:$N$8,2,0),"")</f>
        <v>2.0833333333333332E-2</v>
      </c>
      <c r="FJA91" s="76">
        <v>0.89444444444444449</v>
      </c>
      <c r="FJB91" s="77" t="str">
        <f t="shared" si="126"/>
        <v>O</v>
      </c>
      <c r="FJC91" s="79">
        <v>5</v>
      </c>
      <c r="FJD91" s="75">
        <v>1276006</v>
      </c>
      <c r="FJE91" s="80"/>
      <c r="FJF91" s="81">
        <v>0.86944444444444446</v>
      </c>
      <c r="FJG91" s="74" t="s">
        <v>27</v>
      </c>
      <c r="FJH91" s="74" t="s">
        <v>24</v>
      </c>
      <c r="FJI91" s="75" t="s">
        <v>25</v>
      </c>
      <c r="FJJ91" s="76">
        <f>IFERROR(VLOOKUP(FJI91,'[1]List KPI'!$A$103:$F$118,6,0),"")</f>
        <v>1.0416666666666666E-2</v>
      </c>
      <c r="FJK91" s="76">
        <v>0.86944444444444446</v>
      </c>
      <c r="FJL91" s="76">
        <v>0.86944444444444446</v>
      </c>
      <c r="FJM91" s="77" t="str">
        <f t="shared" si="125"/>
        <v>O</v>
      </c>
      <c r="FJN91" s="74" t="s">
        <v>28</v>
      </c>
      <c r="FJO91" s="75" t="s">
        <v>23</v>
      </c>
      <c r="FJP91" s="78">
        <f>IFERROR(VLOOKUP(FJO91,'[1]List KPI'!$M$3:$N$8,2,0),"")</f>
        <v>2.0833333333333332E-2</v>
      </c>
      <c r="FJQ91" s="76">
        <v>0.89444444444444449</v>
      </c>
      <c r="FJR91" s="77" t="str">
        <f t="shared" si="126"/>
        <v>O</v>
      </c>
      <c r="FJS91" s="79">
        <v>5</v>
      </c>
      <c r="FJT91" s="75">
        <v>1276006</v>
      </c>
      <c r="FJU91" s="80"/>
      <c r="FJV91" s="81">
        <v>0.86944444444444446</v>
      </c>
      <c r="FJW91" s="74" t="s">
        <v>27</v>
      </c>
      <c r="FJX91" s="74" t="s">
        <v>24</v>
      </c>
      <c r="FJY91" s="75" t="s">
        <v>25</v>
      </c>
      <c r="FJZ91" s="76">
        <f>IFERROR(VLOOKUP(FJY91,'[1]List KPI'!$A$103:$F$118,6,0),"")</f>
        <v>1.0416666666666666E-2</v>
      </c>
      <c r="FKA91" s="76">
        <v>0.86944444444444446</v>
      </c>
      <c r="FKB91" s="76">
        <v>0.86944444444444446</v>
      </c>
      <c r="FKC91" s="77" t="str">
        <f t="shared" si="125"/>
        <v>O</v>
      </c>
      <c r="FKD91" s="74" t="s">
        <v>28</v>
      </c>
      <c r="FKE91" s="75" t="s">
        <v>23</v>
      </c>
      <c r="FKF91" s="78">
        <f>IFERROR(VLOOKUP(FKE91,'[1]List KPI'!$M$3:$N$8,2,0),"")</f>
        <v>2.0833333333333332E-2</v>
      </c>
      <c r="FKG91" s="76">
        <v>0.89444444444444449</v>
      </c>
      <c r="FKH91" s="77" t="str">
        <f t="shared" si="126"/>
        <v>O</v>
      </c>
      <c r="FKI91" s="79">
        <v>5</v>
      </c>
      <c r="FKJ91" s="75">
        <v>1276006</v>
      </c>
      <c r="FKK91" s="80"/>
      <c r="FKL91" s="81">
        <v>0.86944444444444446</v>
      </c>
      <c r="FKM91" s="74" t="s">
        <v>27</v>
      </c>
      <c r="FKN91" s="74" t="s">
        <v>24</v>
      </c>
      <c r="FKO91" s="75" t="s">
        <v>25</v>
      </c>
      <c r="FKP91" s="76">
        <f>IFERROR(VLOOKUP(FKO91,'[1]List KPI'!$A$103:$F$118,6,0),"")</f>
        <v>1.0416666666666666E-2</v>
      </c>
      <c r="FKQ91" s="76">
        <v>0.86944444444444446</v>
      </c>
      <c r="FKR91" s="76">
        <v>0.86944444444444446</v>
      </c>
      <c r="FKS91" s="77" t="str">
        <f t="shared" ref="FKS91:FMO91" si="127">IF(FKR91="","",IF(FKR91&gt;FLA91,"O","P"))</f>
        <v>O</v>
      </c>
      <c r="FKT91" s="74" t="s">
        <v>28</v>
      </c>
      <c r="FKU91" s="75" t="s">
        <v>23</v>
      </c>
      <c r="FKV91" s="78">
        <f>IFERROR(VLOOKUP(FKU91,'[1]List KPI'!$M$3:$N$8,2,0),"")</f>
        <v>2.0833333333333332E-2</v>
      </c>
      <c r="FKW91" s="76">
        <v>0.89444444444444449</v>
      </c>
      <c r="FKX91" s="77" t="str">
        <f t="shared" ref="FKX91:FMT91" si="128">IF(FKW91="","",IF(FKW91&gt;FLB91,"O","P"))</f>
        <v>O</v>
      </c>
      <c r="FKY91" s="79">
        <v>5</v>
      </c>
      <c r="FKZ91" s="75">
        <v>1276006</v>
      </c>
      <c r="FLA91" s="80"/>
      <c r="FLB91" s="81">
        <v>0.86944444444444446</v>
      </c>
      <c r="FLC91" s="74" t="s">
        <v>27</v>
      </c>
      <c r="FLD91" s="74" t="s">
        <v>24</v>
      </c>
      <c r="FLE91" s="75" t="s">
        <v>25</v>
      </c>
      <c r="FLF91" s="76">
        <f>IFERROR(VLOOKUP(FLE91,'[1]List KPI'!$A$103:$F$118,6,0),"")</f>
        <v>1.0416666666666666E-2</v>
      </c>
      <c r="FLG91" s="76">
        <v>0.86944444444444446</v>
      </c>
      <c r="FLH91" s="76">
        <v>0.86944444444444446</v>
      </c>
      <c r="FLI91" s="77" t="str">
        <f t="shared" si="127"/>
        <v>O</v>
      </c>
      <c r="FLJ91" s="74" t="s">
        <v>28</v>
      </c>
      <c r="FLK91" s="75" t="s">
        <v>23</v>
      </c>
      <c r="FLL91" s="78">
        <f>IFERROR(VLOOKUP(FLK91,'[1]List KPI'!$M$3:$N$8,2,0),"")</f>
        <v>2.0833333333333332E-2</v>
      </c>
      <c r="FLM91" s="76">
        <v>0.89444444444444449</v>
      </c>
      <c r="FLN91" s="77" t="str">
        <f t="shared" si="128"/>
        <v>O</v>
      </c>
      <c r="FLO91" s="79">
        <v>5</v>
      </c>
      <c r="FLP91" s="75">
        <v>1276006</v>
      </c>
      <c r="FLQ91" s="80"/>
      <c r="FLR91" s="81">
        <v>0.86944444444444446</v>
      </c>
      <c r="FLS91" s="74" t="s">
        <v>27</v>
      </c>
      <c r="FLT91" s="74" t="s">
        <v>24</v>
      </c>
      <c r="FLU91" s="75" t="s">
        <v>25</v>
      </c>
      <c r="FLV91" s="76">
        <f>IFERROR(VLOOKUP(FLU91,'[1]List KPI'!$A$103:$F$118,6,0),"")</f>
        <v>1.0416666666666666E-2</v>
      </c>
      <c r="FLW91" s="76">
        <v>0.86944444444444446</v>
      </c>
      <c r="FLX91" s="76">
        <v>0.86944444444444446</v>
      </c>
      <c r="FLY91" s="77" t="str">
        <f t="shared" si="127"/>
        <v>O</v>
      </c>
      <c r="FLZ91" s="74" t="s">
        <v>28</v>
      </c>
      <c r="FMA91" s="75" t="s">
        <v>23</v>
      </c>
      <c r="FMB91" s="78">
        <f>IFERROR(VLOOKUP(FMA91,'[1]List KPI'!$M$3:$N$8,2,0),"")</f>
        <v>2.0833333333333332E-2</v>
      </c>
      <c r="FMC91" s="76">
        <v>0.89444444444444449</v>
      </c>
      <c r="FMD91" s="77" t="str">
        <f t="shared" si="128"/>
        <v>O</v>
      </c>
      <c r="FME91" s="79">
        <v>5</v>
      </c>
      <c r="FMF91" s="75">
        <v>1276006</v>
      </c>
      <c r="FMG91" s="80"/>
      <c r="FMH91" s="81">
        <v>0.86944444444444446</v>
      </c>
      <c r="FMI91" s="74" t="s">
        <v>27</v>
      </c>
      <c r="FMJ91" s="74" t="s">
        <v>24</v>
      </c>
      <c r="FMK91" s="75" t="s">
        <v>25</v>
      </c>
      <c r="FML91" s="76">
        <f>IFERROR(VLOOKUP(FMK91,'[1]List KPI'!$A$103:$F$118,6,0),"")</f>
        <v>1.0416666666666666E-2</v>
      </c>
      <c r="FMM91" s="76">
        <v>0.86944444444444446</v>
      </c>
      <c r="FMN91" s="76">
        <v>0.86944444444444446</v>
      </c>
      <c r="FMO91" s="77" t="str">
        <f t="shared" si="127"/>
        <v>O</v>
      </c>
      <c r="FMP91" s="74" t="s">
        <v>28</v>
      </c>
      <c r="FMQ91" s="75" t="s">
        <v>23</v>
      </c>
      <c r="FMR91" s="78">
        <f>IFERROR(VLOOKUP(FMQ91,'[1]List KPI'!$M$3:$N$8,2,0),"")</f>
        <v>2.0833333333333332E-2</v>
      </c>
      <c r="FMS91" s="76">
        <v>0.89444444444444449</v>
      </c>
      <c r="FMT91" s="77" t="str">
        <f t="shared" si="128"/>
        <v>O</v>
      </c>
      <c r="FMU91" s="79">
        <v>5</v>
      </c>
      <c r="FMV91" s="75">
        <v>1276006</v>
      </c>
      <c r="FMW91" s="80"/>
      <c r="FMX91" s="81">
        <v>0.86944444444444446</v>
      </c>
      <c r="FMY91" s="74" t="s">
        <v>27</v>
      </c>
      <c r="FMZ91" s="74" t="s">
        <v>24</v>
      </c>
      <c r="FNA91" s="75" t="s">
        <v>25</v>
      </c>
      <c r="FNB91" s="76">
        <f>IFERROR(VLOOKUP(FNA91,'[1]List KPI'!$A$103:$F$118,6,0),"")</f>
        <v>1.0416666666666666E-2</v>
      </c>
      <c r="FNC91" s="76">
        <v>0.86944444444444446</v>
      </c>
      <c r="FND91" s="76">
        <v>0.86944444444444446</v>
      </c>
      <c r="FNE91" s="77" t="str">
        <f t="shared" ref="FNE91:FPA91" si="129">IF(FND91="","",IF(FND91&gt;FNM91,"O","P"))</f>
        <v>O</v>
      </c>
      <c r="FNF91" s="74" t="s">
        <v>28</v>
      </c>
      <c r="FNG91" s="75" t="s">
        <v>23</v>
      </c>
      <c r="FNH91" s="78">
        <f>IFERROR(VLOOKUP(FNG91,'[1]List KPI'!$M$3:$N$8,2,0),"")</f>
        <v>2.0833333333333332E-2</v>
      </c>
      <c r="FNI91" s="76">
        <v>0.89444444444444449</v>
      </c>
      <c r="FNJ91" s="77" t="str">
        <f t="shared" ref="FNJ91:FPF91" si="130">IF(FNI91="","",IF(FNI91&gt;FNN91,"O","P"))</f>
        <v>O</v>
      </c>
      <c r="FNK91" s="79">
        <v>5</v>
      </c>
      <c r="FNL91" s="75">
        <v>1276006</v>
      </c>
      <c r="FNM91" s="80"/>
      <c r="FNN91" s="81">
        <v>0.86944444444444446</v>
      </c>
      <c r="FNO91" s="74" t="s">
        <v>27</v>
      </c>
      <c r="FNP91" s="74" t="s">
        <v>24</v>
      </c>
      <c r="FNQ91" s="75" t="s">
        <v>25</v>
      </c>
      <c r="FNR91" s="76">
        <f>IFERROR(VLOOKUP(FNQ91,'[1]List KPI'!$A$103:$F$118,6,0),"")</f>
        <v>1.0416666666666666E-2</v>
      </c>
      <c r="FNS91" s="76">
        <v>0.86944444444444446</v>
      </c>
      <c r="FNT91" s="76">
        <v>0.86944444444444446</v>
      </c>
      <c r="FNU91" s="77" t="str">
        <f t="shared" si="129"/>
        <v>O</v>
      </c>
      <c r="FNV91" s="74" t="s">
        <v>28</v>
      </c>
      <c r="FNW91" s="75" t="s">
        <v>23</v>
      </c>
      <c r="FNX91" s="78">
        <f>IFERROR(VLOOKUP(FNW91,'[1]List KPI'!$M$3:$N$8,2,0),"")</f>
        <v>2.0833333333333332E-2</v>
      </c>
      <c r="FNY91" s="76">
        <v>0.89444444444444449</v>
      </c>
      <c r="FNZ91" s="77" t="str">
        <f t="shared" si="130"/>
        <v>O</v>
      </c>
      <c r="FOA91" s="79">
        <v>5</v>
      </c>
      <c r="FOB91" s="75">
        <v>1276006</v>
      </c>
      <c r="FOC91" s="80"/>
      <c r="FOD91" s="81">
        <v>0.86944444444444446</v>
      </c>
      <c r="FOE91" s="74" t="s">
        <v>27</v>
      </c>
      <c r="FOF91" s="74" t="s">
        <v>24</v>
      </c>
      <c r="FOG91" s="75" t="s">
        <v>25</v>
      </c>
      <c r="FOH91" s="76">
        <f>IFERROR(VLOOKUP(FOG91,'[1]List KPI'!$A$103:$F$118,6,0),"")</f>
        <v>1.0416666666666666E-2</v>
      </c>
      <c r="FOI91" s="76">
        <v>0.86944444444444446</v>
      </c>
      <c r="FOJ91" s="76">
        <v>0.86944444444444446</v>
      </c>
      <c r="FOK91" s="77" t="str">
        <f t="shared" si="129"/>
        <v>O</v>
      </c>
      <c r="FOL91" s="74" t="s">
        <v>28</v>
      </c>
      <c r="FOM91" s="75" t="s">
        <v>23</v>
      </c>
      <c r="FON91" s="78">
        <f>IFERROR(VLOOKUP(FOM91,'[1]List KPI'!$M$3:$N$8,2,0),"")</f>
        <v>2.0833333333333332E-2</v>
      </c>
      <c r="FOO91" s="76">
        <v>0.89444444444444449</v>
      </c>
      <c r="FOP91" s="77" t="str">
        <f t="shared" si="130"/>
        <v>O</v>
      </c>
      <c r="FOQ91" s="79">
        <v>5</v>
      </c>
      <c r="FOR91" s="75">
        <v>1276006</v>
      </c>
      <c r="FOS91" s="80"/>
      <c r="FOT91" s="81">
        <v>0.86944444444444446</v>
      </c>
      <c r="FOU91" s="74" t="s">
        <v>27</v>
      </c>
      <c r="FOV91" s="74" t="s">
        <v>24</v>
      </c>
      <c r="FOW91" s="75" t="s">
        <v>25</v>
      </c>
      <c r="FOX91" s="76">
        <f>IFERROR(VLOOKUP(FOW91,'[1]List KPI'!$A$103:$F$118,6,0),"")</f>
        <v>1.0416666666666666E-2</v>
      </c>
      <c r="FOY91" s="76">
        <v>0.86944444444444446</v>
      </c>
      <c r="FOZ91" s="76">
        <v>0.86944444444444446</v>
      </c>
      <c r="FPA91" s="77" t="str">
        <f t="shared" si="129"/>
        <v>O</v>
      </c>
      <c r="FPB91" s="74" t="s">
        <v>28</v>
      </c>
      <c r="FPC91" s="75" t="s">
        <v>23</v>
      </c>
      <c r="FPD91" s="78">
        <f>IFERROR(VLOOKUP(FPC91,'[1]List KPI'!$M$3:$N$8,2,0),"")</f>
        <v>2.0833333333333332E-2</v>
      </c>
      <c r="FPE91" s="76">
        <v>0.89444444444444449</v>
      </c>
      <c r="FPF91" s="77" t="str">
        <f t="shared" si="130"/>
        <v>O</v>
      </c>
      <c r="FPG91" s="79">
        <v>5</v>
      </c>
      <c r="FPH91" s="75">
        <v>1276006</v>
      </c>
      <c r="FPI91" s="80"/>
      <c r="FPJ91" s="81">
        <v>0.86944444444444446</v>
      </c>
      <c r="FPK91" s="74" t="s">
        <v>27</v>
      </c>
      <c r="FPL91" s="74" t="s">
        <v>24</v>
      </c>
      <c r="FPM91" s="75" t="s">
        <v>25</v>
      </c>
      <c r="FPN91" s="76">
        <f>IFERROR(VLOOKUP(FPM91,'[1]List KPI'!$A$103:$F$118,6,0),"")</f>
        <v>1.0416666666666666E-2</v>
      </c>
      <c r="FPO91" s="76">
        <v>0.86944444444444446</v>
      </c>
      <c r="FPP91" s="76">
        <v>0.86944444444444446</v>
      </c>
      <c r="FPQ91" s="77" t="str">
        <f t="shared" ref="FPQ91:FRM91" si="131">IF(FPP91="","",IF(FPP91&gt;FPY91,"O","P"))</f>
        <v>O</v>
      </c>
      <c r="FPR91" s="74" t="s">
        <v>28</v>
      </c>
      <c r="FPS91" s="75" t="s">
        <v>23</v>
      </c>
      <c r="FPT91" s="78">
        <f>IFERROR(VLOOKUP(FPS91,'[1]List KPI'!$M$3:$N$8,2,0),"")</f>
        <v>2.0833333333333332E-2</v>
      </c>
      <c r="FPU91" s="76">
        <v>0.89444444444444449</v>
      </c>
      <c r="FPV91" s="77" t="str">
        <f t="shared" ref="FPV91:FRR91" si="132">IF(FPU91="","",IF(FPU91&gt;FPZ91,"O","P"))</f>
        <v>O</v>
      </c>
      <c r="FPW91" s="79">
        <v>5</v>
      </c>
      <c r="FPX91" s="75">
        <v>1276006</v>
      </c>
      <c r="FPY91" s="80"/>
      <c r="FPZ91" s="81">
        <v>0.86944444444444446</v>
      </c>
      <c r="FQA91" s="74" t="s">
        <v>27</v>
      </c>
      <c r="FQB91" s="74" t="s">
        <v>24</v>
      </c>
      <c r="FQC91" s="75" t="s">
        <v>25</v>
      </c>
      <c r="FQD91" s="76">
        <f>IFERROR(VLOOKUP(FQC91,'[1]List KPI'!$A$103:$F$118,6,0),"")</f>
        <v>1.0416666666666666E-2</v>
      </c>
      <c r="FQE91" s="76">
        <v>0.86944444444444446</v>
      </c>
      <c r="FQF91" s="76">
        <v>0.86944444444444446</v>
      </c>
      <c r="FQG91" s="77" t="str">
        <f t="shared" si="131"/>
        <v>O</v>
      </c>
      <c r="FQH91" s="74" t="s">
        <v>28</v>
      </c>
      <c r="FQI91" s="75" t="s">
        <v>23</v>
      </c>
      <c r="FQJ91" s="78">
        <f>IFERROR(VLOOKUP(FQI91,'[1]List KPI'!$M$3:$N$8,2,0),"")</f>
        <v>2.0833333333333332E-2</v>
      </c>
      <c r="FQK91" s="76">
        <v>0.89444444444444449</v>
      </c>
      <c r="FQL91" s="77" t="str">
        <f t="shared" si="132"/>
        <v>O</v>
      </c>
      <c r="FQM91" s="79">
        <v>5</v>
      </c>
      <c r="FQN91" s="75">
        <v>1276006</v>
      </c>
      <c r="FQO91" s="80"/>
      <c r="FQP91" s="81">
        <v>0.86944444444444446</v>
      </c>
      <c r="FQQ91" s="74" t="s">
        <v>27</v>
      </c>
      <c r="FQR91" s="74" t="s">
        <v>24</v>
      </c>
      <c r="FQS91" s="75" t="s">
        <v>25</v>
      </c>
      <c r="FQT91" s="76">
        <f>IFERROR(VLOOKUP(FQS91,'[1]List KPI'!$A$103:$F$118,6,0),"")</f>
        <v>1.0416666666666666E-2</v>
      </c>
      <c r="FQU91" s="76">
        <v>0.86944444444444446</v>
      </c>
      <c r="FQV91" s="76">
        <v>0.86944444444444446</v>
      </c>
      <c r="FQW91" s="77" t="str">
        <f t="shared" si="131"/>
        <v>O</v>
      </c>
      <c r="FQX91" s="74" t="s">
        <v>28</v>
      </c>
      <c r="FQY91" s="75" t="s">
        <v>23</v>
      </c>
      <c r="FQZ91" s="78">
        <f>IFERROR(VLOOKUP(FQY91,'[1]List KPI'!$M$3:$N$8,2,0),"")</f>
        <v>2.0833333333333332E-2</v>
      </c>
      <c r="FRA91" s="76">
        <v>0.89444444444444449</v>
      </c>
      <c r="FRB91" s="77" t="str">
        <f t="shared" si="132"/>
        <v>O</v>
      </c>
      <c r="FRC91" s="79">
        <v>5</v>
      </c>
      <c r="FRD91" s="75">
        <v>1276006</v>
      </c>
      <c r="FRE91" s="80"/>
      <c r="FRF91" s="81">
        <v>0.86944444444444446</v>
      </c>
      <c r="FRG91" s="74" t="s">
        <v>27</v>
      </c>
      <c r="FRH91" s="74" t="s">
        <v>24</v>
      </c>
      <c r="FRI91" s="75" t="s">
        <v>25</v>
      </c>
      <c r="FRJ91" s="76">
        <f>IFERROR(VLOOKUP(FRI91,'[1]List KPI'!$A$103:$F$118,6,0),"")</f>
        <v>1.0416666666666666E-2</v>
      </c>
      <c r="FRK91" s="76">
        <v>0.86944444444444446</v>
      </c>
      <c r="FRL91" s="76">
        <v>0.86944444444444446</v>
      </c>
      <c r="FRM91" s="77" t="str">
        <f t="shared" si="131"/>
        <v>O</v>
      </c>
      <c r="FRN91" s="74" t="s">
        <v>28</v>
      </c>
      <c r="FRO91" s="75" t="s">
        <v>23</v>
      </c>
      <c r="FRP91" s="78">
        <f>IFERROR(VLOOKUP(FRO91,'[1]List KPI'!$M$3:$N$8,2,0),"")</f>
        <v>2.0833333333333332E-2</v>
      </c>
      <c r="FRQ91" s="76">
        <v>0.89444444444444449</v>
      </c>
      <c r="FRR91" s="77" t="str">
        <f t="shared" si="132"/>
        <v>O</v>
      </c>
      <c r="FRS91" s="79">
        <v>5</v>
      </c>
      <c r="FRT91" s="75">
        <v>1276006</v>
      </c>
      <c r="FRU91" s="80"/>
      <c r="FRV91" s="81">
        <v>0.86944444444444446</v>
      </c>
      <c r="FRW91" s="74" t="s">
        <v>27</v>
      </c>
      <c r="FRX91" s="74" t="s">
        <v>24</v>
      </c>
      <c r="FRY91" s="75" t="s">
        <v>25</v>
      </c>
      <c r="FRZ91" s="76">
        <f>IFERROR(VLOOKUP(FRY91,'[1]List KPI'!$A$103:$F$118,6,0),"")</f>
        <v>1.0416666666666666E-2</v>
      </c>
      <c r="FSA91" s="76">
        <v>0.86944444444444446</v>
      </c>
      <c r="FSB91" s="76">
        <v>0.86944444444444446</v>
      </c>
      <c r="FSC91" s="77" t="str">
        <f t="shared" ref="FSC91:FTY91" si="133">IF(FSB91="","",IF(FSB91&gt;FSK91,"O","P"))</f>
        <v>O</v>
      </c>
      <c r="FSD91" s="74" t="s">
        <v>28</v>
      </c>
      <c r="FSE91" s="75" t="s">
        <v>23</v>
      </c>
      <c r="FSF91" s="78">
        <f>IFERROR(VLOOKUP(FSE91,'[1]List KPI'!$M$3:$N$8,2,0),"")</f>
        <v>2.0833333333333332E-2</v>
      </c>
      <c r="FSG91" s="76">
        <v>0.89444444444444449</v>
      </c>
      <c r="FSH91" s="77" t="str">
        <f t="shared" ref="FSH91:FUD91" si="134">IF(FSG91="","",IF(FSG91&gt;FSL91,"O","P"))</f>
        <v>O</v>
      </c>
      <c r="FSI91" s="79">
        <v>5</v>
      </c>
      <c r="FSJ91" s="75">
        <v>1276006</v>
      </c>
      <c r="FSK91" s="80"/>
      <c r="FSL91" s="81">
        <v>0.86944444444444446</v>
      </c>
      <c r="FSM91" s="74" t="s">
        <v>27</v>
      </c>
      <c r="FSN91" s="74" t="s">
        <v>24</v>
      </c>
      <c r="FSO91" s="75" t="s">
        <v>25</v>
      </c>
      <c r="FSP91" s="76">
        <f>IFERROR(VLOOKUP(FSO91,'[1]List KPI'!$A$103:$F$118,6,0),"")</f>
        <v>1.0416666666666666E-2</v>
      </c>
      <c r="FSQ91" s="76">
        <v>0.86944444444444446</v>
      </c>
      <c r="FSR91" s="76">
        <v>0.86944444444444446</v>
      </c>
      <c r="FSS91" s="77" t="str">
        <f t="shared" si="133"/>
        <v>O</v>
      </c>
      <c r="FST91" s="74" t="s">
        <v>28</v>
      </c>
      <c r="FSU91" s="75" t="s">
        <v>23</v>
      </c>
      <c r="FSV91" s="78">
        <f>IFERROR(VLOOKUP(FSU91,'[1]List KPI'!$M$3:$N$8,2,0),"")</f>
        <v>2.0833333333333332E-2</v>
      </c>
      <c r="FSW91" s="76">
        <v>0.89444444444444449</v>
      </c>
      <c r="FSX91" s="77" t="str">
        <f t="shared" si="134"/>
        <v>O</v>
      </c>
      <c r="FSY91" s="79">
        <v>5</v>
      </c>
      <c r="FSZ91" s="75">
        <v>1276006</v>
      </c>
      <c r="FTA91" s="80"/>
      <c r="FTB91" s="81">
        <v>0.86944444444444446</v>
      </c>
      <c r="FTC91" s="74" t="s">
        <v>27</v>
      </c>
      <c r="FTD91" s="74" t="s">
        <v>24</v>
      </c>
      <c r="FTE91" s="75" t="s">
        <v>25</v>
      </c>
      <c r="FTF91" s="76">
        <f>IFERROR(VLOOKUP(FTE91,'[1]List KPI'!$A$103:$F$118,6,0),"")</f>
        <v>1.0416666666666666E-2</v>
      </c>
      <c r="FTG91" s="76">
        <v>0.86944444444444446</v>
      </c>
      <c r="FTH91" s="76">
        <v>0.86944444444444446</v>
      </c>
      <c r="FTI91" s="77" t="str">
        <f t="shared" si="133"/>
        <v>O</v>
      </c>
      <c r="FTJ91" s="74" t="s">
        <v>28</v>
      </c>
      <c r="FTK91" s="75" t="s">
        <v>23</v>
      </c>
      <c r="FTL91" s="78">
        <f>IFERROR(VLOOKUP(FTK91,'[1]List KPI'!$M$3:$N$8,2,0),"")</f>
        <v>2.0833333333333332E-2</v>
      </c>
      <c r="FTM91" s="76">
        <v>0.89444444444444449</v>
      </c>
      <c r="FTN91" s="77" t="str">
        <f t="shared" si="134"/>
        <v>O</v>
      </c>
      <c r="FTO91" s="79">
        <v>5</v>
      </c>
      <c r="FTP91" s="75">
        <v>1276006</v>
      </c>
      <c r="FTQ91" s="80"/>
      <c r="FTR91" s="81">
        <v>0.86944444444444446</v>
      </c>
      <c r="FTS91" s="74" t="s">
        <v>27</v>
      </c>
      <c r="FTT91" s="74" t="s">
        <v>24</v>
      </c>
      <c r="FTU91" s="75" t="s">
        <v>25</v>
      </c>
      <c r="FTV91" s="76">
        <f>IFERROR(VLOOKUP(FTU91,'[1]List KPI'!$A$103:$F$118,6,0),"")</f>
        <v>1.0416666666666666E-2</v>
      </c>
      <c r="FTW91" s="76">
        <v>0.86944444444444446</v>
      </c>
      <c r="FTX91" s="76">
        <v>0.86944444444444446</v>
      </c>
      <c r="FTY91" s="77" t="str">
        <f t="shared" si="133"/>
        <v>O</v>
      </c>
      <c r="FTZ91" s="74" t="s">
        <v>28</v>
      </c>
      <c r="FUA91" s="75" t="s">
        <v>23</v>
      </c>
      <c r="FUB91" s="78">
        <f>IFERROR(VLOOKUP(FUA91,'[1]List KPI'!$M$3:$N$8,2,0),"")</f>
        <v>2.0833333333333332E-2</v>
      </c>
      <c r="FUC91" s="76">
        <v>0.89444444444444449</v>
      </c>
      <c r="FUD91" s="77" t="str">
        <f t="shared" si="134"/>
        <v>O</v>
      </c>
      <c r="FUE91" s="79">
        <v>5</v>
      </c>
      <c r="FUF91" s="75">
        <v>1276006</v>
      </c>
      <c r="FUG91" s="80"/>
      <c r="FUH91" s="81">
        <v>0.86944444444444446</v>
      </c>
      <c r="FUI91" s="74" t="s">
        <v>27</v>
      </c>
      <c r="FUJ91" s="74" t="s">
        <v>24</v>
      </c>
      <c r="FUK91" s="75" t="s">
        <v>25</v>
      </c>
      <c r="FUL91" s="76">
        <f>IFERROR(VLOOKUP(FUK91,'[1]List KPI'!$A$103:$F$118,6,0),"")</f>
        <v>1.0416666666666666E-2</v>
      </c>
      <c r="FUM91" s="76">
        <v>0.86944444444444446</v>
      </c>
      <c r="FUN91" s="76">
        <v>0.86944444444444446</v>
      </c>
      <c r="FUO91" s="77" t="str">
        <f t="shared" ref="FUO91:FWK91" si="135">IF(FUN91="","",IF(FUN91&gt;FUW91,"O","P"))</f>
        <v>O</v>
      </c>
      <c r="FUP91" s="74" t="s">
        <v>28</v>
      </c>
      <c r="FUQ91" s="75" t="s">
        <v>23</v>
      </c>
      <c r="FUR91" s="78">
        <f>IFERROR(VLOOKUP(FUQ91,'[1]List KPI'!$M$3:$N$8,2,0),"")</f>
        <v>2.0833333333333332E-2</v>
      </c>
      <c r="FUS91" s="76">
        <v>0.89444444444444449</v>
      </c>
      <c r="FUT91" s="77" t="str">
        <f t="shared" ref="FUT91:FWP91" si="136">IF(FUS91="","",IF(FUS91&gt;FUX91,"O","P"))</f>
        <v>O</v>
      </c>
      <c r="FUU91" s="79">
        <v>5</v>
      </c>
      <c r="FUV91" s="75">
        <v>1276006</v>
      </c>
      <c r="FUW91" s="80"/>
      <c r="FUX91" s="81">
        <v>0.86944444444444446</v>
      </c>
      <c r="FUY91" s="74" t="s">
        <v>27</v>
      </c>
      <c r="FUZ91" s="74" t="s">
        <v>24</v>
      </c>
      <c r="FVA91" s="75" t="s">
        <v>25</v>
      </c>
      <c r="FVB91" s="76">
        <f>IFERROR(VLOOKUP(FVA91,'[1]List KPI'!$A$103:$F$118,6,0),"")</f>
        <v>1.0416666666666666E-2</v>
      </c>
      <c r="FVC91" s="76">
        <v>0.86944444444444446</v>
      </c>
      <c r="FVD91" s="76">
        <v>0.86944444444444446</v>
      </c>
      <c r="FVE91" s="77" t="str">
        <f t="shared" si="135"/>
        <v>O</v>
      </c>
      <c r="FVF91" s="74" t="s">
        <v>28</v>
      </c>
      <c r="FVG91" s="75" t="s">
        <v>23</v>
      </c>
      <c r="FVH91" s="78">
        <f>IFERROR(VLOOKUP(FVG91,'[1]List KPI'!$M$3:$N$8,2,0),"")</f>
        <v>2.0833333333333332E-2</v>
      </c>
      <c r="FVI91" s="76">
        <v>0.89444444444444449</v>
      </c>
      <c r="FVJ91" s="77" t="str">
        <f t="shared" si="136"/>
        <v>O</v>
      </c>
      <c r="FVK91" s="79">
        <v>5</v>
      </c>
      <c r="FVL91" s="75">
        <v>1276006</v>
      </c>
      <c r="FVM91" s="80"/>
      <c r="FVN91" s="81">
        <v>0.86944444444444446</v>
      </c>
      <c r="FVO91" s="74" t="s">
        <v>27</v>
      </c>
      <c r="FVP91" s="74" t="s">
        <v>24</v>
      </c>
      <c r="FVQ91" s="75" t="s">
        <v>25</v>
      </c>
      <c r="FVR91" s="76">
        <f>IFERROR(VLOOKUP(FVQ91,'[1]List KPI'!$A$103:$F$118,6,0),"")</f>
        <v>1.0416666666666666E-2</v>
      </c>
      <c r="FVS91" s="76">
        <v>0.86944444444444446</v>
      </c>
      <c r="FVT91" s="76">
        <v>0.86944444444444446</v>
      </c>
      <c r="FVU91" s="77" t="str">
        <f t="shared" si="135"/>
        <v>O</v>
      </c>
      <c r="FVV91" s="74" t="s">
        <v>28</v>
      </c>
      <c r="FVW91" s="75" t="s">
        <v>23</v>
      </c>
      <c r="FVX91" s="78">
        <f>IFERROR(VLOOKUP(FVW91,'[1]List KPI'!$M$3:$N$8,2,0),"")</f>
        <v>2.0833333333333332E-2</v>
      </c>
      <c r="FVY91" s="76">
        <v>0.89444444444444449</v>
      </c>
      <c r="FVZ91" s="77" t="str">
        <f t="shared" si="136"/>
        <v>O</v>
      </c>
      <c r="FWA91" s="79">
        <v>5</v>
      </c>
      <c r="FWB91" s="75">
        <v>1276006</v>
      </c>
      <c r="FWC91" s="80"/>
      <c r="FWD91" s="81">
        <v>0.86944444444444446</v>
      </c>
      <c r="FWE91" s="74" t="s">
        <v>27</v>
      </c>
      <c r="FWF91" s="74" t="s">
        <v>24</v>
      </c>
      <c r="FWG91" s="75" t="s">
        <v>25</v>
      </c>
      <c r="FWH91" s="76">
        <f>IFERROR(VLOOKUP(FWG91,'[1]List KPI'!$A$103:$F$118,6,0),"")</f>
        <v>1.0416666666666666E-2</v>
      </c>
      <c r="FWI91" s="76">
        <v>0.86944444444444446</v>
      </c>
      <c r="FWJ91" s="76">
        <v>0.86944444444444446</v>
      </c>
      <c r="FWK91" s="77" t="str">
        <f t="shared" si="135"/>
        <v>O</v>
      </c>
      <c r="FWL91" s="74" t="s">
        <v>28</v>
      </c>
      <c r="FWM91" s="75" t="s">
        <v>23</v>
      </c>
      <c r="FWN91" s="78">
        <f>IFERROR(VLOOKUP(FWM91,'[1]List KPI'!$M$3:$N$8,2,0),"")</f>
        <v>2.0833333333333332E-2</v>
      </c>
      <c r="FWO91" s="76">
        <v>0.89444444444444449</v>
      </c>
      <c r="FWP91" s="77" t="str">
        <f t="shared" si="136"/>
        <v>O</v>
      </c>
      <c r="FWQ91" s="79">
        <v>5</v>
      </c>
      <c r="FWR91" s="75">
        <v>1276006</v>
      </c>
      <c r="FWS91" s="80"/>
      <c r="FWT91" s="81">
        <v>0.86944444444444446</v>
      </c>
      <c r="FWU91" s="74" t="s">
        <v>27</v>
      </c>
      <c r="FWV91" s="74" t="s">
        <v>24</v>
      </c>
      <c r="FWW91" s="75" t="s">
        <v>25</v>
      </c>
      <c r="FWX91" s="76">
        <f>IFERROR(VLOOKUP(FWW91,'[1]List KPI'!$A$103:$F$118,6,0),"")</f>
        <v>1.0416666666666666E-2</v>
      </c>
      <c r="FWY91" s="76">
        <v>0.86944444444444446</v>
      </c>
      <c r="FWZ91" s="76">
        <v>0.86944444444444446</v>
      </c>
      <c r="FXA91" s="77" t="str">
        <f t="shared" ref="FXA91:FYW91" si="137">IF(FWZ91="","",IF(FWZ91&gt;FXI91,"O","P"))</f>
        <v>O</v>
      </c>
      <c r="FXB91" s="74" t="s">
        <v>28</v>
      </c>
      <c r="FXC91" s="75" t="s">
        <v>23</v>
      </c>
      <c r="FXD91" s="78">
        <f>IFERROR(VLOOKUP(FXC91,'[1]List KPI'!$M$3:$N$8,2,0),"")</f>
        <v>2.0833333333333332E-2</v>
      </c>
      <c r="FXE91" s="76">
        <v>0.89444444444444449</v>
      </c>
      <c r="FXF91" s="77" t="str">
        <f t="shared" ref="FXF91:FZB91" si="138">IF(FXE91="","",IF(FXE91&gt;FXJ91,"O","P"))</f>
        <v>O</v>
      </c>
      <c r="FXG91" s="79">
        <v>5</v>
      </c>
      <c r="FXH91" s="75">
        <v>1276006</v>
      </c>
      <c r="FXI91" s="80"/>
      <c r="FXJ91" s="81">
        <v>0.86944444444444446</v>
      </c>
      <c r="FXK91" s="74" t="s">
        <v>27</v>
      </c>
      <c r="FXL91" s="74" t="s">
        <v>24</v>
      </c>
      <c r="FXM91" s="75" t="s">
        <v>25</v>
      </c>
      <c r="FXN91" s="76">
        <f>IFERROR(VLOOKUP(FXM91,'[1]List KPI'!$A$103:$F$118,6,0),"")</f>
        <v>1.0416666666666666E-2</v>
      </c>
      <c r="FXO91" s="76">
        <v>0.86944444444444446</v>
      </c>
      <c r="FXP91" s="76">
        <v>0.86944444444444446</v>
      </c>
      <c r="FXQ91" s="77" t="str">
        <f t="shared" si="137"/>
        <v>O</v>
      </c>
      <c r="FXR91" s="74" t="s">
        <v>28</v>
      </c>
      <c r="FXS91" s="75" t="s">
        <v>23</v>
      </c>
      <c r="FXT91" s="78">
        <f>IFERROR(VLOOKUP(FXS91,'[1]List KPI'!$M$3:$N$8,2,0),"")</f>
        <v>2.0833333333333332E-2</v>
      </c>
      <c r="FXU91" s="76">
        <v>0.89444444444444449</v>
      </c>
      <c r="FXV91" s="77" t="str">
        <f t="shared" si="138"/>
        <v>O</v>
      </c>
      <c r="FXW91" s="79">
        <v>5</v>
      </c>
      <c r="FXX91" s="75">
        <v>1276006</v>
      </c>
      <c r="FXY91" s="80"/>
      <c r="FXZ91" s="81">
        <v>0.86944444444444446</v>
      </c>
      <c r="FYA91" s="74" t="s">
        <v>27</v>
      </c>
      <c r="FYB91" s="74" t="s">
        <v>24</v>
      </c>
      <c r="FYC91" s="75" t="s">
        <v>25</v>
      </c>
      <c r="FYD91" s="76">
        <f>IFERROR(VLOOKUP(FYC91,'[1]List KPI'!$A$103:$F$118,6,0),"")</f>
        <v>1.0416666666666666E-2</v>
      </c>
      <c r="FYE91" s="76">
        <v>0.86944444444444446</v>
      </c>
      <c r="FYF91" s="76">
        <v>0.86944444444444446</v>
      </c>
      <c r="FYG91" s="77" t="str">
        <f t="shared" si="137"/>
        <v>O</v>
      </c>
      <c r="FYH91" s="74" t="s">
        <v>28</v>
      </c>
      <c r="FYI91" s="75" t="s">
        <v>23</v>
      </c>
      <c r="FYJ91" s="78">
        <f>IFERROR(VLOOKUP(FYI91,'[1]List KPI'!$M$3:$N$8,2,0),"")</f>
        <v>2.0833333333333332E-2</v>
      </c>
      <c r="FYK91" s="76">
        <v>0.89444444444444449</v>
      </c>
      <c r="FYL91" s="77" t="str">
        <f t="shared" si="138"/>
        <v>O</v>
      </c>
      <c r="FYM91" s="79">
        <v>5</v>
      </c>
      <c r="FYN91" s="75">
        <v>1276006</v>
      </c>
      <c r="FYO91" s="80"/>
      <c r="FYP91" s="81">
        <v>0.86944444444444446</v>
      </c>
      <c r="FYQ91" s="74" t="s">
        <v>27</v>
      </c>
      <c r="FYR91" s="74" t="s">
        <v>24</v>
      </c>
      <c r="FYS91" s="75" t="s">
        <v>25</v>
      </c>
      <c r="FYT91" s="76">
        <f>IFERROR(VLOOKUP(FYS91,'[1]List KPI'!$A$103:$F$118,6,0),"")</f>
        <v>1.0416666666666666E-2</v>
      </c>
      <c r="FYU91" s="76">
        <v>0.86944444444444446</v>
      </c>
      <c r="FYV91" s="76">
        <v>0.86944444444444446</v>
      </c>
      <c r="FYW91" s="77" t="str">
        <f t="shared" si="137"/>
        <v>O</v>
      </c>
      <c r="FYX91" s="74" t="s">
        <v>28</v>
      </c>
      <c r="FYY91" s="75" t="s">
        <v>23</v>
      </c>
      <c r="FYZ91" s="78">
        <f>IFERROR(VLOOKUP(FYY91,'[1]List KPI'!$M$3:$N$8,2,0),"")</f>
        <v>2.0833333333333332E-2</v>
      </c>
      <c r="FZA91" s="76">
        <v>0.89444444444444449</v>
      </c>
      <c r="FZB91" s="77" t="str">
        <f t="shared" si="138"/>
        <v>O</v>
      </c>
      <c r="FZC91" s="79">
        <v>5</v>
      </c>
      <c r="FZD91" s="75">
        <v>1276006</v>
      </c>
      <c r="FZE91" s="80"/>
      <c r="FZF91" s="81">
        <v>0.86944444444444446</v>
      </c>
      <c r="FZG91" s="74" t="s">
        <v>27</v>
      </c>
      <c r="FZH91" s="74" t="s">
        <v>24</v>
      </c>
      <c r="FZI91" s="75" t="s">
        <v>25</v>
      </c>
      <c r="FZJ91" s="76">
        <f>IFERROR(VLOOKUP(FZI91,'[1]List KPI'!$A$103:$F$118,6,0),"")</f>
        <v>1.0416666666666666E-2</v>
      </c>
      <c r="FZK91" s="76">
        <v>0.86944444444444446</v>
      </c>
      <c r="FZL91" s="76">
        <v>0.86944444444444446</v>
      </c>
      <c r="FZM91" s="77" t="str">
        <f t="shared" ref="FZM91:GBI91" si="139">IF(FZL91="","",IF(FZL91&gt;FZU91,"O","P"))</f>
        <v>O</v>
      </c>
      <c r="FZN91" s="74" t="s">
        <v>28</v>
      </c>
      <c r="FZO91" s="75" t="s">
        <v>23</v>
      </c>
      <c r="FZP91" s="78">
        <f>IFERROR(VLOOKUP(FZO91,'[1]List KPI'!$M$3:$N$8,2,0),"")</f>
        <v>2.0833333333333332E-2</v>
      </c>
      <c r="FZQ91" s="76">
        <v>0.89444444444444449</v>
      </c>
      <c r="FZR91" s="77" t="str">
        <f t="shared" ref="FZR91:GBN91" si="140">IF(FZQ91="","",IF(FZQ91&gt;FZV91,"O","P"))</f>
        <v>O</v>
      </c>
      <c r="FZS91" s="79">
        <v>5</v>
      </c>
      <c r="FZT91" s="75">
        <v>1276006</v>
      </c>
      <c r="FZU91" s="80"/>
      <c r="FZV91" s="81">
        <v>0.86944444444444446</v>
      </c>
      <c r="FZW91" s="74" t="s">
        <v>27</v>
      </c>
      <c r="FZX91" s="74" t="s">
        <v>24</v>
      </c>
      <c r="FZY91" s="75" t="s">
        <v>25</v>
      </c>
      <c r="FZZ91" s="76">
        <f>IFERROR(VLOOKUP(FZY91,'[1]List KPI'!$A$103:$F$118,6,0),"")</f>
        <v>1.0416666666666666E-2</v>
      </c>
      <c r="GAA91" s="76">
        <v>0.86944444444444446</v>
      </c>
      <c r="GAB91" s="76">
        <v>0.86944444444444446</v>
      </c>
      <c r="GAC91" s="77" t="str">
        <f t="shared" si="139"/>
        <v>O</v>
      </c>
      <c r="GAD91" s="74" t="s">
        <v>28</v>
      </c>
      <c r="GAE91" s="75" t="s">
        <v>23</v>
      </c>
      <c r="GAF91" s="78">
        <f>IFERROR(VLOOKUP(GAE91,'[1]List KPI'!$M$3:$N$8,2,0),"")</f>
        <v>2.0833333333333332E-2</v>
      </c>
      <c r="GAG91" s="76">
        <v>0.89444444444444449</v>
      </c>
      <c r="GAH91" s="77" t="str">
        <f t="shared" si="140"/>
        <v>O</v>
      </c>
      <c r="GAI91" s="79">
        <v>5</v>
      </c>
      <c r="GAJ91" s="75">
        <v>1276006</v>
      </c>
      <c r="GAK91" s="80"/>
      <c r="GAL91" s="81">
        <v>0.86944444444444446</v>
      </c>
      <c r="GAM91" s="74" t="s">
        <v>27</v>
      </c>
      <c r="GAN91" s="74" t="s">
        <v>24</v>
      </c>
      <c r="GAO91" s="75" t="s">
        <v>25</v>
      </c>
      <c r="GAP91" s="76">
        <f>IFERROR(VLOOKUP(GAO91,'[1]List KPI'!$A$103:$F$118,6,0),"")</f>
        <v>1.0416666666666666E-2</v>
      </c>
      <c r="GAQ91" s="76">
        <v>0.86944444444444446</v>
      </c>
      <c r="GAR91" s="76">
        <v>0.86944444444444446</v>
      </c>
      <c r="GAS91" s="77" t="str">
        <f t="shared" si="139"/>
        <v>O</v>
      </c>
      <c r="GAT91" s="74" t="s">
        <v>28</v>
      </c>
      <c r="GAU91" s="75" t="s">
        <v>23</v>
      </c>
      <c r="GAV91" s="78">
        <f>IFERROR(VLOOKUP(GAU91,'[1]List KPI'!$M$3:$N$8,2,0),"")</f>
        <v>2.0833333333333332E-2</v>
      </c>
      <c r="GAW91" s="76">
        <v>0.89444444444444449</v>
      </c>
      <c r="GAX91" s="77" t="str">
        <f t="shared" si="140"/>
        <v>O</v>
      </c>
      <c r="GAY91" s="79">
        <v>5</v>
      </c>
      <c r="GAZ91" s="75">
        <v>1276006</v>
      </c>
      <c r="GBA91" s="80"/>
      <c r="GBB91" s="81">
        <v>0.86944444444444446</v>
      </c>
      <c r="GBC91" s="74" t="s">
        <v>27</v>
      </c>
      <c r="GBD91" s="74" t="s">
        <v>24</v>
      </c>
      <c r="GBE91" s="75" t="s">
        <v>25</v>
      </c>
      <c r="GBF91" s="76">
        <f>IFERROR(VLOOKUP(GBE91,'[1]List KPI'!$A$103:$F$118,6,0),"")</f>
        <v>1.0416666666666666E-2</v>
      </c>
      <c r="GBG91" s="76">
        <v>0.86944444444444446</v>
      </c>
      <c r="GBH91" s="76">
        <v>0.86944444444444446</v>
      </c>
      <c r="GBI91" s="77" t="str">
        <f t="shared" si="139"/>
        <v>O</v>
      </c>
      <c r="GBJ91" s="74" t="s">
        <v>28</v>
      </c>
      <c r="GBK91" s="75" t="s">
        <v>23</v>
      </c>
      <c r="GBL91" s="78">
        <f>IFERROR(VLOOKUP(GBK91,'[1]List KPI'!$M$3:$N$8,2,0),"")</f>
        <v>2.0833333333333332E-2</v>
      </c>
      <c r="GBM91" s="76">
        <v>0.89444444444444449</v>
      </c>
      <c r="GBN91" s="77" t="str">
        <f t="shared" si="140"/>
        <v>O</v>
      </c>
      <c r="GBO91" s="79">
        <v>5</v>
      </c>
      <c r="GBP91" s="75">
        <v>1276006</v>
      </c>
      <c r="GBQ91" s="80"/>
      <c r="GBR91" s="81">
        <v>0.86944444444444446</v>
      </c>
      <c r="GBS91" s="74" t="s">
        <v>27</v>
      </c>
      <c r="GBT91" s="74" t="s">
        <v>24</v>
      </c>
      <c r="GBU91" s="75" t="s">
        <v>25</v>
      </c>
      <c r="GBV91" s="76">
        <f>IFERROR(VLOOKUP(GBU91,'[1]List KPI'!$A$103:$F$118,6,0),"")</f>
        <v>1.0416666666666666E-2</v>
      </c>
      <c r="GBW91" s="76">
        <v>0.86944444444444446</v>
      </c>
      <c r="GBX91" s="76">
        <v>0.86944444444444446</v>
      </c>
      <c r="GBY91" s="77" t="str">
        <f t="shared" ref="GBY91:GDU91" si="141">IF(GBX91="","",IF(GBX91&gt;GCG91,"O","P"))</f>
        <v>O</v>
      </c>
      <c r="GBZ91" s="74" t="s">
        <v>28</v>
      </c>
      <c r="GCA91" s="75" t="s">
        <v>23</v>
      </c>
      <c r="GCB91" s="78">
        <f>IFERROR(VLOOKUP(GCA91,'[1]List KPI'!$M$3:$N$8,2,0),"")</f>
        <v>2.0833333333333332E-2</v>
      </c>
      <c r="GCC91" s="76">
        <v>0.89444444444444449</v>
      </c>
      <c r="GCD91" s="77" t="str">
        <f t="shared" ref="GCD91:GDZ91" si="142">IF(GCC91="","",IF(GCC91&gt;GCH91,"O","P"))</f>
        <v>O</v>
      </c>
      <c r="GCE91" s="79">
        <v>5</v>
      </c>
      <c r="GCF91" s="75">
        <v>1276006</v>
      </c>
      <c r="GCG91" s="80"/>
      <c r="GCH91" s="81">
        <v>0.86944444444444446</v>
      </c>
      <c r="GCI91" s="74" t="s">
        <v>27</v>
      </c>
      <c r="GCJ91" s="74" t="s">
        <v>24</v>
      </c>
      <c r="GCK91" s="75" t="s">
        <v>25</v>
      </c>
      <c r="GCL91" s="76">
        <f>IFERROR(VLOOKUP(GCK91,'[1]List KPI'!$A$103:$F$118,6,0),"")</f>
        <v>1.0416666666666666E-2</v>
      </c>
      <c r="GCM91" s="76">
        <v>0.86944444444444446</v>
      </c>
      <c r="GCN91" s="76">
        <v>0.86944444444444446</v>
      </c>
      <c r="GCO91" s="77" t="str">
        <f t="shared" si="141"/>
        <v>O</v>
      </c>
      <c r="GCP91" s="74" t="s">
        <v>28</v>
      </c>
      <c r="GCQ91" s="75" t="s">
        <v>23</v>
      </c>
      <c r="GCR91" s="78">
        <f>IFERROR(VLOOKUP(GCQ91,'[1]List KPI'!$M$3:$N$8,2,0),"")</f>
        <v>2.0833333333333332E-2</v>
      </c>
      <c r="GCS91" s="76">
        <v>0.89444444444444449</v>
      </c>
      <c r="GCT91" s="77" t="str">
        <f t="shared" si="142"/>
        <v>O</v>
      </c>
      <c r="GCU91" s="79">
        <v>5</v>
      </c>
      <c r="GCV91" s="75">
        <v>1276006</v>
      </c>
      <c r="GCW91" s="80"/>
      <c r="GCX91" s="81">
        <v>0.86944444444444446</v>
      </c>
      <c r="GCY91" s="74" t="s">
        <v>27</v>
      </c>
      <c r="GCZ91" s="74" t="s">
        <v>24</v>
      </c>
      <c r="GDA91" s="75" t="s">
        <v>25</v>
      </c>
      <c r="GDB91" s="76">
        <f>IFERROR(VLOOKUP(GDA91,'[1]List KPI'!$A$103:$F$118,6,0),"")</f>
        <v>1.0416666666666666E-2</v>
      </c>
      <c r="GDC91" s="76">
        <v>0.86944444444444446</v>
      </c>
      <c r="GDD91" s="76">
        <v>0.86944444444444446</v>
      </c>
      <c r="GDE91" s="77" t="str">
        <f t="shared" si="141"/>
        <v>O</v>
      </c>
      <c r="GDF91" s="74" t="s">
        <v>28</v>
      </c>
      <c r="GDG91" s="75" t="s">
        <v>23</v>
      </c>
      <c r="GDH91" s="78">
        <f>IFERROR(VLOOKUP(GDG91,'[1]List KPI'!$M$3:$N$8,2,0),"")</f>
        <v>2.0833333333333332E-2</v>
      </c>
      <c r="GDI91" s="76">
        <v>0.89444444444444449</v>
      </c>
      <c r="GDJ91" s="77" t="str">
        <f t="shared" si="142"/>
        <v>O</v>
      </c>
      <c r="GDK91" s="79">
        <v>5</v>
      </c>
      <c r="GDL91" s="75">
        <v>1276006</v>
      </c>
      <c r="GDM91" s="80"/>
      <c r="GDN91" s="81">
        <v>0.86944444444444446</v>
      </c>
      <c r="GDO91" s="74" t="s">
        <v>27</v>
      </c>
      <c r="GDP91" s="74" t="s">
        <v>24</v>
      </c>
      <c r="GDQ91" s="75" t="s">
        <v>25</v>
      </c>
      <c r="GDR91" s="76">
        <f>IFERROR(VLOOKUP(GDQ91,'[1]List KPI'!$A$103:$F$118,6,0),"")</f>
        <v>1.0416666666666666E-2</v>
      </c>
      <c r="GDS91" s="76">
        <v>0.86944444444444446</v>
      </c>
      <c r="GDT91" s="76">
        <v>0.86944444444444446</v>
      </c>
      <c r="GDU91" s="77" t="str">
        <f t="shared" si="141"/>
        <v>O</v>
      </c>
      <c r="GDV91" s="74" t="s">
        <v>28</v>
      </c>
      <c r="GDW91" s="75" t="s">
        <v>23</v>
      </c>
      <c r="GDX91" s="78">
        <f>IFERROR(VLOOKUP(GDW91,'[1]List KPI'!$M$3:$N$8,2,0),"")</f>
        <v>2.0833333333333332E-2</v>
      </c>
      <c r="GDY91" s="76">
        <v>0.89444444444444449</v>
      </c>
      <c r="GDZ91" s="77" t="str">
        <f t="shared" si="142"/>
        <v>O</v>
      </c>
      <c r="GEA91" s="79">
        <v>5</v>
      </c>
      <c r="GEB91" s="75">
        <v>1276006</v>
      </c>
      <c r="GEC91" s="80"/>
      <c r="GED91" s="81">
        <v>0.86944444444444446</v>
      </c>
      <c r="GEE91" s="74" t="s">
        <v>27</v>
      </c>
      <c r="GEF91" s="74" t="s">
        <v>24</v>
      </c>
      <c r="GEG91" s="75" t="s">
        <v>25</v>
      </c>
      <c r="GEH91" s="76">
        <f>IFERROR(VLOOKUP(GEG91,'[1]List KPI'!$A$103:$F$118,6,0),"")</f>
        <v>1.0416666666666666E-2</v>
      </c>
      <c r="GEI91" s="76">
        <v>0.86944444444444446</v>
      </c>
      <c r="GEJ91" s="76">
        <v>0.86944444444444446</v>
      </c>
      <c r="GEK91" s="77" t="str">
        <f t="shared" ref="GEK91:GGG91" si="143">IF(GEJ91="","",IF(GEJ91&gt;GES91,"O","P"))</f>
        <v>O</v>
      </c>
      <c r="GEL91" s="74" t="s">
        <v>28</v>
      </c>
      <c r="GEM91" s="75" t="s">
        <v>23</v>
      </c>
      <c r="GEN91" s="78">
        <f>IFERROR(VLOOKUP(GEM91,'[1]List KPI'!$M$3:$N$8,2,0),"")</f>
        <v>2.0833333333333332E-2</v>
      </c>
      <c r="GEO91" s="76">
        <v>0.89444444444444449</v>
      </c>
      <c r="GEP91" s="77" t="str">
        <f t="shared" ref="GEP91:GGL91" si="144">IF(GEO91="","",IF(GEO91&gt;GET91,"O","P"))</f>
        <v>O</v>
      </c>
      <c r="GEQ91" s="79">
        <v>5</v>
      </c>
      <c r="GER91" s="75">
        <v>1276006</v>
      </c>
      <c r="GES91" s="80"/>
      <c r="GET91" s="81">
        <v>0.86944444444444446</v>
      </c>
      <c r="GEU91" s="74" t="s">
        <v>27</v>
      </c>
      <c r="GEV91" s="74" t="s">
        <v>24</v>
      </c>
      <c r="GEW91" s="75" t="s">
        <v>25</v>
      </c>
      <c r="GEX91" s="76">
        <f>IFERROR(VLOOKUP(GEW91,'[1]List KPI'!$A$103:$F$118,6,0),"")</f>
        <v>1.0416666666666666E-2</v>
      </c>
      <c r="GEY91" s="76">
        <v>0.86944444444444446</v>
      </c>
      <c r="GEZ91" s="76">
        <v>0.86944444444444446</v>
      </c>
      <c r="GFA91" s="77" t="str">
        <f t="shared" si="143"/>
        <v>O</v>
      </c>
      <c r="GFB91" s="74" t="s">
        <v>28</v>
      </c>
      <c r="GFC91" s="75" t="s">
        <v>23</v>
      </c>
      <c r="GFD91" s="78">
        <f>IFERROR(VLOOKUP(GFC91,'[1]List KPI'!$M$3:$N$8,2,0),"")</f>
        <v>2.0833333333333332E-2</v>
      </c>
      <c r="GFE91" s="76">
        <v>0.89444444444444449</v>
      </c>
      <c r="GFF91" s="77" t="str">
        <f t="shared" si="144"/>
        <v>O</v>
      </c>
      <c r="GFG91" s="79">
        <v>5</v>
      </c>
      <c r="GFH91" s="75">
        <v>1276006</v>
      </c>
      <c r="GFI91" s="80"/>
      <c r="GFJ91" s="81">
        <v>0.86944444444444446</v>
      </c>
      <c r="GFK91" s="74" t="s">
        <v>27</v>
      </c>
      <c r="GFL91" s="74" t="s">
        <v>24</v>
      </c>
      <c r="GFM91" s="75" t="s">
        <v>25</v>
      </c>
      <c r="GFN91" s="76">
        <f>IFERROR(VLOOKUP(GFM91,'[1]List KPI'!$A$103:$F$118,6,0),"")</f>
        <v>1.0416666666666666E-2</v>
      </c>
      <c r="GFO91" s="76">
        <v>0.86944444444444446</v>
      </c>
      <c r="GFP91" s="76">
        <v>0.86944444444444446</v>
      </c>
      <c r="GFQ91" s="77" t="str">
        <f t="shared" si="143"/>
        <v>O</v>
      </c>
      <c r="GFR91" s="74" t="s">
        <v>28</v>
      </c>
      <c r="GFS91" s="75" t="s">
        <v>23</v>
      </c>
      <c r="GFT91" s="78">
        <f>IFERROR(VLOOKUP(GFS91,'[1]List KPI'!$M$3:$N$8,2,0),"")</f>
        <v>2.0833333333333332E-2</v>
      </c>
      <c r="GFU91" s="76">
        <v>0.89444444444444449</v>
      </c>
      <c r="GFV91" s="77" t="str">
        <f t="shared" si="144"/>
        <v>O</v>
      </c>
      <c r="GFW91" s="79">
        <v>5</v>
      </c>
      <c r="GFX91" s="75">
        <v>1276006</v>
      </c>
      <c r="GFY91" s="80"/>
      <c r="GFZ91" s="81">
        <v>0.86944444444444446</v>
      </c>
      <c r="GGA91" s="74" t="s">
        <v>27</v>
      </c>
      <c r="GGB91" s="74" t="s">
        <v>24</v>
      </c>
      <c r="GGC91" s="75" t="s">
        <v>25</v>
      </c>
      <c r="GGD91" s="76">
        <f>IFERROR(VLOOKUP(GGC91,'[1]List KPI'!$A$103:$F$118,6,0),"")</f>
        <v>1.0416666666666666E-2</v>
      </c>
      <c r="GGE91" s="76">
        <v>0.86944444444444446</v>
      </c>
      <c r="GGF91" s="76">
        <v>0.86944444444444446</v>
      </c>
      <c r="GGG91" s="77" t="str">
        <f t="shared" si="143"/>
        <v>O</v>
      </c>
      <c r="GGH91" s="74" t="s">
        <v>28</v>
      </c>
      <c r="GGI91" s="75" t="s">
        <v>23</v>
      </c>
      <c r="GGJ91" s="78">
        <f>IFERROR(VLOOKUP(GGI91,'[1]List KPI'!$M$3:$N$8,2,0),"")</f>
        <v>2.0833333333333332E-2</v>
      </c>
      <c r="GGK91" s="76">
        <v>0.89444444444444449</v>
      </c>
      <c r="GGL91" s="77" t="str">
        <f t="shared" si="144"/>
        <v>O</v>
      </c>
      <c r="GGM91" s="79">
        <v>5</v>
      </c>
      <c r="GGN91" s="75">
        <v>1276006</v>
      </c>
      <c r="GGO91" s="80"/>
      <c r="GGP91" s="81">
        <v>0.86944444444444446</v>
      </c>
      <c r="GGQ91" s="74" t="s">
        <v>27</v>
      </c>
      <c r="GGR91" s="74" t="s">
        <v>24</v>
      </c>
      <c r="GGS91" s="75" t="s">
        <v>25</v>
      </c>
      <c r="GGT91" s="76">
        <f>IFERROR(VLOOKUP(GGS91,'[1]List KPI'!$A$103:$F$118,6,0),"")</f>
        <v>1.0416666666666666E-2</v>
      </c>
      <c r="GGU91" s="76">
        <v>0.86944444444444446</v>
      </c>
      <c r="GGV91" s="76">
        <v>0.86944444444444446</v>
      </c>
      <c r="GGW91" s="77" t="str">
        <f t="shared" ref="GGW91:GIS91" si="145">IF(GGV91="","",IF(GGV91&gt;GHE91,"O","P"))</f>
        <v>O</v>
      </c>
      <c r="GGX91" s="74" t="s">
        <v>28</v>
      </c>
      <c r="GGY91" s="75" t="s">
        <v>23</v>
      </c>
      <c r="GGZ91" s="78">
        <f>IFERROR(VLOOKUP(GGY91,'[1]List KPI'!$M$3:$N$8,2,0),"")</f>
        <v>2.0833333333333332E-2</v>
      </c>
      <c r="GHA91" s="76">
        <v>0.89444444444444449</v>
      </c>
      <c r="GHB91" s="77" t="str">
        <f t="shared" ref="GHB91:GIX91" si="146">IF(GHA91="","",IF(GHA91&gt;GHF91,"O","P"))</f>
        <v>O</v>
      </c>
      <c r="GHC91" s="79">
        <v>5</v>
      </c>
      <c r="GHD91" s="75">
        <v>1276006</v>
      </c>
      <c r="GHE91" s="80"/>
      <c r="GHF91" s="81">
        <v>0.86944444444444446</v>
      </c>
      <c r="GHG91" s="74" t="s">
        <v>27</v>
      </c>
      <c r="GHH91" s="74" t="s">
        <v>24</v>
      </c>
      <c r="GHI91" s="75" t="s">
        <v>25</v>
      </c>
      <c r="GHJ91" s="76">
        <f>IFERROR(VLOOKUP(GHI91,'[1]List KPI'!$A$103:$F$118,6,0),"")</f>
        <v>1.0416666666666666E-2</v>
      </c>
      <c r="GHK91" s="76">
        <v>0.86944444444444446</v>
      </c>
      <c r="GHL91" s="76">
        <v>0.86944444444444446</v>
      </c>
      <c r="GHM91" s="77" t="str">
        <f t="shared" si="145"/>
        <v>O</v>
      </c>
      <c r="GHN91" s="74" t="s">
        <v>28</v>
      </c>
      <c r="GHO91" s="75" t="s">
        <v>23</v>
      </c>
      <c r="GHP91" s="78">
        <f>IFERROR(VLOOKUP(GHO91,'[1]List KPI'!$M$3:$N$8,2,0),"")</f>
        <v>2.0833333333333332E-2</v>
      </c>
      <c r="GHQ91" s="76">
        <v>0.89444444444444449</v>
      </c>
      <c r="GHR91" s="77" t="str">
        <f t="shared" si="146"/>
        <v>O</v>
      </c>
      <c r="GHS91" s="79">
        <v>5</v>
      </c>
      <c r="GHT91" s="75">
        <v>1276006</v>
      </c>
      <c r="GHU91" s="80"/>
      <c r="GHV91" s="81">
        <v>0.86944444444444446</v>
      </c>
      <c r="GHW91" s="74" t="s">
        <v>27</v>
      </c>
      <c r="GHX91" s="74" t="s">
        <v>24</v>
      </c>
      <c r="GHY91" s="75" t="s">
        <v>25</v>
      </c>
      <c r="GHZ91" s="76">
        <f>IFERROR(VLOOKUP(GHY91,'[1]List KPI'!$A$103:$F$118,6,0),"")</f>
        <v>1.0416666666666666E-2</v>
      </c>
      <c r="GIA91" s="76">
        <v>0.86944444444444446</v>
      </c>
      <c r="GIB91" s="76">
        <v>0.86944444444444446</v>
      </c>
      <c r="GIC91" s="77" t="str">
        <f t="shared" si="145"/>
        <v>O</v>
      </c>
      <c r="GID91" s="74" t="s">
        <v>28</v>
      </c>
      <c r="GIE91" s="75" t="s">
        <v>23</v>
      </c>
      <c r="GIF91" s="78">
        <f>IFERROR(VLOOKUP(GIE91,'[1]List KPI'!$M$3:$N$8,2,0),"")</f>
        <v>2.0833333333333332E-2</v>
      </c>
      <c r="GIG91" s="76">
        <v>0.89444444444444449</v>
      </c>
      <c r="GIH91" s="77" t="str">
        <f t="shared" si="146"/>
        <v>O</v>
      </c>
      <c r="GII91" s="79">
        <v>5</v>
      </c>
      <c r="GIJ91" s="75">
        <v>1276006</v>
      </c>
      <c r="GIK91" s="80"/>
      <c r="GIL91" s="81">
        <v>0.86944444444444446</v>
      </c>
      <c r="GIM91" s="74" t="s">
        <v>27</v>
      </c>
      <c r="GIN91" s="74" t="s">
        <v>24</v>
      </c>
      <c r="GIO91" s="75" t="s">
        <v>25</v>
      </c>
      <c r="GIP91" s="76">
        <f>IFERROR(VLOOKUP(GIO91,'[1]List KPI'!$A$103:$F$118,6,0),"")</f>
        <v>1.0416666666666666E-2</v>
      </c>
      <c r="GIQ91" s="76">
        <v>0.86944444444444446</v>
      </c>
      <c r="GIR91" s="76">
        <v>0.86944444444444446</v>
      </c>
      <c r="GIS91" s="77" t="str">
        <f t="shared" si="145"/>
        <v>O</v>
      </c>
      <c r="GIT91" s="74" t="s">
        <v>28</v>
      </c>
      <c r="GIU91" s="75" t="s">
        <v>23</v>
      </c>
      <c r="GIV91" s="78">
        <f>IFERROR(VLOOKUP(GIU91,'[1]List KPI'!$M$3:$N$8,2,0),"")</f>
        <v>2.0833333333333332E-2</v>
      </c>
      <c r="GIW91" s="76">
        <v>0.89444444444444449</v>
      </c>
      <c r="GIX91" s="77" t="str">
        <f t="shared" si="146"/>
        <v>O</v>
      </c>
      <c r="GIY91" s="79">
        <v>5</v>
      </c>
      <c r="GIZ91" s="75">
        <v>1276006</v>
      </c>
      <c r="GJA91" s="80"/>
      <c r="GJB91" s="81">
        <v>0.86944444444444446</v>
      </c>
      <c r="GJC91" s="74" t="s">
        <v>27</v>
      </c>
      <c r="GJD91" s="74" t="s">
        <v>24</v>
      </c>
      <c r="GJE91" s="75" t="s">
        <v>25</v>
      </c>
      <c r="GJF91" s="76">
        <f>IFERROR(VLOOKUP(GJE91,'[1]List KPI'!$A$103:$F$118,6,0),"")</f>
        <v>1.0416666666666666E-2</v>
      </c>
      <c r="GJG91" s="76">
        <v>0.86944444444444446</v>
      </c>
      <c r="GJH91" s="76">
        <v>0.86944444444444446</v>
      </c>
      <c r="GJI91" s="77" t="str">
        <f t="shared" ref="GJI91:GLE91" si="147">IF(GJH91="","",IF(GJH91&gt;GJQ91,"O","P"))</f>
        <v>O</v>
      </c>
      <c r="GJJ91" s="74" t="s">
        <v>28</v>
      </c>
      <c r="GJK91" s="75" t="s">
        <v>23</v>
      </c>
      <c r="GJL91" s="78">
        <f>IFERROR(VLOOKUP(GJK91,'[1]List KPI'!$M$3:$N$8,2,0),"")</f>
        <v>2.0833333333333332E-2</v>
      </c>
      <c r="GJM91" s="76">
        <v>0.89444444444444449</v>
      </c>
      <c r="GJN91" s="77" t="str">
        <f t="shared" ref="GJN91:GLJ91" si="148">IF(GJM91="","",IF(GJM91&gt;GJR91,"O","P"))</f>
        <v>O</v>
      </c>
      <c r="GJO91" s="79">
        <v>5</v>
      </c>
      <c r="GJP91" s="75">
        <v>1276006</v>
      </c>
      <c r="GJQ91" s="80"/>
      <c r="GJR91" s="81">
        <v>0.86944444444444446</v>
      </c>
      <c r="GJS91" s="74" t="s">
        <v>27</v>
      </c>
      <c r="GJT91" s="74" t="s">
        <v>24</v>
      </c>
      <c r="GJU91" s="75" t="s">
        <v>25</v>
      </c>
      <c r="GJV91" s="76">
        <f>IFERROR(VLOOKUP(GJU91,'[1]List KPI'!$A$103:$F$118,6,0),"")</f>
        <v>1.0416666666666666E-2</v>
      </c>
      <c r="GJW91" s="76">
        <v>0.86944444444444446</v>
      </c>
      <c r="GJX91" s="76">
        <v>0.86944444444444446</v>
      </c>
      <c r="GJY91" s="77" t="str">
        <f t="shared" si="147"/>
        <v>O</v>
      </c>
      <c r="GJZ91" s="74" t="s">
        <v>28</v>
      </c>
      <c r="GKA91" s="75" t="s">
        <v>23</v>
      </c>
      <c r="GKB91" s="78">
        <f>IFERROR(VLOOKUP(GKA91,'[1]List KPI'!$M$3:$N$8,2,0),"")</f>
        <v>2.0833333333333332E-2</v>
      </c>
      <c r="GKC91" s="76">
        <v>0.89444444444444449</v>
      </c>
      <c r="GKD91" s="77" t="str">
        <f t="shared" si="148"/>
        <v>O</v>
      </c>
      <c r="GKE91" s="79">
        <v>5</v>
      </c>
      <c r="GKF91" s="75">
        <v>1276006</v>
      </c>
      <c r="GKG91" s="80"/>
      <c r="GKH91" s="81">
        <v>0.86944444444444446</v>
      </c>
      <c r="GKI91" s="74" t="s">
        <v>27</v>
      </c>
      <c r="GKJ91" s="74" t="s">
        <v>24</v>
      </c>
      <c r="GKK91" s="75" t="s">
        <v>25</v>
      </c>
      <c r="GKL91" s="76">
        <f>IFERROR(VLOOKUP(GKK91,'[1]List KPI'!$A$103:$F$118,6,0),"")</f>
        <v>1.0416666666666666E-2</v>
      </c>
      <c r="GKM91" s="76">
        <v>0.86944444444444446</v>
      </c>
      <c r="GKN91" s="76">
        <v>0.86944444444444446</v>
      </c>
      <c r="GKO91" s="77" t="str">
        <f t="shared" si="147"/>
        <v>O</v>
      </c>
      <c r="GKP91" s="74" t="s">
        <v>28</v>
      </c>
      <c r="GKQ91" s="75" t="s">
        <v>23</v>
      </c>
      <c r="GKR91" s="78">
        <f>IFERROR(VLOOKUP(GKQ91,'[1]List KPI'!$M$3:$N$8,2,0),"")</f>
        <v>2.0833333333333332E-2</v>
      </c>
      <c r="GKS91" s="76">
        <v>0.89444444444444449</v>
      </c>
      <c r="GKT91" s="77" t="str">
        <f t="shared" si="148"/>
        <v>O</v>
      </c>
      <c r="GKU91" s="79">
        <v>5</v>
      </c>
      <c r="GKV91" s="75">
        <v>1276006</v>
      </c>
      <c r="GKW91" s="80"/>
      <c r="GKX91" s="81">
        <v>0.86944444444444446</v>
      </c>
      <c r="GKY91" s="74" t="s">
        <v>27</v>
      </c>
      <c r="GKZ91" s="74" t="s">
        <v>24</v>
      </c>
      <c r="GLA91" s="75" t="s">
        <v>25</v>
      </c>
      <c r="GLB91" s="76">
        <f>IFERROR(VLOOKUP(GLA91,'[1]List KPI'!$A$103:$F$118,6,0),"")</f>
        <v>1.0416666666666666E-2</v>
      </c>
      <c r="GLC91" s="76">
        <v>0.86944444444444446</v>
      </c>
      <c r="GLD91" s="76">
        <v>0.86944444444444446</v>
      </c>
      <c r="GLE91" s="77" t="str">
        <f t="shared" si="147"/>
        <v>O</v>
      </c>
      <c r="GLF91" s="74" t="s">
        <v>28</v>
      </c>
      <c r="GLG91" s="75" t="s">
        <v>23</v>
      </c>
      <c r="GLH91" s="78">
        <f>IFERROR(VLOOKUP(GLG91,'[1]List KPI'!$M$3:$N$8,2,0),"")</f>
        <v>2.0833333333333332E-2</v>
      </c>
      <c r="GLI91" s="76">
        <v>0.89444444444444449</v>
      </c>
      <c r="GLJ91" s="77" t="str">
        <f t="shared" si="148"/>
        <v>O</v>
      </c>
      <c r="GLK91" s="79">
        <v>5</v>
      </c>
      <c r="GLL91" s="75">
        <v>1276006</v>
      </c>
      <c r="GLM91" s="80"/>
      <c r="GLN91" s="81">
        <v>0.86944444444444446</v>
      </c>
      <c r="GLO91" s="74" t="s">
        <v>27</v>
      </c>
      <c r="GLP91" s="74" t="s">
        <v>24</v>
      </c>
      <c r="GLQ91" s="75" t="s">
        <v>25</v>
      </c>
      <c r="GLR91" s="76">
        <f>IFERROR(VLOOKUP(GLQ91,'[1]List KPI'!$A$103:$F$118,6,0),"")</f>
        <v>1.0416666666666666E-2</v>
      </c>
      <c r="GLS91" s="76">
        <v>0.86944444444444446</v>
      </c>
      <c r="GLT91" s="76">
        <v>0.86944444444444446</v>
      </c>
      <c r="GLU91" s="77" t="str">
        <f t="shared" ref="GLU91:GNQ91" si="149">IF(GLT91="","",IF(GLT91&gt;GMC91,"O","P"))</f>
        <v>O</v>
      </c>
      <c r="GLV91" s="74" t="s">
        <v>28</v>
      </c>
      <c r="GLW91" s="75" t="s">
        <v>23</v>
      </c>
      <c r="GLX91" s="78">
        <f>IFERROR(VLOOKUP(GLW91,'[1]List KPI'!$M$3:$N$8,2,0),"")</f>
        <v>2.0833333333333332E-2</v>
      </c>
      <c r="GLY91" s="76">
        <v>0.89444444444444449</v>
      </c>
      <c r="GLZ91" s="77" t="str">
        <f t="shared" ref="GLZ91:GNV91" si="150">IF(GLY91="","",IF(GLY91&gt;GMD91,"O","P"))</f>
        <v>O</v>
      </c>
      <c r="GMA91" s="79">
        <v>5</v>
      </c>
      <c r="GMB91" s="75">
        <v>1276006</v>
      </c>
      <c r="GMC91" s="80"/>
      <c r="GMD91" s="81">
        <v>0.86944444444444446</v>
      </c>
      <c r="GME91" s="74" t="s">
        <v>27</v>
      </c>
      <c r="GMF91" s="74" t="s">
        <v>24</v>
      </c>
      <c r="GMG91" s="75" t="s">
        <v>25</v>
      </c>
      <c r="GMH91" s="76">
        <f>IFERROR(VLOOKUP(GMG91,'[1]List KPI'!$A$103:$F$118,6,0),"")</f>
        <v>1.0416666666666666E-2</v>
      </c>
      <c r="GMI91" s="76">
        <v>0.86944444444444446</v>
      </c>
      <c r="GMJ91" s="76">
        <v>0.86944444444444446</v>
      </c>
      <c r="GMK91" s="77" t="str">
        <f t="shared" si="149"/>
        <v>O</v>
      </c>
      <c r="GML91" s="74" t="s">
        <v>28</v>
      </c>
      <c r="GMM91" s="75" t="s">
        <v>23</v>
      </c>
      <c r="GMN91" s="78">
        <f>IFERROR(VLOOKUP(GMM91,'[1]List KPI'!$M$3:$N$8,2,0),"")</f>
        <v>2.0833333333333332E-2</v>
      </c>
      <c r="GMO91" s="76">
        <v>0.89444444444444449</v>
      </c>
      <c r="GMP91" s="77" t="str">
        <f t="shared" si="150"/>
        <v>O</v>
      </c>
      <c r="GMQ91" s="79">
        <v>5</v>
      </c>
      <c r="GMR91" s="75">
        <v>1276006</v>
      </c>
      <c r="GMS91" s="80"/>
      <c r="GMT91" s="81">
        <v>0.86944444444444446</v>
      </c>
      <c r="GMU91" s="74" t="s">
        <v>27</v>
      </c>
      <c r="GMV91" s="74" t="s">
        <v>24</v>
      </c>
      <c r="GMW91" s="75" t="s">
        <v>25</v>
      </c>
      <c r="GMX91" s="76">
        <f>IFERROR(VLOOKUP(GMW91,'[1]List KPI'!$A$103:$F$118,6,0),"")</f>
        <v>1.0416666666666666E-2</v>
      </c>
      <c r="GMY91" s="76">
        <v>0.86944444444444446</v>
      </c>
      <c r="GMZ91" s="76">
        <v>0.86944444444444446</v>
      </c>
      <c r="GNA91" s="77" t="str">
        <f t="shared" si="149"/>
        <v>O</v>
      </c>
      <c r="GNB91" s="74" t="s">
        <v>28</v>
      </c>
      <c r="GNC91" s="75" t="s">
        <v>23</v>
      </c>
      <c r="GND91" s="78">
        <f>IFERROR(VLOOKUP(GNC91,'[1]List KPI'!$M$3:$N$8,2,0),"")</f>
        <v>2.0833333333333332E-2</v>
      </c>
      <c r="GNE91" s="76">
        <v>0.89444444444444449</v>
      </c>
      <c r="GNF91" s="77" t="str">
        <f t="shared" si="150"/>
        <v>O</v>
      </c>
      <c r="GNG91" s="79">
        <v>5</v>
      </c>
      <c r="GNH91" s="75">
        <v>1276006</v>
      </c>
      <c r="GNI91" s="80"/>
      <c r="GNJ91" s="81">
        <v>0.86944444444444446</v>
      </c>
      <c r="GNK91" s="74" t="s">
        <v>27</v>
      </c>
      <c r="GNL91" s="74" t="s">
        <v>24</v>
      </c>
      <c r="GNM91" s="75" t="s">
        <v>25</v>
      </c>
      <c r="GNN91" s="76">
        <f>IFERROR(VLOOKUP(GNM91,'[1]List KPI'!$A$103:$F$118,6,0),"")</f>
        <v>1.0416666666666666E-2</v>
      </c>
      <c r="GNO91" s="76">
        <v>0.86944444444444446</v>
      </c>
      <c r="GNP91" s="76">
        <v>0.86944444444444446</v>
      </c>
      <c r="GNQ91" s="77" t="str">
        <f t="shared" si="149"/>
        <v>O</v>
      </c>
      <c r="GNR91" s="74" t="s">
        <v>28</v>
      </c>
      <c r="GNS91" s="75" t="s">
        <v>23</v>
      </c>
      <c r="GNT91" s="78">
        <f>IFERROR(VLOOKUP(GNS91,'[1]List KPI'!$M$3:$N$8,2,0),"")</f>
        <v>2.0833333333333332E-2</v>
      </c>
      <c r="GNU91" s="76">
        <v>0.89444444444444449</v>
      </c>
      <c r="GNV91" s="77" t="str">
        <f t="shared" si="150"/>
        <v>O</v>
      </c>
      <c r="GNW91" s="79">
        <v>5</v>
      </c>
      <c r="GNX91" s="75">
        <v>1276006</v>
      </c>
      <c r="GNY91" s="80"/>
      <c r="GNZ91" s="81">
        <v>0.86944444444444446</v>
      </c>
      <c r="GOA91" s="74" t="s">
        <v>27</v>
      </c>
      <c r="GOB91" s="74" t="s">
        <v>24</v>
      </c>
      <c r="GOC91" s="75" t="s">
        <v>25</v>
      </c>
      <c r="GOD91" s="76">
        <f>IFERROR(VLOOKUP(GOC91,'[1]List KPI'!$A$103:$F$118,6,0),"")</f>
        <v>1.0416666666666666E-2</v>
      </c>
      <c r="GOE91" s="76">
        <v>0.86944444444444446</v>
      </c>
      <c r="GOF91" s="76">
        <v>0.86944444444444446</v>
      </c>
      <c r="GOG91" s="77" t="str">
        <f t="shared" ref="GOG91:GQC91" si="151">IF(GOF91="","",IF(GOF91&gt;GOO91,"O","P"))</f>
        <v>O</v>
      </c>
      <c r="GOH91" s="74" t="s">
        <v>28</v>
      </c>
      <c r="GOI91" s="75" t="s">
        <v>23</v>
      </c>
      <c r="GOJ91" s="78">
        <f>IFERROR(VLOOKUP(GOI91,'[1]List KPI'!$M$3:$N$8,2,0),"")</f>
        <v>2.0833333333333332E-2</v>
      </c>
      <c r="GOK91" s="76">
        <v>0.89444444444444449</v>
      </c>
      <c r="GOL91" s="77" t="str">
        <f t="shared" ref="GOL91:GQH91" si="152">IF(GOK91="","",IF(GOK91&gt;GOP91,"O","P"))</f>
        <v>O</v>
      </c>
      <c r="GOM91" s="79">
        <v>5</v>
      </c>
      <c r="GON91" s="75">
        <v>1276006</v>
      </c>
      <c r="GOO91" s="80"/>
      <c r="GOP91" s="81">
        <v>0.86944444444444446</v>
      </c>
      <c r="GOQ91" s="74" t="s">
        <v>27</v>
      </c>
      <c r="GOR91" s="74" t="s">
        <v>24</v>
      </c>
      <c r="GOS91" s="75" t="s">
        <v>25</v>
      </c>
      <c r="GOT91" s="76">
        <f>IFERROR(VLOOKUP(GOS91,'[1]List KPI'!$A$103:$F$118,6,0),"")</f>
        <v>1.0416666666666666E-2</v>
      </c>
      <c r="GOU91" s="76">
        <v>0.86944444444444446</v>
      </c>
      <c r="GOV91" s="76">
        <v>0.86944444444444446</v>
      </c>
      <c r="GOW91" s="77" t="str">
        <f t="shared" si="151"/>
        <v>O</v>
      </c>
      <c r="GOX91" s="74" t="s">
        <v>28</v>
      </c>
      <c r="GOY91" s="75" t="s">
        <v>23</v>
      </c>
      <c r="GOZ91" s="78">
        <f>IFERROR(VLOOKUP(GOY91,'[1]List KPI'!$M$3:$N$8,2,0),"")</f>
        <v>2.0833333333333332E-2</v>
      </c>
      <c r="GPA91" s="76">
        <v>0.89444444444444449</v>
      </c>
      <c r="GPB91" s="77" t="str">
        <f t="shared" si="152"/>
        <v>O</v>
      </c>
      <c r="GPC91" s="79">
        <v>5</v>
      </c>
      <c r="GPD91" s="75">
        <v>1276006</v>
      </c>
      <c r="GPE91" s="80"/>
      <c r="GPF91" s="81">
        <v>0.86944444444444446</v>
      </c>
      <c r="GPG91" s="74" t="s">
        <v>27</v>
      </c>
      <c r="GPH91" s="74" t="s">
        <v>24</v>
      </c>
      <c r="GPI91" s="75" t="s">
        <v>25</v>
      </c>
      <c r="GPJ91" s="76">
        <f>IFERROR(VLOOKUP(GPI91,'[1]List KPI'!$A$103:$F$118,6,0),"")</f>
        <v>1.0416666666666666E-2</v>
      </c>
      <c r="GPK91" s="76">
        <v>0.86944444444444446</v>
      </c>
      <c r="GPL91" s="76">
        <v>0.86944444444444446</v>
      </c>
      <c r="GPM91" s="77" t="str">
        <f t="shared" si="151"/>
        <v>O</v>
      </c>
      <c r="GPN91" s="74" t="s">
        <v>28</v>
      </c>
      <c r="GPO91" s="75" t="s">
        <v>23</v>
      </c>
      <c r="GPP91" s="78">
        <f>IFERROR(VLOOKUP(GPO91,'[1]List KPI'!$M$3:$N$8,2,0),"")</f>
        <v>2.0833333333333332E-2</v>
      </c>
      <c r="GPQ91" s="76">
        <v>0.89444444444444449</v>
      </c>
      <c r="GPR91" s="77" t="str">
        <f t="shared" si="152"/>
        <v>O</v>
      </c>
      <c r="GPS91" s="79">
        <v>5</v>
      </c>
      <c r="GPT91" s="75">
        <v>1276006</v>
      </c>
      <c r="GPU91" s="80"/>
      <c r="GPV91" s="81">
        <v>0.86944444444444446</v>
      </c>
      <c r="GPW91" s="74" t="s">
        <v>27</v>
      </c>
      <c r="GPX91" s="74" t="s">
        <v>24</v>
      </c>
      <c r="GPY91" s="75" t="s">
        <v>25</v>
      </c>
      <c r="GPZ91" s="76">
        <f>IFERROR(VLOOKUP(GPY91,'[1]List KPI'!$A$103:$F$118,6,0),"")</f>
        <v>1.0416666666666666E-2</v>
      </c>
      <c r="GQA91" s="76">
        <v>0.86944444444444446</v>
      </c>
      <c r="GQB91" s="76">
        <v>0.86944444444444446</v>
      </c>
      <c r="GQC91" s="77" t="str">
        <f t="shared" si="151"/>
        <v>O</v>
      </c>
      <c r="GQD91" s="74" t="s">
        <v>28</v>
      </c>
      <c r="GQE91" s="75" t="s">
        <v>23</v>
      </c>
      <c r="GQF91" s="78">
        <f>IFERROR(VLOOKUP(GQE91,'[1]List KPI'!$M$3:$N$8,2,0),"")</f>
        <v>2.0833333333333332E-2</v>
      </c>
      <c r="GQG91" s="76">
        <v>0.89444444444444449</v>
      </c>
      <c r="GQH91" s="77" t="str">
        <f t="shared" si="152"/>
        <v>O</v>
      </c>
      <c r="GQI91" s="79">
        <v>5</v>
      </c>
      <c r="GQJ91" s="75">
        <v>1276006</v>
      </c>
      <c r="GQK91" s="80"/>
      <c r="GQL91" s="81">
        <v>0.86944444444444446</v>
      </c>
      <c r="GQM91" s="74" t="s">
        <v>27</v>
      </c>
      <c r="GQN91" s="74" t="s">
        <v>24</v>
      </c>
      <c r="GQO91" s="75" t="s">
        <v>25</v>
      </c>
      <c r="GQP91" s="76">
        <f>IFERROR(VLOOKUP(GQO91,'[1]List KPI'!$A$103:$F$118,6,0),"")</f>
        <v>1.0416666666666666E-2</v>
      </c>
      <c r="GQQ91" s="76">
        <v>0.86944444444444446</v>
      </c>
      <c r="GQR91" s="76">
        <v>0.86944444444444446</v>
      </c>
      <c r="GQS91" s="77" t="str">
        <f t="shared" ref="GQS91:GSO91" si="153">IF(GQR91="","",IF(GQR91&gt;GRA91,"O","P"))</f>
        <v>O</v>
      </c>
      <c r="GQT91" s="74" t="s">
        <v>28</v>
      </c>
      <c r="GQU91" s="75" t="s">
        <v>23</v>
      </c>
      <c r="GQV91" s="78">
        <f>IFERROR(VLOOKUP(GQU91,'[1]List KPI'!$M$3:$N$8,2,0),"")</f>
        <v>2.0833333333333332E-2</v>
      </c>
      <c r="GQW91" s="76">
        <v>0.89444444444444449</v>
      </c>
      <c r="GQX91" s="77" t="str">
        <f t="shared" ref="GQX91:GST91" si="154">IF(GQW91="","",IF(GQW91&gt;GRB91,"O","P"))</f>
        <v>O</v>
      </c>
      <c r="GQY91" s="79">
        <v>5</v>
      </c>
      <c r="GQZ91" s="75">
        <v>1276006</v>
      </c>
      <c r="GRA91" s="80"/>
      <c r="GRB91" s="81">
        <v>0.86944444444444446</v>
      </c>
      <c r="GRC91" s="74" t="s">
        <v>27</v>
      </c>
      <c r="GRD91" s="74" t="s">
        <v>24</v>
      </c>
      <c r="GRE91" s="75" t="s">
        <v>25</v>
      </c>
      <c r="GRF91" s="76">
        <f>IFERROR(VLOOKUP(GRE91,'[1]List KPI'!$A$103:$F$118,6,0),"")</f>
        <v>1.0416666666666666E-2</v>
      </c>
      <c r="GRG91" s="76">
        <v>0.86944444444444446</v>
      </c>
      <c r="GRH91" s="76">
        <v>0.86944444444444446</v>
      </c>
      <c r="GRI91" s="77" t="str">
        <f t="shared" si="153"/>
        <v>O</v>
      </c>
      <c r="GRJ91" s="74" t="s">
        <v>28</v>
      </c>
      <c r="GRK91" s="75" t="s">
        <v>23</v>
      </c>
      <c r="GRL91" s="78">
        <f>IFERROR(VLOOKUP(GRK91,'[1]List KPI'!$M$3:$N$8,2,0),"")</f>
        <v>2.0833333333333332E-2</v>
      </c>
      <c r="GRM91" s="76">
        <v>0.89444444444444449</v>
      </c>
      <c r="GRN91" s="77" t="str">
        <f t="shared" si="154"/>
        <v>O</v>
      </c>
      <c r="GRO91" s="79">
        <v>5</v>
      </c>
      <c r="GRP91" s="75">
        <v>1276006</v>
      </c>
      <c r="GRQ91" s="80"/>
      <c r="GRR91" s="81">
        <v>0.86944444444444446</v>
      </c>
      <c r="GRS91" s="74" t="s">
        <v>27</v>
      </c>
      <c r="GRT91" s="74" t="s">
        <v>24</v>
      </c>
      <c r="GRU91" s="75" t="s">
        <v>25</v>
      </c>
      <c r="GRV91" s="76">
        <f>IFERROR(VLOOKUP(GRU91,'[1]List KPI'!$A$103:$F$118,6,0),"")</f>
        <v>1.0416666666666666E-2</v>
      </c>
      <c r="GRW91" s="76">
        <v>0.86944444444444446</v>
      </c>
      <c r="GRX91" s="76">
        <v>0.86944444444444446</v>
      </c>
      <c r="GRY91" s="77" t="str">
        <f t="shared" si="153"/>
        <v>O</v>
      </c>
      <c r="GRZ91" s="74" t="s">
        <v>28</v>
      </c>
      <c r="GSA91" s="75" t="s">
        <v>23</v>
      </c>
      <c r="GSB91" s="78">
        <f>IFERROR(VLOOKUP(GSA91,'[1]List KPI'!$M$3:$N$8,2,0),"")</f>
        <v>2.0833333333333332E-2</v>
      </c>
      <c r="GSC91" s="76">
        <v>0.89444444444444449</v>
      </c>
      <c r="GSD91" s="77" t="str">
        <f t="shared" si="154"/>
        <v>O</v>
      </c>
      <c r="GSE91" s="79">
        <v>5</v>
      </c>
      <c r="GSF91" s="75">
        <v>1276006</v>
      </c>
      <c r="GSG91" s="80"/>
      <c r="GSH91" s="81">
        <v>0.86944444444444446</v>
      </c>
      <c r="GSI91" s="74" t="s">
        <v>27</v>
      </c>
      <c r="GSJ91" s="74" t="s">
        <v>24</v>
      </c>
      <c r="GSK91" s="75" t="s">
        <v>25</v>
      </c>
      <c r="GSL91" s="76">
        <f>IFERROR(VLOOKUP(GSK91,'[1]List KPI'!$A$103:$F$118,6,0),"")</f>
        <v>1.0416666666666666E-2</v>
      </c>
      <c r="GSM91" s="76">
        <v>0.86944444444444446</v>
      </c>
      <c r="GSN91" s="76">
        <v>0.86944444444444446</v>
      </c>
      <c r="GSO91" s="77" t="str">
        <f t="shared" si="153"/>
        <v>O</v>
      </c>
      <c r="GSP91" s="74" t="s">
        <v>28</v>
      </c>
      <c r="GSQ91" s="75" t="s">
        <v>23</v>
      </c>
      <c r="GSR91" s="78">
        <f>IFERROR(VLOOKUP(GSQ91,'[1]List KPI'!$M$3:$N$8,2,0),"")</f>
        <v>2.0833333333333332E-2</v>
      </c>
      <c r="GSS91" s="76">
        <v>0.89444444444444449</v>
      </c>
      <c r="GST91" s="77" t="str">
        <f t="shared" si="154"/>
        <v>O</v>
      </c>
      <c r="GSU91" s="79">
        <v>5</v>
      </c>
      <c r="GSV91" s="75">
        <v>1276006</v>
      </c>
      <c r="GSW91" s="80"/>
      <c r="GSX91" s="81">
        <v>0.86944444444444446</v>
      </c>
      <c r="GSY91" s="74" t="s">
        <v>27</v>
      </c>
      <c r="GSZ91" s="74" t="s">
        <v>24</v>
      </c>
      <c r="GTA91" s="75" t="s">
        <v>25</v>
      </c>
      <c r="GTB91" s="76">
        <f>IFERROR(VLOOKUP(GTA91,'[1]List KPI'!$A$103:$F$118,6,0),"")</f>
        <v>1.0416666666666666E-2</v>
      </c>
      <c r="GTC91" s="76">
        <v>0.86944444444444446</v>
      </c>
      <c r="GTD91" s="76">
        <v>0.86944444444444446</v>
      </c>
      <c r="GTE91" s="77" t="str">
        <f t="shared" ref="GTE91:GVA91" si="155">IF(GTD91="","",IF(GTD91&gt;GTM91,"O","P"))</f>
        <v>O</v>
      </c>
      <c r="GTF91" s="74" t="s">
        <v>28</v>
      </c>
      <c r="GTG91" s="75" t="s">
        <v>23</v>
      </c>
      <c r="GTH91" s="78">
        <f>IFERROR(VLOOKUP(GTG91,'[1]List KPI'!$M$3:$N$8,2,0),"")</f>
        <v>2.0833333333333332E-2</v>
      </c>
      <c r="GTI91" s="76">
        <v>0.89444444444444449</v>
      </c>
      <c r="GTJ91" s="77" t="str">
        <f t="shared" ref="GTJ91:GVF91" si="156">IF(GTI91="","",IF(GTI91&gt;GTN91,"O","P"))</f>
        <v>O</v>
      </c>
      <c r="GTK91" s="79">
        <v>5</v>
      </c>
      <c r="GTL91" s="75">
        <v>1276006</v>
      </c>
      <c r="GTM91" s="80"/>
      <c r="GTN91" s="81">
        <v>0.86944444444444446</v>
      </c>
      <c r="GTO91" s="74" t="s">
        <v>27</v>
      </c>
      <c r="GTP91" s="74" t="s">
        <v>24</v>
      </c>
      <c r="GTQ91" s="75" t="s">
        <v>25</v>
      </c>
      <c r="GTR91" s="76">
        <f>IFERROR(VLOOKUP(GTQ91,'[1]List KPI'!$A$103:$F$118,6,0),"")</f>
        <v>1.0416666666666666E-2</v>
      </c>
      <c r="GTS91" s="76">
        <v>0.86944444444444446</v>
      </c>
      <c r="GTT91" s="76">
        <v>0.86944444444444446</v>
      </c>
      <c r="GTU91" s="77" t="str">
        <f t="shared" si="155"/>
        <v>O</v>
      </c>
      <c r="GTV91" s="74" t="s">
        <v>28</v>
      </c>
      <c r="GTW91" s="75" t="s">
        <v>23</v>
      </c>
      <c r="GTX91" s="78">
        <f>IFERROR(VLOOKUP(GTW91,'[1]List KPI'!$M$3:$N$8,2,0),"")</f>
        <v>2.0833333333333332E-2</v>
      </c>
      <c r="GTY91" s="76">
        <v>0.89444444444444449</v>
      </c>
      <c r="GTZ91" s="77" t="str">
        <f t="shared" si="156"/>
        <v>O</v>
      </c>
      <c r="GUA91" s="79">
        <v>5</v>
      </c>
      <c r="GUB91" s="75">
        <v>1276006</v>
      </c>
      <c r="GUC91" s="80"/>
      <c r="GUD91" s="81">
        <v>0.86944444444444446</v>
      </c>
      <c r="GUE91" s="74" t="s">
        <v>27</v>
      </c>
      <c r="GUF91" s="74" t="s">
        <v>24</v>
      </c>
      <c r="GUG91" s="75" t="s">
        <v>25</v>
      </c>
      <c r="GUH91" s="76">
        <f>IFERROR(VLOOKUP(GUG91,'[1]List KPI'!$A$103:$F$118,6,0),"")</f>
        <v>1.0416666666666666E-2</v>
      </c>
      <c r="GUI91" s="76">
        <v>0.86944444444444446</v>
      </c>
      <c r="GUJ91" s="76">
        <v>0.86944444444444446</v>
      </c>
      <c r="GUK91" s="77" t="str">
        <f t="shared" si="155"/>
        <v>O</v>
      </c>
      <c r="GUL91" s="74" t="s">
        <v>28</v>
      </c>
      <c r="GUM91" s="75" t="s">
        <v>23</v>
      </c>
      <c r="GUN91" s="78">
        <f>IFERROR(VLOOKUP(GUM91,'[1]List KPI'!$M$3:$N$8,2,0),"")</f>
        <v>2.0833333333333332E-2</v>
      </c>
      <c r="GUO91" s="76">
        <v>0.89444444444444449</v>
      </c>
      <c r="GUP91" s="77" t="str">
        <f t="shared" si="156"/>
        <v>O</v>
      </c>
      <c r="GUQ91" s="79">
        <v>5</v>
      </c>
      <c r="GUR91" s="75">
        <v>1276006</v>
      </c>
      <c r="GUS91" s="80"/>
      <c r="GUT91" s="81">
        <v>0.86944444444444446</v>
      </c>
      <c r="GUU91" s="74" t="s">
        <v>27</v>
      </c>
      <c r="GUV91" s="74" t="s">
        <v>24</v>
      </c>
      <c r="GUW91" s="75" t="s">
        <v>25</v>
      </c>
      <c r="GUX91" s="76">
        <f>IFERROR(VLOOKUP(GUW91,'[1]List KPI'!$A$103:$F$118,6,0),"")</f>
        <v>1.0416666666666666E-2</v>
      </c>
      <c r="GUY91" s="76">
        <v>0.86944444444444446</v>
      </c>
      <c r="GUZ91" s="76">
        <v>0.86944444444444446</v>
      </c>
      <c r="GVA91" s="77" t="str">
        <f t="shared" si="155"/>
        <v>O</v>
      </c>
      <c r="GVB91" s="74" t="s">
        <v>28</v>
      </c>
      <c r="GVC91" s="75" t="s">
        <v>23</v>
      </c>
      <c r="GVD91" s="78">
        <f>IFERROR(VLOOKUP(GVC91,'[1]List KPI'!$M$3:$N$8,2,0),"")</f>
        <v>2.0833333333333332E-2</v>
      </c>
      <c r="GVE91" s="76">
        <v>0.89444444444444449</v>
      </c>
      <c r="GVF91" s="77" t="str">
        <f t="shared" si="156"/>
        <v>O</v>
      </c>
      <c r="GVG91" s="79">
        <v>5</v>
      </c>
      <c r="GVH91" s="75">
        <v>1276006</v>
      </c>
      <c r="GVI91" s="80"/>
      <c r="GVJ91" s="81">
        <v>0.86944444444444446</v>
      </c>
      <c r="GVK91" s="74" t="s">
        <v>27</v>
      </c>
      <c r="GVL91" s="74" t="s">
        <v>24</v>
      </c>
      <c r="GVM91" s="75" t="s">
        <v>25</v>
      </c>
      <c r="GVN91" s="76">
        <f>IFERROR(VLOOKUP(GVM91,'[1]List KPI'!$A$103:$F$118,6,0),"")</f>
        <v>1.0416666666666666E-2</v>
      </c>
      <c r="GVO91" s="76">
        <v>0.86944444444444446</v>
      </c>
      <c r="GVP91" s="76">
        <v>0.86944444444444446</v>
      </c>
      <c r="GVQ91" s="77" t="str">
        <f t="shared" ref="GVQ91:GXM91" si="157">IF(GVP91="","",IF(GVP91&gt;GVY91,"O","P"))</f>
        <v>O</v>
      </c>
      <c r="GVR91" s="74" t="s">
        <v>28</v>
      </c>
      <c r="GVS91" s="75" t="s">
        <v>23</v>
      </c>
      <c r="GVT91" s="78">
        <f>IFERROR(VLOOKUP(GVS91,'[1]List KPI'!$M$3:$N$8,2,0),"")</f>
        <v>2.0833333333333332E-2</v>
      </c>
      <c r="GVU91" s="76">
        <v>0.89444444444444449</v>
      </c>
      <c r="GVV91" s="77" t="str">
        <f t="shared" ref="GVV91:GXR91" si="158">IF(GVU91="","",IF(GVU91&gt;GVZ91,"O","P"))</f>
        <v>O</v>
      </c>
      <c r="GVW91" s="79">
        <v>5</v>
      </c>
      <c r="GVX91" s="75">
        <v>1276006</v>
      </c>
      <c r="GVY91" s="80"/>
      <c r="GVZ91" s="81">
        <v>0.86944444444444446</v>
      </c>
      <c r="GWA91" s="74" t="s">
        <v>27</v>
      </c>
      <c r="GWB91" s="74" t="s">
        <v>24</v>
      </c>
      <c r="GWC91" s="75" t="s">
        <v>25</v>
      </c>
      <c r="GWD91" s="76">
        <f>IFERROR(VLOOKUP(GWC91,'[1]List KPI'!$A$103:$F$118,6,0),"")</f>
        <v>1.0416666666666666E-2</v>
      </c>
      <c r="GWE91" s="76">
        <v>0.86944444444444446</v>
      </c>
      <c r="GWF91" s="76">
        <v>0.86944444444444446</v>
      </c>
      <c r="GWG91" s="77" t="str">
        <f t="shared" si="157"/>
        <v>O</v>
      </c>
      <c r="GWH91" s="74" t="s">
        <v>28</v>
      </c>
      <c r="GWI91" s="75" t="s">
        <v>23</v>
      </c>
      <c r="GWJ91" s="78">
        <f>IFERROR(VLOOKUP(GWI91,'[1]List KPI'!$M$3:$N$8,2,0),"")</f>
        <v>2.0833333333333332E-2</v>
      </c>
      <c r="GWK91" s="76">
        <v>0.89444444444444449</v>
      </c>
      <c r="GWL91" s="77" t="str">
        <f t="shared" si="158"/>
        <v>O</v>
      </c>
      <c r="GWM91" s="79">
        <v>5</v>
      </c>
      <c r="GWN91" s="75">
        <v>1276006</v>
      </c>
      <c r="GWO91" s="80"/>
      <c r="GWP91" s="81">
        <v>0.86944444444444446</v>
      </c>
      <c r="GWQ91" s="74" t="s">
        <v>27</v>
      </c>
      <c r="GWR91" s="74" t="s">
        <v>24</v>
      </c>
      <c r="GWS91" s="75" t="s">
        <v>25</v>
      </c>
      <c r="GWT91" s="76">
        <f>IFERROR(VLOOKUP(GWS91,'[1]List KPI'!$A$103:$F$118,6,0),"")</f>
        <v>1.0416666666666666E-2</v>
      </c>
      <c r="GWU91" s="76">
        <v>0.86944444444444446</v>
      </c>
      <c r="GWV91" s="76">
        <v>0.86944444444444446</v>
      </c>
      <c r="GWW91" s="77" t="str">
        <f t="shared" si="157"/>
        <v>O</v>
      </c>
      <c r="GWX91" s="74" t="s">
        <v>28</v>
      </c>
      <c r="GWY91" s="75" t="s">
        <v>23</v>
      </c>
      <c r="GWZ91" s="78">
        <f>IFERROR(VLOOKUP(GWY91,'[1]List KPI'!$M$3:$N$8,2,0),"")</f>
        <v>2.0833333333333332E-2</v>
      </c>
      <c r="GXA91" s="76">
        <v>0.89444444444444449</v>
      </c>
      <c r="GXB91" s="77" t="str">
        <f t="shared" si="158"/>
        <v>O</v>
      </c>
      <c r="GXC91" s="79">
        <v>5</v>
      </c>
      <c r="GXD91" s="75">
        <v>1276006</v>
      </c>
      <c r="GXE91" s="80"/>
      <c r="GXF91" s="81">
        <v>0.86944444444444446</v>
      </c>
      <c r="GXG91" s="74" t="s">
        <v>27</v>
      </c>
      <c r="GXH91" s="74" t="s">
        <v>24</v>
      </c>
      <c r="GXI91" s="75" t="s">
        <v>25</v>
      </c>
      <c r="GXJ91" s="76">
        <f>IFERROR(VLOOKUP(GXI91,'[1]List KPI'!$A$103:$F$118,6,0),"")</f>
        <v>1.0416666666666666E-2</v>
      </c>
      <c r="GXK91" s="76">
        <v>0.86944444444444446</v>
      </c>
      <c r="GXL91" s="76">
        <v>0.86944444444444446</v>
      </c>
      <c r="GXM91" s="77" t="str">
        <f t="shared" si="157"/>
        <v>O</v>
      </c>
      <c r="GXN91" s="74" t="s">
        <v>28</v>
      </c>
      <c r="GXO91" s="75" t="s">
        <v>23</v>
      </c>
      <c r="GXP91" s="78">
        <f>IFERROR(VLOOKUP(GXO91,'[1]List KPI'!$M$3:$N$8,2,0),"")</f>
        <v>2.0833333333333332E-2</v>
      </c>
      <c r="GXQ91" s="76">
        <v>0.89444444444444449</v>
      </c>
      <c r="GXR91" s="77" t="str">
        <f t="shared" si="158"/>
        <v>O</v>
      </c>
      <c r="GXS91" s="79">
        <v>5</v>
      </c>
      <c r="GXT91" s="75">
        <v>1276006</v>
      </c>
      <c r="GXU91" s="80"/>
      <c r="GXV91" s="81">
        <v>0.86944444444444446</v>
      </c>
      <c r="GXW91" s="74" t="s">
        <v>27</v>
      </c>
      <c r="GXX91" s="74" t="s">
        <v>24</v>
      </c>
      <c r="GXY91" s="75" t="s">
        <v>25</v>
      </c>
      <c r="GXZ91" s="76">
        <f>IFERROR(VLOOKUP(GXY91,'[1]List KPI'!$A$103:$F$118,6,0),"")</f>
        <v>1.0416666666666666E-2</v>
      </c>
      <c r="GYA91" s="76">
        <v>0.86944444444444446</v>
      </c>
      <c r="GYB91" s="76">
        <v>0.86944444444444446</v>
      </c>
      <c r="GYC91" s="77" t="str">
        <f t="shared" ref="GYC91:GZY91" si="159">IF(GYB91="","",IF(GYB91&gt;GYK91,"O","P"))</f>
        <v>O</v>
      </c>
      <c r="GYD91" s="74" t="s">
        <v>28</v>
      </c>
      <c r="GYE91" s="75" t="s">
        <v>23</v>
      </c>
      <c r="GYF91" s="78">
        <f>IFERROR(VLOOKUP(GYE91,'[1]List KPI'!$M$3:$N$8,2,0),"")</f>
        <v>2.0833333333333332E-2</v>
      </c>
      <c r="GYG91" s="76">
        <v>0.89444444444444449</v>
      </c>
      <c r="GYH91" s="77" t="str">
        <f t="shared" ref="GYH91:HAD91" si="160">IF(GYG91="","",IF(GYG91&gt;GYL91,"O","P"))</f>
        <v>O</v>
      </c>
      <c r="GYI91" s="79">
        <v>5</v>
      </c>
      <c r="GYJ91" s="75">
        <v>1276006</v>
      </c>
      <c r="GYK91" s="80"/>
      <c r="GYL91" s="81">
        <v>0.86944444444444446</v>
      </c>
      <c r="GYM91" s="74" t="s">
        <v>27</v>
      </c>
      <c r="GYN91" s="74" t="s">
        <v>24</v>
      </c>
      <c r="GYO91" s="75" t="s">
        <v>25</v>
      </c>
      <c r="GYP91" s="76">
        <f>IFERROR(VLOOKUP(GYO91,'[1]List KPI'!$A$103:$F$118,6,0),"")</f>
        <v>1.0416666666666666E-2</v>
      </c>
      <c r="GYQ91" s="76">
        <v>0.86944444444444446</v>
      </c>
      <c r="GYR91" s="76">
        <v>0.86944444444444446</v>
      </c>
      <c r="GYS91" s="77" t="str">
        <f t="shared" si="159"/>
        <v>O</v>
      </c>
      <c r="GYT91" s="74" t="s">
        <v>28</v>
      </c>
      <c r="GYU91" s="75" t="s">
        <v>23</v>
      </c>
      <c r="GYV91" s="78">
        <f>IFERROR(VLOOKUP(GYU91,'[1]List KPI'!$M$3:$N$8,2,0),"")</f>
        <v>2.0833333333333332E-2</v>
      </c>
      <c r="GYW91" s="76">
        <v>0.89444444444444449</v>
      </c>
      <c r="GYX91" s="77" t="str">
        <f t="shared" si="160"/>
        <v>O</v>
      </c>
      <c r="GYY91" s="79">
        <v>5</v>
      </c>
      <c r="GYZ91" s="75">
        <v>1276006</v>
      </c>
      <c r="GZA91" s="80"/>
      <c r="GZB91" s="81">
        <v>0.86944444444444446</v>
      </c>
      <c r="GZC91" s="74" t="s">
        <v>27</v>
      </c>
      <c r="GZD91" s="74" t="s">
        <v>24</v>
      </c>
      <c r="GZE91" s="75" t="s">
        <v>25</v>
      </c>
      <c r="GZF91" s="76">
        <f>IFERROR(VLOOKUP(GZE91,'[1]List KPI'!$A$103:$F$118,6,0),"")</f>
        <v>1.0416666666666666E-2</v>
      </c>
      <c r="GZG91" s="76">
        <v>0.86944444444444446</v>
      </c>
      <c r="GZH91" s="76">
        <v>0.86944444444444446</v>
      </c>
      <c r="GZI91" s="77" t="str">
        <f t="shared" si="159"/>
        <v>O</v>
      </c>
      <c r="GZJ91" s="74" t="s">
        <v>28</v>
      </c>
      <c r="GZK91" s="75" t="s">
        <v>23</v>
      </c>
      <c r="GZL91" s="78">
        <f>IFERROR(VLOOKUP(GZK91,'[1]List KPI'!$M$3:$N$8,2,0),"")</f>
        <v>2.0833333333333332E-2</v>
      </c>
      <c r="GZM91" s="76">
        <v>0.89444444444444449</v>
      </c>
      <c r="GZN91" s="77" t="str">
        <f t="shared" si="160"/>
        <v>O</v>
      </c>
      <c r="GZO91" s="79">
        <v>5</v>
      </c>
      <c r="GZP91" s="75">
        <v>1276006</v>
      </c>
      <c r="GZQ91" s="80"/>
      <c r="GZR91" s="81">
        <v>0.86944444444444446</v>
      </c>
      <c r="GZS91" s="74" t="s">
        <v>27</v>
      </c>
      <c r="GZT91" s="74" t="s">
        <v>24</v>
      </c>
      <c r="GZU91" s="75" t="s">
        <v>25</v>
      </c>
      <c r="GZV91" s="76">
        <f>IFERROR(VLOOKUP(GZU91,'[1]List KPI'!$A$103:$F$118,6,0),"")</f>
        <v>1.0416666666666666E-2</v>
      </c>
      <c r="GZW91" s="76">
        <v>0.86944444444444446</v>
      </c>
      <c r="GZX91" s="76">
        <v>0.86944444444444446</v>
      </c>
      <c r="GZY91" s="77" t="str">
        <f t="shared" si="159"/>
        <v>O</v>
      </c>
      <c r="GZZ91" s="74" t="s">
        <v>28</v>
      </c>
      <c r="HAA91" s="75" t="s">
        <v>23</v>
      </c>
      <c r="HAB91" s="78">
        <f>IFERROR(VLOOKUP(HAA91,'[1]List KPI'!$M$3:$N$8,2,0),"")</f>
        <v>2.0833333333333332E-2</v>
      </c>
      <c r="HAC91" s="76">
        <v>0.89444444444444449</v>
      </c>
      <c r="HAD91" s="77" t="str">
        <f t="shared" si="160"/>
        <v>O</v>
      </c>
      <c r="HAE91" s="79">
        <v>5</v>
      </c>
      <c r="HAF91" s="75">
        <v>1276006</v>
      </c>
      <c r="HAG91" s="80"/>
      <c r="HAH91" s="81">
        <v>0.86944444444444446</v>
      </c>
      <c r="HAI91" s="74" t="s">
        <v>27</v>
      </c>
      <c r="HAJ91" s="74" t="s">
        <v>24</v>
      </c>
      <c r="HAK91" s="75" t="s">
        <v>25</v>
      </c>
      <c r="HAL91" s="76">
        <f>IFERROR(VLOOKUP(HAK91,'[1]List KPI'!$A$103:$F$118,6,0),"")</f>
        <v>1.0416666666666666E-2</v>
      </c>
      <c r="HAM91" s="76">
        <v>0.86944444444444446</v>
      </c>
      <c r="HAN91" s="76">
        <v>0.86944444444444446</v>
      </c>
      <c r="HAO91" s="77" t="str">
        <f t="shared" ref="HAO91:HCK91" si="161">IF(HAN91="","",IF(HAN91&gt;HAW91,"O","P"))</f>
        <v>O</v>
      </c>
      <c r="HAP91" s="74" t="s">
        <v>28</v>
      </c>
      <c r="HAQ91" s="75" t="s">
        <v>23</v>
      </c>
      <c r="HAR91" s="78">
        <f>IFERROR(VLOOKUP(HAQ91,'[1]List KPI'!$M$3:$N$8,2,0),"")</f>
        <v>2.0833333333333332E-2</v>
      </c>
      <c r="HAS91" s="76">
        <v>0.89444444444444449</v>
      </c>
      <c r="HAT91" s="77" t="str">
        <f t="shared" ref="HAT91:HCP91" si="162">IF(HAS91="","",IF(HAS91&gt;HAX91,"O","P"))</f>
        <v>O</v>
      </c>
      <c r="HAU91" s="79">
        <v>5</v>
      </c>
      <c r="HAV91" s="75">
        <v>1276006</v>
      </c>
      <c r="HAW91" s="80"/>
      <c r="HAX91" s="81">
        <v>0.86944444444444446</v>
      </c>
      <c r="HAY91" s="74" t="s">
        <v>27</v>
      </c>
      <c r="HAZ91" s="74" t="s">
        <v>24</v>
      </c>
      <c r="HBA91" s="75" t="s">
        <v>25</v>
      </c>
      <c r="HBB91" s="76">
        <f>IFERROR(VLOOKUP(HBA91,'[1]List KPI'!$A$103:$F$118,6,0),"")</f>
        <v>1.0416666666666666E-2</v>
      </c>
      <c r="HBC91" s="76">
        <v>0.86944444444444446</v>
      </c>
      <c r="HBD91" s="76">
        <v>0.86944444444444446</v>
      </c>
      <c r="HBE91" s="77" t="str">
        <f t="shared" si="161"/>
        <v>O</v>
      </c>
      <c r="HBF91" s="74" t="s">
        <v>28</v>
      </c>
      <c r="HBG91" s="75" t="s">
        <v>23</v>
      </c>
      <c r="HBH91" s="78">
        <f>IFERROR(VLOOKUP(HBG91,'[1]List KPI'!$M$3:$N$8,2,0),"")</f>
        <v>2.0833333333333332E-2</v>
      </c>
      <c r="HBI91" s="76">
        <v>0.89444444444444449</v>
      </c>
      <c r="HBJ91" s="77" t="str">
        <f t="shared" si="162"/>
        <v>O</v>
      </c>
      <c r="HBK91" s="79">
        <v>5</v>
      </c>
      <c r="HBL91" s="75">
        <v>1276006</v>
      </c>
      <c r="HBM91" s="80"/>
      <c r="HBN91" s="81">
        <v>0.86944444444444446</v>
      </c>
      <c r="HBO91" s="74" t="s">
        <v>27</v>
      </c>
      <c r="HBP91" s="74" t="s">
        <v>24</v>
      </c>
      <c r="HBQ91" s="75" t="s">
        <v>25</v>
      </c>
      <c r="HBR91" s="76">
        <f>IFERROR(VLOOKUP(HBQ91,'[1]List KPI'!$A$103:$F$118,6,0),"")</f>
        <v>1.0416666666666666E-2</v>
      </c>
      <c r="HBS91" s="76">
        <v>0.86944444444444446</v>
      </c>
      <c r="HBT91" s="76">
        <v>0.86944444444444446</v>
      </c>
      <c r="HBU91" s="77" t="str">
        <f t="shared" si="161"/>
        <v>O</v>
      </c>
      <c r="HBV91" s="74" t="s">
        <v>28</v>
      </c>
      <c r="HBW91" s="75" t="s">
        <v>23</v>
      </c>
      <c r="HBX91" s="78">
        <f>IFERROR(VLOOKUP(HBW91,'[1]List KPI'!$M$3:$N$8,2,0),"")</f>
        <v>2.0833333333333332E-2</v>
      </c>
      <c r="HBY91" s="76">
        <v>0.89444444444444449</v>
      </c>
      <c r="HBZ91" s="77" t="str">
        <f t="shared" si="162"/>
        <v>O</v>
      </c>
      <c r="HCA91" s="79">
        <v>5</v>
      </c>
      <c r="HCB91" s="75">
        <v>1276006</v>
      </c>
      <c r="HCC91" s="80"/>
      <c r="HCD91" s="81">
        <v>0.86944444444444446</v>
      </c>
      <c r="HCE91" s="74" t="s">
        <v>27</v>
      </c>
      <c r="HCF91" s="74" t="s">
        <v>24</v>
      </c>
      <c r="HCG91" s="75" t="s">
        <v>25</v>
      </c>
      <c r="HCH91" s="76">
        <f>IFERROR(VLOOKUP(HCG91,'[1]List KPI'!$A$103:$F$118,6,0),"")</f>
        <v>1.0416666666666666E-2</v>
      </c>
      <c r="HCI91" s="76">
        <v>0.86944444444444446</v>
      </c>
      <c r="HCJ91" s="76">
        <v>0.86944444444444446</v>
      </c>
      <c r="HCK91" s="77" t="str">
        <f t="shared" si="161"/>
        <v>O</v>
      </c>
      <c r="HCL91" s="74" t="s">
        <v>28</v>
      </c>
      <c r="HCM91" s="75" t="s">
        <v>23</v>
      </c>
      <c r="HCN91" s="78">
        <f>IFERROR(VLOOKUP(HCM91,'[1]List KPI'!$M$3:$N$8,2,0),"")</f>
        <v>2.0833333333333332E-2</v>
      </c>
      <c r="HCO91" s="76">
        <v>0.89444444444444449</v>
      </c>
      <c r="HCP91" s="77" t="str">
        <f t="shared" si="162"/>
        <v>O</v>
      </c>
      <c r="HCQ91" s="79">
        <v>5</v>
      </c>
      <c r="HCR91" s="75">
        <v>1276006</v>
      </c>
      <c r="HCS91" s="80"/>
      <c r="HCT91" s="81">
        <v>0.86944444444444446</v>
      </c>
      <c r="HCU91" s="74" t="s">
        <v>27</v>
      </c>
      <c r="HCV91" s="74" t="s">
        <v>24</v>
      </c>
      <c r="HCW91" s="75" t="s">
        <v>25</v>
      </c>
      <c r="HCX91" s="76">
        <f>IFERROR(VLOOKUP(HCW91,'[1]List KPI'!$A$103:$F$118,6,0),"")</f>
        <v>1.0416666666666666E-2</v>
      </c>
      <c r="HCY91" s="76">
        <v>0.86944444444444446</v>
      </c>
      <c r="HCZ91" s="76">
        <v>0.86944444444444446</v>
      </c>
      <c r="HDA91" s="77" t="str">
        <f t="shared" ref="HDA91:HEW91" si="163">IF(HCZ91="","",IF(HCZ91&gt;HDI91,"O","P"))</f>
        <v>O</v>
      </c>
      <c r="HDB91" s="74" t="s">
        <v>28</v>
      </c>
      <c r="HDC91" s="75" t="s">
        <v>23</v>
      </c>
      <c r="HDD91" s="78">
        <f>IFERROR(VLOOKUP(HDC91,'[1]List KPI'!$M$3:$N$8,2,0),"")</f>
        <v>2.0833333333333332E-2</v>
      </c>
      <c r="HDE91" s="76">
        <v>0.89444444444444449</v>
      </c>
      <c r="HDF91" s="77" t="str">
        <f t="shared" ref="HDF91:HFB91" si="164">IF(HDE91="","",IF(HDE91&gt;HDJ91,"O","P"))</f>
        <v>O</v>
      </c>
      <c r="HDG91" s="79">
        <v>5</v>
      </c>
      <c r="HDH91" s="75">
        <v>1276006</v>
      </c>
      <c r="HDI91" s="80"/>
      <c r="HDJ91" s="81">
        <v>0.86944444444444446</v>
      </c>
      <c r="HDK91" s="74" t="s">
        <v>27</v>
      </c>
      <c r="HDL91" s="74" t="s">
        <v>24</v>
      </c>
      <c r="HDM91" s="75" t="s">
        <v>25</v>
      </c>
      <c r="HDN91" s="76">
        <f>IFERROR(VLOOKUP(HDM91,'[1]List KPI'!$A$103:$F$118,6,0),"")</f>
        <v>1.0416666666666666E-2</v>
      </c>
      <c r="HDO91" s="76">
        <v>0.86944444444444446</v>
      </c>
      <c r="HDP91" s="76">
        <v>0.86944444444444446</v>
      </c>
      <c r="HDQ91" s="77" t="str">
        <f t="shared" si="163"/>
        <v>O</v>
      </c>
      <c r="HDR91" s="74" t="s">
        <v>28</v>
      </c>
      <c r="HDS91" s="75" t="s">
        <v>23</v>
      </c>
      <c r="HDT91" s="78">
        <f>IFERROR(VLOOKUP(HDS91,'[1]List KPI'!$M$3:$N$8,2,0),"")</f>
        <v>2.0833333333333332E-2</v>
      </c>
      <c r="HDU91" s="76">
        <v>0.89444444444444449</v>
      </c>
      <c r="HDV91" s="77" t="str">
        <f t="shared" si="164"/>
        <v>O</v>
      </c>
      <c r="HDW91" s="79">
        <v>5</v>
      </c>
      <c r="HDX91" s="75">
        <v>1276006</v>
      </c>
      <c r="HDY91" s="80"/>
      <c r="HDZ91" s="81">
        <v>0.86944444444444446</v>
      </c>
      <c r="HEA91" s="74" t="s">
        <v>27</v>
      </c>
      <c r="HEB91" s="74" t="s">
        <v>24</v>
      </c>
      <c r="HEC91" s="75" t="s">
        <v>25</v>
      </c>
      <c r="HED91" s="76">
        <f>IFERROR(VLOOKUP(HEC91,'[1]List KPI'!$A$103:$F$118,6,0),"")</f>
        <v>1.0416666666666666E-2</v>
      </c>
      <c r="HEE91" s="76">
        <v>0.86944444444444446</v>
      </c>
      <c r="HEF91" s="76">
        <v>0.86944444444444446</v>
      </c>
      <c r="HEG91" s="77" t="str">
        <f t="shared" si="163"/>
        <v>O</v>
      </c>
      <c r="HEH91" s="74" t="s">
        <v>28</v>
      </c>
      <c r="HEI91" s="75" t="s">
        <v>23</v>
      </c>
      <c r="HEJ91" s="78">
        <f>IFERROR(VLOOKUP(HEI91,'[1]List KPI'!$M$3:$N$8,2,0),"")</f>
        <v>2.0833333333333332E-2</v>
      </c>
      <c r="HEK91" s="76">
        <v>0.89444444444444449</v>
      </c>
      <c r="HEL91" s="77" t="str">
        <f t="shared" si="164"/>
        <v>O</v>
      </c>
      <c r="HEM91" s="79">
        <v>5</v>
      </c>
      <c r="HEN91" s="75">
        <v>1276006</v>
      </c>
      <c r="HEO91" s="80"/>
      <c r="HEP91" s="81">
        <v>0.86944444444444446</v>
      </c>
      <c r="HEQ91" s="74" t="s">
        <v>27</v>
      </c>
      <c r="HER91" s="74" t="s">
        <v>24</v>
      </c>
      <c r="HES91" s="75" t="s">
        <v>25</v>
      </c>
      <c r="HET91" s="76">
        <f>IFERROR(VLOOKUP(HES91,'[1]List KPI'!$A$103:$F$118,6,0),"")</f>
        <v>1.0416666666666666E-2</v>
      </c>
      <c r="HEU91" s="76">
        <v>0.86944444444444446</v>
      </c>
      <c r="HEV91" s="76">
        <v>0.86944444444444446</v>
      </c>
      <c r="HEW91" s="77" t="str">
        <f t="shared" si="163"/>
        <v>O</v>
      </c>
      <c r="HEX91" s="74" t="s">
        <v>28</v>
      </c>
      <c r="HEY91" s="75" t="s">
        <v>23</v>
      </c>
      <c r="HEZ91" s="78">
        <f>IFERROR(VLOOKUP(HEY91,'[1]List KPI'!$M$3:$N$8,2,0),"")</f>
        <v>2.0833333333333332E-2</v>
      </c>
      <c r="HFA91" s="76">
        <v>0.89444444444444449</v>
      </c>
      <c r="HFB91" s="77" t="str">
        <f t="shared" si="164"/>
        <v>O</v>
      </c>
      <c r="HFC91" s="79">
        <v>5</v>
      </c>
      <c r="HFD91" s="75">
        <v>1276006</v>
      </c>
      <c r="HFE91" s="80"/>
      <c r="HFF91" s="81">
        <v>0.86944444444444446</v>
      </c>
      <c r="HFG91" s="74" t="s">
        <v>27</v>
      </c>
      <c r="HFH91" s="74" t="s">
        <v>24</v>
      </c>
      <c r="HFI91" s="75" t="s">
        <v>25</v>
      </c>
      <c r="HFJ91" s="76">
        <f>IFERROR(VLOOKUP(HFI91,'[1]List KPI'!$A$103:$F$118,6,0),"")</f>
        <v>1.0416666666666666E-2</v>
      </c>
      <c r="HFK91" s="76">
        <v>0.86944444444444446</v>
      </c>
      <c r="HFL91" s="76">
        <v>0.86944444444444446</v>
      </c>
      <c r="HFM91" s="77" t="str">
        <f t="shared" ref="HFM91:HHI91" si="165">IF(HFL91="","",IF(HFL91&gt;HFU91,"O","P"))</f>
        <v>O</v>
      </c>
      <c r="HFN91" s="74" t="s">
        <v>28</v>
      </c>
      <c r="HFO91" s="75" t="s">
        <v>23</v>
      </c>
      <c r="HFP91" s="78">
        <f>IFERROR(VLOOKUP(HFO91,'[1]List KPI'!$M$3:$N$8,2,0),"")</f>
        <v>2.0833333333333332E-2</v>
      </c>
      <c r="HFQ91" s="76">
        <v>0.89444444444444449</v>
      </c>
      <c r="HFR91" s="77" t="str">
        <f t="shared" ref="HFR91:HHN91" si="166">IF(HFQ91="","",IF(HFQ91&gt;HFV91,"O","P"))</f>
        <v>O</v>
      </c>
      <c r="HFS91" s="79">
        <v>5</v>
      </c>
      <c r="HFT91" s="75">
        <v>1276006</v>
      </c>
      <c r="HFU91" s="80"/>
      <c r="HFV91" s="81">
        <v>0.86944444444444446</v>
      </c>
      <c r="HFW91" s="74" t="s">
        <v>27</v>
      </c>
      <c r="HFX91" s="74" t="s">
        <v>24</v>
      </c>
      <c r="HFY91" s="75" t="s">
        <v>25</v>
      </c>
      <c r="HFZ91" s="76">
        <f>IFERROR(VLOOKUP(HFY91,'[1]List KPI'!$A$103:$F$118,6,0),"")</f>
        <v>1.0416666666666666E-2</v>
      </c>
      <c r="HGA91" s="76">
        <v>0.86944444444444446</v>
      </c>
      <c r="HGB91" s="76">
        <v>0.86944444444444446</v>
      </c>
      <c r="HGC91" s="77" t="str">
        <f t="shared" si="165"/>
        <v>O</v>
      </c>
      <c r="HGD91" s="74" t="s">
        <v>28</v>
      </c>
      <c r="HGE91" s="75" t="s">
        <v>23</v>
      </c>
      <c r="HGF91" s="78">
        <f>IFERROR(VLOOKUP(HGE91,'[1]List KPI'!$M$3:$N$8,2,0),"")</f>
        <v>2.0833333333333332E-2</v>
      </c>
      <c r="HGG91" s="76">
        <v>0.89444444444444449</v>
      </c>
      <c r="HGH91" s="77" t="str">
        <f t="shared" si="166"/>
        <v>O</v>
      </c>
      <c r="HGI91" s="79">
        <v>5</v>
      </c>
      <c r="HGJ91" s="75">
        <v>1276006</v>
      </c>
      <c r="HGK91" s="80"/>
      <c r="HGL91" s="81">
        <v>0.86944444444444446</v>
      </c>
      <c r="HGM91" s="74" t="s">
        <v>27</v>
      </c>
      <c r="HGN91" s="74" t="s">
        <v>24</v>
      </c>
      <c r="HGO91" s="75" t="s">
        <v>25</v>
      </c>
      <c r="HGP91" s="76">
        <f>IFERROR(VLOOKUP(HGO91,'[1]List KPI'!$A$103:$F$118,6,0),"")</f>
        <v>1.0416666666666666E-2</v>
      </c>
      <c r="HGQ91" s="76">
        <v>0.86944444444444446</v>
      </c>
      <c r="HGR91" s="76">
        <v>0.86944444444444446</v>
      </c>
      <c r="HGS91" s="77" t="str">
        <f t="shared" si="165"/>
        <v>O</v>
      </c>
      <c r="HGT91" s="74" t="s">
        <v>28</v>
      </c>
      <c r="HGU91" s="75" t="s">
        <v>23</v>
      </c>
      <c r="HGV91" s="78">
        <f>IFERROR(VLOOKUP(HGU91,'[1]List KPI'!$M$3:$N$8,2,0),"")</f>
        <v>2.0833333333333332E-2</v>
      </c>
      <c r="HGW91" s="76">
        <v>0.89444444444444449</v>
      </c>
      <c r="HGX91" s="77" t="str">
        <f t="shared" si="166"/>
        <v>O</v>
      </c>
      <c r="HGY91" s="79">
        <v>5</v>
      </c>
      <c r="HGZ91" s="75">
        <v>1276006</v>
      </c>
      <c r="HHA91" s="80"/>
      <c r="HHB91" s="81">
        <v>0.86944444444444446</v>
      </c>
      <c r="HHC91" s="74" t="s">
        <v>27</v>
      </c>
      <c r="HHD91" s="74" t="s">
        <v>24</v>
      </c>
      <c r="HHE91" s="75" t="s">
        <v>25</v>
      </c>
      <c r="HHF91" s="76">
        <f>IFERROR(VLOOKUP(HHE91,'[1]List KPI'!$A$103:$F$118,6,0),"")</f>
        <v>1.0416666666666666E-2</v>
      </c>
      <c r="HHG91" s="76">
        <v>0.86944444444444446</v>
      </c>
      <c r="HHH91" s="76">
        <v>0.86944444444444446</v>
      </c>
      <c r="HHI91" s="77" t="str">
        <f t="shared" si="165"/>
        <v>O</v>
      </c>
      <c r="HHJ91" s="74" t="s">
        <v>28</v>
      </c>
      <c r="HHK91" s="75" t="s">
        <v>23</v>
      </c>
      <c r="HHL91" s="78">
        <f>IFERROR(VLOOKUP(HHK91,'[1]List KPI'!$M$3:$N$8,2,0),"")</f>
        <v>2.0833333333333332E-2</v>
      </c>
      <c r="HHM91" s="76">
        <v>0.89444444444444449</v>
      </c>
      <c r="HHN91" s="77" t="str">
        <f t="shared" si="166"/>
        <v>O</v>
      </c>
      <c r="HHO91" s="79">
        <v>5</v>
      </c>
      <c r="HHP91" s="75">
        <v>1276006</v>
      </c>
      <c r="HHQ91" s="80"/>
      <c r="HHR91" s="81">
        <v>0.86944444444444446</v>
      </c>
      <c r="HHS91" s="74" t="s">
        <v>27</v>
      </c>
      <c r="HHT91" s="74" t="s">
        <v>24</v>
      </c>
      <c r="HHU91" s="75" t="s">
        <v>25</v>
      </c>
      <c r="HHV91" s="76">
        <f>IFERROR(VLOOKUP(HHU91,'[1]List KPI'!$A$103:$F$118,6,0),"")</f>
        <v>1.0416666666666666E-2</v>
      </c>
      <c r="HHW91" s="76">
        <v>0.86944444444444446</v>
      </c>
      <c r="HHX91" s="76">
        <v>0.86944444444444446</v>
      </c>
      <c r="HHY91" s="77" t="str">
        <f t="shared" ref="HHY91:HJU91" si="167">IF(HHX91="","",IF(HHX91&gt;HIG91,"O","P"))</f>
        <v>O</v>
      </c>
      <c r="HHZ91" s="74" t="s">
        <v>28</v>
      </c>
      <c r="HIA91" s="75" t="s">
        <v>23</v>
      </c>
      <c r="HIB91" s="78">
        <f>IFERROR(VLOOKUP(HIA91,'[1]List KPI'!$M$3:$N$8,2,0),"")</f>
        <v>2.0833333333333332E-2</v>
      </c>
      <c r="HIC91" s="76">
        <v>0.89444444444444449</v>
      </c>
      <c r="HID91" s="77" t="str">
        <f t="shared" ref="HID91:HJZ91" si="168">IF(HIC91="","",IF(HIC91&gt;HIH91,"O","P"))</f>
        <v>O</v>
      </c>
      <c r="HIE91" s="79">
        <v>5</v>
      </c>
      <c r="HIF91" s="75">
        <v>1276006</v>
      </c>
      <c r="HIG91" s="80"/>
      <c r="HIH91" s="81">
        <v>0.86944444444444446</v>
      </c>
      <c r="HII91" s="74" t="s">
        <v>27</v>
      </c>
      <c r="HIJ91" s="74" t="s">
        <v>24</v>
      </c>
      <c r="HIK91" s="75" t="s">
        <v>25</v>
      </c>
      <c r="HIL91" s="76">
        <f>IFERROR(VLOOKUP(HIK91,'[1]List KPI'!$A$103:$F$118,6,0),"")</f>
        <v>1.0416666666666666E-2</v>
      </c>
      <c r="HIM91" s="76">
        <v>0.86944444444444446</v>
      </c>
      <c r="HIN91" s="76">
        <v>0.86944444444444446</v>
      </c>
      <c r="HIO91" s="77" t="str">
        <f t="shared" si="167"/>
        <v>O</v>
      </c>
      <c r="HIP91" s="74" t="s">
        <v>28</v>
      </c>
      <c r="HIQ91" s="75" t="s">
        <v>23</v>
      </c>
      <c r="HIR91" s="78">
        <f>IFERROR(VLOOKUP(HIQ91,'[1]List KPI'!$M$3:$N$8,2,0),"")</f>
        <v>2.0833333333333332E-2</v>
      </c>
      <c r="HIS91" s="76">
        <v>0.89444444444444449</v>
      </c>
      <c r="HIT91" s="77" t="str">
        <f t="shared" si="168"/>
        <v>O</v>
      </c>
      <c r="HIU91" s="79">
        <v>5</v>
      </c>
      <c r="HIV91" s="75">
        <v>1276006</v>
      </c>
      <c r="HIW91" s="80"/>
      <c r="HIX91" s="81">
        <v>0.86944444444444446</v>
      </c>
      <c r="HIY91" s="74" t="s">
        <v>27</v>
      </c>
      <c r="HIZ91" s="74" t="s">
        <v>24</v>
      </c>
      <c r="HJA91" s="75" t="s">
        <v>25</v>
      </c>
      <c r="HJB91" s="76">
        <f>IFERROR(VLOOKUP(HJA91,'[1]List KPI'!$A$103:$F$118,6,0),"")</f>
        <v>1.0416666666666666E-2</v>
      </c>
      <c r="HJC91" s="76">
        <v>0.86944444444444446</v>
      </c>
      <c r="HJD91" s="76">
        <v>0.86944444444444446</v>
      </c>
      <c r="HJE91" s="77" t="str">
        <f t="shared" si="167"/>
        <v>O</v>
      </c>
      <c r="HJF91" s="74" t="s">
        <v>28</v>
      </c>
      <c r="HJG91" s="75" t="s">
        <v>23</v>
      </c>
      <c r="HJH91" s="78">
        <f>IFERROR(VLOOKUP(HJG91,'[1]List KPI'!$M$3:$N$8,2,0),"")</f>
        <v>2.0833333333333332E-2</v>
      </c>
      <c r="HJI91" s="76">
        <v>0.89444444444444449</v>
      </c>
      <c r="HJJ91" s="77" t="str">
        <f t="shared" si="168"/>
        <v>O</v>
      </c>
      <c r="HJK91" s="79">
        <v>5</v>
      </c>
      <c r="HJL91" s="75">
        <v>1276006</v>
      </c>
      <c r="HJM91" s="80"/>
      <c r="HJN91" s="81">
        <v>0.86944444444444446</v>
      </c>
      <c r="HJO91" s="74" t="s">
        <v>27</v>
      </c>
      <c r="HJP91" s="74" t="s">
        <v>24</v>
      </c>
      <c r="HJQ91" s="75" t="s">
        <v>25</v>
      </c>
      <c r="HJR91" s="76">
        <f>IFERROR(VLOOKUP(HJQ91,'[1]List KPI'!$A$103:$F$118,6,0),"")</f>
        <v>1.0416666666666666E-2</v>
      </c>
      <c r="HJS91" s="76">
        <v>0.86944444444444446</v>
      </c>
      <c r="HJT91" s="76">
        <v>0.86944444444444446</v>
      </c>
      <c r="HJU91" s="77" t="str">
        <f t="shared" si="167"/>
        <v>O</v>
      </c>
      <c r="HJV91" s="74" t="s">
        <v>28</v>
      </c>
      <c r="HJW91" s="75" t="s">
        <v>23</v>
      </c>
      <c r="HJX91" s="78">
        <f>IFERROR(VLOOKUP(HJW91,'[1]List KPI'!$M$3:$N$8,2,0),"")</f>
        <v>2.0833333333333332E-2</v>
      </c>
      <c r="HJY91" s="76">
        <v>0.89444444444444449</v>
      </c>
      <c r="HJZ91" s="77" t="str">
        <f t="shared" si="168"/>
        <v>O</v>
      </c>
      <c r="HKA91" s="79">
        <v>5</v>
      </c>
      <c r="HKB91" s="75">
        <v>1276006</v>
      </c>
      <c r="HKC91" s="80"/>
      <c r="HKD91" s="81">
        <v>0.86944444444444446</v>
      </c>
      <c r="HKE91" s="74" t="s">
        <v>27</v>
      </c>
      <c r="HKF91" s="74" t="s">
        <v>24</v>
      </c>
      <c r="HKG91" s="75" t="s">
        <v>25</v>
      </c>
      <c r="HKH91" s="76">
        <f>IFERROR(VLOOKUP(HKG91,'[1]List KPI'!$A$103:$F$118,6,0),"")</f>
        <v>1.0416666666666666E-2</v>
      </c>
      <c r="HKI91" s="76">
        <v>0.86944444444444446</v>
      </c>
      <c r="HKJ91" s="76">
        <v>0.86944444444444446</v>
      </c>
      <c r="HKK91" s="77" t="str">
        <f t="shared" ref="HKK91:HMG91" si="169">IF(HKJ91="","",IF(HKJ91&gt;HKS91,"O","P"))</f>
        <v>O</v>
      </c>
      <c r="HKL91" s="74" t="s">
        <v>28</v>
      </c>
      <c r="HKM91" s="75" t="s">
        <v>23</v>
      </c>
      <c r="HKN91" s="78">
        <f>IFERROR(VLOOKUP(HKM91,'[1]List KPI'!$M$3:$N$8,2,0),"")</f>
        <v>2.0833333333333332E-2</v>
      </c>
      <c r="HKO91" s="76">
        <v>0.89444444444444449</v>
      </c>
      <c r="HKP91" s="77" t="str">
        <f t="shared" ref="HKP91:HML91" si="170">IF(HKO91="","",IF(HKO91&gt;HKT91,"O","P"))</f>
        <v>O</v>
      </c>
      <c r="HKQ91" s="79">
        <v>5</v>
      </c>
      <c r="HKR91" s="75">
        <v>1276006</v>
      </c>
      <c r="HKS91" s="80"/>
      <c r="HKT91" s="81">
        <v>0.86944444444444446</v>
      </c>
      <c r="HKU91" s="74" t="s">
        <v>27</v>
      </c>
      <c r="HKV91" s="74" t="s">
        <v>24</v>
      </c>
      <c r="HKW91" s="75" t="s">
        <v>25</v>
      </c>
      <c r="HKX91" s="76">
        <f>IFERROR(VLOOKUP(HKW91,'[1]List KPI'!$A$103:$F$118,6,0),"")</f>
        <v>1.0416666666666666E-2</v>
      </c>
      <c r="HKY91" s="76">
        <v>0.86944444444444446</v>
      </c>
      <c r="HKZ91" s="76">
        <v>0.86944444444444446</v>
      </c>
      <c r="HLA91" s="77" t="str">
        <f t="shared" si="169"/>
        <v>O</v>
      </c>
      <c r="HLB91" s="74" t="s">
        <v>28</v>
      </c>
      <c r="HLC91" s="75" t="s">
        <v>23</v>
      </c>
      <c r="HLD91" s="78">
        <f>IFERROR(VLOOKUP(HLC91,'[1]List KPI'!$M$3:$N$8,2,0),"")</f>
        <v>2.0833333333333332E-2</v>
      </c>
      <c r="HLE91" s="76">
        <v>0.89444444444444449</v>
      </c>
      <c r="HLF91" s="77" t="str">
        <f t="shared" si="170"/>
        <v>O</v>
      </c>
      <c r="HLG91" s="79">
        <v>5</v>
      </c>
      <c r="HLH91" s="75">
        <v>1276006</v>
      </c>
      <c r="HLI91" s="80"/>
      <c r="HLJ91" s="81">
        <v>0.86944444444444446</v>
      </c>
      <c r="HLK91" s="74" t="s">
        <v>27</v>
      </c>
      <c r="HLL91" s="74" t="s">
        <v>24</v>
      </c>
      <c r="HLM91" s="75" t="s">
        <v>25</v>
      </c>
      <c r="HLN91" s="76">
        <f>IFERROR(VLOOKUP(HLM91,'[1]List KPI'!$A$103:$F$118,6,0),"")</f>
        <v>1.0416666666666666E-2</v>
      </c>
      <c r="HLO91" s="76">
        <v>0.86944444444444446</v>
      </c>
      <c r="HLP91" s="76">
        <v>0.86944444444444446</v>
      </c>
      <c r="HLQ91" s="77" t="str">
        <f t="shared" si="169"/>
        <v>O</v>
      </c>
      <c r="HLR91" s="74" t="s">
        <v>28</v>
      </c>
      <c r="HLS91" s="75" t="s">
        <v>23</v>
      </c>
      <c r="HLT91" s="78">
        <f>IFERROR(VLOOKUP(HLS91,'[1]List KPI'!$M$3:$N$8,2,0),"")</f>
        <v>2.0833333333333332E-2</v>
      </c>
      <c r="HLU91" s="76">
        <v>0.89444444444444449</v>
      </c>
      <c r="HLV91" s="77" t="str">
        <f t="shared" si="170"/>
        <v>O</v>
      </c>
      <c r="HLW91" s="79">
        <v>5</v>
      </c>
      <c r="HLX91" s="75">
        <v>1276006</v>
      </c>
      <c r="HLY91" s="80"/>
      <c r="HLZ91" s="81">
        <v>0.86944444444444446</v>
      </c>
      <c r="HMA91" s="74" t="s">
        <v>27</v>
      </c>
      <c r="HMB91" s="74" t="s">
        <v>24</v>
      </c>
      <c r="HMC91" s="75" t="s">
        <v>25</v>
      </c>
      <c r="HMD91" s="76">
        <f>IFERROR(VLOOKUP(HMC91,'[1]List KPI'!$A$103:$F$118,6,0),"")</f>
        <v>1.0416666666666666E-2</v>
      </c>
      <c r="HME91" s="76">
        <v>0.86944444444444446</v>
      </c>
      <c r="HMF91" s="76">
        <v>0.86944444444444446</v>
      </c>
      <c r="HMG91" s="77" t="str">
        <f t="shared" si="169"/>
        <v>O</v>
      </c>
      <c r="HMH91" s="74" t="s">
        <v>28</v>
      </c>
      <c r="HMI91" s="75" t="s">
        <v>23</v>
      </c>
      <c r="HMJ91" s="78">
        <f>IFERROR(VLOOKUP(HMI91,'[1]List KPI'!$M$3:$N$8,2,0),"")</f>
        <v>2.0833333333333332E-2</v>
      </c>
      <c r="HMK91" s="76">
        <v>0.89444444444444449</v>
      </c>
      <c r="HML91" s="77" t="str">
        <f t="shared" si="170"/>
        <v>O</v>
      </c>
      <c r="HMM91" s="79">
        <v>5</v>
      </c>
      <c r="HMN91" s="75">
        <v>1276006</v>
      </c>
      <c r="HMO91" s="80"/>
      <c r="HMP91" s="81">
        <v>0.86944444444444446</v>
      </c>
      <c r="HMQ91" s="74" t="s">
        <v>27</v>
      </c>
      <c r="HMR91" s="74" t="s">
        <v>24</v>
      </c>
      <c r="HMS91" s="75" t="s">
        <v>25</v>
      </c>
      <c r="HMT91" s="76">
        <f>IFERROR(VLOOKUP(HMS91,'[1]List KPI'!$A$103:$F$118,6,0),"")</f>
        <v>1.0416666666666666E-2</v>
      </c>
      <c r="HMU91" s="76">
        <v>0.86944444444444446</v>
      </c>
      <c r="HMV91" s="76">
        <v>0.86944444444444446</v>
      </c>
      <c r="HMW91" s="77" t="str">
        <f t="shared" ref="HMW91:HOS91" si="171">IF(HMV91="","",IF(HMV91&gt;HNE91,"O","P"))</f>
        <v>O</v>
      </c>
      <c r="HMX91" s="74" t="s">
        <v>28</v>
      </c>
      <c r="HMY91" s="75" t="s">
        <v>23</v>
      </c>
      <c r="HMZ91" s="78">
        <f>IFERROR(VLOOKUP(HMY91,'[1]List KPI'!$M$3:$N$8,2,0),"")</f>
        <v>2.0833333333333332E-2</v>
      </c>
      <c r="HNA91" s="76">
        <v>0.89444444444444449</v>
      </c>
      <c r="HNB91" s="77" t="str">
        <f t="shared" ref="HNB91:HOX91" si="172">IF(HNA91="","",IF(HNA91&gt;HNF91,"O","P"))</f>
        <v>O</v>
      </c>
      <c r="HNC91" s="79">
        <v>5</v>
      </c>
      <c r="HND91" s="75">
        <v>1276006</v>
      </c>
      <c r="HNE91" s="80"/>
      <c r="HNF91" s="81">
        <v>0.86944444444444446</v>
      </c>
      <c r="HNG91" s="74" t="s">
        <v>27</v>
      </c>
      <c r="HNH91" s="74" t="s">
        <v>24</v>
      </c>
      <c r="HNI91" s="75" t="s">
        <v>25</v>
      </c>
      <c r="HNJ91" s="76">
        <f>IFERROR(VLOOKUP(HNI91,'[1]List KPI'!$A$103:$F$118,6,0),"")</f>
        <v>1.0416666666666666E-2</v>
      </c>
      <c r="HNK91" s="76">
        <v>0.86944444444444446</v>
      </c>
      <c r="HNL91" s="76">
        <v>0.86944444444444446</v>
      </c>
      <c r="HNM91" s="77" t="str">
        <f t="shared" si="171"/>
        <v>O</v>
      </c>
      <c r="HNN91" s="74" t="s">
        <v>28</v>
      </c>
      <c r="HNO91" s="75" t="s">
        <v>23</v>
      </c>
      <c r="HNP91" s="78">
        <f>IFERROR(VLOOKUP(HNO91,'[1]List KPI'!$M$3:$N$8,2,0),"")</f>
        <v>2.0833333333333332E-2</v>
      </c>
      <c r="HNQ91" s="76">
        <v>0.89444444444444449</v>
      </c>
      <c r="HNR91" s="77" t="str">
        <f t="shared" si="172"/>
        <v>O</v>
      </c>
      <c r="HNS91" s="79">
        <v>5</v>
      </c>
      <c r="HNT91" s="75">
        <v>1276006</v>
      </c>
      <c r="HNU91" s="80"/>
      <c r="HNV91" s="81">
        <v>0.86944444444444446</v>
      </c>
      <c r="HNW91" s="74" t="s">
        <v>27</v>
      </c>
      <c r="HNX91" s="74" t="s">
        <v>24</v>
      </c>
      <c r="HNY91" s="75" t="s">
        <v>25</v>
      </c>
      <c r="HNZ91" s="76">
        <f>IFERROR(VLOOKUP(HNY91,'[1]List KPI'!$A$103:$F$118,6,0),"")</f>
        <v>1.0416666666666666E-2</v>
      </c>
      <c r="HOA91" s="76">
        <v>0.86944444444444446</v>
      </c>
      <c r="HOB91" s="76">
        <v>0.86944444444444446</v>
      </c>
      <c r="HOC91" s="77" t="str">
        <f t="shared" si="171"/>
        <v>O</v>
      </c>
      <c r="HOD91" s="74" t="s">
        <v>28</v>
      </c>
      <c r="HOE91" s="75" t="s">
        <v>23</v>
      </c>
      <c r="HOF91" s="78">
        <f>IFERROR(VLOOKUP(HOE91,'[1]List KPI'!$M$3:$N$8,2,0),"")</f>
        <v>2.0833333333333332E-2</v>
      </c>
      <c r="HOG91" s="76">
        <v>0.89444444444444449</v>
      </c>
      <c r="HOH91" s="77" t="str">
        <f t="shared" si="172"/>
        <v>O</v>
      </c>
      <c r="HOI91" s="79">
        <v>5</v>
      </c>
      <c r="HOJ91" s="75">
        <v>1276006</v>
      </c>
      <c r="HOK91" s="80"/>
      <c r="HOL91" s="81">
        <v>0.86944444444444446</v>
      </c>
      <c r="HOM91" s="74" t="s">
        <v>27</v>
      </c>
      <c r="HON91" s="74" t="s">
        <v>24</v>
      </c>
      <c r="HOO91" s="75" t="s">
        <v>25</v>
      </c>
      <c r="HOP91" s="76">
        <f>IFERROR(VLOOKUP(HOO91,'[1]List KPI'!$A$103:$F$118,6,0),"")</f>
        <v>1.0416666666666666E-2</v>
      </c>
      <c r="HOQ91" s="76">
        <v>0.86944444444444446</v>
      </c>
      <c r="HOR91" s="76">
        <v>0.86944444444444446</v>
      </c>
      <c r="HOS91" s="77" t="str">
        <f t="shared" si="171"/>
        <v>O</v>
      </c>
      <c r="HOT91" s="74" t="s">
        <v>28</v>
      </c>
      <c r="HOU91" s="75" t="s">
        <v>23</v>
      </c>
      <c r="HOV91" s="78">
        <f>IFERROR(VLOOKUP(HOU91,'[1]List KPI'!$M$3:$N$8,2,0),"")</f>
        <v>2.0833333333333332E-2</v>
      </c>
      <c r="HOW91" s="76">
        <v>0.89444444444444449</v>
      </c>
      <c r="HOX91" s="77" t="str">
        <f t="shared" si="172"/>
        <v>O</v>
      </c>
      <c r="HOY91" s="79">
        <v>5</v>
      </c>
      <c r="HOZ91" s="75">
        <v>1276006</v>
      </c>
      <c r="HPA91" s="80"/>
      <c r="HPB91" s="81">
        <v>0.86944444444444446</v>
      </c>
      <c r="HPC91" s="74" t="s">
        <v>27</v>
      </c>
      <c r="HPD91" s="74" t="s">
        <v>24</v>
      </c>
      <c r="HPE91" s="75" t="s">
        <v>25</v>
      </c>
      <c r="HPF91" s="76">
        <f>IFERROR(VLOOKUP(HPE91,'[1]List KPI'!$A$103:$F$118,6,0),"")</f>
        <v>1.0416666666666666E-2</v>
      </c>
      <c r="HPG91" s="76">
        <v>0.86944444444444446</v>
      </c>
      <c r="HPH91" s="76">
        <v>0.86944444444444446</v>
      </c>
      <c r="HPI91" s="77" t="str">
        <f t="shared" ref="HPI91:HRE91" si="173">IF(HPH91="","",IF(HPH91&gt;HPQ91,"O","P"))</f>
        <v>O</v>
      </c>
      <c r="HPJ91" s="74" t="s">
        <v>28</v>
      </c>
      <c r="HPK91" s="75" t="s">
        <v>23</v>
      </c>
      <c r="HPL91" s="78">
        <f>IFERROR(VLOOKUP(HPK91,'[1]List KPI'!$M$3:$N$8,2,0),"")</f>
        <v>2.0833333333333332E-2</v>
      </c>
      <c r="HPM91" s="76">
        <v>0.89444444444444449</v>
      </c>
      <c r="HPN91" s="77" t="str">
        <f t="shared" ref="HPN91:HRJ91" si="174">IF(HPM91="","",IF(HPM91&gt;HPR91,"O","P"))</f>
        <v>O</v>
      </c>
      <c r="HPO91" s="79">
        <v>5</v>
      </c>
      <c r="HPP91" s="75">
        <v>1276006</v>
      </c>
      <c r="HPQ91" s="80"/>
      <c r="HPR91" s="81">
        <v>0.86944444444444446</v>
      </c>
      <c r="HPS91" s="74" t="s">
        <v>27</v>
      </c>
      <c r="HPT91" s="74" t="s">
        <v>24</v>
      </c>
      <c r="HPU91" s="75" t="s">
        <v>25</v>
      </c>
      <c r="HPV91" s="76">
        <f>IFERROR(VLOOKUP(HPU91,'[1]List KPI'!$A$103:$F$118,6,0),"")</f>
        <v>1.0416666666666666E-2</v>
      </c>
      <c r="HPW91" s="76">
        <v>0.86944444444444446</v>
      </c>
      <c r="HPX91" s="76">
        <v>0.86944444444444446</v>
      </c>
      <c r="HPY91" s="77" t="str">
        <f t="shared" si="173"/>
        <v>O</v>
      </c>
      <c r="HPZ91" s="74" t="s">
        <v>28</v>
      </c>
      <c r="HQA91" s="75" t="s">
        <v>23</v>
      </c>
      <c r="HQB91" s="78">
        <f>IFERROR(VLOOKUP(HQA91,'[1]List KPI'!$M$3:$N$8,2,0),"")</f>
        <v>2.0833333333333332E-2</v>
      </c>
      <c r="HQC91" s="76">
        <v>0.89444444444444449</v>
      </c>
      <c r="HQD91" s="77" t="str">
        <f t="shared" si="174"/>
        <v>O</v>
      </c>
      <c r="HQE91" s="79">
        <v>5</v>
      </c>
      <c r="HQF91" s="75">
        <v>1276006</v>
      </c>
      <c r="HQG91" s="80"/>
      <c r="HQH91" s="81">
        <v>0.86944444444444446</v>
      </c>
      <c r="HQI91" s="74" t="s">
        <v>27</v>
      </c>
      <c r="HQJ91" s="74" t="s">
        <v>24</v>
      </c>
      <c r="HQK91" s="75" t="s">
        <v>25</v>
      </c>
      <c r="HQL91" s="76">
        <f>IFERROR(VLOOKUP(HQK91,'[1]List KPI'!$A$103:$F$118,6,0),"")</f>
        <v>1.0416666666666666E-2</v>
      </c>
      <c r="HQM91" s="76">
        <v>0.86944444444444446</v>
      </c>
      <c r="HQN91" s="76">
        <v>0.86944444444444446</v>
      </c>
      <c r="HQO91" s="77" t="str">
        <f t="shared" si="173"/>
        <v>O</v>
      </c>
      <c r="HQP91" s="74" t="s">
        <v>28</v>
      </c>
      <c r="HQQ91" s="75" t="s">
        <v>23</v>
      </c>
      <c r="HQR91" s="78">
        <f>IFERROR(VLOOKUP(HQQ91,'[1]List KPI'!$M$3:$N$8,2,0),"")</f>
        <v>2.0833333333333332E-2</v>
      </c>
      <c r="HQS91" s="76">
        <v>0.89444444444444449</v>
      </c>
      <c r="HQT91" s="77" t="str">
        <f t="shared" si="174"/>
        <v>O</v>
      </c>
      <c r="HQU91" s="79">
        <v>5</v>
      </c>
      <c r="HQV91" s="75">
        <v>1276006</v>
      </c>
      <c r="HQW91" s="80"/>
      <c r="HQX91" s="81">
        <v>0.86944444444444446</v>
      </c>
      <c r="HQY91" s="74" t="s">
        <v>27</v>
      </c>
      <c r="HQZ91" s="74" t="s">
        <v>24</v>
      </c>
      <c r="HRA91" s="75" t="s">
        <v>25</v>
      </c>
      <c r="HRB91" s="76">
        <f>IFERROR(VLOOKUP(HRA91,'[1]List KPI'!$A$103:$F$118,6,0),"")</f>
        <v>1.0416666666666666E-2</v>
      </c>
      <c r="HRC91" s="76">
        <v>0.86944444444444446</v>
      </c>
      <c r="HRD91" s="76">
        <v>0.86944444444444446</v>
      </c>
      <c r="HRE91" s="77" t="str">
        <f t="shared" si="173"/>
        <v>O</v>
      </c>
      <c r="HRF91" s="74" t="s">
        <v>28</v>
      </c>
      <c r="HRG91" s="75" t="s">
        <v>23</v>
      </c>
      <c r="HRH91" s="78">
        <f>IFERROR(VLOOKUP(HRG91,'[1]List KPI'!$M$3:$N$8,2,0),"")</f>
        <v>2.0833333333333332E-2</v>
      </c>
      <c r="HRI91" s="76">
        <v>0.89444444444444449</v>
      </c>
      <c r="HRJ91" s="77" t="str">
        <f t="shared" si="174"/>
        <v>O</v>
      </c>
      <c r="HRK91" s="79">
        <v>5</v>
      </c>
      <c r="HRL91" s="75">
        <v>1276006</v>
      </c>
      <c r="HRM91" s="80"/>
      <c r="HRN91" s="81">
        <v>0.86944444444444446</v>
      </c>
      <c r="HRO91" s="74" t="s">
        <v>27</v>
      </c>
      <c r="HRP91" s="74" t="s">
        <v>24</v>
      </c>
      <c r="HRQ91" s="75" t="s">
        <v>25</v>
      </c>
      <c r="HRR91" s="76">
        <f>IFERROR(VLOOKUP(HRQ91,'[1]List KPI'!$A$103:$F$118,6,0),"")</f>
        <v>1.0416666666666666E-2</v>
      </c>
      <c r="HRS91" s="76">
        <v>0.86944444444444446</v>
      </c>
      <c r="HRT91" s="76">
        <v>0.86944444444444446</v>
      </c>
      <c r="HRU91" s="77" t="str">
        <f t="shared" ref="HRU91:HTQ91" si="175">IF(HRT91="","",IF(HRT91&gt;HSC91,"O","P"))</f>
        <v>O</v>
      </c>
      <c r="HRV91" s="74" t="s">
        <v>28</v>
      </c>
      <c r="HRW91" s="75" t="s">
        <v>23</v>
      </c>
      <c r="HRX91" s="78">
        <f>IFERROR(VLOOKUP(HRW91,'[1]List KPI'!$M$3:$N$8,2,0),"")</f>
        <v>2.0833333333333332E-2</v>
      </c>
      <c r="HRY91" s="76">
        <v>0.89444444444444449</v>
      </c>
      <c r="HRZ91" s="77" t="str">
        <f t="shared" ref="HRZ91:HTV91" si="176">IF(HRY91="","",IF(HRY91&gt;HSD91,"O","P"))</f>
        <v>O</v>
      </c>
      <c r="HSA91" s="79">
        <v>5</v>
      </c>
      <c r="HSB91" s="75">
        <v>1276006</v>
      </c>
      <c r="HSC91" s="80"/>
      <c r="HSD91" s="81">
        <v>0.86944444444444446</v>
      </c>
      <c r="HSE91" s="74" t="s">
        <v>27</v>
      </c>
      <c r="HSF91" s="74" t="s">
        <v>24</v>
      </c>
      <c r="HSG91" s="75" t="s">
        <v>25</v>
      </c>
      <c r="HSH91" s="76">
        <f>IFERROR(VLOOKUP(HSG91,'[1]List KPI'!$A$103:$F$118,6,0),"")</f>
        <v>1.0416666666666666E-2</v>
      </c>
      <c r="HSI91" s="76">
        <v>0.86944444444444446</v>
      </c>
      <c r="HSJ91" s="76">
        <v>0.86944444444444446</v>
      </c>
      <c r="HSK91" s="77" t="str">
        <f t="shared" si="175"/>
        <v>O</v>
      </c>
      <c r="HSL91" s="74" t="s">
        <v>28</v>
      </c>
      <c r="HSM91" s="75" t="s">
        <v>23</v>
      </c>
      <c r="HSN91" s="78">
        <f>IFERROR(VLOOKUP(HSM91,'[1]List KPI'!$M$3:$N$8,2,0),"")</f>
        <v>2.0833333333333332E-2</v>
      </c>
      <c r="HSO91" s="76">
        <v>0.89444444444444449</v>
      </c>
      <c r="HSP91" s="77" t="str">
        <f t="shared" si="176"/>
        <v>O</v>
      </c>
      <c r="HSQ91" s="79">
        <v>5</v>
      </c>
      <c r="HSR91" s="75">
        <v>1276006</v>
      </c>
      <c r="HSS91" s="80"/>
      <c r="HST91" s="81">
        <v>0.86944444444444446</v>
      </c>
      <c r="HSU91" s="74" t="s">
        <v>27</v>
      </c>
      <c r="HSV91" s="74" t="s">
        <v>24</v>
      </c>
      <c r="HSW91" s="75" t="s">
        <v>25</v>
      </c>
      <c r="HSX91" s="76">
        <f>IFERROR(VLOOKUP(HSW91,'[1]List KPI'!$A$103:$F$118,6,0),"")</f>
        <v>1.0416666666666666E-2</v>
      </c>
      <c r="HSY91" s="76">
        <v>0.86944444444444446</v>
      </c>
      <c r="HSZ91" s="76">
        <v>0.86944444444444446</v>
      </c>
      <c r="HTA91" s="77" t="str">
        <f t="shared" si="175"/>
        <v>O</v>
      </c>
      <c r="HTB91" s="74" t="s">
        <v>28</v>
      </c>
      <c r="HTC91" s="75" t="s">
        <v>23</v>
      </c>
      <c r="HTD91" s="78">
        <f>IFERROR(VLOOKUP(HTC91,'[1]List KPI'!$M$3:$N$8,2,0),"")</f>
        <v>2.0833333333333332E-2</v>
      </c>
      <c r="HTE91" s="76">
        <v>0.89444444444444449</v>
      </c>
      <c r="HTF91" s="77" t="str">
        <f t="shared" si="176"/>
        <v>O</v>
      </c>
      <c r="HTG91" s="79">
        <v>5</v>
      </c>
      <c r="HTH91" s="75">
        <v>1276006</v>
      </c>
      <c r="HTI91" s="80"/>
      <c r="HTJ91" s="81">
        <v>0.86944444444444446</v>
      </c>
      <c r="HTK91" s="74" t="s">
        <v>27</v>
      </c>
      <c r="HTL91" s="74" t="s">
        <v>24</v>
      </c>
      <c r="HTM91" s="75" t="s">
        <v>25</v>
      </c>
      <c r="HTN91" s="76">
        <f>IFERROR(VLOOKUP(HTM91,'[1]List KPI'!$A$103:$F$118,6,0),"")</f>
        <v>1.0416666666666666E-2</v>
      </c>
      <c r="HTO91" s="76">
        <v>0.86944444444444446</v>
      </c>
      <c r="HTP91" s="76">
        <v>0.86944444444444446</v>
      </c>
      <c r="HTQ91" s="77" t="str">
        <f t="shared" si="175"/>
        <v>O</v>
      </c>
      <c r="HTR91" s="74" t="s">
        <v>28</v>
      </c>
      <c r="HTS91" s="75" t="s">
        <v>23</v>
      </c>
      <c r="HTT91" s="78">
        <f>IFERROR(VLOOKUP(HTS91,'[1]List KPI'!$M$3:$N$8,2,0),"")</f>
        <v>2.0833333333333332E-2</v>
      </c>
      <c r="HTU91" s="76">
        <v>0.89444444444444449</v>
      </c>
      <c r="HTV91" s="77" t="str">
        <f t="shared" si="176"/>
        <v>O</v>
      </c>
      <c r="HTW91" s="79">
        <v>5</v>
      </c>
      <c r="HTX91" s="75">
        <v>1276006</v>
      </c>
      <c r="HTY91" s="80"/>
      <c r="HTZ91" s="81">
        <v>0.86944444444444446</v>
      </c>
      <c r="HUA91" s="74" t="s">
        <v>27</v>
      </c>
      <c r="HUB91" s="74" t="s">
        <v>24</v>
      </c>
      <c r="HUC91" s="75" t="s">
        <v>25</v>
      </c>
      <c r="HUD91" s="76">
        <f>IFERROR(VLOOKUP(HUC91,'[1]List KPI'!$A$103:$F$118,6,0),"")</f>
        <v>1.0416666666666666E-2</v>
      </c>
      <c r="HUE91" s="76">
        <v>0.86944444444444446</v>
      </c>
      <c r="HUF91" s="76">
        <v>0.86944444444444446</v>
      </c>
      <c r="HUG91" s="77" t="str">
        <f t="shared" ref="HUG91:HWC91" si="177">IF(HUF91="","",IF(HUF91&gt;HUO91,"O","P"))</f>
        <v>O</v>
      </c>
      <c r="HUH91" s="74" t="s">
        <v>28</v>
      </c>
      <c r="HUI91" s="75" t="s">
        <v>23</v>
      </c>
      <c r="HUJ91" s="78">
        <f>IFERROR(VLOOKUP(HUI91,'[1]List KPI'!$M$3:$N$8,2,0),"")</f>
        <v>2.0833333333333332E-2</v>
      </c>
      <c r="HUK91" s="76">
        <v>0.89444444444444449</v>
      </c>
      <c r="HUL91" s="77" t="str">
        <f t="shared" ref="HUL91:HWH91" si="178">IF(HUK91="","",IF(HUK91&gt;HUP91,"O","P"))</f>
        <v>O</v>
      </c>
      <c r="HUM91" s="79">
        <v>5</v>
      </c>
      <c r="HUN91" s="75">
        <v>1276006</v>
      </c>
      <c r="HUO91" s="80"/>
      <c r="HUP91" s="81">
        <v>0.86944444444444446</v>
      </c>
      <c r="HUQ91" s="74" t="s">
        <v>27</v>
      </c>
      <c r="HUR91" s="74" t="s">
        <v>24</v>
      </c>
      <c r="HUS91" s="75" t="s">
        <v>25</v>
      </c>
      <c r="HUT91" s="76">
        <f>IFERROR(VLOOKUP(HUS91,'[1]List KPI'!$A$103:$F$118,6,0),"")</f>
        <v>1.0416666666666666E-2</v>
      </c>
      <c r="HUU91" s="76">
        <v>0.86944444444444446</v>
      </c>
      <c r="HUV91" s="76">
        <v>0.86944444444444446</v>
      </c>
      <c r="HUW91" s="77" t="str">
        <f t="shared" si="177"/>
        <v>O</v>
      </c>
      <c r="HUX91" s="74" t="s">
        <v>28</v>
      </c>
      <c r="HUY91" s="75" t="s">
        <v>23</v>
      </c>
      <c r="HUZ91" s="78">
        <f>IFERROR(VLOOKUP(HUY91,'[1]List KPI'!$M$3:$N$8,2,0),"")</f>
        <v>2.0833333333333332E-2</v>
      </c>
      <c r="HVA91" s="76">
        <v>0.89444444444444449</v>
      </c>
      <c r="HVB91" s="77" t="str">
        <f t="shared" si="178"/>
        <v>O</v>
      </c>
      <c r="HVC91" s="79">
        <v>5</v>
      </c>
      <c r="HVD91" s="75">
        <v>1276006</v>
      </c>
      <c r="HVE91" s="80"/>
      <c r="HVF91" s="81">
        <v>0.86944444444444446</v>
      </c>
      <c r="HVG91" s="74" t="s">
        <v>27</v>
      </c>
      <c r="HVH91" s="74" t="s">
        <v>24</v>
      </c>
      <c r="HVI91" s="75" t="s">
        <v>25</v>
      </c>
      <c r="HVJ91" s="76">
        <f>IFERROR(VLOOKUP(HVI91,'[1]List KPI'!$A$103:$F$118,6,0),"")</f>
        <v>1.0416666666666666E-2</v>
      </c>
      <c r="HVK91" s="76">
        <v>0.86944444444444446</v>
      </c>
      <c r="HVL91" s="76">
        <v>0.86944444444444446</v>
      </c>
      <c r="HVM91" s="77" t="str">
        <f t="shared" si="177"/>
        <v>O</v>
      </c>
      <c r="HVN91" s="74" t="s">
        <v>28</v>
      </c>
      <c r="HVO91" s="75" t="s">
        <v>23</v>
      </c>
      <c r="HVP91" s="78">
        <f>IFERROR(VLOOKUP(HVO91,'[1]List KPI'!$M$3:$N$8,2,0),"")</f>
        <v>2.0833333333333332E-2</v>
      </c>
      <c r="HVQ91" s="76">
        <v>0.89444444444444449</v>
      </c>
      <c r="HVR91" s="77" t="str">
        <f t="shared" si="178"/>
        <v>O</v>
      </c>
      <c r="HVS91" s="79">
        <v>5</v>
      </c>
      <c r="HVT91" s="75">
        <v>1276006</v>
      </c>
      <c r="HVU91" s="80"/>
      <c r="HVV91" s="81">
        <v>0.86944444444444446</v>
      </c>
      <c r="HVW91" s="74" t="s">
        <v>27</v>
      </c>
      <c r="HVX91" s="74" t="s">
        <v>24</v>
      </c>
      <c r="HVY91" s="75" t="s">
        <v>25</v>
      </c>
      <c r="HVZ91" s="76">
        <f>IFERROR(VLOOKUP(HVY91,'[1]List KPI'!$A$103:$F$118,6,0),"")</f>
        <v>1.0416666666666666E-2</v>
      </c>
      <c r="HWA91" s="76">
        <v>0.86944444444444446</v>
      </c>
      <c r="HWB91" s="76">
        <v>0.86944444444444446</v>
      </c>
      <c r="HWC91" s="77" t="str">
        <f t="shared" si="177"/>
        <v>O</v>
      </c>
      <c r="HWD91" s="74" t="s">
        <v>28</v>
      </c>
      <c r="HWE91" s="75" t="s">
        <v>23</v>
      </c>
      <c r="HWF91" s="78">
        <f>IFERROR(VLOOKUP(HWE91,'[1]List KPI'!$M$3:$N$8,2,0),"")</f>
        <v>2.0833333333333332E-2</v>
      </c>
      <c r="HWG91" s="76">
        <v>0.89444444444444449</v>
      </c>
      <c r="HWH91" s="77" t="str">
        <f t="shared" si="178"/>
        <v>O</v>
      </c>
      <c r="HWI91" s="79">
        <v>5</v>
      </c>
      <c r="HWJ91" s="75">
        <v>1276006</v>
      </c>
      <c r="HWK91" s="80"/>
      <c r="HWL91" s="81">
        <v>0.86944444444444446</v>
      </c>
      <c r="HWM91" s="74" t="s">
        <v>27</v>
      </c>
      <c r="HWN91" s="74" t="s">
        <v>24</v>
      </c>
      <c r="HWO91" s="75" t="s">
        <v>25</v>
      </c>
      <c r="HWP91" s="76">
        <f>IFERROR(VLOOKUP(HWO91,'[1]List KPI'!$A$103:$F$118,6,0),"")</f>
        <v>1.0416666666666666E-2</v>
      </c>
      <c r="HWQ91" s="76">
        <v>0.86944444444444446</v>
      </c>
      <c r="HWR91" s="76">
        <v>0.86944444444444446</v>
      </c>
      <c r="HWS91" s="77" t="str">
        <f t="shared" ref="HWS91:HYO91" si="179">IF(HWR91="","",IF(HWR91&gt;HXA91,"O","P"))</f>
        <v>O</v>
      </c>
      <c r="HWT91" s="74" t="s">
        <v>28</v>
      </c>
      <c r="HWU91" s="75" t="s">
        <v>23</v>
      </c>
      <c r="HWV91" s="78">
        <f>IFERROR(VLOOKUP(HWU91,'[1]List KPI'!$M$3:$N$8,2,0),"")</f>
        <v>2.0833333333333332E-2</v>
      </c>
      <c r="HWW91" s="76">
        <v>0.89444444444444449</v>
      </c>
      <c r="HWX91" s="77" t="str">
        <f t="shared" ref="HWX91:HYT91" si="180">IF(HWW91="","",IF(HWW91&gt;HXB91,"O","P"))</f>
        <v>O</v>
      </c>
      <c r="HWY91" s="79">
        <v>5</v>
      </c>
      <c r="HWZ91" s="75">
        <v>1276006</v>
      </c>
      <c r="HXA91" s="80"/>
      <c r="HXB91" s="81">
        <v>0.86944444444444446</v>
      </c>
      <c r="HXC91" s="74" t="s">
        <v>27</v>
      </c>
      <c r="HXD91" s="74" t="s">
        <v>24</v>
      </c>
      <c r="HXE91" s="75" t="s">
        <v>25</v>
      </c>
      <c r="HXF91" s="76">
        <f>IFERROR(VLOOKUP(HXE91,'[1]List KPI'!$A$103:$F$118,6,0),"")</f>
        <v>1.0416666666666666E-2</v>
      </c>
      <c r="HXG91" s="76">
        <v>0.86944444444444446</v>
      </c>
      <c r="HXH91" s="76">
        <v>0.86944444444444446</v>
      </c>
      <c r="HXI91" s="77" t="str">
        <f t="shared" si="179"/>
        <v>O</v>
      </c>
      <c r="HXJ91" s="74" t="s">
        <v>28</v>
      </c>
      <c r="HXK91" s="75" t="s">
        <v>23</v>
      </c>
      <c r="HXL91" s="78">
        <f>IFERROR(VLOOKUP(HXK91,'[1]List KPI'!$M$3:$N$8,2,0),"")</f>
        <v>2.0833333333333332E-2</v>
      </c>
      <c r="HXM91" s="76">
        <v>0.89444444444444449</v>
      </c>
      <c r="HXN91" s="77" t="str">
        <f t="shared" si="180"/>
        <v>O</v>
      </c>
      <c r="HXO91" s="79">
        <v>5</v>
      </c>
      <c r="HXP91" s="75">
        <v>1276006</v>
      </c>
      <c r="HXQ91" s="80"/>
      <c r="HXR91" s="81">
        <v>0.86944444444444446</v>
      </c>
      <c r="HXS91" s="74" t="s">
        <v>27</v>
      </c>
      <c r="HXT91" s="74" t="s">
        <v>24</v>
      </c>
      <c r="HXU91" s="75" t="s">
        <v>25</v>
      </c>
      <c r="HXV91" s="76">
        <f>IFERROR(VLOOKUP(HXU91,'[1]List KPI'!$A$103:$F$118,6,0),"")</f>
        <v>1.0416666666666666E-2</v>
      </c>
      <c r="HXW91" s="76">
        <v>0.86944444444444446</v>
      </c>
      <c r="HXX91" s="76">
        <v>0.86944444444444446</v>
      </c>
      <c r="HXY91" s="77" t="str">
        <f t="shared" si="179"/>
        <v>O</v>
      </c>
      <c r="HXZ91" s="74" t="s">
        <v>28</v>
      </c>
      <c r="HYA91" s="75" t="s">
        <v>23</v>
      </c>
      <c r="HYB91" s="78">
        <f>IFERROR(VLOOKUP(HYA91,'[1]List KPI'!$M$3:$N$8,2,0),"")</f>
        <v>2.0833333333333332E-2</v>
      </c>
      <c r="HYC91" s="76">
        <v>0.89444444444444449</v>
      </c>
      <c r="HYD91" s="77" t="str">
        <f t="shared" si="180"/>
        <v>O</v>
      </c>
      <c r="HYE91" s="79">
        <v>5</v>
      </c>
      <c r="HYF91" s="75">
        <v>1276006</v>
      </c>
      <c r="HYG91" s="80"/>
      <c r="HYH91" s="81">
        <v>0.86944444444444446</v>
      </c>
      <c r="HYI91" s="74" t="s">
        <v>27</v>
      </c>
      <c r="HYJ91" s="74" t="s">
        <v>24</v>
      </c>
      <c r="HYK91" s="75" t="s">
        <v>25</v>
      </c>
      <c r="HYL91" s="76">
        <f>IFERROR(VLOOKUP(HYK91,'[1]List KPI'!$A$103:$F$118,6,0),"")</f>
        <v>1.0416666666666666E-2</v>
      </c>
      <c r="HYM91" s="76">
        <v>0.86944444444444446</v>
      </c>
      <c r="HYN91" s="76">
        <v>0.86944444444444446</v>
      </c>
      <c r="HYO91" s="77" t="str">
        <f t="shared" si="179"/>
        <v>O</v>
      </c>
      <c r="HYP91" s="74" t="s">
        <v>28</v>
      </c>
      <c r="HYQ91" s="75" t="s">
        <v>23</v>
      </c>
      <c r="HYR91" s="78">
        <f>IFERROR(VLOOKUP(HYQ91,'[1]List KPI'!$M$3:$N$8,2,0),"")</f>
        <v>2.0833333333333332E-2</v>
      </c>
      <c r="HYS91" s="76">
        <v>0.89444444444444449</v>
      </c>
      <c r="HYT91" s="77" t="str">
        <f t="shared" si="180"/>
        <v>O</v>
      </c>
      <c r="HYU91" s="79">
        <v>5</v>
      </c>
      <c r="HYV91" s="75">
        <v>1276006</v>
      </c>
      <c r="HYW91" s="80"/>
      <c r="HYX91" s="81">
        <v>0.86944444444444446</v>
      </c>
      <c r="HYY91" s="74" t="s">
        <v>27</v>
      </c>
      <c r="HYZ91" s="74" t="s">
        <v>24</v>
      </c>
      <c r="HZA91" s="75" t="s">
        <v>25</v>
      </c>
      <c r="HZB91" s="76">
        <f>IFERROR(VLOOKUP(HZA91,'[1]List KPI'!$A$103:$F$118,6,0),"")</f>
        <v>1.0416666666666666E-2</v>
      </c>
      <c r="HZC91" s="76">
        <v>0.86944444444444446</v>
      </c>
      <c r="HZD91" s="76">
        <v>0.86944444444444446</v>
      </c>
      <c r="HZE91" s="77" t="str">
        <f t="shared" ref="HZE91:IBA91" si="181">IF(HZD91="","",IF(HZD91&gt;HZM91,"O","P"))</f>
        <v>O</v>
      </c>
      <c r="HZF91" s="74" t="s">
        <v>28</v>
      </c>
      <c r="HZG91" s="75" t="s">
        <v>23</v>
      </c>
      <c r="HZH91" s="78">
        <f>IFERROR(VLOOKUP(HZG91,'[1]List KPI'!$M$3:$N$8,2,0),"")</f>
        <v>2.0833333333333332E-2</v>
      </c>
      <c r="HZI91" s="76">
        <v>0.89444444444444449</v>
      </c>
      <c r="HZJ91" s="77" t="str">
        <f t="shared" ref="HZJ91:IBF91" si="182">IF(HZI91="","",IF(HZI91&gt;HZN91,"O","P"))</f>
        <v>O</v>
      </c>
      <c r="HZK91" s="79">
        <v>5</v>
      </c>
      <c r="HZL91" s="75">
        <v>1276006</v>
      </c>
      <c r="HZM91" s="80"/>
      <c r="HZN91" s="81">
        <v>0.86944444444444446</v>
      </c>
      <c r="HZO91" s="74" t="s">
        <v>27</v>
      </c>
      <c r="HZP91" s="74" t="s">
        <v>24</v>
      </c>
      <c r="HZQ91" s="75" t="s">
        <v>25</v>
      </c>
      <c r="HZR91" s="76">
        <f>IFERROR(VLOOKUP(HZQ91,'[1]List KPI'!$A$103:$F$118,6,0),"")</f>
        <v>1.0416666666666666E-2</v>
      </c>
      <c r="HZS91" s="76">
        <v>0.86944444444444446</v>
      </c>
      <c r="HZT91" s="76">
        <v>0.86944444444444446</v>
      </c>
      <c r="HZU91" s="77" t="str">
        <f t="shared" si="181"/>
        <v>O</v>
      </c>
      <c r="HZV91" s="74" t="s">
        <v>28</v>
      </c>
      <c r="HZW91" s="75" t="s">
        <v>23</v>
      </c>
      <c r="HZX91" s="78">
        <f>IFERROR(VLOOKUP(HZW91,'[1]List KPI'!$M$3:$N$8,2,0),"")</f>
        <v>2.0833333333333332E-2</v>
      </c>
      <c r="HZY91" s="76">
        <v>0.89444444444444449</v>
      </c>
      <c r="HZZ91" s="77" t="str">
        <f t="shared" si="182"/>
        <v>O</v>
      </c>
      <c r="IAA91" s="79">
        <v>5</v>
      </c>
      <c r="IAB91" s="75">
        <v>1276006</v>
      </c>
      <c r="IAC91" s="80"/>
      <c r="IAD91" s="81">
        <v>0.86944444444444446</v>
      </c>
      <c r="IAE91" s="74" t="s">
        <v>27</v>
      </c>
      <c r="IAF91" s="74" t="s">
        <v>24</v>
      </c>
      <c r="IAG91" s="75" t="s">
        <v>25</v>
      </c>
      <c r="IAH91" s="76">
        <f>IFERROR(VLOOKUP(IAG91,'[1]List KPI'!$A$103:$F$118,6,0),"")</f>
        <v>1.0416666666666666E-2</v>
      </c>
      <c r="IAI91" s="76">
        <v>0.86944444444444446</v>
      </c>
      <c r="IAJ91" s="76">
        <v>0.86944444444444446</v>
      </c>
      <c r="IAK91" s="77" t="str">
        <f t="shared" si="181"/>
        <v>O</v>
      </c>
      <c r="IAL91" s="74" t="s">
        <v>28</v>
      </c>
      <c r="IAM91" s="75" t="s">
        <v>23</v>
      </c>
      <c r="IAN91" s="78">
        <f>IFERROR(VLOOKUP(IAM91,'[1]List KPI'!$M$3:$N$8,2,0),"")</f>
        <v>2.0833333333333332E-2</v>
      </c>
      <c r="IAO91" s="76">
        <v>0.89444444444444449</v>
      </c>
      <c r="IAP91" s="77" t="str">
        <f t="shared" si="182"/>
        <v>O</v>
      </c>
      <c r="IAQ91" s="79">
        <v>5</v>
      </c>
      <c r="IAR91" s="75">
        <v>1276006</v>
      </c>
      <c r="IAS91" s="80"/>
      <c r="IAT91" s="81">
        <v>0.86944444444444446</v>
      </c>
      <c r="IAU91" s="74" t="s">
        <v>27</v>
      </c>
      <c r="IAV91" s="74" t="s">
        <v>24</v>
      </c>
      <c r="IAW91" s="75" t="s">
        <v>25</v>
      </c>
      <c r="IAX91" s="76">
        <f>IFERROR(VLOOKUP(IAW91,'[1]List KPI'!$A$103:$F$118,6,0),"")</f>
        <v>1.0416666666666666E-2</v>
      </c>
      <c r="IAY91" s="76">
        <v>0.86944444444444446</v>
      </c>
      <c r="IAZ91" s="76">
        <v>0.86944444444444446</v>
      </c>
      <c r="IBA91" s="77" t="str">
        <f t="shared" si="181"/>
        <v>O</v>
      </c>
      <c r="IBB91" s="74" t="s">
        <v>28</v>
      </c>
      <c r="IBC91" s="75" t="s">
        <v>23</v>
      </c>
      <c r="IBD91" s="78">
        <f>IFERROR(VLOOKUP(IBC91,'[1]List KPI'!$M$3:$N$8,2,0),"")</f>
        <v>2.0833333333333332E-2</v>
      </c>
      <c r="IBE91" s="76">
        <v>0.89444444444444449</v>
      </c>
      <c r="IBF91" s="77" t="str">
        <f t="shared" si="182"/>
        <v>O</v>
      </c>
      <c r="IBG91" s="79">
        <v>5</v>
      </c>
      <c r="IBH91" s="75">
        <v>1276006</v>
      </c>
      <c r="IBI91" s="80"/>
      <c r="IBJ91" s="81">
        <v>0.86944444444444446</v>
      </c>
      <c r="IBK91" s="74" t="s">
        <v>27</v>
      </c>
      <c r="IBL91" s="74" t="s">
        <v>24</v>
      </c>
      <c r="IBM91" s="75" t="s">
        <v>25</v>
      </c>
      <c r="IBN91" s="76">
        <f>IFERROR(VLOOKUP(IBM91,'[1]List KPI'!$A$103:$F$118,6,0),"")</f>
        <v>1.0416666666666666E-2</v>
      </c>
      <c r="IBO91" s="76">
        <v>0.86944444444444446</v>
      </c>
      <c r="IBP91" s="76">
        <v>0.86944444444444446</v>
      </c>
      <c r="IBQ91" s="77" t="str">
        <f t="shared" ref="IBQ91:IDM91" si="183">IF(IBP91="","",IF(IBP91&gt;IBY91,"O","P"))</f>
        <v>O</v>
      </c>
      <c r="IBR91" s="74" t="s">
        <v>28</v>
      </c>
      <c r="IBS91" s="75" t="s">
        <v>23</v>
      </c>
      <c r="IBT91" s="78">
        <f>IFERROR(VLOOKUP(IBS91,'[1]List KPI'!$M$3:$N$8,2,0),"")</f>
        <v>2.0833333333333332E-2</v>
      </c>
      <c r="IBU91" s="76">
        <v>0.89444444444444449</v>
      </c>
      <c r="IBV91" s="77" t="str">
        <f t="shared" ref="IBV91:IDR91" si="184">IF(IBU91="","",IF(IBU91&gt;IBZ91,"O","P"))</f>
        <v>O</v>
      </c>
      <c r="IBW91" s="79">
        <v>5</v>
      </c>
      <c r="IBX91" s="75">
        <v>1276006</v>
      </c>
      <c r="IBY91" s="80"/>
      <c r="IBZ91" s="81">
        <v>0.86944444444444446</v>
      </c>
      <c r="ICA91" s="74" t="s">
        <v>27</v>
      </c>
      <c r="ICB91" s="74" t="s">
        <v>24</v>
      </c>
      <c r="ICC91" s="75" t="s">
        <v>25</v>
      </c>
      <c r="ICD91" s="76">
        <f>IFERROR(VLOOKUP(ICC91,'[1]List KPI'!$A$103:$F$118,6,0),"")</f>
        <v>1.0416666666666666E-2</v>
      </c>
      <c r="ICE91" s="76">
        <v>0.86944444444444446</v>
      </c>
      <c r="ICF91" s="76">
        <v>0.86944444444444446</v>
      </c>
      <c r="ICG91" s="77" t="str">
        <f t="shared" si="183"/>
        <v>O</v>
      </c>
      <c r="ICH91" s="74" t="s">
        <v>28</v>
      </c>
      <c r="ICI91" s="75" t="s">
        <v>23</v>
      </c>
      <c r="ICJ91" s="78">
        <f>IFERROR(VLOOKUP(ICI91,'[1]List KPI'!$M$3:$N$8,2,0),"")</f>
        <v>2.0833333333333332E-2</v>
      </c>
      <c r="ICK91" s="76">
        <v>0.89444444444444449</v>
      </c>
      <c r="ICL91" s="77" t="str">
        <f t="shared" si="184"/>
        <v>O</v>
      </c>
      <c r="ICM91" s="79">
        <v>5</v>
      </c>
      <c r="ICN91" s="75">
        <v>1276006</v>
      </c>
      <c r="ICO91" s="80"/>
      <c r="ICP91" s="81">
        <v>0.86944444444444446</v>
      </c>
      <c r="ICQ91" s="74" t="s">
        <v>27</v>
      </c>
      <c r="ICR91" s="74" t="s">
        <v>24</v>
      </c>
      <c r="ICS91" s="75" t="s">
        <v>25</v>
      </c>
      <c r="ICT91" s="76">
        <f>IFERROR(VLOOKUP(ICS91,'[1]List KPI'!$A$103:$F$118,6,0),"")</f>
        <v>1.0416666666666666E-2</v>
      </c>
      <c r="ICU91" s="76">
        <v>0.86944444444444446</v>
      </c>
      <c r="ICV91" s="76">
        <v>0.86944444444444446</v>
      </c>
      <c r="ICW91" s="77" t="str">
        <f t="shared" si="183"/>
        <v>O</v>
      </c>
      <c r="ICX91" s="74" t="s">
        <v>28</v>
      </c>
      <c r="ICY91" s="75" t="s">
        <v>23</v>
      </c>
      <c r="ICZ91" s="78">
        <f>IFERROR(VLOOKUP(ICY91,'[1]List KPI'!$M$3:$N$8,2,0),"")</f>
        <v>2.0833333333333332E-2</v>
      </c>
      <c r="IDA91" s="76">
        <v>0.89444444444444449</v>
      </c>
      <c r="IDB91" s="77" t="str">
        <f t="shared" si="184"/>
        <v>O</v>
      </c>
      <c r="IDC91" s="79">
        <v>5</v>
      </c>
      <c r="IDD91" s="75">
        <v>1276006</v>
      </c>
      <c r="IDE91" s="80"/>
      <c r="IDF91" s="81">
        <v>0.86944444444444446</v>
      </c>
      <c r="IDG91" s="74" t="s">
        <v>27</v>
      </c>
      <c r="IDH91" s="74" t="s">
        <v>24</v>
      </c>
      <c r="IDI91" s="75" t="s">
        <v>25</v>
      </c>
      <c r="IDJ91" s="76">
        <f>IFERROR(VLOOKUP(IDI91,'[1]List KPI'!$A$103:$F$118,6,0),"")</f>
        <v>1.0416666666666666E-2</v>
      </c>
      <c r="IDK91" s="76">
        <v>0.86944444444444446</v>
      </c>
      <c r="IDL91" s="76">
        <v>0.86944444444444446</v>
      </c>
      <c r="IDM91" s="77" t="str">
        <f t="shared" si="183"/>
        <v>O</v>
      </c>
      <c r="IDN91" s="74" t="s">
        <v>28</v>
      </c>
      <c r="IDO91" s="75" t="s">
        <v>23</v>
      </c>
      <c r="IDP91" s="78">
        <f>IFERROR(VLOOKUP(IDO91,'[1]List KPI'!$M$3:$N$8,2,0),"")</f>
        <v>2.0833333333333332E-2</v>
      </c>
      <c r="IDQ91" s="76">
        <v>0.89444444444444449</v>
      </c>
      <c r="IDR91" s="77" t="str">
        <f t="shared" si="184"/>
        <v>O</v>
      </c>
      <c r="IDS91" s="79">
        <v>5</v>
      </c>
      <c r="IDT91" s="75">
        <v>1276006</v>
      </c>
      <c r="IDU91" s="80"/>
      <c r="IDV91" s="81">
        <v>0.86944444444444446</v>
      </c>
      <c r="IDW91" s="74" t="s">
        <v>27</v>
      </c>
      <c r="IDX91" s="74" t="s">
        <v>24</v>
      </c>
      <c r="IDY91" s="75" t="s">
        <v>25</v>
      </c>
      <c r="IDZ91" s="76">
        <f>IFERROR(VLOOKUP(IDY91,'[1]List KPI'!$A$103:$F$118,6,0),"")</f>
        <v>1.0416666666666666E-2</v>
      </c>
      <c r="IEA91" s="76">
        <v>0.86944444444444446</v>
      </c>
      <c r="IEB91" s="76">
        <v>0.86944444444444446</v>
      </c>
      <c r="IEC91" s="77" t="str">
        <f t="shared" ref="IEC91:IFY91" si="185">IF(IEB91="","",IF(IEB91&gt;IEK91,"O","P"))</f>
        <v>O</v>
      </c>
      <c r="IED91" s="74" t="s">
        <v>28</v>
      </c>
      <c r="IEE91" s="75" t="s">
        <v>23</v>
      </c>
      <c r="IEF91" s="78">
        <f>IFERROR(VLOOKUP(IEE91,'[1]List KPI'!$M$3:$N$8,2,0),"")</f>
        <v>2.0833333333333332E-2</v>
      </c>
      <c r="IEG91" s="76">
        <v>0.89444444444444449</v>
      </c>
      <c r="IEH91" s="77" t="str">
        <f t="shared" ref="IEH91:IGD91" si="186">IF(IEG91="","",IF(IEG91&gt;IEL91,"O","P"))</f>
        <v>O</v>
      </c>
      <c r="IEI91" s="79">
        <v>5</v>
      </c>
      <c r="IEJ91" s="75">
        <v>1276006</v>
      </c>
      <c r="IEK91" s="80"/>
      <c r="IEL91" s="81">
        <v>0.86944444444444446</v>
      </c>
      <c r="IEM91" s="74" t="s">
        <v>27</v>
      </c>
      <c r="IEN91" s="74" t="s">
        <v>24</v>
      </c>
      <c r="IEO91" s="75" t="s">
        <v>25</v>
      </c>
      <c r="IEP91" s="76">
        <f>IFERROR(VLOOKUP(IEO91,'[1]List KPI'!$A$103:$F$118,6,0),"")</f>
        <v>1.0416666666666666E-2</v>
      </c>
      <c r="IEQ91" s="76">
        <v>0.86944444444444446</v>
      </c>
      <c r="IER91" s="76">
        <v>0.86944444444444446</v>
      </c>
      <c r="IES91" s="77" t="str">
        <f t="shared" si="185"/>
        <v>O</v>
      </c>
      <c r="IET91" s="74" t="s">
        <v>28</v>
      </c>
      <c r="IEU91" s="75" t="s">
        <v>23</v>
      </c>
      <c r="IEV91" s="78">
        <f>IFERROR(VLOOKUP(IEU91,'[1]List KPI'!$M$3:$N$8,2,0),"")</f>
        <v>2.0833333333333332E-2</v>
      </c>
      <c r="IEW91" s="76">
        <v>0.89444444444444449</v>
      </c>
      <c r="IEX91" s="77" t="str">
        <f t="shared" si="186"/>
        <v>O</v>
      </c>
      <c r="IEY91" s="79">
        <v>5</v>
      </c>
      <c r="IEZ91" s="75">
        <v>1276006</v>
      </c>
      <c r="IFA91" s="80"/>
      <c r="IFB91" s="81">
        <v>0.86944444444444446</v>
      </c>
      <c r="IFC91" s="74" t="s">
        <v>27</v>
      </c>
      <c r="IFD91" s="74" t="s">
        <v>24</v>
      </c>
      <c r="IFE91" s="75" t="s">
        <v>25</v>
      </c>
      <c r="IFF91" s="76">
        <f>IFERROR(VLOOKUP(IFE91,'[1]List KPI'!$A$103:$F$118,6,0),"")</f>
        <v>1.0416666666666666E-2</v>
      </c>
      <c r="IFG91" s="76">
        <v>0.86944444444444446</v>
      </c>
      <c r="IFH91" s="76">
        <v>0.86944444444444446</v>
      </c>
      <c r="IFI91" s="77" t="str">
        <f t="shared" si="185"/>
        <v>O</v>
      </c>
      <c r="IFJ91" s="74" t="s">
        <v>28</v>
      </c>
      <c r="IFK91" s="75" t="s">
        <v>23</v>
      </c>
      <c r="IFL91" s="78">
        <f>IFERROR(VLOOKUP(IFK91,'[1]List KPI'!$M$3:$N$8,2,0),"")</f>
        <v>2.0833333333333332E-2</v>
      </c>
      <c r="IFM91" s="76">
        <v>0.89444444444444449</v>
      </c>
      <c r="IFN91" s="77" t="str">
        <f t="shared" si="186"/>
        <v>O</v>
      </c>
      <c r="IFO91" s="79">
        <v>5</v>
      </c>
      <c r="IFP91" s="75">
        <v>1276006</v>
      </c>
      <c r="IFQ91" s="80"/>
      <c r="IFR91" s="81">
        <v>0.86944444444444446</v>
      </c>
      <c r="IFS91" s="74" t="s">
        <v>27</v>
      </c>
      <c r="IFT91" s="74" t="s">
        <v>24</v>
      </c>
      <c r="IFU91" s="75" t="s">
        <v>25</v>
      </c>
      <c r="IFV91" s="76">
        <f>IFERROR(VLOOKUP(IFU91,'[1]List KPI'!$A$103:$F$118,6,0),"")</f>
        <v>1.0416666666666666E-2</v>
      </c>
      <c r="IFW91" s="76">
        <v>0.86944444444444446</v>
      </c>
      <c r="IFX91" s="76">
        <v>0.86944444444444446</v>
      </c>
      <c r="IFY91" s="77" t="str">
        <f t="shared" si="185"/>
        <v>O</v>
      </c>
      <c r="IFZ91" s="74" t="s">
        <v>28</v>
      </c>
      <c r="IGA91" s="75" t="s">
        <v>23</v>
      </c>
      <c r="IGB91" s="78">
        <f>IFERROR(VLOOKUP(IGA91,'[1]List KPI'!$M$3:$N$8,2,0),"")</f>
        <v>2.0833333333333332E-2</v>
      </c>
      <c r="IGC91" s="76">
        <v>0.89444444444444449</v>
      </c>
      <c r="IGD91" s="77" t="str">
        <f t="shared" si="186"/>
        <v>O</v>
      </c>
      <c r="IGE91" s="79">
        <v>5</v>
      </c>
      <c r="IGF91" s="75">
        <v>1276006</v>
      </c>
      <c r="IGG91" s="80"/>
      <c r="IGH91" s="81">
        <v>0.86944444444444446</v>
      </c>
      <c r="IGI91" s="74" t="s">
        <v>27</v>
      </c>
      <c r="IGJ91" s="74" t="s">
        <v>24</v>
      </c>
      <c r="IGK91" s="75" t="s">
        <v>25</v>
      </c>
      <c r="IGL91" s="76">
        <f>IFERROR(VLOOKUP(IGK91,'[1]List KPI'!$A$103:$F$118,6,0),"")</f>
        <v>1.0416666666666666E-2</v>
      </c>
      <c r="IGM91" s="76">
        <v>0.86944444444444446</v>
      </c>
      <c r="IGN91" s="76">
        <v>0.86944444444444446</v>
      </c>
      <c r="IGO91" s="77" t="str">
        <f t="shared" ref="IGO91:IIK91" si="187">IF(IGN91="","",IF(IGN91&gt;IGW91,"O","P"))</f>
        <v>O</v>
      </c>
      <c r="IGP91" s="74" t="s">
        <v>28</v>
      </c>
      <c r="IGQ91" s="75" t="s">
        <v>23</v>
      </c>
      <c r="IGR91" s="78">
        <f>IFERROR(VLOOKUP(IGQ91,'[1]List KPI'!$M$3:$N$8,2,0),"")</f>
        <v>2.0833333333333332E-2</v>
      </c>
      <c r="IGS91" s="76">
        <v>0.89444444444444449</v>
      </c>
      <c r="IGT91" s="77" t="str">
        <f t="shared" ref="IGT91:IIP91" si="188">IF(IGS91="","",IF(IGS91&gt;IGX91,"O","P"))</f>
        <v>O</v>
      </c>
      <c r="IGU91" s="79">
        <v>5</v>
      </c>
      <c r="IGV91" s="75">
        <v>1276006</v>
      </c>
      <c r="IGW91" s="80"/>
      <c r="IGX91" s="81">
        <v>0.86944444444444446</v>
      </c>
      <c r="IGY91" s="74" t="s">
        <v>27</v>
      </c>
      <c r="IGZ91" s="74" t="s">
        <v>24</v>
      </c>
      <c r="IHA91" s="75" t="s">
        <v>25</v>
      </c>
      <c r="IHB91" s="76">
        <f>IFERROR(VLOOKUP(IHA91,'[1]List KPI'!$A$103:$F$118,6,0),"")</f>
        <v>1.0416666666666666E-2</v>
      </c>
      <c r="IHC91" s="76">
        <v>0.86944444444444446</v>
      </c>
      <c r="IHD91" s="76">
        <v>0.86944444444444446</v>
      </c>
      <c r="IHE91" s="77" t="str">
        <f t="shared" si="187"/>
        <v>O</v>
      </c>
      <c r="IHF91" s="74" t="s">
        <v>28</v>
      </c>
      <c r="IHG91" s="75" t="s">
        <v>23</v>
      </c>
      <c r="IHH91" s="78">
        <f>IFERROR(VLOOKUP(IHG91,'[1]List KPI'!$M$3:$N$8,2,0),"")</f>
        <v>2.0833333333333332E-2</v>
      </c>
      <c r="IHI91" s="76">
        <v>0.89444444444444449</v>
      </c>
      <c r="IHJ91" s="77" t="str">
        <f t="shared" si="188"/>
        <v>O</v>
      </c>
      <c r="IHK91" s="79">
        <v>5</v>
      </c>
      <c r="IHL91" s="75">
        <v>1276006</v>
      </c>
      <c r="IHM91" s="80"/>
      <c r="IHN91" s="81">
        <v>0.86944444444444446</v>
      </c>
      <c r="IHO91" s="74" t="s">
        <v>27</v>
      </c>
      <c r="IHP91" s="74" t="s">
        <v>24</v>
      </c>
      <c r="IHQ91" s="75" t="s">
        <v>25</v>
      </c>
      <c r="IHR91" s="76">
        <f>IFERROR(VLOOKUP(IHQ91,'[1]List KPI'!$A$103:$F$118,6,0),"")</f>
        <v>1.0416666666666666E-2</v>
      </c>
      <c r="IHS91" s="76">
        <v>0.86944444444444446</v>
      </c>
      <c r="IHT91" s="76">
        <v>0.86944444444444446</v>
      </c>
      <c r="IHU91" s="77" t="str">
        <f t="shared" si="187"/>
        <v>O</v>
      </c>
      <c r="IHV91" s="74" t="s">
        <v>28</v>
      </c>
      <c r="IHW91" s="75" t="s">
        <v>23</v>
      </c>
      <c r="IHX91" s="78">
        <f>IFERROR(VLOOKUP(IHW91,'[1]List KPI'!$M$3:$N$8,2,0),"")</f>
        <v>2.0833333333333332E-2</v>
      </c>
      <c r="IHY91" s="76">
        <v>0.89444444444444449</v>
      </c>
      <c r="IHZ91" s="77" t="str">
        <f t="shared" si="188"/>
        <v>O</v>
      </c>
      <c r="IIA91" s="79">
        <v>5</v>
      </c>
      <c r="IIB91" s="75">
        <v>1276006</v>
      </c>
      <c r="IIC91" s="80"/>
      <c r="IID91" s="81">
        <v>0.86944444444444446</v>
      </c>
      <c r="IIE91" s="74" t="s">
        <v>27</v>
      </c>
      <c r="IIF91" s="74" t="s">
        <v>24</v>
      </c>
      <c r="IIG91" s="75" t="s">
        <v>25</v>
      </c>
      <c r="IIH91" s="76">
        <f>IFERROR(VLOOKUP(IIG91,'[1]List KPI'!$A$103:$F$118,6,0),"")</f>
        <v>1.0416666666666666E-2</v>
      </c>
      <c r="III91" s="76">
        <v>0.86944444444444446</v>
      </c>
      <c r="IIJ91" s="76">
        <v>0.86944444444444446</v>
      </c>
      <c r="IIK91" s="77" t="str">
        <f t="shared" si="187"/>
        <v>O</v>
      </c>
      <c r="IIL91" s="74" t="s">
        <v>28</v>
      </c>
      <c r="IIM91" s="75" t="s">
        <v>23</v>
      </c>
      <c r="IIN91" s="78">
        <f>IFERROR(VLOOKUP(IIM91,'[1]List KPI'!$M$3:$N$8,2,0),"")</f>
        <v>2.0833333333333332E-2</v>
      </c>
      <c r="IIO91" s="76">
        <v>0.89444444444444449</v>
      </c>
      <c r="IIP91" s="77" t="str">
        <f t="shared" si="188"/>
        <v>O</v>
      </c>
      <c r="IIQ91" s="79">
        <v>5</v>
      </c>
      <c r="IIR91" s="75">
        <v>1276006</v>
      </c>
      <c r="IIS91" s="80"/>
      <c r="IIT91" s="81">
        <v>0.86944444444444446</v>
      </c>
      <c r="IIU91" s="74" t="s">
        <v>27</v>
      </c>
      <c r="IIV91" s="74" t="s">
        <v>24</v>
      </c>
      <c r="IIW91" s="75" t="s">
        <v>25</v>
      </c>
      <c r="IIX91" s="76">
        <f>IFERROR(VLOOKUP(IIW91,'[1]List KPI'!$A$103:$F$118,6,0),"")</f>
        <v>1.0416666666666666E-2</v>
      </c>
      <c r="IIY91" s="76">
        <v>0.86944444444444446</v>
      </c>
      <c r="IIZ91" s="76">
        <v>0.86944444444444446</v>
      </c>
      <c r="IJA91" s="77" t="str">
        <f t="shared" ref="IJA91:IKW91" si="189">IF(IIZ91="","",IF(IIZ91&gt;IJI91,"O","P"))</f>
        <v>O</v>
      </c>
      <c r="IJB91" s="74" t="s">
        <v>28</v>
      </c>
      <c r="IJC91" s="75" t="s">
        <v>23</v>
      </c>
      <c r="IJD91" s="78">
        <f>IFERROR(VLOOKUP(IJC91,'[1]List KPI'!$M$3:$N$8,2,0),"")</f>
        <v>2.0833333333333332E-2</v>
      </c>
      <c r="IJE91" s="76">
        <v>0.89444444444444449</v>
      </c>
      <c r="IJF91" s="77" t="str">
        <f t="shared" ref="IJF91:ILB91" si="190">IF(IJE91="","",IF(IJE91&gt;IJJ91,"O","P"))</f>
        <v>O</v>
      </c>
      <c r="IJG91" s="79">
        <v>5</v>
      </c>
      <c r="IJH91" s="75">
        <v>1276006</v>
      </c>
      <c r="IJI91" s="80"/>
      <c r="IJJ91" s="81">
        <v>0.86944444444444446</v>
      </c>
      <c r="IJK91" s="74" t="s">
        <v>27</v>
      </c>
      <c r="IJL91" s="74" t="s">
        <v>24</v>
      </c>
      <c r="IJM91" s="75" t="s">
        <v>25</v>
      </c>
      <c r="IJN91" s="76">
        <f>IFERROR(VLOOKUP(IJM91,'[1]List KPI'!$A$103:$F$118,6,0),"")</f>
        <v>1.0416666666666666E-2</v>
      </c>
      <c r="IJO91" s="76">
        <v>0.86944444444444446</v>
      </c>
      <c r="IJP91" s="76">
        <v>0.86944444444444446</v>
      </c>
      <c r="IJQ91" s="77" t="str">
        <f t="shared" si="189"/>
        <v>O</v>
      </c>
      <c r="IJR91" s="74" t="s">
        <v>28</v>
      </c>
      <c r="IJS91" s="75" t="s">
        <v>23</v>
      </c>
      <c r="IJT91" s="78">
        <f>IFERROR(VLOOKUP(IJS91,'[1]List KPI'!$M$3:$N$8,2,0),"")</f>
        <v>2.0833333333333332E-2</v>
      </c>
      <c r="IJU91" s="76">
        <v>0.89444444444444449</v>
      </c>
      <c r="IJV91" s="77" t="str">
        <f t="shared" si="190"/>
        <v>O</v>
      </c>
      <c r="IJW91" s="79">
        <v>5</v>
      </c>
      <c r="IJX91" s="75">
        <v>1276006</v>
      </c>
      <c r="IJY91" s="80"/>
      <c r="IJZ91" s="81">
        <v>0.86944444444444446</v>
      </c>
      <c r="IKA91" s="74" t="s">
        <v>27</v>
      </c>
      <c r="IKB91" s="74" t="s">
        <v>24</v>
      </c>
      <c r="IKC91" s="75" t="s">
        <v>25</v>
      </c>
      <c r="IKD91" s="76">
        <f>IFERROR(VLOOKUP(IKC91,'[1]List KPI'!$A$103:$F$118,6,0),"")</f>
        <v>1.0416666666666666E-2</v>
      </c>
      <c r="IKE91" s="76">
        <v>0.86944444444444446</v>
      </c>
      <c r="IKF91" s="76">
        <v>0.86944444444444446</v>
      </c>
      <c r="IKG91" s="77" t="str">
        <f t="shared" si="189"/>
        <v>O</v>
      </c>
      <c r="IKH91" s="74" t="s">
        <v>28</v>
      </c>
      <c r="IKI91" s="75" t="s">
        <v>23</v>
      </c>
      <c r="IKJ91" s="78">
        <f>IFERROR(VLOOKUP(IKI91,'[1]List KPI'!$M$3:$N$8,2,0),"")</f>
        <v>2.0833333333333332E-2</v>
      </c>
      <c r="IKK91" s="76">
        <v>0.89444444444444449</v>
      </c>
      <c r="IKL91" s="77" t="str">
        <f t="shared" si="190"/>
        <v>O</v>
      </c>
      <c r="IKM91" s="79">
        <v>5</v>
      </c>
      <c r="IKN91" s="75">
        <v>1276006</v>
      </c>
      <c r="IKO91" s="80"/>
      <c r="IKP91" s="81">
        <v>0.86944444444444446</v>
      </c>
      <c r="IKQ91" s="74" t="s">
        <v>27</v>
      </c>
      <c r="IKR91" s="74" t="s">
        <v>24</v>
      </c>
      <c r="IKS91" s="75" t="s">
        <v>25</v>
      </c>
      <c r="IKT91" s="76">
        <f>IFERROR(VLOOKUP(IKS91,'[1]List KPI'!$A$103:$F$118,6,0),"")</f>
        <v>1.0416666666666666E-2</v>
      </c>
      <c r="IKU91" s="76">
        <v>0.86944444444444446</v>
      </c>
      <c r="IKV91" s="76">
        <v>0.86944444444444446</v>
      </c>
      <c r="IKW91" s="77" t="str">
        <f t="shared" si="189"/>
        <v>O</v>
      </c>
      <c r="IKX91" s="74" t="s">
        <v>28</v>
      </c>
      <c r="IKY91" s="75" t="s">
        <v>23</v>
      </c>
      <c r="IKZ91" s="78">
        <f>IFERROR(VLOOKUP(IKY91,'[1]List KPI'!$M$3:$N$8,2,0),"")</f>
        <v>2.0833333333333332E-2</v>
      </c>
      <c r="ILA91" s="76">
        <v>0.89444444444444449</v>
      </c>
      <c r="ILB91" s="77" t="str">
        <f t="shared" si="190"/>
        <v>O</v>
      </c>
      <c r="ILC91" s="79">
        <v>5</v>
      </c>
      <c r="ILD91" s="75">
        <v>1276006</v>
      </c>
      <c r="ILE91" s="80"/>
      <c r="ILF91" s="81">
        <v>0.86944444444444446</v>
      </c>
      <c r="ILG91" s="74" t="s">
        <v>27</v>
      </c>
      <c r="ILH91" s="74" t="s">
        <v>24</v>
      </c>
      <c r="ILI91" s="75" t="s">
        <v>25</v>
      </c>
      <c r="ILJ91" s="76">
        <f>IFERROR(VLOOKUP(ILI91,'[1]List KPI'!$A$103:$F$118,6,0),"")</f>
        <v>1.0416666666666666E-2</v>
      </c>
      <c r="ILK91" s="76">
        <v>0.86944444444444446</v>
      </c>
      <c r="ILL91" s="76">
        <v>0.86944444444444446</v>
      </c>
      <c r="ILM91" s="77" t="str">
        <f t="shared" ref="ILM91:INI91" si="191">IF(ILL91="","",IF(ILL91&gt;ILU91,"O","P"))</f>
        <v>O</v>
      </c>
      <c r="ILN91" s="74" t="s">
        <v>28</v>
      </c>
      <c r="ILO91" s="75" t="s">
        <v>23</v>
      </c>
      <c r="ILP91" s="78">
        <f>IFERROR(VLOOKUP(ILO91,'[1]List KPI'!$M$3:$N$8,2,0),"")</f>
        <v>2.0833333333333332E-2</v>
      </c>
      <c r="ILQ91" s="76">
        <v>0.89444444444444449</v>
      </c>
      <c r="ILR91" s="77" t="str">
        <f t="shared" ref="ILR91:INN91" si="192">IF(ILQ91="","",IF(ILQ91&gt;ILV91,"O","P"))</f>
        <v>O</v>
      </c>
      <c r="ILS91" s="79">
        <v>5</v>
      </c>
      <c r="ILT91" s="75">
        <v>1276006</v>
      </c>
      <c r="ILU91" s="80"/>
      <c r="ILV91" s="81">
        <v>0.86944444444444446</v>
      </c>
      <c r="ILW91" s="74" t="s">
        <v>27</v>
      </c>
      <c r="ILX91" s="74" t="s">
        <v>24</v>
      </c>
      <c r="ILY91" s="75" t="s">
        <v>25</v>
      </c>
      <c r="ILZ91" s="76">
        <f>IFERROR(VLOOKUP(ILY91,'[1]List KPI'!$A$103:$F$118,6,0),"")</f>
        <v>1.0416666666666666E-2</v>
      </c>
      <c r="IMA91" s="76">
        <v>0.86944444444444446</v>
      </c>
      <c r="IMB91" s="76">
        <v>0.86944444444444446</v>
      </c>
      <c r="IMC91" s="77" t="str">
        <f t="shared" si="191"/>
        <v>O</v>
      </c>
      <c r="IMD91" s="74" t="s">
        <v>28</v>
      </c>
      <c r="IME91" s="75" t="s">
        <v>23</v>
      </c>
      <c r="IMF91" s="78">
        <f>IFERROR(VLOOKUP(IME91,'[1]List KPI'!$M$3:$N$8,2,0),"")</f>
        <v>2.0833333333333332E-2</v>
      </c>
      <c r="IMG91" s="76">
        <v>0.89444444444444449</v>
      </c>
      <c r="IMH91" s="77" t="str">
        <f t="shared" si="192"/>
        <v>O</v>
      </c>
      <c r="IMI91" s="79">
        <v>5</v>
      </c>
      <c r="IMJ91" s="75">
        <v>1276006</v>
      </c>
      <c r="IMK91" s="80"/>
      <c r="IML91" s="81">
        <v>0.86944444444444446</v>
      </c>
      <c r="IMM91" s="74" t="s">
        <v>27</v>
      </c>
      <c r="IMN91" s="74" t="s">
        <v>24</v>
      </c>
      <c r="IMO91" s="75" t="s">
        <v>25</v>
      </c>
      <c r="IMP91" s="76">
        <f>IFERROR(VLOOKUP(IMO91,'[1]List KPI'!$A$103:$F$118,6,0),"")</f>
        <v>1.0416666666666666E-2</v>
      </c>
      <c r="IMQ91" s="76">
        <v>0.86944444444444446</v>
      </c>
      <c r="IMR91" s="76">
        <v>0.86944444444444446</v>
      </c>
      <c r="IMS91" s="77" t="str">
        <f t="shared" si="191"/>
        <v>O</v>
      </c>
      <c r="IMT91" s="74" t="s">
        <v>28</v>
      </c>
      <c r="IMU91" s="75" t="s">
        <v>23</v>
      </c>
      <c r="IMV91" s="78">
        <f>IFERROR(VLOOKUP(IMU91,'[1]List KPI'!$M$3:$N$8,2,0),"")</f>
        <v>2.0833333333333332E-2</v>
      </c>
      <c r="IMW91" s="76">
        <v>0.89444444444444449</v>
      </c>
      <c r="IMX91" s="77" t="str">
        <f t="shared" si="192"/>
        <v>O</v>
      </c>
      <c r="IMY91" s="79">
        <v>5</v>
      </c>
      <c r="IMZ91" s="75">
        <v>1276006</v>
      </c>
      <c r="INA91" s="80"/>
      <c r="INB91" s="81">
        <v>0.86944444444444446</v>
      </c>
      <c r="INC91" s="74" t="s">
        <v>27</v>
      </c>
      <c r="IND91" s="74" t="s">
        <v>24</v>
      </c>
      <c r="INE91" s="75" t="s">
        <v>25</v>
      </c>
      <c r="INF91" s="76">
        <f>IFERROR(VLOOKUP(INE91,'[1]List KPI'!$A$103:$F$118,6,0),"")</f>
        <v>1.0416666666666666E-2</v>
      </c>
      <c r="ING91" s="76">
        <v>0.86944444444444446</v>
      </c>
      <c r="INH91" s="76">
        <v>0.86944444444444446</v>
      </c>
      <c r="INI91" s="77" t="str">
        <f t="shared" si="191"/>
        <v>O</v>
      </c>
      <c r="INJ91" s="74" t="s">
        <v>28</v>
      </c>
      <c r="INK91" s="75" t="s">
        <v>23</v>
      </c>
      <c r="INL91" s="78">
        <f>IFERROR(VLOOKUP(INK91,'[1]List KPI'!$M$3:$N$8,2,0),"")</f>
        <v>2.0833333333333332E-2</v>
      </c>
      <c r="INM91" s="76">
        <v>0.89444444444444449</v>
      </c>
      <c r="INN91" s="77" t="str">
        <f t="shared" si="192"/>
        <v>O</v>
      </c>
      <c r="INO91" s="79">
        <v>5</v>
      </c>
      <c r="INP91" s="75">
        <v>1276006</v>
      </c>
      <c r="INQ91" s="80"/>
      <c r="INR91" s="81">
        <v>0.86944444444444446</v>
      </c>
      <c r="INS91" s="74" t="s">
        <v>27</v>
      </c>
      <c r="INT91" s="74" t="s">
        <v>24</v>
      </c>
      <c r="INU91" s="75" t="s">
        <v>25</v>
      </c>
      <c r="INV91" s="76">
        <f>IFERROR(VLOOKUP(INU91,'[1]List KPI'!$A$103:$F$118,6,0),"")</f>
        <v>1.0416666666666666E-2</v>
      </c>
      <c r="INW91" s="76">
        <v>0.86944444444444446</v>
      </c>
      <c r="INX91" s="76">
        <v>0.86944444444444446</v>
      </c>
      <c r="INY91" s="77" t="str">
        <f t="shared" ref="INY91:IPU91" si="193">IF(INX91="","",IF(INX91&gt;IOG91,"O","P"))</f>
        <v>O</v>
      </c>
      <c r="INZ91" s="74" t="s">
        <v>28</v>
      </c>
      <c r="IOA91" s="75" t="s">
        <v>23</v>
      </c>
      <c r="IOB91" s="78">
        <f>IFERROR(VLOOKUP(IOA91,'[1]List KPI'!$M$3:$N$8,2,0),"")</f>
        <v>2.0833333333333332E-2</v>
      </c>
      <c r="IOC91" s="76">
        <v>0.89444444444444449</v>
      </c>
      <c r="IOD91" s="77" t="str">
        <f t="shared" ref="IOD91:IPZ91" si="194">IF(IOC91="","",IF(IOC91&gt;IOH91,"O","P"))</f>
        <v>O</v>
      </c>
      <c r="IOE91" s="79">
        <v>5</v>
      </c>
      <c r="IOF91" s="75">
        <v>1276006</v>
      </c>
      <c r="IOG91" s="80"/>
      <c r="IOH91" s="81">
        <v>0.86944444444444446</v>
      </c>
      <c r="IOI91" s="74" t="s">
        <v>27</v>
      </c>
      <c r="IOJ91" s="74" t="s">
        <v>24</v>
      </c>
      <c r="IOK91" s="75" t="s">
        <v>25</v>
      </c>
      <c r="IOL91" s="76">
        <f>IFERROR(VLOOKUP(IOK91,'[1]List KPI'!$A$103:$F$118,6,0),"")</f>
        <v>1.0416666666666666E-2</v>
      </c>
      <c r="IOM91" s="76">
        <v>0.86944444444444446</v>
      </c>
      <c r="ION91" s="76">
        <v>0.86944444444444446</v>
      </c>
      <c r="IOO91" s="77" t="str">
        <f t="shared" si="193"/>
        <v>O</v>
      </c>
      <c r="IOP91" s="74" t="s">
        <v>28</v>
      </c>
      <c r="IOQ91" s="75" t="s">
        <v>23</v>
      </c>
      <c r="IOR91" s="78">
        <f>IFERROR(VLOOKUP(IOQ91,'[1]List KPI'!$M$3:$N$8,2,0),"")</f>
        <v>2.0833333333333332E-2</v>
      </c>
      <c r="IOS91" s="76">
        <v>0.89444444444444449</v>
      </c>
      <c r="IOT91" s="77" t="str">
        <f t="shared" si="194"/>
        <v>O</v>
      </c>
      <c r="IOU91" s="79">
        <v>5</v>
      </c>
      <c r="IOV91" s="75">
        <v>1276006</v>
      </c>
      <c r="IOW91" s="80"/>
      <c r="IOX91" s="81">
        <v>0.86944444444444446</v>
      </c>
      <c r="IOY91" s="74" t="s">
        <v>27</v>
      </c>
      <c r="IOZ91" s="74" t="s">
        <v>24</v>
      </c>
      <c r="IPA91" s="75" t="s">
        <v>25</v>
      </c>
      <c r="IPB91" s="76">
        <f>IFERROR(VLOOKUP(IPA91,'[1]List KPI'!$A$103:$F$118,6,0),"")</f>
        <v>1.0416666666666666E-2</v>
      </c>
      <c r="IPC91" s="76">
        <v>0.86944444444444446</v>
      </c>
      <c r="IPD91" s="76">
        <v>0.86944444444444446</v>
      </c>
      <c r="IPE91" s="77" t="str">
        <f t="shared" si="193"/>
        <v>O</v>
      </c>
      <c r="IPF91" s="74" t="s">
        <v>28</v>
      </c>
      <c r="IPG91" s="75" t="s">
        <v>23</v>
      </c>
      <c r="IPH91" s="78">
        <f>IFERROR(VLOOKUP(IPG91,'[1]List KPI'!$M$3:$N$8,2,0),"")</f>
        <v>2.0833333333333332E-2</v>
      </c>
      <c r="IPI91" s="76">
        <v>0.89444444444444449</v>
      </c>
      <c r="IPJ91" s="77" t="str">
        <f t="shared" si="194"/>
        <v>O</v>
      </c>
      <c r="IPK91" s="79">
        <v>5</v>
      </c>
      <c r="IPL91" s="75">
        <v>1276006</v>
      </c>
      <c r="IPM91" s="80"/>
      <c r="IPN91" s="81">
        <v>0.86944444444444446</v>
      </c>
      <c r="IPO91" s="74" t="s">
        <v>27</v>
      </c>
      <c r="IPP91" s="74" t="s">
        <v>24</v>
      </c>
      <c r="IPQ91" s="75" t="s">
        <v>25</v>
      </c>
      <c r="IPR91" s="76">
        <f>IFERROR(VLOOKUP(IPQ91,'[1]List KPI'!$A$103:$F$118,6,0),"")</f>
        <v>1.0416666666666666E-2</v>
      </c>
      <c r="IPS91" s="76">
        <v>0.86944444444444446</v>
      </c>
      <c r="IPT91" s="76">
        <v>0.86944444444444446</v>
      </c>
      <c r="IPU91" s="77" t="str">
        <f t="shared" si="193"/>
        <v>O</v>
      </c>
      <c r="IPV91" s="74" t="s">
        <v>28</v>
      </c>
      <c r="IPW91" s="75" t="s">
        <v>23</v>
      </c>
      <c r="IPX91" s="78">
        <f>IFERROR(VLOOKUP(IPW91,'[1]List KPI'!$M$3:$N$8,2,0),"")</f>
        <v>2.0833333333333332E-2</v>
      </c>
      <c r="IPY91" s="76">
        <v>0.89444444444444449</v>
      </c>
      <c r="IPZ91" s="77" t="str">
        <f t="shared" si="194"/>
        <v>O</v>
      </c>
      <c r="IQA91" s="79">
        <v>5</v>
      </c>
      <c r="IQB91" s="75">
        <v>1276006</v>
      </c>
      <c r="IQC91" s="80"/>
      <c r="IQD91" s="81">
        <v>0.86944444444444446</v>
      </c>
      <c r="IQE91" s="74" t="s">
        <v>27</v>
      </c>
      <c r="IQF91" s="74" t="s">
        <v>24</v>
      </c>
      <c r="IQG91" s="75" t="s">
        <v>25</v>
      </c>
      <c r="IQH91" s="76">
        <f>IFERROR(VLOOKUP(IQG91,'[1]List KPI'!$A$103:$F$118,6,0),"")</f>
        <v>1.0416666666666666E-2</v>
      </c>
      <c r="IQI91" s="76">
        <v>0.86944444444444446</v>
      </c>
      <c r="IQJ91" s="76">
        <v>0.86944444444444446</v>
      </c>
      <c r="IQK91" s="77" t="str">
        <f t="shared" ref="IQK91:ISG91" si="195">IF(IQJ91="","",IF(IQJ91&gt;IQS91,"O","P"))</f>
        <v>O</v>
      </c>
      <c r="IQL91" s="74" t="s">
        <v>28</v>
      </c>
      <c r="IQM91" s="75" t="s">
        <v>23</v>
      </c>
      <c r="IQN91" s="78">
        <f>IFERROR(VLOOKUP(IQM91,'[1]List KPI'!$M$3:$N$8,2,0),"")</f>
        <v>2.0833333333333332E-2</v>
      </c>
      <c r="IQO91" s="76">
        <v>0.89444444444444449</v>
      </c>
      <c r="IQP91" s="77" t="str">
        <f t="shared" ref="IQP91:ISL91" si="196">IF(IQO91="","",IF(IQO91&gt;IQT91,"O","P"))</f>
        <v>O</v>
      </c>
      <c r="IQQ91" s="79">
        <v>5</v>
      </c>
      <c r="IQR91" s="75">
        <v>1276006</v>
      </c>
      <c r="IQS91" s="80"/>
      <c r="IQT91" s="81">
        <v>0.86944444444444446</v>
      </c>
      <c r="IQU91" s="74" t="s">
        <v>27</v>
      </c>
      <c r="IQV91" s="74" t="s">
        <v>24</v>
      </c>
      <c r="IQW91" s="75" t="s">
        <v>25</v>
      </c>
      <c r="IQX91" s="76">
        <f>IFERROR(VLOOKUP(IQW91,'[1]List KPI'!$A$103:$F$118,6,0),"")</f>
        <v>1.0416666666666666E-2</v>
      </c>
      <c r="IQY91" s="76">
        <v>0.86944444444444446</v>
      </c>
      <c r="IQZ91" s="76">
        <v>0.86944444444444446</v>
      </c>
      <c r="IRA91" s="77" t="str">
        <f t="shared" si="195"/>
        <v>O</v>
      </c>
      <c r="IRB91" s="74" t="s">
        <v>28</v>
      </c>
      <c r="IRC91" s="75" t="s">
        <v>23</v>
      </c>
      <c r="IRD91" s="78">
        <f>IFERROR(VLOOKUP(IRC91,'[1]List KPI'!$M$3:$N$8,2,0),"")</f>
        <v>2.0833333333333332E-2</v>
      </c>
      <c r="IRE91" s="76">
        <v>0.89444444444444449</v>
      </c>
      <c r="IRF91" s="77" t="str">
        <f t="shared" si="196"/>
        <v>O</v>
      </c>
      <c r="IRG91" s="79">
        <v>5</v>
      </c>
      <c r="IRH91" s="75">
        <v>1276006</v>
      </c>
      <c r="IRI91" s="80"/>
      <c r="IRJ91" s="81">
        <v>0.86944444444444446</v>
      </c>
      <c r="IRK91" s="74" t="s">
        <v>27</v>
      </c>
      <c r="IRL91" s="74" t="s">
        <v>24</v>
      </c>
      <c r="IRM91" s="75" t="s">
        <v>25</v>
      </c>
      <c r="IRN91" s="76">
        <f>IFERROR(VLOOKUP(IRM91,'[1]List KPI'!$A$103:$F$118,6,0),"")</f>
        <v>1.0416666666666666E-2</v>
      </c>
      <c r="IRO91" s="76">
        <v>0.86944444444444446</v>
      </c>
      <c r="IRP91" s="76">
        <v>0.86944444444444446</v>
      </c>
      <c r="IRQ91" s="77" t="str">
        <f t="shared" si="195"/>
        <v>O</v>
      </c>
      <c r="IRR91" s="74" t="s">
        <v>28</v>
      </c>
      <c r="IRS91" s="75" t="s">
        <v>23</v>
      </c>
      <c r="IRT91" s="78">
        <f>IFERROR(VLOOKUP(IRS91,'[1]List KPI'!$M$3:$N$8,2,0),"")</f>
        <v>2.0833333333333332E-2</v>
      </c>
      <c r="IRU91" s="76">
        <v>0.89444444444444449</v>
      </c>
      <c r="IRV91" s="77" t="str">
        <f t="shared" si="196"/>
        <v>O</v>
      </c>
      <c r="IRW91" s="79">
        <v>5</v>
      </c>
      <c r="IRX91" s="75">
        <v>1276006</v>
      </c>
      <c r="IRY91" s="80"/>
      <c r="IRZ91" s="81">
        <v>0.86944444444444446</v>
      </c>
      <c r="ISA91" s="74" t="s">
        <v>27</v>
      </c>
      <c r="ISB91" s="74" t="s">
        <v>24</v>
      </c>
      <c r="ISC91" s="75" t="s">
        <v>25</v>
      </c>
      <c r="ISD91" s="76">
        <f>IFERROR(VLOOKUP(ISC91,'[1]List KPI'!$A$103:$F$118,6,0),"")</f>
        <v>1.0416666666666666E-2</v>
      </c>
      <c r="ISE91" s="76">
        <v>0.86944444444444446</v>
      </c>
      <c r="ISF91" s="76">
        <v>0.86944444444444446</v>
      </c>
      <c r="ISG91" s="77" t="str">
        <f t="shared" si="195"/>
        <v>O</v>
      </c>
      <c r="ISH91" s="74" t="s">
        <v>28</v>
      </c>
      <c r="ISI91" s="75" t="s">
        <v>23</v>
      </c>
      <c r="ISJ91" s="78">
        <f>IFERROR(VLOOKUP(ISI91,'[1]List KPI'!$M$3:$N$8,2,0),"")</f>
        <v>2.0833333333333332E-2</v>
      </c>
      <c r="ISK91" s="76">
        <v>0.89444444444444449</v>
      </c>
      <c r="ISL91" s="77" t="str">
        <f t="shared" si="196"/>
        <v>O</v>
      </c>
      <c r="ISM91" s="79">
        <v>5</v>
      </c>
      <c r="ISN91" s="75">
        <v>1276006</v>
      </c>
      <c r="ISO91" s="80"/>
      <c r="ISP91" s="81">
        <v>0.86944444444444446</v>
      </c>
      <c r="ISQ91" s="74" t="s">
        <v>27</v>
      </c>
      <c r="ISR91" s="74" t="s">
        <v>24</v>
      </c>
      <c r="ISS91" s="75" t="s">
        <v>25</v>
      </c>
      <c r="IST91" s="76">
        <f>IFERROR(VLOOKUP(ISS91,'[1]List KPI'!$A$103:$F$118,6,0),"")</f>
        <v>1.0416666666666666E-2</v>
      </c>
      <c r="ISU91" s="76">
        <v>0.86944444444444446</v>
      </c>
      <c r="ISV91" s="76">
        <v>0.86944444444444446</v>
      </c>
      <c r="ISW91" s="77" t="str">
        <f t="shared" ref="ISW91:IUS91" si="197">IF(ISV91="","",IF(ISV91&gt;ITE91,"O","P"))</f>
        <v>O</v>
      </c>
      <c r="ISX91" s="74" t="s">
        <v>28</v>
      </c>
      <c r="ISY91" s="75" t="s">
        <v>23</v>
      </c>
      <c r="ISZ91" s="78">
        <f>IFERROR(VLOOKUP(ISY91,'[1]List KPI'!$M$3:$N$8,2,0),"")</f>
        <v>2.0833333333333332E-2</v>
      </c>
      <c r="ITA91" s="76">
        <v>0.89444444444444449</v>
      </c>
      <c r="ITB91" s="77" t="str">
        <f t="shared" ref="ITB91:IUX91" si="198">IF(ITA91="","",IF(ITA91&gt;ITF91,"O","P"))</f>
        <v>O</v>
      </c>
      <c r="ITC91" s="79">
        <v>5</v>
      </c>
      <c r="ITD91" s="75">
        <v>1276006</v>
      </c>
      <c r="ITE91" s="80"/>
      <c r="ITF91" s="81">
        <v>0.86944444444444446</v>
      </c>
      <c r="ITG91" s="74" t="s">
        <v>27</v>
      </c>
      <c r="ITH91" s="74" t="s">
        <v>24</v>
      </c>
      <c r="ITI91" s="75" t="s">
        <v>25</v>
      </c>
      <c r="ITJ91" s="76">
        <f>IFERROR(VLOOKUP(ITI91,'[1]List KPI'!$A$103:$F$118,6,0),"")</f>
        <v>1.0416666666666666E-2</v>
      </c>
      <c r="ITK91" s="76">
        <v>0.86944444444444446</v>
      </c>
      <c r="ITL91" s="76">
        <v>0.86944444444444446</v>
      </c>
      <c r="ITM91" s="77" t="str">
        <f t="shared" si="197"/>
        <v>O</v>
      </c>
      <c r="ITN91" s="74" t="s">
        <v>28</v>
      </c>
      <c r="ITO91" s="75" t="s">
        <v>23</v>
      </c>
      <c r="ITP91" s="78">
        <f>IFERROR(VLOOKUP(ITO91,'[1]List KPI'!$M$3:$N$8,2,0),"")</f>
        <v>2.0833333333333332E-2</v>
      </c>
      <c r="ITQ91" s="76">
        <v>0.89444444444444449</v>
      </c>
      <c r="ITR91" s="77" t="str">
        <f t="shared" si="198"/>
        <v>O</v>
      </c>
      <c r="ITS91" s="79">
        <v>5</v>
      </c>
      <c r="ITT91" s="75">
        <v>1276006</v>
      </c>
      <c r="ITU91" s="80"/>
      <c r="ITV91" s="81">
        <v>0.86944444444444446</v>
      </c>
      <c r="ITW91" s="74" t="s">
        <v>27</v>
      </c>
      <c r="ITX91" s="74" t="s">
        <v>24</v>
      </c>
      <c r="ITY91" s="75" t="s">
        <v>25</v>
      </c>
      <c r="ITZ91" s="76">
        <f>IFERROR(VLOOKUP(ITY91,'[1]List KPI'!$A$103:$F$118,6,0),"")</f>
        <v>1.0416666666666666E-2</v>
      </c>
      <c r="IUA91" s="76">
        <v>0.86944444444444446</v>
      </c>
      <c r="IUB91" s="76">
        <v>0.86944444444444446</v>
      </c>
      <c r="IUC91" s="77" t="str">
        <f t="shared" si="197"/>
        <v>O</v>
      </c>
      <c r="IUD91" s="74" t="s">
        <v>28</v>
      </c>
      <c r="IUE91" s="75" t="s">
        <v>23</v>
      </c>
      <c r="IUF91" s="78">
        <f>IFERROR(VLOOKUP(IUE91,'[1]List KPI'!$M$3:$N$8,2,0),"")</f>
        <v>2.0833333333333332E-2</v>
      </c>
      <c r="IUG91" s="76">
        <v>0.89444444444444449</v>
      </c>
      <c r="IUH91" s="77" t="str">
        <f t="shared" si="198"/>
        <v>O</v>
      </c>
      <c r="IUI91" s="79">
        <v>5</v>
      </c>
      <c r="IUJ91" s="75">
        <v>1276006</v>
      </c>
      <c r="IUK91" s="80"/>
      <c r="IUL91" s="81">
        <v>0.86944444444444446</v>
      </c>
      <c r="IUM91" s="74" t="s">
        <v>27</v>
      </c>
      <c r="IUN91" s="74" t="s">
        <v>24</v>
      </c>
      <c r="IUO91" s="75" t="s">
        <v>25</v>
      </c>
      <c r="IUP91" s="76">
        <f>IFERROR(VLOOKUP(IUO91,'[1]List KPI'!$A$103:$F$118,6,0),"")</f>
        <v>1.0416666666666666E-2</v>
      </c>
      <c r="IUQ91" s="76">
        <v>0.86944444444444446</v>
      </c>
      <c r="IUR91" s="76">
        <v>0.86944444444444446</v>
      </c>
      <c r="IUS91" s="77" t="str">
        <f t="shared" si="197"/>
        <v>O</v>
      </c>
      <c r="IUT91" s="74" t="s">
        <v>28</v>
      </c>
      <c r="IUU91" s="75" t="s">
        <v>23</v>
      </c>
      <c r="IUV91" s="78">
        <f>IFERROR(VLOOKUP(IUU91,'[1]List KPI'!$M$3:$N$8,2,0),"")</f>
        <v>2.0833333333333332E-2</v>
      </c>
      <c r="IUW91" s="76">
        <v>0.89444444444444449</v>
      </c>
      <c r="IUX91" s="77" t="str">
        <f t="shared" si="198"/>
        <v>O</v>
      </c>
      <c r="IUY91" s="79">
        <v>5</v>
      </c>
      <c r="IUZ91" s="75">
        <v>1276006</v>
      </c>
      <c r="IVA91" s="80"/>
      <c r="IVB91" s="81">
        <v>0.86944444444444446</v>
      </c>
      <c r="IVC91" s="74" t="s">
        <v>27</v>
      </c>
      <c r="IVD91" s="74" t="s">
        <v>24</v>
      </c>
      <c r="IVE91" s="75" t="s">
        <v>25</v>
      </c>
      <c r="IVF91" s="76">
        <f>IFERROR(VLOOKUP(IVE91,'[1]List KPI'!$A$103:$F$118,6,0),"")</f>
        <v>1.0416666666666666E-2</v>
      </c>
      <c r="IVG91" s="76">
        <v>0.86944444444444446</v>
      </c>
      <c r="IVH91" s="76">
        <v>0.86944444444444446</v>
      </c>
      <c r="IVI91" s="77" t="str">
        <f t="shared" ref="IVI91:IXE91" si="199">IF(IVH91="","",IF(IVH91&gt;IVQ91,"O","P"))</f>
        <v>O</v>
      </c>
      <c r="IVJ91" s="74" t="s">
        <v>28</v>
      </c>
      <c r="IVK91" s="75" t="s">
        <v>23</v>
      </c>
      <c r="IVL91" s="78">
        <f>IFERROR(VLOOKUP(IVK91,'[1]List KPI'!$M$3:$N$8,2,0),"")</f>
        <v>2.0833333333333332E-2</v>
      </c>
      <c r="IVM91" s="76">
        <v>0.89444444444444449</v>
      </c>
      <c r="IVN91" s="77" t="str">
        <f t="shared" ref="IVN91:IXJ91" si="200">IF(IVM91="","",IF(IVM91&gt;IVR91,"O","P"))</f>
        <v>O</v>
      </c>
      <c r="IVO91" s="79">
        <v>5</v>
      </c>
      <c r="IVP91" s="75">
        <v>1276006</v>
      </c>
      <c r="IVQ91" s="80"/>
      <c r="IVR91" s="81">
        <v>0.86944444444444446</v>
      </c>
      <c r="IVS91" s="74" t="s">
        <v>27</v>
      </c>
      <c r="IVT91" s="74" t="s">
        <v>24</v>
      </c>
      <c r="IVU91" s="75" t="s">
        <v>25</v>
      </c>
      <c r="IVV91" s="76">
        <f>IFERROR(VLOOKUP(IVU91,'[1]List KPI'!$A$103:$F$118,6,0),"")</f>
        <v>1.0416666666666666E-2</v>
      </c>
      <c r="IVW91" s="76">
        <v>0.86944444444444446</v>
      </c>
      <c r="IVX91" s="76">
        <v>0.86944444444444446</v>
      </c>
      <c r="IVY91" s="77" t="str">
        <f t="shared" si="199"/>
        <v>O</v>
      </c>
      <c r="IVZ91" s="74" t="s">
        <v>28</v>
      </c>
      <c r="IWA91" s="75" t="s">
        <v>23</v>
      </c>
      <c r="IWB91" s="78">
        <f>IFERROR(VLOOKUP(IWA91,'[1]List KPI'!$M$3:$N$8,2,0),"")</f>
        <v>2.0833333333333332E-2</v>
      </c>
      <c r="IWC91" s="76">
        <v>0.89444444444444449</v>
      </c>
      <c r="IWD91" s="77" t="str">
        <f t="shared" si="200"/>
        <v>O</v>
      </c>
      <c r="IWE91" s="79">
        <v>5</v>
      </c>
      <c r="IWF91" s="75">
        <v>1276006</v>
      </c>
      <c r="IWG91" s="80"/>
      <c r="IWH91" s="81">
        <v>0.86944444444444446</v>
      </c>
      <c r="IWI91" s="74" t="s">
        <v>27</v>
      </c>
      <c r="IWJ91" s="74" t="s">
        <v>24</v>
      </c>
      <c r="IWK91" s="75" t="s">
        <v>25</v>
      </c>
      <c r="IWL91" s="76">
        <f>IFERROR(VLOOKUP(IWK91,'[1]List KPI'!$A$103:$F$118,6,0),"")</f>
        <v>1.0416666666666666E-2</v>
      </c>
      <c r="IWM91" s="76">
        <v>0.86944444444444446</v>
      </c>
      <c r="IWN91" s="76">
        <v>0.86944444444444446</v>
      </c>
      <c r="IWO91" s="77" t="str">
        <f t="shared" si="199"/>
        <v>O</v>
      </c>
      <c r="IWP91" s="74" t="s">
        <v>28</v>
      </c>
      <c r="IWQ91" s="75" t="s">
        <v>23</v>
      </c>
      <c r="IWR91" s="78">
        <f>IFERROR(VLOOKUP(IWQ91,'[1]List KPI'!$M$3:$N$8,2,0),"")</f>
        <v>2.0833333333333332E-2</v>
      </c>
      <c r="IWS91" s="76">
        <v>0.89444444444444449</v>
      </c>
      <c r="IWT91" s="77" t="str">
        <f t="shared" si="200"/>
        <v>O</v>
      </c>
      <c r="IWU91" s="79">
        <v>5</v>
      </c>
      <c r="IWV91" s="75">
        <v>1276006</v>
      </c>
      <c r="IWW91" s="80"/>
      <c r="IWX91" s="81">
        <v>0.86944444444444446</v>
      </c>
      <c r="IWY91" s="74" t="s">
        <v>27</v>
      </c>
      <c r="IWZ91" s="74" t="s">
        <v>24</v>
      </c>
      <c r="IXA91" s="75" t="s">
        <v>25</v>
      </c>
      <c r="IXB91" s="76">
        <f>IFERROR(VLOOKUP(IXA91,'[1]List KPI'!$A$103:$F$118,6,0),"")</f>
        <v>1.0416666666666666E-2</v>
      </c>
      <c r="IXC91" s="76">
        <v>0.86944444444444446</v>
      </c>
      <c r="IXD91" s="76">
        <v>0.86944444444444446</v>
      </c>
      <c r="IXE91" s="77" t="str">
        <f t="shared" si="199"/>
        <v>O</v>
      </c>
      <c r="IXF91" s="74" t="s">
        <v>28</v>
      </c>
      <c r="IXG91" s="75" t="s">
        <v>23</v>
      </c>
      <c r="IXH91" s="78">
        <f>IFERROR(VLOOKUP(IXG91,'[1]List KPI'!$M$3:$N$8,2,0),"")</f>
        <v>2.0833333333333332E-2</v>
      </c>
      <c r="IXI91" s="76">
        <v>0.89444444444444449</v>
      </c>
      <c r="IXJ91" s="77" t="str">
        <f t="shared" si="200"/>
        <v>O</v>
      </c>
      <c r="IXK91" s="79">
        <v>5</v>
      </c>
      <c r="IXL91" s="75">
        <v>1276006</v>
      </c>
      <c r="IXM91" s="80"/>
      <c r="IXN91" s="81">
        <v>0.86944444444444446</v>
      </c>
      <c r="IXO91" s="74" t="s">
        <v>27</v>
      </c>
      <c r="IXP91" s="74" t="s">
        <v>24</v>
      </c>
      <c r="IXQ91" s="75" t="s">
        <v>25</v>
      </c>
      <c r="IXR91" s="76">
        <f>IFERROR(VLOOKUP(IXQ91,'[1]List KPI'!$A$103:$F$118,6,0),"")</f>
        <v>1.0416666666666666E-2</v>
      </c>
      <c r="IXS91" s="76">
        <v>0.86944444444444446</v>
      </c>
      <c r="IXT91" s="76">
        <v>0.86944444444444446</v>
      </c>
      <c r="IXU91" s="77" t="str">
        <f t="shared" ref="IXU91:IZQ91" si="201">IF(IXT91="","",IF(IXT91&gt;IYC91,"O","P"))</f>
        <v>O</v>
      </c>
      <c r="IXV91" s="74" t="s">
        <v>28</v>
      </c>
      <c r="IXW91" s="75" t="s">
        <v>23</v>
      </c>
      <c r="IXX91" s="78">
        <f>IFERROR(VLOOKUP(IXW91,'[1]List KPI'!$M$3:$N$8,2,0),"")</f>
        <v>2.0833333333333332E-2</v>
      </c>
      <c r="IXY91" s="76">
        <v>0.89444444444444449</v>
      </c>
      <c r="IXZ91" s="77" t="str">
        <f t="shared" ref="IXZ91:IZV91" si="202">IF(IXY91="","",IF(IXY91&gt;IYD91,"O","P"))</f>
        <v>O</v>
      </c>
      <c r="IYA91" s="79">
        <v>5</v>
      </c>
      <c r="IYB91" s="75">
        <v>1276006</v>
      </c>
      <c r="IYC91" s="80"/>
      <c r="IYD91" s="81">
        <v>0.86944444444444446</v>
      </c>
      <c r="IYE91" s="74" t="s">
        <v>27</v>
      </c>
      <c r="IYF91" s="74" t="s">
        <v>24</v>
      </c>
      <c r="IYG91" s="75" t="s">
        <v>25</v>
      </c>
      <c r="IYH91" s="76">
        <f>IFERROR(VLOOKUP(IYG91,'[1]List KPI'!$A$103:$F$118,6,0),"")</f>
        <v>1.0416666666666666E-2</v>
      </c>
      <c r="IYI91" s="76">
        <v>0.86944444444444446</v>
      </c>
      <c r="IYJ91" s="76">
        <v>0.86944444444444446</v>
      </c>
      <c r="IYK91" s="77" t="str">
        <f t="shared" si="201"/>
        <v>O</v>
      </c>
      <c r="IYL91" s="74" t="s">
        <v>28</v>
      </c>
      <c r="IYM91" s="75" t="s">
        <v>23</v>
      </c>
      <c r="IYN91" s="78">
        <f>IFERROR(VLOOKUP(IYM91,'[1]List KPI'!$M$3:$N$8,2,0),"")</f>
        <v>2.0833333333333332E-2</v>
      </c>
      <c r="IYO91" s="76">
        <v>0.89444444444444449</v>
      </c>
      <c r="IYP91" s="77" t="str">
        <f t="shared" si="202"/>
        <v>O</v>
      </c>
      <c r="IYQ91" s="79">
        <v>5</v>
      </c>
      <c r="IYR91" s="75">
        <v>1276006</v>
      </c>
      <c r="IYS91" s="80"/>
      <c r="IYT91" s="81">
        <v>0.86944444444444446</v>
      </c>
      <c r="IYU91" s="74" t="s">
        <v>27</v>
      </c>
      <c r="IYV91" s="74" t="s">
        <v>24</v>
      </c>
      <c r="IYW91" s="75" t="s">
        <v>25</v>
      </c>
      <c r="IYX91" s="76">
        <f>IFERROR(VLOOKUP(IYW91,'[1]List KPI'!$A$103:$F$118,6,0),"")</f>
        <v>1.0416666666666666E-2</v>
      </c>
      <c r="IYY91" s="76">
        <v>0.86944444444444446</v>
      </c>
      <c r="IYZ91" s="76">
        <v>0.86944444444444446</v>
      </c>
      <c r="IZA91" s="77" t="str">
        <f t="shared" si="201"/>
        <v>O</v>
      </c>
      <c r="IZB91" s="74" t="s">
        <v>28</v>
      </c>
      <c r="IZC91" s="75" t="s">
        <v>23</v>
      </c>
      <c r="IZD91" s="78">
        <f>IFERROR(VLOOKUP(IZC91,'[1]List KPI'!$M$3:$N$8,2,0),"")</f>
        <v>2.0833333333333332E-2</v>
      </c>
      <c r="IZE91" s="76">
        <v>0.89444444444444449</v>
      </c>
      <c r="IZF91" s="77" t="str">
        <f t="shared" si="202"/>
        <v>O</v>
      </c>
      <c r="IZG91" s="79">
        <v>5</v>
      </c>
      <c r="IZH91" s="75">
        <v>1276006</v>
      </c>
      <c r="IZI91" s="80"/>
      <c r="IZJ91" s="81">
        <v>0.86944444444444446</v>
      </c>
      <c r="IZK91" s="74" t="s">
        <v>27</v>
      </c>
      <c r="IZL91" s="74" t="s">
        <v>24</v>
      </c>
      <c r="IZM91" s="75" t="s">
        <v>25</v>
      </c>
      <c r="IZN91" s="76">
        <f>IFERROR(VLOOKUP(IZM91,'[1]List KPI'!$A$103:$F$118,6,0),"")</f>
        <v>1.0416666666666666E-2</v>
      </c>
      <c r="IZO91" s="76">
        <v>0.86944444444444446</v>
      </c>
      <c r="IZP91" s="76">
        <v>0.86944444444444446</v>
      </c>
      <c r="IZQ91" s="77" t="str">
        <f t="shared" si="201"/>
        <v>O</v>
      </c>
      <c r="IZR91" s="74" t="s">
        <v>28</v>
      </c>
      <c r="IZS91" s="75" t="s">
        <v>23</v>
      </c>
      <c r="IZT91" s="78">
        <f>IFERROR(VLOOKUP(IZS91,'[1]List KPI'!$M$3:$N$8,2,0),"")</f>
        <v>2.0833333333333332E-2</v>
      </c>
      <c r="IZU91" s="76">
        <v>0.89444444444444449</v>
      </c>
      <c r="IZV91" s="77" t="str">
        <f t="shared" si="202"/>
        <v>O</v>
      </c>
      <c r="IZW91" s="79">
        <v>5</v>
      </c>
      <c r="IZX91" s="75">
        <v>1276006</v>
      </c>
      <c r="IZY91" s="80"/>
      <c r="IZZ91" s="81">
        <v>0.86944444444444446</v>
      </c>
      <c r="JAA91" s="74" t="s">
        <v>27</v>
      </c>
      <c r="JAB91" s="74" t="s">
        <v>24</v>
      </c>
      <c r="JAC91" s="75" t="s">
        <v>25</v>
      </c>
      <c r="JAD91" s="76">
        <f>IFERROR(VLOOKUP(JAC91,'[1]List KPI'!$A$103:$F$118,6,0),"")</f>
        <v>1.0416666666666666E-2</v>
      </c>
      <c r="JAE91" s="76">
        <v>0.86944444444444446</v>
      </c>
      <c r="JAF91" s="76">
        <v>0.86944444444444446</v>
      </c>
      <c r="JAG91" s="77" t="str">
        <f t="shared" ref="JAG91:JCC91" si="203">IF(JAF91="","",IF(JAF91&gt;JAO91,"O","P"))</f>
        <v>O</v>
      </c>
      <c r="JAH91" s="74" t="s">
        <v>28</v>
      </c>
      <c r="JAI91" s="75" t="s">
        <v>23</v>
      </c>
      <c r="JAJ91" s="78">
        <f>IFERROR(VLOOKUP(JAI91,'[1]List KPI'!$M$3:$N$8,2,0),"")</f>
        <v>2.0833333333333332E-2</v>
      </c>
      <c r="JAK91" s="76">
        <v>0.89444444444444449</v>
      </c>
      <c r="JAL91" s="77" t="str">
        <f t="shared" ref="JAL91:JCH91" si="204">IF(JAK91="","",IF(JAK91&gt;JAP91,"O","P"))</f>
        <v>O</v>
      </c>
      <c r="JAM91" s="79">
        <v>5</v>
      </c>
      <c r="JAN91" s="75">
        <v>1276006</v>
      </c>
      <c r="JAO91" s="80"/>
      <c r="JAP91" s="81">
        <v>0.86944444444444446</v>
      </c>
      <c r="JAQ91" s="74" t="s">
        <v>27</v>
      </c>
      <c r="JAR91" s="74" t="s">
        <v>24</v>
      </c>
      <c r="JAS91" s="75" t="s">
        <v>25</v>
      </c>
      <c r="JAT91" s="76">
        <f>IFERROR(VLOOKUP(JAS91,'[1]List KPI'!$A$103:$F$118,6,0),"")</f>
        <v>1.0416666666666666E-2</v>
      </c>
      <c r="JAU91" s="76">
        <v>0.86944444444444446</v>
      </c>
      <c r="JAV91" s="76">
        <v>0.86944444444444446</v>
      </c>
      <c r="JAW91" s="77" t="str">
        <f t="shared" si="203"/>
        <v>O</v>
      </c>
      <c r="JAX91" s="74" t="s">
        <v>28</v>
      </c>
      <c r="JAY91" s="75" t="s">
        <v>23</v>
      </c>
      <c r="JAZ91" s="78">
        <f>IFERROR(VLOOKUP(JAY91,'[1]List KPI'!$M$3:$N$8,2,0),"")</f>
        <v>2.0833333333333332E-2</v>
      </c>
      <c r="JBA91" s="76">
        <v>0.89444444444444449</v>
      </c>
      <c r="JBB91" s="77" t="str">
        <f t="shared" si="204"/>
        <v>O</v>
      </c>
      <c r="JBC91" s="79">
        <v>5</v>
      </c>
      <c r="JBD91" s="75">
        <v>1276006</v>
      </c>
      <c r="JBE91" s="80"/>
      <c r="JBF91" s="81">
        <v>0.86944444444444446</v>
      </c>
      <c r="JBG91" s="74" t="s">
        <v>27</v>
      </c>
      <c r="JBH91" s="74" t="s">
        <v>24</v>
      </c>
      <c r="JBI91" s="75" t="s">
        <v>25</v>
      </c>
      <c r="JBJ91" s="76">
        <f>IFERROR(VLOOKUP(JBI91,'[1]List KPI'!$A$103:$F$118,6,0),"")</f>
        <v>1.0416666666666666E-2</v>
      </c>
      <c r="JBK91" s="76">
        <v>0.86944444444444446</v>
      </c>
      <c r="JBL91" s="76">
        <v>0.86944444444444446</v>
      </c>
      <c r="JBM91" s="77" t="str">
        <f t="shared" si="203"/>
        <v>O</v>
      </c>
      <c r="JBN91" s="74" t="s">
        <v>28</v>
      </c>
      <c r="JBO91" s="75" t="s">
        <v>23</v>
      </c>
      <c r="JBP91" s="78">
        <f>IFERROR(VLOOKUP(JBO91,'[1]List KPI'!$M$3:$N$8,2,0),"")</f>
        <v>2.0833333333333332E-2</v>
      </c>
      <c r="JBQ91" s="76">
        <v>0.89444444444444449</v>
      </c>
      <c r="JBR91" s="77" t="str">
        <f t="shared" si="204"/>
        <v>O</v>
      </c>
      <c r="JBS91" s="79">
        <v>5</v>
      </c>
      <c r="JBT91" s="75">
        <v>1276006</v>
      </c>
      <c r="JBU91" s="80"/>
      <c r="JBV91" s="81">
        <v>0.86944444444444446</v>
      </c>
      <c r="JBW91" s="74" t="s">
        <v>27</v>
      </c>
      <c r="JBX91" s="74" t="s">
        <v>24</v>
      </c>
      <c r="JBY91" s="75" t="s">
        <v>25</v>
      </c>
      <c r="JBZ91" s="76">
        <f>IFERROR(VLOOKUP(JBY91,'[1]List KPI'!$A$103:$F$118,6,0),"")</f>
        <v>1.0416666666666666E-2</v>
      </c>
      <c r="JCA91" s="76">
        <v>0.86944444444444446</v>
      </c>
      <c r="JCB91" s="76">
        <v>0.86944444444444446</v>
      </c>
      <c r="JCC91" s="77" t="str">
        <f t="shared" si="203"/>
        <v>O</v>
      </c>
      <c r="JCD91" s="74" t="s">
        <v>28</v>
      </c>
      <c r="JCE91" s="75" t="s">
        <v>23</v>
      </c>
      <c r="JCF91" s="78">
        <f>IFERROR(VLOOKUP(JCE91,'[1]List KPI'!$M$3:$N$8,2,0),"")</f>
        <v>2.0833333333333332E-2</v>
      </c>
      <c r="JCG91" s="76">
        <v>0.89444444444444449</v>
      </c>
      <c r="JCH91" s="77" t="str">
        <f t="shared" si="204"/>
        <v>O</v>
      </c>
      <c r="JCI91" s="79">
        <v>5</v>
      </c>
      <c r="JCJ91" s="75">
        <v>1276006</v>
      </c>
      <c r="JCK91" s="80"/>
      <c r="JCL91" s="81">
        <v>0.86944444444444446</v>
      </c>
      <c r="JCM91" s="74" t="s">
        <v>27</v>
      </c>
      <c r="JCN91" s="74" t="s">
        <v>24</v>
      </c>
      <c r="JCO91" s="75" t="s">
        <v>25</v>
      </c>
      <c r="JCP91" s="76">
        <f>IFERROR(VLOOKUP(JCO91,'[1]List KPI'!$A$103:$F$118,6,0),"")</f>
        <v>1.0416666666666666E-2</v>
      </c>
      <c r="JCQ91" s="76">
        <v>0.86944444444444446</v>
      </c>
      <c r="JCR91" s="76">
        <v>0.86944444444444446</v>
      </c>
      <c r="JCS91" s="77" t="str">
        <f t="shared" ref="JCS91:JEO91" si="205">IF(JCR91="","",IF(JCR91&gt;JDA91,"O","P"))</f>
        <v>O</v>
      </c>
      <c r="JCT91" s="74" t="s">
        <v>28</v>
      </c>
      <c r="JCU91" s="75" t="s">
        <v>23</v>
      </c>
      <c r="JCV91" s="78">
        <f>IFERROR(VLOOKUP(JCU91,'[1]List KPI'!$M$3:$N$8,2,0),"")</f>
        <v>2.0833333333333332E-2</v>
      </c>
      <c r="JCW91" s="76">
        <v>0.89444444444444449</v>
      </c>
      <c r="JCX91" s="77" t="str">
        <f t="shared" ref="JCX91:JET91" si="206">IF(JCW91="","",IF(JCW91&gt;JDB91,"O","P"))</f>
        <v>O</v>
      </c>
      <c r="JCY91" s="79">
        <v>5</v>
      </c>
      <c r="JCZ91" s="75">
        <v>1276006</v>
      </c>
      <c r="JDA91" s="80"/>
      <c r="JDB91" s="81">
        <v>0.86944444444444446</v>
      </c>
      <c r="JDC91" s="74" t="s">
        <v>27</v>
      </c>
      <c r="JDD91" s="74" t="s">
        <v>24</v>
      </c>
      <c r="JDE91" s="75" t="s">
        <v>25</v>
      </c>
      <c r="JDF91" s="76">
        <f>IFERROR(VLOOKUP(JDE91,'[1]List KPI'!$A$103:$F$118,6,0),"")</f>
        <v>1.0416666666666666E-2</v>
      </c>
      <c r="JDG91" s="76">
        <v>0.86944444444444446</v>
      </c>
      <c r="JDH91" s="76">
        <v>0.86944444444444446</v>
      </c>
      <c r="JDI91" s="77" t="str">
        <f t="shared" si="205"/>
        <v>O</v>
      </c>
      <c r="JDJ91" s="74" t="s">
        <v>28</v>
      </c>
      <c r="JDK91" s="75" t="s">
        <v>23</v>
      </c>
      <c r="JDL91" s="78">
        <f>IFERROR(VLOOKUP(JDK91,'[1]List KPI'!$M$3:$N$8,2,0),"")</f>
        <v>2.0833333333333332E-2</v>
      </c>
      <c r="JDM91" s="76">
        <v>0.89444444444444449</v>
      </c>
      <c r="JDN91" s="77" t="str">
        <f t="shared" si="206"/>
        <v>O</v>
      </c>
      <c r="JDO91" s="79">
        <v>5</v>
      </c>
      <c r="JDP91" s="75">
        <v>1276006</v>
      </c>
      <c r="JDQ91" s="80"/>
      <c r="JDR91" s="81">
        <v>0.86944444444444446</v>
      </c>
      <c r="JDS91" s="74" t="s">
        <v>27</v>
      </c>
      <c r="JDT91" s="74" t="s">
        <v>24</v>
      </c>
      <c r="JDU91" s="75" t="s">
        <v>25</v>
      </c>
      <c r="JDV91" s="76">
        <f>IFERROR(VLOOKUP(JDU91,'[1]List KPI'!$A$103:$F$118,6,0),"")</f>
        <v>1.0416666666666666E-2</v>
      </c>
      <c r="JDW91" s="76">
        <v>0.86944444444444446</v>
      </c>
      <c r="JDX91" s="76">
        <v>0.86944444444444446</v>
      </c>
      <c r="JDY91" s="77" t="str">
        <f t="shared" si="205"/>
        <v>O</v>
      </c>
      <c r="JDZ91" s="74" t="s">
        <v>28</v>
      </c>
      <c r="JEA91" s="75" t="s">
        <v>23</v>
      </c>
      <c r="JEB91" s="78">
        <f>IFERROR(VLOOKUP(JEA91,'[1]List KPI'!$M$3:$N$8,2,0),"")</f>
        <v>2.0833333333333332E-2</v>
      </c>
      <c r="JEC91" s="76">
        <v>0.89444444444444449</v>
      </c>
      <c r="JED91" s="77" t="str">
        <f t="shared" si="206"/>
        <v>O</v>
      </c>
      <c r="JEE91" s="79">
        <v>5</v>
      </c>
      <c r="JEF91" s="75">
        <v>1276006</v>
      </c>
      <c r="JEG91" s="80"/>
      <c r="JEH91" s="81">
        <v>0.86944444444444446</v>
      </c>
      <c r="JEI91" s="74" t="s">
        <v>27</v>
      </c>
      <c r="JEJ91" s="74" t="s">
        <v>24</v>
      </c>
      <c r="JEK91" s="75" t="s">
        <v>25</v>
      </c>
      <c r="JEL91" s="76">
        <f>IFERROR(VLOOKUP(JEK91,'[1]List KPI'!$A$103:$F$118,6,0),"")</f>
        <v>1.0416666666666666E-2</v>
      </c>
      <c r="JEM91" s="76">
        <v>0.86944444444444446</v>
      </c>
      <c r="JEN91" s="76">
        <v>0.86944444444444446</v>
      </c>
      <c r="JEO91" s="77" t="str">
        <f t="shared" si="205"/>
        <v>O</v>
      </c>
      <c r="JEP91" s="74" t="s">
        <v>28</v>
      </c>
      <c r="JEQ91" s="75" t="s">
        <v>23</v>
      </c>
      <c r="JER91" s="78">
        <f>IFERROR(VLOOKUP(JEQ91,'[1]List KPI'!$M$3:$N$8,2,0),"")</f>
        <v>2.0833333333333332E-2</v>
      </c>
      <c r="JES91" s="76">
        <v>0.89444444444444449</v>
      </c>
      <c r="JET91" s="77" t="str">
        <f t="shared" si="206"/>
        <v>O</v>
      </c>
      <c r="JEU91" s="79">
        <v>5</v>
      </c>
      <c r="JEV91" s="75">
        <v>1276006</v>
      </c>
      <c r="JEW91" s="80"/>
      <c r="JEX91" s="81">
        <v>0.86944444444444446</v>
      </c>
      <c r="JEY91" s="74" t="s">
        <v>27</v>
      </c>
      <c r="JEZ91" s="74" t="s">
        <v>24</v>
      </c>
      <c r="JFA91" s="75" t="s">
        <v>25</v>
      </c>
      <c r="JFB91" s="76">
        <f>IFERROR(VLOOKUP(JFA91,'[1]List KPI'!$A$103:$F$118,6,0),"")</f>
        <v>1.0416666666666666E-2</v>
      </c>
      <c r="JFC91" s="76">
        <v>0.86944444444444446</v>
      </c>
      <c r="JFD91" s="76">
        <v>0.86944444444444446</v>
      </c>
      <c r="JFE91" s="77" t="str">
        <f t="shared" ref="JFE91:JHA91" si="207">IF(JFD91="","",IF(JFD91&gt;JFM91,"O","P"))</f>
        <v>O</v>
      </c>
      <c r="JFF91" s="74" t="s">
        <v>28</v>
      </c>
      <c r="JFG91" s="75" t="s">
        <v>23</v>
      </c>
      <c r="JFH91" s="78">
        <f>IFERROR(VLOOKUP(JFG91,'[1]List KPI'!$M$3:$N$8,2,0),"")</f>
        <v>2.0833333333333332E-2</v>
      </c>
      <c r="JFI91" s="76">
        <v>0.89444444444444449</v>
      </c>
      <c r="JFJ91" s="77" t="str">
        <f t="shared" ref="JFJ91:JHF91" si="208">IF(JFI91="","",IF(JFI91&gt;JFN91,"O","P"))</f>
        <v>O</v>
      </c>
      <c r="JFK91" s="79">
        <v>5</v>
      </c>
      <c r="JFL91" s="75">
        <v>1276006</v>
      </c>
      <c r="JFM91" s="80"/>
      <c r="JFN91" s="81">
        <v>0.86944444444444446</v>
      </c>
      <c r="JFO91" s="74" t="s">
        <v>27</v>
      </c>
      <c r="JFP91" s="74" t="s">
        <v>24</v>
      </c>
      <c r="JFQ91" s="75" t="s">
        <v>25</v>
      </c>
      <c r="JFR91" s="76">
        <f>IFERROR(VLOOKUP(JFQ91,'[1]List KPI'!$A$103:$F$118,6,0),"")</f>
        <v>1.0416666666666666E-2</v>
      </c>
      <c r="JFS91" s="76">
        <v>0.86944444444444446</v>
      </c>
      <c r="JFT91" s="76">
        <v>0.86944444444444446</v>
      </c>
      <c r="JFU91" s="77" t="str">
        <f t="shared" si="207"/>
        <v>O</v>
      </c>
      <c r="JFV91" s="74" t="s">
        <v>28</v>
      </c>
      <c r="JFW91" s="75" t="s">
        <v>23</v>
      </c>
      <c r="JFX91" s="78">
        <f>IFERROR(VLOOKUP(JFW91,'[1]List KPI'!$M$3:$N$8,2,0),"")</f>
        <v>2.0833333333333332E-2</v>
      </c>
      <c r="JFY91" s="76">
        <v>0.89444444444444449</v>
      </c>
      <c r="JFZ91" s="77" t="str">
        <f t="shared" si="208"/>
        <v>O</v>
      </c>
      <c r="JGA91" s="79">
        <v>5</v>
      </c>
      <c r="JGB91" s="75">
        <v>1276006</v>
      </c>
      <c r="JGC91" s="80"/>
      <c r="JGD91" s="81">
        <v>0.86944444444444446</v>
      </c>
      <c r="JGE91" s="74" t="s">
        <v>27</v>
      </c>
      <c r="JGF91" s="74" t="s">
        <v>24</v>
      </c>
      <c r="JGG91" s="75" t="s">
        <v>25</v>
      </c>
      <c r="JGH91" s="76">
        <f>IFERROR(VLOOKUP(JGG91,'[1]List KPI'!$A$103:$F$118,6,0),"")</f>
        <v>1.0416666666666666E-2</v>
      </c>
      <c r="JGI91" s="76">
        <v>0.86944444444444446</v>
      </c>
      <c r="JGJ91" s="76">
        <v>0.86944444444444446</v>
      </c>
      <c r="JGK91" s="77" t="str">
        <f t="shared" si="207"/>
        <v>O</v>
      </c>
      <c r="JGL91" s="74" t="s">
        <v>28</v>
      </c>
      <c r="JGM91" s="75" t="s">
        <v>23</v>
      </c>
      <c r="JGN91" s="78">
        <f>IFERROR(VLOOKUP(JGM91,'[1]List KPI'!$M$3:$N$8,2,0),"")</f>
        <v>2.0833333333333332E-2</v>
      </c>
      <c r="JGO91" s="76">
        <v>0.89444444444444449</v>
      </c>
      <c r="JGP91" s="77" t="str">
        <f t="shared" si="208"/>
        <v>O</v>
      </c>
      <c r="JGQ91" s="79">
        <v>5</v>
      </c>
      <c r="JGR91" s="75">
        <v>1276006</v>
      </c>
      <c r="JGS91" s="80"/>
      <c r="JGT91" s="81">
        <v>0.86944444444444446</v>
      </c>
      <c r="JGU91" s="74" t="s">
        <v>27</v>
      </c>
      <c r="JGV91" s="74" t="s">
        <v>24</v>
      </c>
      <c r="JGW91" s="75" t="s">
        <v>25</v>
      </c>
      <c r="JGX91" s="76">
        <f>IFERROR(VLOOKUP(JGW91,'[1]List KPI'!$A$103:$F$118,6,0),"")</f>
        <v>1.0416666666666666E-2</v>
      </c>
      <c r="JGY91" s="76">
        <v>0.86944444444444446</v>
      </c>
      <c r="JGZ91" s="76">
        <v>0.86944444444444446</v>
      </c>
      <c r="JHA91" s="77" t="str">
        <f t="shared" si="207"/>
        <v>O</v>
      </c>
      <c r="JHB91" s="74" t="s">
        <v>28</v>
      </c>
      <c r="JHC91" s="75" t="s">
        <v>23</v>
      </c>
      <c r="JHD91" s="78">
        <f>IFERROR(VLOOKUP(JHC91,'[1]List KPI'!$M$3:$N$8,2,0),"")</f>
        <v>2.0833333333333332E-2</v>
      </c>
      <c r="JHE91" s="76">
        <v>0.89444444444444449</v>
      </c>
      <c r="JHF91" s="77" t="str">
        <f t="shared" si="208"/>
        <v>O</v>
      </c>
      <c r="JHG91" s="79">
        <v>5</v>
      </c>
      <c r="JHH91" s="75">
        <v>1276006</v>
      </c>
      <c r="JHI91" s="80"/>
      <c r="JHJ91" s="81">
        <v>0.86944444444444446</v>
      </c>
      <c r="JHK91" s="74" t="s">
        <v>27</v>
      </c>
      <c r="JHL91" s="74" t="s">
        <v>24</v>
      </c>
      <c r="JHM91" s="75" t="s">
        <v>25</v>
      </c>
      <c r="JHN91" s="76">
        <f>IFERROR(VLOOKUP(JHM91,'[1]List KPI'!$A$103:$F$118,6,0),"")</f>
        <v>1.0416666666666666E-2</v>
      </c>
      <c r="JHO91" s="76">
        <v>0.86944444444444446</v>
      </c>
      <c r="JHP91" s="76">
        <v>0.86944444444444446</v>
      </c>
      <c r="JHQ91" s="77" t="str">
        <f t="shared" ref="JHQ91:JJM91" si="209">IF(JHP91="","",IF(JHP91&gt;JHY91,"O","P"))</f>
        <v>O</v>
      </c>
      <c r="JHR91" s="74" t="s">
        <v>28</v>
      </c>
      <c r="JHS91" s="75" t="s">
        <v>23</v>
      </c>
      <c r="JHT91" s="78">
        <f>IFERROR(VLOOKUP(JHS91,'[1]List KPI'!$M$3:$N$8,2,0),"")</f>
        <v>2.0833333333333332E-2</v>
      </c>
      <c r="JHU91" s="76">
        <v>0.89444444444444449</v>
      </c>
      <c r="JHV91" s="77" t="str">
        <f t="shared" ref="JHV91:JJR91" si="210">IF(JHU91="","",IF(JHU91&gt;JHZ91,"O","P"))</f>
        <v>O</v>
      </c>
      <c r="JHW91" s="79">
        <v>5</v>
      </c>
      <c r="JHX91" s="75">
        <v>1276006</v>
      </c>
      <c r="JHY91" s="80"/>
      <c r="JHZ91" s="81">
        <v>0.86944444444444446</v>
      </c>
      <c r="JIA91" s="74" t="s">
        <v>27</v>
      </c>
      <c r="JIB91" s="74" t="s">
        <v>24</v>
      </c>
      <c r="JIC91" s="75" t="s">
        <v>25</v>
      </c>
      <c r="JID91" s="76">
        <f>IFERROR(VLOOKUP(JIC91,'[1]List KPI'!$A$103:$F$118,6,0),"")</f>
        <v>1.0416666666666666E-2</v>
      </c>
      <c r="JIE91" s="76">
        <v>0.86944444444444446</v>
      </c>
      <c r="JIF91" s="76">
        <v>0.86944444444444446</v>
      </c>
      <c r="JIG91" s="77" t="str">
        <f t="shared" si="209"/>
        <v>O</v>
      </c>
      <c r="JIH91" s="74" t="s">
        <v>28</v>
      </c>
      <c r="JII91" s="75" t="s">
        <v>23</v>
      </c>
      <c r="JIJ91" s="78">
        <f>IFERROR(VLOOKUP(JII91,'[1]List KPI'!$M$3:$N$8,2,0),"")</f>
        <v>2.0833333333333332E-2</v>
      </c>
      <c r="JIK91" s="76">
        <v>0.89444444444444449</v>
      </c>
      <c r="JIL91" s="77" t="str">
        <f t="shared" si="210"/>
        <v>O</v>
      </c>
      <c r="JIM91" s="79">
        <v>5</v>
      </c>
      <c r="JIN91" s="75">
        <v>1276006</v>
      </c>
      <c r="JIO91" s="80"/>
      <c r="JIP91" s="81">
        <v>0.86944444444444446</v>
      </c>
      <c r="JIQ91" s="74" t="s">
        <v>27</v>
      </c>
      <c r="JIR91" s="74" t="s">
        <v>24</v>
      </c>
      <c r="JIS91" s="75" t="s">
        <v>25</v>
      </c>
      <c r="JIT91" s="76">
        <f>IFERROR(VLOOKUP(JIS91,'[1]List KPI'!$A$103:$F$118,6,0),"")</f>
        <v>1.0416666666666666E-2</v>
      </c>
      <c r="JIU91" s="76">
        <v>0.86944444444444446</v>
      </c>
      <c r="JIV91" s="76">
        <v>0.86944444444444446</v>
      </c>
      <c r="JIW91" s="77" t="str">
        <f t="shared" si="209"/>
        <v>O</v>
      </c>
      <c r="JIX91" s="74" t="s">
        <v>28</v>
      </c>
      <c r="JIY91" s="75" t="s">
        <v>23</v>
      </c>
      <c r="JIZ91" s="78">
        <f>IFERROR(VLOOKUP(JIY91,'[1]List KPI'!$M$3:$N$8,2,0),"")</f>
        <v>2.0833333333333332E-2</v>
      </c>
      <c r="JJA91" s="76">
        <v>0.89444444444444449</v>
      </c>
      <c r="JJB91" s="77" t="str">
        <f t="shared" si="210"/>
        <v>O</v>
      </c>
      <c r="JJC91" s="79">
        <v>5</v>
      </c>
      <c r="JJD91" s="75">
        <v>1276006</v>
      </c>
      <c r="JJE91" s="80"/>
      <c r="JJF91" s="81">
        <v>0.86944444444444446</v>
      </c>
      <c r="JJG91" s="74" t="s">
        <v>27</v>
      </c>
      <c r="JJH91" s="74" t="s">
        <v>24</v>
      </c>
      <c r="JJI91" s="75" t="s">
        <v>25</v>
      </c>
      <c r="JJJ91" s="76">
        <f>IFERROR(VLOOKUP(JJI91,'[1]List KPI'!$A$103:$F$118,6,0),"")</f>
        <v>1.0416666666666666E-2</v>
      </c>
      <c r="JJK91" s="76">
        <v>0.86944444444444446</v>
      </c>
      <c r="JJL91" s="76">
        <v>0.86944444444444446</v>
      </c>
      <c r="JJM91" s="77" t="str">
        <f t="shared" si="209"/>
        <v>O</v>
      </c>
      <c r="JJN91" s="74" t="s">
        <v>28</v>
      </c>
      <c r="JJO91" s="75" t="s">
        <v>23</v>
      </c>
      <c r="JJP91" s="78">
        <f>IFERROR(VLOOKUP(JJO91,'[1]List KPI'!$M$3:$N$8,2,0),"")</f>
        <v>2.0833333333333332E-2</v>
      </c>
      <c r="JJQ91" s="76">
        <v>0.89444444444444449</v>
      </c>
      <c r="JJR91" s="77" t="str">
        <f t="shared" si="210"/>
        <v>O</v>
      </c>
      <c r="JJS91" s="79">
        <v>5</v>
      </c>
      <c r="JJT91" s="75">
        <v>1276006</v>
      </c>
      <c r="JJU91" s="80"/>
      <c r="JJV91" s="81">
        <v>0.86944444444444446</v>
      </c>
      <c r="JJW91" s="74" t="s">
        <v>27</v>
      </c>
      <c r="JJX91" s="74" t="s">
        <v>24</v>
      </c>
      <c r="JJY91" s="75" t="s">
        <v>25</v>
      </c>
      <c r="JJZ91" s="76">
        <f>IFERROR(VLOOKUP(JJY91,'[1]List KPI'!$A$103:$F$118,6,0),"")</f>
        <v>1.0416666666666666E-2</v>
      </c>
      <c r="JKA91" s="76">
        <v>0.86944444444444446</v>
      </c>
      <c r="JKB91" s="76">
        <v>0.86944444444444446</v>
      </c>
      <c r="JKC91" s="77" t="str">
        <f t="shared" ref="JKC91:JLY91" si="211">IF(JKB91="","",IF(JKB91&gt;JKK91,"O","P"))</f>
        <v>O</v>
      </c>
      <c r="JKD91" s="74" t="s">
        <v>28</v>
      </c>
      <c r="JKE91" s="75" t="s">
        <v>23</v>
      </c>
      <c r="JKF91" s="78">
        <f>IFERROR(VLOOKUP(JKE91,'[1]List KPI'!$M$3:$N$8,2,0),"")</f>
        <v>2.0833333333333332E-2</v>
      </c>
      <c r="JKG91" s="76">
        <v>0.89444444444444449</v>
      </c>
      <c r="JKH91" s="77" t="str">
        <f t="shared" ref="JKH91:JMD91" si="212">IF(JKG91="","",IF(JKG91&gt;JKL91,"O","P"))</f>
        <v>O</v>
      </c>
      <c r="JKI91" s="79">
        <v>5</v>
      </c>
      <c r="JKJ91" s="75">
        <v>1276006</v>
      </c>
      <c r="JKK91" s="80"/>
      <c r="JKL91" s="81">
        <v>0.86944444444444446</v>
      </c>
      <c r="JKM91" s="74" t="s">
        <v>27</v>
      </c>
      <c r="JKN91" s="74" t="s">
        <v>24</v>
      </c>
      <c r="JKO91" s="75" t="s">
        <v>25</v>
      </c>
      <c r="JKP91" s="76">
        <f>IFERROR(VLOOKUP(JKO91,'[1]List KPI'!$A$103:$F$118,6,0),"")</f>
        <v>1.0416666666666666E-2</v>
      </c>
      <c r="JKQ91" s="76">
        <v>0.86944444444444446</v>
      </c>
      <c r="JKR91" s="76">
        <v>0.86944444444444446</v>
      </c>
      <c r="JKS91" s="77" t="str">
        <f t="shared" si="211"/>
        <v>O</v>
      </c>
      <c r="JKT91" s="74" t="s">
        <v>28</v>
      </c>
      <c r="JKU91" s="75" t="s">
        <v>23</v>
      </c>
      <c r="JKV91" s="78">
        <f>IFERROR(VLOOKUP(JKU91,'[1]List KPI'!$M$3:$N$8,2,0),"")</f>
        <v>2.0833333333333332E-2</v>
      </c>
      <c r="JKW91" s="76">
        <v>0.89444444444444449</v>
      </c>
      <c r="JKX91" s="77" t="str">
        <f t="shared" si="212"/>
        <v>O</v>
      </c>
      <c r="JKY91" s="79">
        <v>5</v>
      </c>
      <c r="JKZ91" s="75">
        <v>1276006</v>
      </c>
      <c r="JLA91" s="80"/>
      <c r="JLB91" s="81">
        <v>0.86944444444444446</v>
      </c>
      <c r="JLC91" s="74" t="s">
        <v>27</v>
      </c>
      <c r="JLD91" s="74" t="s">
        <v>24</v>
      </c>
      <c r="JLE91" s="75" t="s">
        <v>25</v>
      </c>
      <c r="JLF91" s="76">
        <f>IFERROR(VLOOKUP(JLE91,'[1]List KPI'!$A$103:$F$118,6,0),"")</f>
        <v>1.0416666666666666E-2</v>
      </c>
      <c r="JLG91" s="76">
        <v>0.86944444444444446</v>
      </c>
      <c r="JLH91" s="76">
        <v>0.86944444444444446</v>
      </c>
      <c r="JLI91" s="77" t="str">
        <f t="shared" si="211"/>
        <v>O</v>
      </c>
      <c r="JLJ91" s="74" t="s">
        <v>28</v>
      </c>
      <c r="JLK91" s="75" t="s">
        <v>23</v>
      </c>
      <c r="JLL91" s="78">
        <f>IFERROR(VLOOKUP(JLK91,'[1]List KPI'!$M$3:$N$8,2,0),"")</f>
        <v>2.0833333333333332E-2</v>
      </c>
      <c r="JLM91" s="76">
        <v>0.89444444444444449</v>
      </c>
      <c r="JLN91" s="77" t="str">
        <f t="shared" si="212"/>
        <v>O</v>
      </c>
      <c r="JLO91" s="79">
        <v>5</v>
      </c>
      <c r="JLP91" s="75">
        <v>1276006</v>
      </c>
      <c r="JLQ91" s="80"/>
      <c r="JLR91" s="81">
        <v>0.86944444444444446</v>
      </c>
      <c r="JLS91" s="74" t="s">
        <v>27</v>
      </c>
      <c r="JLT91" s="74" t="s">
        <v>24</v>
      </c>
      <c r="JLU91" s="75" t="s">
        <v>25</v>
      </c>
      <c r="JLV91" s="76">
        <f>IFERROR(VLOOKUP(JLU91,'[1]List KPI'!$A$103:$F$118,6,0),"")</f>
        <v>1.0416666666666666E-2</v>
      </c>
      <c r="JLW91" s="76">
        <v>0.86944444444444446</v>
      </c>
      <c r="JLX91" s="76">
        <v>0.86944444444444446</v>
      </c>
      <c r="JLY91" s="77" t="str">
        <f t="shared" si="211"/>
        <v>O</v>
      </c>
      <c r="JLZ91" s="74" t="s">
        <v>28</v>
      </c>
      <c r="JMA91" s="75" t="s">
        <v>23</v>
      </c>
      <c r="JMB91" s="78">
        <f>IFERROR(VLOOKUP(JMA91,'[1]List KPI'!$M$3:$N$8,2,0),"")</f>
        <v>2.0833333333333332E-2</v>
      </c>
      <c r="JMC91" s="76">
        <v>0.89444444444444449</v>
      </c>
      <c r="JMD91" s="77" t="str">
        <f t="shared" si="212"/>
        <v>O</v>
      </c>
      <c r="JME91" s="79">
        <v>5</v>
      </c>
      <c r="JMF91" s="75">
        <v>1276006</v>
      </c>
      <c r="JMG91" s="80"/>
      <c r="JMH91" s="81">
        <v>0.86944444444444446</v>
      </c>
      <c r="JMI91" s="74" t="s">
        <v>27</v>
      </c>
      <c r="JMJ91" s="74" t="s">
        <v>24</v>
      </c>
      <c r="JMK91" s="75" t="s">
        <v>25</v>
      </c>
      <c r="JML91" s="76">
        <f>IFERROR(VLOOKUP(JMK91,'[1]List KPI'!$A$103:$F$118,6,0),"")</f>
        <v>1.0416666666666666E-2</v>
      </c>
      <c r="JMM91" s="76">
        <v>0.86944444444444446</v>
      </c>
      <c r="JMN91" s="76">
        <v>0.86944444444444446</v>
      </c>
      <c r="JMO91" s="77" t="str">
        <f t="shared" ref="JMO91:JOK91" si="213">IF(JMN91="","",IF(JMN91&gt;JMW91,"O","P"))</f>
        <v>O</v>
      </c>
      <c r="JMP91" s="74" t="s">
        <v>28</v>
      </c>
      <c r="JMQ91" s="75" t="s">
        <v>23</v>
      </c>
      <c r="JMR91" s="78">
        <f>IFERROR(VLOOKUP(JMQ91,'[1]List KPI'!$M$3:$N$8,2,0),"")</f>
        <v>2.0833333333333332E-2</v>
      </c>
      <c r="JMS91" s="76">
        <v>0.89444444444444449</v>
      </c>
      <c r="JMT91" s="77" t="str">
        <f t="shared" ref="JMT91:JOP91" si="214">IF(JMS91="","",IF(JMS91&gt;JMX91,"O","P"))</f>
        <v>O</v>
      </c>
      <c r="JMU91" s="79">
        <v>5</v>
      </c>
      <c r="JMV91" s="75">
        <v>1276006</v>
      </c>
      <c r="JMW91" s="80"/>
      <c r="JMX91" s="81">
        <v>0.86944444444444446</v>
      </c>
      <c r="JMY91" s="74" t="s">
        <v>27</v>
      </c>
      <c r="JMZ91" s="74" t="s">
        <v>24</v>
      </c>
      <c r="JNA91" s="75" t="s">
        <v>25</v>
      </c>
      <c r="JNB91" s="76">
        <f>IFERROR(VLOOKUP(JNA91,'[1]List KPI'!$A$103:$F$118,6,0),"")</f>
        <v>1.0416666666666666E-2</v>
      </c>
      <c r="JNC91" s="76">
        <v>0.86944444444444446</v>
      </c>
      <c r="JND91" s="76">
        <v>0.86944444444444446</v>
      </c>
      <c r="JNE91" s="77" t="str">
        <f t="shared" si="213"/>
        <v>O</v>
      </c>
      <c r="JNF91" s="74" t="s">
        <v>28</v>
      </c>
      <c r="JNG91" s="75" t="s">
        <v>23</v>
      </c>
      <c r="JNH91" s="78">
        <f>IFERROR(VLOOKUP(JNG91,'[1]List KPI'!$M$3:$N$8,2,0),"")</f>
        <v>2.0833333333333332E-2</v>
      </c>
      <c r="JNI91" s="76">
        <v>0.89444444444444449</v>
      </c>
      <c r="JNJ91" s="77" t="str">
        <f t="shared" si="214"/>
        <v>O</v>
      </c>
      <c r="JNK91" s="79">
        <v>5</v>
      </c>
      <c r="JNL91" s="75">
        <v>1276006</v>
      </c>
      <c r="JNM91" s="80"/>
      <c r="JNN91" s="81">
        <v>0.86944444444444446</v>
      </c>
      <c r="JNO91" s="74" t="s">
        <v>27</v>
      </c>
      <c r="JNP91" s="74" t="s">
        <v>24</v>
      </c>
      <c r="JNQ91" s="75" t="s">
        <v>25</v>
      </c>
      <c r="JNR91" s="76">
        <f>IFERROR(VLOOKUP(JNQ91,'[1]List KPI'!$A$103:$F$118,6,0),"")</f>
        <v>1.0416666666666666E-2</v>
      </c>
      <c r="JNS91" s="76">
        <v>0.86944444444444446</v>
      </c>
      <c r="JNT91" s="76">
        <v>0.86944444444444446</v>
      </c>
      <c r="JNU91" s="77" t="str">
        <f t="shared" si="213"/>
        <v>O</v>
      </c>
      <c r="JNV91" s="74" t="s">
        <v>28</v>
      </c>
      <c r="JNW91" s="75" t="s">
        <v>23</v>
      </c>
      <c r="JNX91" s="78">
        <f>IFERROR(VLOOKUP(JNW91,'[1]List KPI'!$M$3:$N$8,2,0),"")</f>
        <v>2.0833333333333332E-2</v>
      </c>
      <c r="JNY91" s="76">
        <v>0.89444444444444449</v>
      </c>
      <c r="JNZ91" s="77" t="str">
        <f t="shared" si="214"/>
        <v>O</v>
      </c>
      <c r="JOA91" s="79">
        <v>5</v>
      </c>
      <c r="JOB91" s="75">
        <v>1276006</v>
      </c>
      <c r="JOC91" s="80"/>
      <c r="JOD91" s="81">
        <v>0.86944444444444446</v>
      </c>
      <c r="JOE91" s="74" t="s">
        <v>27</v>
      </c>
      <c r="JOF91" s="74" t="s">
        <v>24</v>
      </c>
      <c r="JOG91" s="75" t="s">
        <v>25</v>
      </c>
      <c r="JOH91" s="76">
        <f>IFERROR(VLOOKUP(JOG91,'[1]List KPI'!$A$103:$F$118,6,0),"")</f>
        <v>1.0416666666666666E-2</v>
      </c>
      <c r="JOI91" s="76">
        <v>0.86944444444444446</v>
      </c>
      <c r="JOJ91" s="76">
        <v>0.86944444444444446</v>
      </c>
      <c r="JOK91" s="77" t="str">
        <f t="shared" si="213"/>
        <v>O</v>
      </c>
      <c r="JOL91" s="74" t="s">
        <v>28</v>
      </c>
      <c r="JOM91" s="75" t="s">
        <v>23</v>
      </c>
      <c r="JON91" s="78">
        <f>IFERROR(VLOOKUP(JOM91,'[1]List KPI'!$M$3:$N$8,2,0),"")</f>
        <v>2.0833333333333332E-2</v>
      </c>
      <c r="JOO91" s="76">
        <v>0.89444444444444449</v>
      </c>
      <c r="JOP91" s="77" t="str">
        <f t="shared" si="214"/>
        <v>O</v>
      </c>
      <c r="JOQ91" s="79">
        <v>5</v>
      </c>
      <c r="JOR91" s="75">
        <v>1276006</v>
      </c>
      <c r="JOS91" s="80"/>
      <c r="JOT91" s="81">
        <v>0.86944444444444446</v>
      </c>
      <c r="JOU91" s="74" t="s">
        <v>27</v>
      </c>
      <c r="JOV91" s="74" t="s">
        <v>24</v>
      </c>
      <c r="JOW91" s="75" t="s">
        <v>25</v>
      </c>
      <c r="JOX91" s="76">
        <f>IFERROR(VLOOKUP(JOW91,'[1]List KPI'!$A$103:$F$118,6,0),"")</f>
        <v>1.0416666666666666E-2</v>
      </c>
      <c r="JOY91" s="76">
        <v>0.86944444444444446</v>
      </c>
      <c r="JOZ91" s="76">
        <v>0.86944444444444446</v>
      </c>
      <c r="JPA91" s="77" t="str">
        <f t="shared" ref="JPA91:JQW91" si="215">IF(JOZ91="","",IF(JOZ91&gt;JPI91,"O","P"))</f>
        <v>O</v>
      </c>
      <c r="JPB91" s="74" t="s">
        <v>28</v>
      </c>
      <c r="JPC91" s="75" t="s">
        <v>23</v>
      </c>
      <c r="JPD91" s="78">
        <f>IFERROR(VLOOKUP(JPC91,'[1]List KPI'!$M$3:$N$8,2,0),"")</f>
        <v>2.0833333333333332E-2</v>
      </c>
      <c r="JPE91" s="76">
        <v>0.89444444444444449</v>
      </c>
      <c r="JPF91" s="77" t="str">
        <f t="shared" ref="JPF91:JRB91" si="216">IF(JPE91="","",IF(JPE91&gt;JPJ91,"O","P"))</f>
        <v>O</v>
      </c>
      <c r="JPG91" s="79">
        <v>5</v>
      </c>
      <c r="JPH91" s="75">
        <v>1276006</v>
      </c>
      <c r="JPI91" s="80"/>
      <c r="JPJ91" s="81">
        <v>0.86944444444444446</v>
      </c>
      <c r="JPK91" s="74" t="s">
        <v>27</v>
      </c>
      <c r="JPL91" s="74" t="s">
        <v>24</v>
      </c>
      <c r="JPM91" s="75" t="s">
        <v>25</v>
      </c>
      <c r="JPN91" s="76">
        <f>IFERROR(VLOOKUP(JPM91,'[1]List KPI'!$A$103:$F$118,6,0),"")</f>
        <v>1.0416666666666666E-2</v>
      </c>
      <c r="JPO91" s="76">
        <v>0.86944444444444446</v>
      </c>
      <c r="JPP91" s="76">
        <v>0.86944444444444446</v>
      </c>
      <c r="JPQ91" s="77" t="str">
        <f t="shared" si="215"/>
        <v>O</v>
      </c>
      <c r="JPR91" s="74" t="s">
        <v>28</v>
      </c>
      <c r="JPS91" s="75" t="s">
        <v>23</v>
      </c>
      <c r="JPT91" s="78">
        <f>IFERROR(VLOOKUP(JPS91,'[1]List KPI'!$M$3:$N$8,2,0),"")</f>
        <v>2.0833333333333332E-2</v>
      </c>
      <c r="JPU91" s="76">
        <v>0.89444444444444449</v>
      </c>
      <c r="JPV91" s="77" t="str">
        <f t="shared" si="216"/>
        <v>O</v>
      </c>
      <c r="JPW91" s="79">
        <v>5</v>
      </c>
      <c r="JPX91" s="75">
        <v>1276006</v>
      </c>
      <c r="JPY91" s="80"/>
      <c r="JPZ91" s="81">
        <v>0.86944444444444446</v>
      </c>
      <c r="JQA91" s="74" t="s">
        <v>27</v>
      </c>
      <c r="JQB91" s="74" t="s">
        <v>24</v>
      </c>
      <c r="JQC91" s="75" t="s">
        <v>25</v>
      </c>
      <c r="JQD91" s="76">
        <f>IFERROR(VLOOKUP(JQC91,'[1]List KPI'!$A$103:$F$118,6,0),"")</f>
        <v>1.0416666666666666E-2</v>
      </c>
      <c r="JQE91" s="76">
        <v>0.86944444444444446</v>
      </c>
      <c r="JQF91" s="76">
        <v>0.86944444444444446</v>
      </c>
      <c r="JQG91" s="77" t="str">
        <f t="shared" si="215"/>
        <v>O</v>
      </c>
      <c r="JQH91" s="74" t="s">
        <v>28</v>
      </c>
      <c r="JQI91" s="75" t="s">
        <v>23</v>
      </c>
      <c r="JQJ91" s="78">
        <f>IFERROR(VLOOKUP(JQI91,'[1]List KPI'!$M$3:$N$8,2,0),"")</f>
        <v>2.0833333333333332E-2</v>
      </c>
      <c r="JQK91" s="76">
        <v>0.89444444444444449</v>
      </c>
      <c r="JQL91" s="77" t="str">
        <f t="shared" si="216"/>
        <v>O</v>
      </c>
      <c r="JQM91" s="79">
        <v>5</v>
      </c>
      <c r="JQN91" s="75">
        <v>1276006</v>
      </c>
      <c r="JQO91" s="80"/>
      <c r="JQP91" s="81">
        <v>0.86944444444444446</v>
      </c>
      <c r="JQQ91" s="74" t="s">
        <v>27</v>
      </c>
      <c r="JQR91" s="74" t="s">
        <v>24</v>
      </c>
      <c r="JQS91" s="75" t="s">
        <v>25</v>
      </c>
      <c r="JQT91" s="76">
        <f>IFERROR(VLOOKUP(JQS91,'[1]List KPI'!$A$103:$F$118,6,0),"")</f>
        <v>1.0416666666666666E-2</v>
      </c>
      <c r="JQU91" s="76">
        <v>0.86944444444444446</v>
      </c>
      <c r="JQV91" s="76">
        <v>0.86944444444444446</v>
      </c>
      <c r="JQW91" s="77" t="str">
        <f t="shared" si="215"/>
        <v>O</v>
      </c>
      <c r="JQX91" s="74" t="s">
        <v>28</v>
      </c>
      <c r="JQY91" s="75" t="s">
        <v>23</v>
      </c>
      <c r="JQZ91" s="78">
        <f>IFERROR(VLOOKUP(JQY91,'[1]List KPI'!$M$3:$N$8,2,0),"")</f>
        <v>2.0833333333333332E-2</v>
      </c>
      <c r="JRA91" s="76">
        <v>0.89444444444444449</v>
      </c>
      <c r="JRB91" s="77" t="str">
        <f t="shared" si="216"/>
        <v>O</v>
      </c>
      <c r="JRC91" s="79">
        <v>5</v>
      </c>
      <c r="JRD91" s="75">
        <v>1276006</v>
      </c>
      <c r="JRE91" s="80"/>
      <c r="JRF91" s="81">
        <v>0.86944444444444446</v>
      </c>
      <c r="JRG91" s="74" t="s">
        <v>27</v>
      </c>
      <c r="JRH91" s="74" t="s">
        <v>24</v>
      </c>
      <c r="JRI91" s="75" t="s">
        <v>25</v>
      </c>
      <c r="JRJ91" s="76">
        <f>IFERROR(VLOOKUP(JRI91,'[1]List KPI'!$A$103:$F$118,6,0),"")</f>
        <v>1.0416666666666666E-2</v>
      </c>
      <c r="JRK91" s="76">
        <v>0.86944444444444446</v>
      </c>
      <c r="JRL91" s="76">
        <v>0.86944444444444446</v>
      </c>
      <c r="JRM91" s="77" t="str">
        <f t="shared" ref="JRM91:JTI91" si="217">IF(JRL91="","",IF(JRL91&gt;JRU91,"O","P"))</f>
        <v>O</v>
      </c>
      <c r="JRN91" s="74" t="s">
        <v>28</v>
      </c>
      <c r="JRO91" s="75" t="s">
        <v>23</v>
      </c>
      <c r="JRP91" s="78">
        <f>IFERROR(VLOOKUP(JRO91,'[1]List KPI'!$M$3:$N$8,2,0),"")</f>
        <v>2.0833333333333332E-2</v>
      </c>
      <c r="JRQ91" s="76">
        <v>0.89444444444444449</v>
      </c>
      <c r="JRR91" s="77" t="str">
        <f t="shared" ref="JRR91:JTN91" si="218">IF(JRQ91="","",IF(JRQ91&gt;JRV91,"O","P"))</f>
        <v>O</v>
      </c>
      <c r="JRS91" s="79">
        <v>5</v>
      </c>
      <c r="JRT91" s="75">
        <v>1276006</v>
      </c>
      <c r="JRU91" s="80"/>
      <c r="JRV91" s="81">
        <v>0.86944444444444446</v>
      </c>
      <c r="JRW91" s="74" t="s">
        <v>27</v>
      </c>
      <c r="JRX91" s="74" t="s">
        <v>24</v>
      </c>
      <c r="JRY91" s="75" t="s">
        <v>25</v>
      </c>
      <c r="JRZ91" s="76">
        <f>IFERROR(VLOOKUP(JRY91,'[1]List KPI'!$A$103:$F$118,6,0),"")</f>
        <v>1.0416666666666666E-2</v>
      </c>
      <c r="JSA91" s="76">
        <v>0.86944444444444446</v>
      </c>
      <c r="JSB91" s="76">
        <v>0.86944444444444446</v>
      </c>
      <c r="JSC91" s="77" t="str">
        <f t="shared" si="217"/>
        <v>O</v>
      </c>
      <c r="JSD91" s="74" t="s">
        <v>28</v>
      </c>
      <c r="JSE91" s="75" t="s">
        <v>23</v>
      </c>
      <c r="JSF91" s="78">
        <f>IFERROR(VLOOKUP(JSE91,'[1]List KPI'!$M$3:$N$8,2,0),"")</f>
        <v>2.0833333333333332E-2</v>
      </c>
      <c r="JSG91" s="76">
        <v>0.89444444444444449</v>
      </c>
      <c r="JSH91" s="77" t="str">
        <f t="shared" si="218"/>
        <v>O</v>
      </c>
      <c r="JSI91" s="79">
        <v>5</v>
      </c>
      <c r="JSJ91" s="75">
        <v>1276006</v>
      </c>
      <c r="JSK91" s="80"/>
      <c r="JSL91" s="81">
        <v>0.86944444444444446</v>
      </c>
      <c r="JSM91" s="74" t="s">
        <v>27</v>
      </c>
      <c r="JSN91" s="74" t="s">
        <v>24</v>
      </c>
      <c r="JSO91" s="75" t="s">
        <v>25</v>
      </c>
      <c r="JSP91" s="76">
        <f>IFERROR(VLOOKUP(JSO91,'[1]List KPI'!$A$103:$F$118,6,0),"")</f>
        <v>1.0416666666666666E-2</v>
      </c>
      <c r="JSQ91" s="76">
        <v>0.86944444444444446</v>
      </c>
      <c r="JSR91" s="76">
        <v>0.86944444444444446</v>
      </c>
      <c r="JSS91" s="77" t="str">
        <f t="shared" si="217"/>
        <v>O</v>
      </c>
      <c r="JST91" s="74" t="s">
        <v>28</v>
      </c>
      <c r="JSU91" s="75" t="s">
        <v>23</v>
      </c>
      <c r="JSV91" s="78">
        <f>IFERROR(VLOOKUP(JSU91,'[1]List KPI'!$M$3:$N$8,2,0),"")</f>
        <v>2.0833333333333332E-2</v>
      </c>
      <c r="JSW91" s="76">
        <v>0.89444444444444449</v>
      </c>
      <c r="JSX91" s="77" t="str">
        <f t="shared" si="218"/>
        <v>O</v>
      </c>
      <c r="JSY91" s="79">
        <v>5</v>
      </c>
      <c r="JSZ91" s="75">
        <v>1276006</v>
      </c>
      <c r="JTA91" s="80"/>
      <c r="JTB91" s="81">
        <v>0.86944444444444446</v>
      </c>
      <c r="JTC91" s="74" t="s">
        <v>27</v>
      </c>
      <c r="JTD91" s="74" t="s">
        <v>24</v>
      </c>
      <c r="JTE91" s="75" t="s">
        <v>25</v>
      </c>
      <c r="JTF91" s="76">
        <f>IFERROR(VLOOKUP(JTE91,'[1]List KPI'!$A$103:$F$118,6,0),"")</f>
        <v>1.0416666666666666E-2</v>
      </c>
      <c r="JTG91" s="76">
        <v>0.86944444444444446</v>
      </c>
      <c r="JTH91" s="76">
        <v>0.86944444444444446</v>
      </c>
      <c r="JTI91" s="77" t="str">
        <f t="shared" si="217"/>
        <v>O</v>
      </c>
      <c r="JTJ91" s="74" t="s">
        <v>28</v>
      </c>
      <c r="JTK91" s="75" t="s">
        <v>23</v>
      </c>
      <c r="JTL91" s="78">
        <f>IFERROR(VLOOKUP(JTK91,'[1]List KPI'!$M$3:$N$8,2,0),"")</f>
        <v>2.0833333333333332E-2</v>
      </c>
      <c r="JTM91" s="76">
        <v>0.89444444444444449</v>
      </c>
      <c r="JTN91" s="77" t="str">
        <f t="shared" si="218"/>
        <v>O</v>
      </c>
      <c r="JTO91" s="79">
        <v>5</v>
      </c>
      <c r="JTP91" s="75">
        <v>1276006</v>
      </c>
      <c r="JTQ91" s="80"/>
      <c r="JTR91" s="81">
        <v>0.86944444444444446</v>
      </c>
      <c r="JTS91" s="74" t="s">
        <v>27</v>
      </c>
      <c r="JTT91" s="74" t="s">
        <v>24</v>
      </c>
      <c r="JTU91" s="75" t="s">
        <v>25</v>
      </c>
      <c r="JTV91" s="76">
        <f>IFERROR(VLOOKUP(JTU91,'[1]List KPI'!$A$103:$F$118,6,0),"")</f>
        <v>1.0416666666666666E-2</v>
      </c>
      <c r="JTW91" s="76">
        <v>0.86944444444444446</v>
      </c>
      <c r="JTX91" s="76">
        <v>0.86944444444444446</v>
      </c>
      <c r="JTY91" s="77" t="str">
        <f t="shared" ref="JTY91:JVU91" si="219">IF(JTX91="","",IF(JTX91&gt;JUG91,"O","P"))</f>
        <v>O</v>
      </c>
      <c r="JTZ91" s="74" t="s">
        <v>28</v>
      </c>
      <c r="JUA91" s="75" t="s">
        <v>23</v>
      </c>
      <c r="JUB91" s="78">
        <f>IFERROR(VLOOKUP(JUA91,'[1]List KPI'!$M$3:$N$8,2,0),"")</f>
        <v>2.0833333333333332E-2</v>
      </c>
      <c r="JUC91" s="76">
        <v>0.89444444444444449</v>
      </c>
      <c r="JUD91" s="77" t="str">
        <f t="shared" ref="JUD91:JVZ91" si="220">IF(JUC91="","",IF(JUC91&gt;JUH91,"O","P"))</f>
        <v>O</v>
      </c>
      <c r="JUE91" s="79">
        <v>5</v>
      </c>
      <c r="JUF91" s="75">
        <v>1276006</v>
      </c>
      <c r="JUG91" s="80"/>
      <c r="JUH91" s="81">
        <v>0.86944444444444446</v>
      </c>
      <c r="JUI91" s="74" t="s">
        <v>27</v>
      </c>
      <c r="JUJ91" s="74" t="s">
        <v>24</v>
      </c>
      <c r="JUK91" s="75" t="s">
        <v>25</v>
      </c>
      <c r="JUL91" s="76">
        <f>IFERROR(VLOOKUP(JUK91,'[1]List KPI'!$A$103:$F$118,6,0),"")</f>
        <v>1.0416666666666666E-2</v>
      </c>
      <c r="JUM91" s="76">
        <v>0.86944444444444446</v>
      </c>
      <c r="JUN91" s="76">
        <v>0.86944444444444446</v>
      </c>
      <c r="JUO91" s="77" t="str">
        <f t="shared" si="219"/>
        <v>O</v>
      </c>
      <c r="JUP91" s="74" t="s">
        <v>28</v>
      </c>
      <c r="JUQ91" s="75" t="s">
        <v>23</v>
      </c>
      <c r="JUR91" s="78">
        <f>IFERROR(VLOOKUP(JUQ91,'[1]List KPI'!$M$3:$N$8,2,0),"")</f>
        <v>2.0833333333333332E-2</v>
      </c>
      <c r="JUS91" s="76">
        <v>0.89444444444444449</v>
      </c>
      <c r="JUT91" s="77" t="str">
        <f t="shared" si="220"/>
        <v>O</v>
      </c>
      <c r="JUU91" s="79">
        <v>5</v>
      </c>
      <c r="JUV91" s="75">
        <v>1276006</v>
      </c>
      <c r="JUW91" s="80"/>
      <c r="JUX91" s="81">
        <v>0.86944444444444446</v>
      </c>
      <c r="JUY91" s="74" t="s">
        <v>27</v>
      </c>
      <c r="JUZ91" s="74" t="s">
        <v>24</v>
      </c>
      <c r="JVA91" s="75" t="s">
        <v>25</v>
      </c>
      <c r="JVB91" s="76">
        <f>IFERROR(VLOOKUP(JVA91,'[1]List KPI'!$A$103:$F$118,6,0),"")</f>
        <v>1.0416666666666666E-2</v>
      </c>
      <c r="JVC91" s="76">
        <v>0.86944444444444446</v>
      </c>
      <c r="JVD91" s="76">
        <v>0.86944444444444446</v>
      </c>
      <c r="JVE91" s="77" t="str">
        <f t="shared" si="219"/>
        <v>O</v>
      </c>
      <c r="JVF91" s="74" t="s">
        <v>28</v>
      </c>
      <c r="JVG91" s="75" t="s">
        <v>23</v>
      </c>
      <c r="JVH91" s="78">
        <f>IFERROR(VLOOKUP(JVG91,'[1]List KPI'!$M$3:$N$8,2,0),"")</f>
        <v>2.0833333333333332E-2</v>
      </c>
      <c r="JVI91" s="76">
        <v>0.89444444444444449</v>
      </c>
      <c r="JVJ91" s="77" t="str">
        <f t="shared" si="220"/>
        <v>O</v>
      </c>
      <c r="JVK91" s="79">
        <v>5</v>
      </c>
      <c r="JVL91" s="75">
        <v>1276006</v>
      </c>
      <c r="JVM91" s="80"/>
      <c r="JVN91" s="81">
        <v>0.86944444444444446</v>
      </c>
      <c r="JVO91" s="74" t="s">
        <v>27</v>
      </c>
      <c r="JVP91" s="74" t="s">
        <v>24</v>
      </c>
      <c r="JVQ91" s="75" t="s">
        <v>25</v>
      </c>
      <c r="JVR91" s="76">
        <f>IFERROR(VLOOKUP(JVQ91,'[1]List KPI'!$A$103:$F$118,6,0),"")</f>
        <v>1.0416666666666666E-2</v>
      </c>
      <c r="JVS91" s="76">
        <v>0.86944444444444446</v>
      </c>
      <c r="JVT91" s="76">
        <v>0.86944444444444446</v>
      </c>
      <c r="JVU91" s="77" t="str">
        <f t="shared" si="219"/>
        <v>O</v>
      </c>
      <c r="JVV91" s="74" t="s">
        <v>28</v>
      </c>
      <c r="JVW91" s="75" t="s">
        <v>23</v>
      </c>
      <c r="JVX91" s="78">
        <f>IFERROR(VLOOKUP(JVW91,'[1]List KPI'!$M$3:$N$8,2,0),"")</f>
        <v>2.0833333333333332E-2</v>
      </c>
      <c r="JVY91" s="76">
        <v>0.89444444444444449</v>
      </c>
      <c r="JVZ91" s="77" t="str">
        <f t="shared" si="220"/>
        <v>O</v>
      </c>
      <c r="JWA91" s="79">
        <v>5</v>
      </c>
      <c r="JWB91" s="75">
        <v>1276006</v>
      </c>
      <c r="JWC91" s="80"/>
      <c r="JWD91" s="81">
        <v>0.86944444444444446</v>
      </c>
      <c r="JWE91" s="74" t="s">
        <v>27</v>
      </c>
      <c r="JWF91" s="74" t="s">
        <v>24</v>
      </c>
      <c r="JWG91" s="75" t="s">
        <v>25</v>
      </c>
      <c r="JWH91" s="76">
        <f>IFERROR(VLOOKUP(JWG91,'[1]List KPI'!$A$103:$F$118,6,0),"")</f>
        <v>1.0416666666666666E-2</v>
      </c>
      <c r="JWI91" s="76">
        <v>0.86944444444444446</v>
      </c>
      <c r="JWJ91" s="76">
        <v>0.86944444444444446</v>
      </c>
      <c r="JWK91" s="77" t="str">
        <f t="shared" ref="JWK91:JYG91" si="221">IF(JWJ91="","",IF(JWJ91&gt;JWS91,"O","P"))</f>
        <v>O</v>
      </c>
      <c r="JWL91" s="74" t="s">
        <v>28</v>
      </c>
      <c r="JWM91" s="75" t="s">
        <v>23</v>
      </c>
      <c r="JWN91" s="78">
        <f>IFERROR(VLOOKUP(JWM91,'[1]List KPI'!$M$3:$N$8,2,0),"")</f>
        <v>2.0833333333333332E-2</v>
      </c>
      <c r="JWO91" s="76">
        <v>0.89444444444444449</v>
      </c>
      <c r="JWP91" s="77" t="str">
        <f t="shared" ref="JWP91:JYL91" si="222">IF(JWO91="","",IF(JWO91&gt;JWT91,"O","P"))</f>
        <v>O</v>
      </c>
      <c r="JWQ91" s="79">
        <v>5</v>
      </c>
      <c r="JWR91" s="75">
        <v>1276006</v>
      </c>
      <c r="JWS91" s="80"/>
      <c r="JWT91" s="81">
        <v>0.86944444444444446</v>
      </c>
      <c r="JWU91" s="74" t="s">
        <v>27</v>
      </c>
      <c r="JWV91" s="74" t="s">
        <v>24</v>
      </c>
      <c r="JWW91" s="75" t="s">
        <v>25</v>
      </c>
      <c r="JWX91" s="76">
        <f>IFERROR(VLOOKUP(JWW91,'[1]List KPI'!$A$103:$F$118,6,0),"")</f>
        <v>1.0416666666666666E-2</v>
      </c>
      <c r="JWY91" s="76">
        <v>0.86944444444444446</v>
      </c>
      <c r="JWZ91" s="76">
        <v>0.86944444444444446</v>
      </c>
      <c r="JXA91" s="77" t="str">
        <f t="shared" si="221"/>
        <v>O</v>
      </c>
      <c r="JXB91" s="74" t="s">
        <v>28</v>
      </c>
      <c r="JXC91" s="75" t="s">
        <v>23</v>
      </c>
      <c r="JXD91" s="78">
        <f>IFERROR(VLOOKUP(JXC91,'[1]List KPI'!$M$3:$N$8,2,0),"")</f>
        <v>2.0833333333333332E-2</v>
      </c>
      <c r="JXE91" s="76">
        <v>0.89444444444444449</v>
      </c>
      <c r="JXF91" s="77" t="str">
        <f t="shared" si="222"/>
        <v>O</v>
      </c>
      <c r="JXG91" s="79">
        <v>5</v>
      </c>
      <c r="JXH91" s="75">
        <v>1276006</v>
      </c>
      <c r="JXI91" s="80"/>
      <c r="JXJ91" s="81">
        <v>0.86944444444444446</v>
      </c>
      <c r="JXK91" s="74" t="s">
        <v>27</v>
      </c>
      <c r="JXL91" s="74" t="s">
        <v>24</v>
      </c>
      <c r="JXM91" s="75" t="s">
        <v>25</v>
      </c>
      <c r="JXN91" s="76">
        <f>IFERROR(VLOOKUP(JXM91,'[1]List KPI'!$A$103:$F$118,6,0),"")</f>
        <v>1.0416666666666666E-2</v>
      </c>
      <c r="JXO91" s="76">
        <v>0.86944444444444446</v>
      </c>
      <c r="JXP91" s="76">
        <v>0.86944444444444446</v>
      </c>
      <c r="JXQ91" s="77" t="str">
        <f t="shared" si="221"/>
        <v>O</v>
      </c>
      <c r="JXR91" s="74" t="s">
        <v>28</v>
      </c>
      <c r="JXS91" s="75" t="s">
        <v>23</v>
      </c>
      <c r="JXT91" s="78">
        <f>IFERROR(VLOOKUP(JXS91,'[1]List KPI'!$M$3:$N$8,2,0),"")</f>
        <v>2.0833333333333332E-2</v>
      </c>
      <c r="JXU91" s="76">
        <v>0.89444444444444449</v>
      </c>
      <c r="JXV91" s="77" t="str">
        <f t="shared" si="222"/>
        <v>O</v>
      </c>
      <c r="JXW91" s="79">
        <v>5</v>
      </c>
      <c r="JXX91" s="75">
        <v>1276006</v>
      </c>
      <c r="JXY91" s="80"/>
      <c r="JXZ91" s="81">
        <v>0.86944444444444446</v>
      </c>
      <c r="JYA91" s="74" t="s">
        <v>27</v>
      </c>
      <c r="JYB91" s="74" t="s">
        <v>24</v>
      </c>
      <c r="JYC91" s="75" t="s">
        <v>25</v>
      </c>
      <c r="JYD91" s="76">
        <f>IFERROR(VLOOKUP(JYC91,'[1]List KPI'!$A$103:$F$118,6,0),"")</f>
        <v>1.0416666666666666E-2</v>
      </c>
      <c r="JYE91" s="76">
        <v>0.86944444444444446</v>
      </c>
      <c r="JYF91" s="76">
        <v>0.86944444444444446</v>
      </c>
      <c r="JYG91" s="77" t="str">
        <f t="shared" si="221"/>
        <v>O</v>
      </c>
      <c r="JYH91" s="74" t="s">
        <v>28</v>
      </c>
      <c r="JYI91" s="75" t="s">
        <v>23</v>
      </c>
      <c r="JYJ91" s="78">
        <f>IFERROR(VLOOKUP(JYI91,'[1]List KPI'!$M$3:$N$8,2,0),"")</f>
        <v>2.0833333333333332E-2</v>
      </c>
      <c r="JYK91" s="76">
        <v>0.89444444444444449</v>
      </c>
      <c r="JYL91" s="77" t="str">
        <f t="shared" si="222"/>
        <v>O</v>
      </c>
      <c r="JYM91" s="79">
        <v>5</v>
      </c>
      <c r="JYN91" s="75">
        <v>1276006</v>
      </c>
      <c r="JYO91" s="80"/>
      <c r="JYP91" s="81">
        <v>0.86944444444444446</v>
      </c>
      <c r="JYQ91" s="74" t="s">
        <v>27</v>
      </c>
      <c r="JYR91" s="74" t="s">
        <v>24</v>
      </c>
      <c r="JYS91" s="75" t="s">
        <v>25</v>
      </c>
      <c r="JYT91" s="76">
        <f>IFERROR(VLOOKUP(JYS91,'[1]List KPI'!$A$103:$F$118,6,0),"")</f>
        <v>1.0416666666666666E-2</v>
      </c>
      <c r="JYU91" s="76">
        <v>0.86944444444444446</v>
      </c>
      <c r="JYV91" s="76">
        <v>0.86944444444444446</v>
      </c>
      <c r="JYW91" s="77" t="str">
        <f t="shared" ref="JYW91:KAS91" si="223">IF(JYV91="","",IF(JYV91&gt;JZE91,"O","P"))</f>
        <v>O</v>
      </c>
      <c r="JYX91" s="74" t="s">
        <v>28</v>
      </c>
      <c r="JYY91" s="75" t="s">
        <v>23</v>
      </c>
      <c r="JYZ91" s="78">
        <f>IFERROR(VLOOKUP(JYY91,'[1]List KPI'!$M$3:$N$8,2,0),"")</f>
        <v>2.0833333333333332E-2</v>
      </c>
      <c r="JZA91" s="76">
        <v>0.89444444444444449</v>
      </c>
      <c r="JZB91" s="77" t="str">
        <f t="shared" ref="JZB91:KAX91" si="224">IF(JZA91="","",IF(JZA91&gt;JZF91,"O","P"))</f>
        <v>O</v>
      </c>
      <c r="JZC91" s="79">
        <v>5</v>
      </c>
      <c r="JZD91" s="75">
        <v>1276006</v>
      </c>
      <c r="JZE91" s="80"/>
      <c r="JZF91" s="81">
        <v>0.86944444444444446</v>
      </c>
      <c r="JZG91" s="74" t="s">
        <v>27</v>
      </c>
      <c r="JZH91" s="74" t="s">
        <v>24</v>
      </c>
      <c r="JZI91" s="75" t="s">
        <v>25</v>
      </c>
      <c r="JZJ91" s="76">
        <f>IFERROR(VLOOKUP(JZI91,'[1]List KPI'!$A$103:$F$118,6,0),"")</f>
        <v>1.0416666666666666E-2</v>
      </c>
      <c r="JZK91" s="76">
        <v>0.86944444444444446</v>
      </c>
      <c r="JZL91" s="76">
        <v>0.86944444444444446</v>
      </c>
      <c r="JZM91" s="77" t="str">
        <f t="shared" si="223"/>
        <v>O</v>
      </c>
      <c r="JZN91" s="74" t="s">
        <v>28</v>
      </c>
      <c r="JZO91" s="75" t="s">
        <v>23</v>
      </c>
      <c r="JZP91" s="78">
        <f>IFERROR(VLOOKUP(JZO91,'[1]List KPI'!$M$3:$N$8,2,0),"")</f>
        <v>2.0833333333333332E-2</v>
      </c>
      <c r="JZQ91" s="76">
        <v>0.89444444444444449</v>
      </c>
      <c r="JZR91" s="77" t="str">
        <f t="shared" si="224"/>
        <v>O</v>
      </c>
      <c r="JZS91" s="79">
        <v>5</v>
      </c>
      <c r="JZT91" s="75">
        <v>1276006</v>
      </c>
      <c r="JZU91" s="80"/>
      <c r="JZV91" s="81">
        <v>0.86944444444444446</v>
      </c>
      <c r="JZW91" s="74" t="s">
        <v>27</v>
      </c>
      <c r="JZX91" s="74" t="s">
        <v>24</v>
      </c>
      <c r="JZY91" s="75" t="s">
        <v>25</v>
      </c>
      <c r="JZZ91" s="76">
        <f>IFERROR(VLOOKUP(JZY91,'[1]List KPI'!$A$103:$F$118,6,0),"")</f>
        <v>1.0416666666666666E-2</v>
      </c>
      <c r="KAA91" s="76">
        <v>0.86944444444444446</v>
      </c>
      <c r="KAB91" s="76">
        <v>0.86944444444444446</v>
      </c>
      <c r="KAC91" s="77" t="str">
        <f t="shared" si="223"/>
        <v>O</v>
      </c>
      <c r="KAD91" s="74" t="s">
        <v>28</v>
      </c>
      <c r="KAE91" s="75" t="s">
        <v>23</v>
      </c>
      <c r="KAF91" s="78">
        <f>IFERROR(VLOOKUP(KAE91,'[1]List KPI'!$M$3:$N$8,2,0),"")</f>
        <v>2.0833333333333332E-2</v>
      </c>
      <c r="KAG91" s="76">
        <v>0.89444444444444449</v>
      </c>
      <c r="KAH91" s="77" t="str">
        <f t="shared" si="224"/>
        <v>O</v>
      </c>
      <c r="KAI91" s="79">
        <v>5</v>
      </c>
      <c r="KAJ91" s="75">
        <v>1276006</v>
      </c>
      <c r="KAK91" s="80"/>
      <c r="KAL91" s="81">
        <v>0.86944444444444446</v>
      </c>
      <c r="KAM91" s="74" t="s">
        <v>27</v>
      </c>
      <c r="KAN91" s="74" t="s">
        <v>24</v>
      </c>
      <c r="KAO91" s="75" t="s">
        <v>25</v>
      </c>
      <c r="KAP91" s="76">
        <f>IFERROR(VLOOKUP(KAO91,'[1]List KPI'!$A$103:$F$118,6,0),"")</f>
        <v>1.0416666666666666E-2</v>
      </c>
      <c r="KAQ91" s="76">
        <v>0.86944444444444446</v>
      </c>
      <c r="KAR91" s="76">
        <v>0.86944444444444446</v>
      </c>
      <c r="KAS91" s="77" t="str">
        <f t="shared" si="223"/>
        <v>O</v>
      </c>
      <c r="KAT91" s="74" t="s">
        <v>28</v>
      </c>
      <c r="KAU91" s="75" t="s">
        <v>23</v>
      </c>
      <c r="KAV91" s="78">
        <f>IFERROR(VLOOKUP(KAU91,'[1]List KPI'!$M$3:$N$8,2,0),"")</f>
        <v>2.0833333333333332E-2</v>
      </c>
      <c r="KAW91" s="76">
        <v>0.89444444444444449</v>
      </c>
      <c r="KAX91" s="77" t="str">
        <f t="shared" si="224"/>
        <v>O</v>
      </c>
      <c r="KAY91" s="79">
        <v>5</v>
      </c>
      <c r="KAZ91" s="75">
        <v>1276006</v>
      </c>
      <c r="KBA91" s="80"/>
      <c r="KBB91" s="81">
        <v>0.86944444444444446</v>
      </c>
      <c r="KBC91" s="74" t="s">
        <v>27</v>
      </c>
      <c r="KBD91" s="74" t="s">
        <v>24</v>
      </c>
      <c r="KBE91" s="75" t="s">
        <v>25</v>
      </c>
      <c r="KBF91" s="76">
        <f>IFERROR(VLOOKUP(KBE91,'[1]List KPI'!$A$103:$F$118,6,0),"")</f>
        <v>1.0416666666666666E-2</v>
      </c>
      <c r="KBG91" s="76">
        <v>0.86944444444444446</v>
      </c>
      <c r="KBH91" s="76">
        <v>0.86944444444444446</v>
      </c>
      <c r="KBI91" s="77" t="str">
        <f t="shared" ref="KBI91:KDE91" si="225">IF(KBH91="","",IF(KBH91&gt;KBQ91,"O","P"))</f>
        <v>O</v>
      </c>
      <c r="KBJ91" s="74" t="s">
        <v>28</v>
      </c>
      <c r="KBK91" s="75" t="s">
        <v>23</v>
      </c>
      <c r="KBL91" s="78">
        <f>IFERROR(VLOOKUP(KBK91,'[1]List KPI'!$M$3:$N$8,2,0),"")</f>
        <v>2.0833333333333332E-2</v>
      </c>
      <c r="KBM91" s="76">
        <v>0.89444444444444449</v>
      </c>
      <c r="KBN91" s="77" t="str">
        <f t="shared" ref="KBN91:KDJ91" si="226">IF(KBM91="","",IF(KBM91&gt;KBR91,"O","P"))</f>
        <v>O</v>
      </c>
      <c r="KBO91" s="79">
        <v>5</v>
      </c>
      <c r="KBP91" s="75">
        <v>1276006</v>
      </c>
      <c r="KBQ91" s="80"/>
      <c r="KBR91" s="81">
        <v>0.86944444444444446</v>
      </c>
      <c r="KBS91" s="74" t="s">
        <v>27</v>
      </c>
      <c r="KBT91" s="74" t="s">
        <v>24</v>
      </c>
      <c r="KBU91" s="75" t="s">
        <v>25</v>
      </c>
      <c r="KBV91" s="76">
        <f>IFERROR(VLOOKUP(KBU91,'[1]List KPI'!$A$103:$F$118,6,0),"")</f>
        <v>1.0416666666666666E-2</v>
      </c>
      <c r="KBW91" s="76">
        <v>0.86944444444444446</v>
      </c>
      <c r="KBX91" s="76">
        <v>0.86944444444444446</v>
      </c>
      <c r="KBY91" s="77" t="str">
        <f t="shared" si="225"/>
        <v>O</v>
      </c>
      <c r="KBZ91" s="74" t="s">
        <v>28</v>
      </c>
      <c r="KCA91" s="75" t="s">
        <v>23</v>
      </c>
      <c r="KCB91" s="78">
        <f>IFERROR(VLOOKUP(KCA91,'[1]List KPI'!$M$3:$N$8,2,0),"")</f>
        <v>2.0833333333333332E-2</v>
      </c>
      <c r="KCC91" s="76">
        <v>0.89444444444444449</v>
      </c>
      <c r="KCD91" s="77" t="str">
        <f t="shared" si="226"/>
        <v>O</v>
      </c>
      <c r="KCE91" s="79">
        <v>5</v>
      </c>
      <c r="KCF91" s="75">
        <v>1276006</v>
      </c>
      <c r="KCG91" s="80"/>
      <c r="KCH91" s="81">
        <v>0.86944444444444446</v>
      </c>
      <c r="KCI91" s="74" t="s">
        <v>27</v>
      </c>
      <c r="KCJ91" s="74" t="s">
        <v>24</v>
      </c>
      <c r="KCK91" s="75" t="s">
        <v>25</v>
      </c>
      <c r="KCL91" s="76">
        <f>IFERROR(VLOOKUP(KCK91,'[1]List KPI'!$A$103:$F$118,6,0),"")</f>
        <v>1.0416666666666666E-2</v>
      </c>
      <c r="KCM91" s="76">
        <v>0.86944444444444446</v>
      </c>
      <c r="KCN91" s="76">
        <v>0.86944444444444446</v>
      </c>
      <c r="KCO91" s="77" t="str">
        <f t="shared" si="225"/>
        <v>O</v>
      </c>
      <c r="KCP91" s="74" t="s">
        <v>28</v>
      </c>
      <c r="KCQ91" s="75" t="s">
        <v>23</v>
      </c>
      <c r="KCR91" s="78">
        <f>IFERROR(VLOOKUP(KCQ91,'[1]List KPI'!$M$3:$N$8,2,0),"")</f>
        <v>2.0833333333333332E-2</v>
      </c>
      <c r="KCS91" s="76">
        <v>0.89444444444444449</v>
      </c>
      <c r="KCT91" s="77" t="str">
        <f t="shared" si="226"/>
        <v>O</v>
      </c>
      <c r="KCU91" s="79">
        <v>5</v>
      </c>
      <c r="KCV91" s="75">
        <v>1276006</v>
      </c>
      <c r="KCW91" s="80"/>
      <c r="KCX91" s="81">
        <v>0.86944444444444446</v>
      </c>
      <c r="KCY91" s="74" t="s">
        <v>27</v>
      </c>
      <c r="KCZ91" s="74" t="s">
        <v>24</v>
      </c>
      <c r="KDA91" s="75" t="s">
        <v>25</v>
      </c>
      <c r="KDB91" s="76">
        <f>IFERROR(VLOOKUP(KDA91,'[1]List KPI'!$A$103:$F$118,6,0),"")</f>
        <v>1.0416666666666666E-2</v>
      </c>
      <c r="KDC91" s="76">
        <v>0.86944444444444446</v>
      </c>
      <c r="KDD91" s="76">
        <v>0.86944444444444446</v>
      </c>
      <c r="KDE91" s="77" t="str">
        <f t="shared" si="225"/>
        <v>O</v>
      </c>
      <c r="KDF91" s="74" t="s">
        <v>28</v>
      </c>
      <c r="KDG91" s="75" t="s">
        <v>23</v>
      </c>
      <c r="KDH91" s="78">
        <f>IFERROR(VLOOKUP(KDG91,'[1]List KPI'!$M$3:$N$8,2,0),"")</f>
        <v>2.0833333333333332E-2</v>
      </c>
      <c r="KDI91" s="76">
        <v>0.89444444444444449</v>
      </c>
      <c r="KDJ91" s="77" t="str">
        <f t="shared" si="226"/>
        <v>O</v>
      </c>
      <c r="KDK91" s="79">
        <v>5</v>
      </c>
      <c r="KDL91" s="75">
        <v>1276006</v>
      </c>
      <c r="KDM91" s="80"/>
      <c r="KDN91" s="81">
        <v>0.86944444444444446</v>
      </c>
      <c r="KDO91" s="74" t="s">
        <v>27</v>
      </c>
      <c r="KDP91" s="74" t="s">
        <v>24</v>
      </c>
      <c r="KDQ91" s="75" t="s">
        <v>25</v>
      </c>
      <c r="KDR91" s="76">
        <f>IFERROR(VLOOKUP(KDQ91,'[1]List KPI'!$A$103:$F$118,6,0),"")</f>
        <v>1.0416666666666666E-2</v>
      </c>
      <c r="KDS91" s="76">
        <v>0.86944444444444446</v>
      </c>
      <c r="KDT91" s="76">
        <v>0.86944444444444446</v>
      </c>
      <c r="KDU91" s="77" t="str">
        <f t="shared" ref="KDU91:KFQ91" si="227">IF(KDT91="","",IF(KDT91&gt;KEC91,"O","P"))</f>
        <v>O</v>
      </c>
      <c r="KDV91" s="74" t="s">
        <v>28</v>
      </c>
      <c r="KDW91" s="75" t="s">
        <v>23</v>
      </c>
      <c r="KDX91" s="78">
        <f>IFERROR(VLOOKUP(KDW91,'[1]List KPI'!$M$3:$N$8,2,0),"")</f>
        <v>2.0833333333333332E-2</v>
      </c>
      <c r="KDY91" s="76">
        <v>0.89444444444444449</v>
      </c>
      <c r="KDZ91" s="77" t="str">
        <f t="shared" ref="KDZ91:KFV91" si="228">IF(KDY91="","",IF(KDY91&gt;KED91,"O","P"))</f>
        <v>O</v>
      </c>
      <c r="KEA91" s="79">
        <v>5</v>
      </c>
      <c r="KEB91" s="75">
        <v>1276006</v>
      </c>
      <c r="KEC91" s="80"/>
      <c r="KED91" s="81">
        <v>0.86944444444444446</v>
      </c>
      <c r="KEE91" s="74" t="s">
        <v>27</v>
      </c>
      <c r="KEF91" s="74" t="s">
        <v>24</v>
      </c>
      <c r="KEG91" s="75" t="s">
        <v>25</v>
      </c>
      <c r="KEH91" s="76">
        <f>IFERROR(VLOOKUP(KEG91,'[1]List KPI'!$A$103:$F$118,6,0),"")</f>
        <v>1.0416666666666666E-2</v>
      </c>
      <c r="KEI91" s="76">
        <v>0.86944444444444446</v>
      </c>
      <c r="KEJ91" s="76">
        <v>0.86944444444444446</v>
      </c>
      <c r="KEK91" s="77" t="str">
        <f t="shared" si="227"/>
        <v>O</v>
      </c>
      <c r="KEL91" s="74" t="s">
        <v>28</v>
      </c>
      <c r="KEM91" s="75" t="s">
        <v>23</v>
      </c>
      <c r="KEN91" s="78">
        <f>IFERROR(VLOOKUP(KEM91,'[1]List KPI'!$M$3:$N$8,2,0),"")</f>
        <v>2.0833333333333332E-2</v>
      </c>
      <c r="KEO91" s="76">
        <v>0.89444444444444449</v>
      </c>
      <c r="KEP91" s="77" t="str">
        <f t="shared" si="228"/>
        <v>O</v>
      </c>
      <c r="KEQ91" s="79">
        <v>5</v>
      </c>
      <c r="KER91" s="75">
        <v>1276006</v>
      </c>
      <c r="KES91" s="80"/>
      <c r="KET91" s="81">
        <v>0.86944444444444446</v>
      </c>
      <c r="KEU91" s="74" t="s">
        <v>27</v>
      </c>
      <c r="KEV91" s="74" t="s">
        <v>24</v>
      </c>
      <c r="KEW91" s="75" t="s">
        <v>25</v>
      </c>
      <c r="KEX91" s="76">
        <f>IFERROR(VLOOKUP(KEW91,'[1]List KPI'!$A$103:$F$118,6,0),"")</f>
        <v>1.0416666666666666E-2</v>
      </c>
      <c r="KEY91" s="76">
        <v>0.86944444444444446</v>
      </c>
      <c r="KEZ91" s="76">
        <v>0.86944444444444446</v>
      </c>
      <c r="KFA91" s="77" t="str">
        <f t="shared" si="227"/>
        <v>O</v>
      </c>
      <c r="KFB91" s="74" t="s">
        <v>28</v>
      </c>
      <c r="KFC91" s="75" t="s">
        <v>23</v>
      </c>
      <c r="KFD91" s="78">
        <f>IFERROR(VLOOKUP(KFC91,'[1]List KPI'!$M$3:$N$8,2,0),"")</f>
        <v>2.0833333333333332E-2</v>
      </c>
      <c r="KFE91" s="76">
        <v>0.89444444444444449</v>
      </c>
      <c r="KFF91" s="77" t="str">
        <f t="shared" si="228"/>
        <v>O</v>
      </c>
      <c r="KFG91" s="79">
        <v>5</v>
      </c>
      <c r="KFH91" s="75">
        <v>1276006</v>
      </c>
      <c r="KFI91" s="80"/>
      <c r="KFJ91" s="81">
        <v>0.86944444444444446</v>
      </c>
      <c r="KFK91" s="74" t="s">
        <v>27</v>
      </c>
      <c r="KFL91" s="74" t="s">
        <v>24</v>
      </c>
      <c r="KFM91" s="75" t="s">
        <v>25</v>
      </c>
      <c r="KFN91" s="76">
        <f>IFERROR(VLOOKUP(KFM91,'[1]List KPI'!$A$103:$F$118,6,0),"")</f>
        <v>1.0416666666666666E-2</v>
      </c>
      <c r="KFO91" s="76">
        <v>0.86944444444444446</v>
      </c>
      <c r="KFP91" s="76">
        <v>0.86944444444444446</v>
      </c>
      <c r="KFQ91" s="77" t="str">
        <f t="shared" si="227"/>
        <v>O</v>
      </c>
      <c r="KFR91" s="74" t="s">
        <v>28</v>
      </c>
      <c r="KFS91" s="75" t="s">
        <v>23</v>
      </c>
      <c r="KFT91" s="78">
        <f>IFERROR(VLOOKUP(KFS91,'[1]List KPI'!$M$3:$N$8,2,0),"")</f>
        <v>2.0833333333333332E-2</v>
      </c>
      <c r="KFU91" s="76">
        <v>0.89444444444444449</v>
      </c>
      <c r="KFV91" s="77" t="str">
        <f t="shared" si="228"/>
        <v>O</v>
      </c>
      <c r="KFW91" s="79">
        <v>5</v>
      </c>
      <c r="KFX91" s="75">
        <v>1276006</v>
      </c>
      <c r="KFY91" s="80"/>
      <c r="KFZ91" s="81">
        <v>0.86944444444444446</v>
      </c>
      <c r="KGA91" s="74" t="s">
        <v>27</v>
      </c>
      <c r="KGB91" s="74" t="s">
        <v>24</v>
      </c>
      <c r="KGC91" s="75" t="s">
        <v>25</v>
      </c>
      <c r="KGD91" s="76">
        <f>IFERROR(VLOOKUP(KGC91,'[1]List KPI'!$A$103:$F$118,6,0),"")</f>
        <v>1.0416666666666666E-2</v>
      </c>
      <c r="KGE91" s="76">
        <v>0.86944444444444446</v>
      </c>
      <c r="KGF91" s="76">
        <v>0.86944444444444446</v>
      </c>
      <c r="KGG91" s="77" t="str">
        <f t="shared" ref="KGG91:KIC91" si="229">IF(KGF91="","",IF(KGF91&gt;KGO91,"O","P"))</f>
        <v>O</v>
      </c>
      <c r="KGH91" s="74" t="s">
        <v>28</v>
      </c>
      <c r="KGI91" s="75" t="s">
        <v>23</v>
      </c>
      <c r="KGJ91" s="78">
        <f>IFERROR(VLOOKUP(KGI91,'[1]List KPI'!$M$3:$N$8,2,0),"")</f>
        <v>2.0833333333333332E-2</v>
      </c>
      <c r="KGK91" s="76">
        <v>0.89444444444444449</v>
      </c>
      <c r="KGL91" s="77" t="str">
        <f t="shared" ref="KGL91:KIH91" si="230">IF(KGK91="","",IF(KGK91&gt;KGP91,"O","P"))</f>
        <v>O</v>
      </c>
      <c r="KGM91" s="79">
        <v>5</v>
      </c>
      <c r="KGN91" s="75">
        <v>1276006</v>
      </c>
      <c r="KGO91" s="80"/>
      <c r="KGP91" s="81">
        <v>0.86944444444444446</v>
      </c>
      <c r="KGQ91" s="74" t="s">
        <v>27</v>
      </c>
      <c r="KGR91" s="74" t="s">
        <v>24</v>
      </c>
      <c r="KGS91" s="75" t="s">
        <v>25</v>
      </c>
      <c r="KGT91" s="76">
        <f>IFERROR(VLOOKUP(KGS91,'[1]List KPI'!$A$103:$F$118,6,0),"")</f>
        <v>1.0416666666666666E-2</v>
      </c>
      <c r="KGU91" s="76">
        <v>0.86944444444444446</v>
      </c>
      <c r="KGV91" s="76">
        <v>0.86944444444444446</v>
      </c>
      <c r="KGW91" s="77" t="str">
        <f t="shared" si="229"/>
        <v>O</v>
      </c>
      <c r="KGX91" s="74" t="s">
        <v>28</v>
      </c>
      <c r="KGY91" s="75" t="s">
        <v>23</v>
      </c>
      <c r="KGZ91" s="78">
        <f>IFERROR(VLOOKUP(KGY91,'[1]List KPI'!$M$3:$N$8,2,0),"")</f>
        <v>2.0833333333333332E-2</v>
      </c>
      <c r="KHA91" s="76">
        <v>0.89444444444444449</v>
      </c>
      <c r="KHB91" s="77" t="str">
        <f t="shared" si="230"/>
        <v>O</v>
      </c>
      <c r="KHC91" s="79">
        <v>5</v>
      </c>
      <c r="KHD91" s="75">
        <v>1276006</v>
      </c>
      <c r="KHE91" s="80"/>
      <c r="KHF91" s="81">
        <v>0.86944444444444446</v>
      </c>
      <c r="KHG91" s="74" t="s">
        <v>27</v>
      </c>
      <c r="KHH91" s="74" t="s">
        <v>24</v>
      </c>
      <c r="KHI91" s="75" t="s">
        <v>25</v>
      </c>
      <c r="KHJ91" s="76">
        <f>IFERROR(VLOOKUP(KHI91,'[1]List KPI'!$A$103:$F$118,6,0),"")</f>
        <v>1.0416666666666666E-2</v>
      </c>
      <c r="KHK91" s="76">
        <v>0.86944444444444446</v>
      </c>
      <c r="KHL91" s="76">
        <v>0.86944444444444446</v>
      </c>
      <c r="KHM91" s="77" t="str">
        <f t="shared" si="229"/>
        <v>O</v>
      </c>
      <c r="KHN91" s="74" t="s">
        <v>28</v>
      </c>
      <c r="KHO91" s="75" t="s">
        <v>23</v>
      </c>
      <c r="KHP91" s="78">
        <f>IFERROR(VLOOKUP(KHO91,'[1]List KPI'!$M$3:$N$8,2,0),"")</f>
        <v>2.0833333333333332E-2</v>
      </c>
      <c r="KHQ91" s="76">
        <v>0.89444444444444449</v>
      </c>
      <c r="KHR91" s="77" t="str">
        <f t="shared" si="230"/>
        <v>O</v>
      </c>
      <c r="KHS91" s="79">
        <v>5</v>
      </c>
      <c r="KHT91" s="75">
        <v>1276006</v>
      </c>
      <c r="KHU91" s="80"/>
      <c r="KHV91" s="81">
        <v>0.86944444444444446</v>
      </c>
      <c r="KHW91" s="74" t="s">
        <v>27</v>
      </c>
      <c r="KHX91" s="74" t="s">
        <v>24</v>
      </c>
      <c r="KHY91" s="75" t="s">
        <v>25</v>
      </c>
      <c r="KHZ91" s="76">
        <f>IFERROR(VLOOKUP(KHY91,'[1]List KPI'!$A$103:$F$118,6,0),"")</f>
        <v>1.0416666666666666E-2</v>
      </c>
      <c r="KIA91" s="76">
        <v>0.86944444444444446</v>
      </c>
      <c r="KIB91" s="76">
        <v>0.86944444444444446</v>
      </c>
      <c r="KIC91" s="77" t="str">
        <f t="shared" si="229"/>
        <v>O</v>
      </c>
      <c r="KID91" s="74" t="s">
        <v>28</v>
      </c>
      <c r="KIE91" s="75" t="s">
        <v>23</v>
      </c>
      <c r="KIF91" s="78">
        <f>IFERROR(VLOOKUP(KIE91,'[1]List KPI'!$M$3:$N$8,2,0),"")</f>
        <v>2.0833333333333332E-2</v>
      </c>
      <c r="KIG91" s="76">
        <v>0.89444444444444449</v>
      </c>
      <c r="KIH91" s="77" t="str">
        <f t="shared" si="230"/>
        <v>O</v>
      </c>
      <c r="KII91" s="79">
        <v>5</v>
      </c>
      <c r="KIJ91" s="75">
        <v>1276006</v>
      </c>
      <c r="KIK91" s="80"/>
      <c r="KIL91" s="81">
        <v>0.86944444444444446</v>
      </c>
      <c r="KIM91" s="74" t="s">
        <v>27</v>
      </c>
      <c r="KIN91" s="74" t="s">
        <v>24</v>
      </c>
      <c r="KIO91" s="75" t="s">
        <v>25</v>
      </c>
      <c r="KIP91" s="76">
        <f>IFERROR(VLOOKUP(KIO91,'[1]List KPI'!$A$103:$F$118,6,0),"")</f>
        <v>1.0416666666666666E-2</v>
      </c>
      <c r="KIQ91" s="76">
        <v>0.86944444444444446</v>
      </c>
      <c r="KIR91" s="76">
        <v>0.86944444444444446</v>
      </c>
      <c r="KIS91" s="77" t="str">
        <f t="shared" ref="KIS91:KKO91" si="231">IF(KIR91="","",IF(KIR91&gt;KJA91,"O","P"))</f>
        <v>O</v>
      </c>
      <c r="KIT91" s="74" t="s">
        <v>28</v>
      </c>
      <c r="KIU91" s="75" t="s">
        <v>23</v>
      </c>
      <c r="KIV91" s="78">
        <f>IFERROR(VLOOKUP(KIU91,'[1]List KPI'!$M$3:$N$8,2,0),"")</f>
        <v>2.0833333333333332E-2</v>
      </c>
      <c r="KIW91" s="76">
        <v>0.89444444444444449</v>
      </c>
      <c r="KIX91" s="77" t="str">
        <f t="shared" ref="KIX91:KKT91" si="232">IF(KIW91="","",IF(KIW91&gt;KJB91,"O","P"))</f>
        <v>O</v>
      </c>
      <c r="KIY91" s="79">
        <v>5</v>
      </c>
      <c r="KIZ91" s="75">
        <v>1276006</v>
      </c>
      <c r="KJA91" s="80"/>
      <c r="KJB91" s="81">
        <v>0.86944444444444446</v>
      </c>
      <c r="KJC91" s="74" t="s">
        <v>27</v>
      </c>
      <c r="KJD91" s="74" t="s">
        <v>24</v>
      </c>
      <c r="KJE91" s="75" t="s">
        <v>25</v>
      </c>
      <c r="KJF91" s="76">
        <f>IFERROR(VLOOKUP(KJE91,'[1]List KPI'!$A$103:$F$118,6,0),"")</f>
        <v>1.0416666666666666E-2</v>
      </c>
      <c r="KJG91" s="76">
        <v>0.86944444444444446</v>
      </c>
      <c r="KJH91" s="76">
        <v>0.86944444444444446</v>
      </c>
      <c r="KJI91" s="77" t="str">
        <f t="shared" si="231"/>
        <v>O</v>
      </c>
      <c r="KJJ91" s="74" t="s">
        <v>28</v>
      </c>
      <c r="KJK91" s="75" t="s">
        <v>23</v>
      </c>
      <c r="KJL91" s="78">
        <f>IFERROR(VLOOKUP(KJK91,'[1]List KPI'!$M$3:$N$8,2,0),"")</f>
        <v>2.0833333333333332E-2</v>
      </c>
      <c r="KJM91" s="76">
        <v>0.89444444444444449</v>
      </c>
      <c r="KJN91" s="77" t="str">
        <f t="shared" si="232"/>
        <v>O</v>
      </c>
      <c r="KJO91" s="79">
        <v>5</v>
      </c>
      <c r="KJP91" s="75">
        <v>1276006</v>
      </c>
      <c r="KJQ91" s="80"/>
      <c r="KJR91" s="81">
        <v>0.86944444444444446</v>
      </c>
      <c r="KJS91" s="74" t="s">
        <v>27</v>
      </c>
      <c r="KJT91" s="74" t="s">
        <v>24</v>
      </c>
      <c r="KJU91" s="75" t="s">
        <v>25</v>
      </c>
      <c r="KJV91" s="76">
        <f>IFERROR(VLOOKUP(KJU91,'[1]List KPI'!$A$103:$F$118,6,0),"")</f>
        <v>1.0416666666666666E-2</v>
      </c>
      <c r="KJW91" s="76">
        <v>0.86944444444444446</v>
      </c>
      <c r="KJX91" s="76">
        <v>0.86944444444444446</v>
      </c>
      <c r="KJY91" s="77" t="str">
        <f t="shared" si="231"/>
        <v>O</v>
      </c>
      <c r="KJZ91" s="74" t="s">
        <v>28</v>
      </c>
      <c r="KKA91" s="75" t="s">
        <v>23</v>
      </c>
      <c r="KKB91" s="78">
        <f>IFERROR(VLOOKUP(KKA91,'[1]List KPI'!$M$3:$N$8,2,0),"")</f>
        <v>2.0833333333333332E-2</v>
      </c>
      <c r="KKC91" s="76">
        <v>0.89444444444444449</v>
      </c>
      <c r="KKD91" s="77" t="str">
        <f t="shared" si="232"/>
        <v>O</v>
      </c>
      <c r="KKE91" s="79">
        <v>5</v>
      </c>
      <c r="KKF91" s="75">
        <v>1276006</v>
      </c>
      <c r="KKG91" s="80"/>
      <c r="KKH91" s="81">
        <v>0.86944444444444446</v>
      </c>
      <c r="KKI91" s="74" t="s">
        <v>27</v>
      </c>
      <c r="KKJ91" s="74" t="s">
        <v>24</v>
      </c>
      <c r="KKK91" s="75" t="s">
        <v>25</v>
      </c>
      <c r="KKL91" s="76">
        <f>IFERROR(VLOOKUP(KKK91,'[1]List KPI'!$A$103:$F$118,6,0),"")</f>
        <v>1.0416666666666666E-2</v>
      </c>
      <c r="KKM91" s="76">
        <v>0.86944444444444446</v>
      </c>
      <c r="KKN91" s="76">
        <v>0.86944444444444446</v>
      </c>
      <c r="KKO91" s="77" t="str">
        <f t="shared" si="231"/>
        <v>O</v>
      </c>
      <c r="KKP91" s="74" t="s">
        <v>28</v>
      </c>
      <c r="KKQ91" s="75" t="s">
        <v>23</v>
      </c>
      <c r="KKR91" s="78">
        <f>IFERROR(VLOOKUP(KKQ91,'[1]List KPI'!$M$3:$N$8,2,0),"")</f>
        <v>2.0833333333333332E-2</v>
      </c>
      <c r="KKS91" s="76">
        <v>0.89444444444444449</v>
      </c>
      <c r="KKT91" s="77" t="str">
        <f t="shared" si="232"/>
        <v>O</v>
      </c>
      <c r="KKU91" s="79">
        <v>5</v>
      </c>
      <c r="KKV91" s="75">
        <v>1276006</v>
      </c>
      <c r="KKW91" s="80"/>
      <c r="KKX91" s="81">
        <v>0.86944444444444446</v>
      </c>
      <c r="KKY91" s="74" t="s">
        <v>27</v>
      </c>
      <c r="KKZ91" s="74" t="s">
        <v>24</v>
      </c>
      <c r="KLA91" s="75" t="s">
        <v>25</v>
      </c>
      <c r="KLB91" s="76">
        <f>IFERROR(VLOOKUP(KLA91,'[1]List KPI'!$A$103:$F$118,6,0),"")</f>
        <v>1.0416666666666666E-2</v>
      </c>
      <c r="KLC91" s="76">
        <v>0.86944444444444446</v>
      </c>
      <c r="KLD91" s="76">
        <v>0.86944444444444446</v>
      </c>
      <c r="KLE91" s="77" t="str">
        <f t="shared" ref="KLE91:KNA91" si="233">IF(KLD91="","",IF(KLD91&gt;KLM91,"O","P"))</f>
        <v>O</v>
      </c>
      <c r="KLF91" s="74" t="s">
        <v>28</v>
      </c>
      <c r="KLG91" s="75" t="s">
        <v>23</v>
      </c>
      <c r="KLH91" s="78">
        <f>IFERROR(VLOOKUP(KLG91,'[1]List KPI'!$M$3:$N$8,2,0),"")</f>
        <v>2.0833333333333332E-2</v>
      </c>
      <c r="KLI91" s="76">
        <v>0.89444444444444449</v>
      </c>
      <c r="KLJ91" s="77" t="str">
        <f t="shared" ref="KLJ91:KNF91" si="234">IF(KLI91="","",IF(KLI91&gt;KLN91,"O","P"))</f>
        <v>O</v>
      </c>
      <c r="KLK91" s="79">
        <v>5</v>
      </c>
      <c r="KLL91" s="75">
        <v>1276006</v>
      </c>
      <c r="KLM91" s="80"/>
      <c r="KLN91" s="81">
        <v>0.86944444444444446</v>
      </c>
      <c r="KLO91" s="74" t="s">
        <v>27</v>
      </c>
      <c r="KLP91" s="74" t="s">
        <v>24</v>
      </c>
      <c r="KLQ91" s="75" t="s">
        <v>25</v>
      </c>
      <c r="KLR91" s="76">
        <f>IFERROR(VLOOKUP(KLQ91,'[1]List KPI'!$A$103:$F$118,6,0),"")</f>
        <v>1.0416666666666666E-2</v>
      </c>
      <c r="KLS91" s="76">
        <v>0.86944444444444446</v>
      </c>
      <c r="KLT91" s="76">
        <v>0.86944444444444446</v>
      </c>
      <c r="KLU91" s="77" t="str">
        <f t="shared" si="233"/>
        <v>O</v>
      </c>
      <c r="KLV91" s="74" t="s">
        <v>28</v>
      </c>
      <c r="KLW91" s="75" t="s">
        <v>23</v>
      </c>
      <c r="KLX91" s="78">
        <f>IFERROR(VLOOKUP(KLW91,'[1]List KPI'!$M$3:$N$8,2,0),"")</f>
        <v>2.0833333333333332E-2</v>
      </c>
      <c r="KLY91" s="76">
        <v>0.89444444444444449</v>
      </c>
      <c r="KLZ91" s="77" t="str">
        <f t="shared" si="234"/>
        <v>O</v>
      </c>
      <c r="KMA91" s="79">
        <v>5</v>
      </c>
      <c r="KMB91" s="75">
        <v>1276006</v>
      </c>
      <c r="KMC91" s="80"/>
      <c r="KMD91" s="81">
        <v>0.86944444444444446</v>
      </c>
      <c r="KME91" s="74" t="s">
        <v>27</v>
      </c>
      <c r="KMF91" s="74" t="s">
        <v>24</v>
      </c>
      <c r="KMG91" s="75" t="s">
        <v>25</v>
      </c>
      <c r="KMH91" s="76">
        <f>IFERROR(VLOOKUP(KMG91,'[1]List KPI'!$A$103:$F$118,6,0),"")</f>
        <v>1.0416666666666666E-2</v>
      </c>
      <c r="KMI91" s="76">
        <v>0.86944444444444446</v>
      </c>
      <c r="KMJ91" s="76">
        <v>0.86944444444444446</v>
      </c>
      <c r="KMK91" s="77" t="str">
        <f t="shared" si="233"/>
        <v>O</v>
      </c>
      <c r="KML91" s="74" t="s">
        <v>28</v>
      </c>
      <c r="KMM91" s="75" t="s">
        <v>23</v>
      </c>
      <c r="KMN91" s="78">
        <f>IFERROR(VLOOKUP(KMM91,'[1]List KPI'!$M$3:$N$8,2,0),"")</f>
        <v>2.0833333333333332E-2</v>
      </c>
      <c r="KMO91" s="76">
        <v>0.89444444444444449</v>
      </c>
      <c r="KMP91" s="77" t="str">
        <f t="shared" si="234"/>
        <v>O</v>
      </c>
      <c r="KMQ91" s="79">
        <v>5</v>
      </c>
      <c r="KMR91" s="75">
        <v>1276006</v>
      </c>
      <c r="KMS91" s="80"/>
      <c r="KMT91" s="81">
        <v>0.86944444444444446</v>
      </c>
      <c r="KMU91" s="74" t="s">
        <v>27</v>
      </c>
      <c r="KMV91" s="74" t="s">
        <v>24</v>
      </c>
      <c r="KMW91" s="75" t="s">
        <v>25</v>
      </c>
      <c r="KMX91" s="76">
        <f>IFERROR(VLOOKUP(KMW91,'[1]List KPI'!$A$103:$F$118,6,0),"")</f>
        <v>1.0416666666666666E-2</v>
      </c>
      <c r="KMY91" s="76">
        <v>0.86944444444444446</v>
      </c>
      <c r="KMZ91" s="76">
        <v>0.86944444444444446</v>
      </c>
      <c r="KNA91" s="77" t="str">
        <f t="shared" si="233"/>
        <v>O</v>
      </c>
      <c r="KNB91" s="74" t="s">
        <v>28</v>
      </c>
      <c r="KNC91" s="75" t="s">
        <v>23</v>
      </c>
      <c r="KND91" s="78">
        <f>IFERROR(VLOOKUP(KNC91,'[1]List KPI'!$M$3:$N$8,2,0),"")</f>
        <v>2.0833333333333332E-2</v>
      </c>
      <c r="KNE91" s="76">
        <v>0.89444444444444449</v>
      </c>
      <c r="KNF91" s="77" t="str">
        <f t="shared" si="234"/>
        <v>O</v>
      </c>
      <c r="KNG91" s="79">
        <v>5</v>
      </c>
      <c r="KNH91" s="75">
        <v>1276006</v>
      </c>
      <c r="KNI91" s="80"/>
      <c r="KNJ91" s="81">
        <v>0.86944444444444446</v>
      </c>
      <c r="KNK91" s="74" t="s">
        <v>27</v>
      </c>
      <c r="KNL91" s="74" t="s">
        <v>24</v>
      </c>
      <c r="KNM91" s="75" t="s">
        <v>25</v>
      </c>
      <c r="KNN91" s="76">
        <f>IFERROR(VLOOKUP(KNM91,'[1]List KPI'!$A$103:$F$118,6,0),"")</f>
        <v>1.0416666666666666E-2</v>
      </c>
      <c r="KNO91" s="76">
        <v>0.86944444444444446</v>
      </c>
      <c r="KNP91" s="76">
        <v>0.86944444444444446</v>
      </c>
      <c r="KNQ91" s="77" t="str">
        <f t="shared" ref="KNQ91:KPM91" si="235">IF(KNP91="","",IF(KNP91&gt;KNY91,"O","P"))</f>
        <v>O</v>
      </c>
      <c r="KNR91" s="74" t="s">
        <v>28</v>
      </c>
      <c r="KNS91" s="75" t="s">
        <v>23</v>
      </c>
      <c r="KNT91" s="78">
        <f>IFERROR(VLOOKUP(KNS91,'[1]List KPI'!$M$3:$N$8,2,0),"")</f>
        <v>2.0833333333333332E-2</v>
      </c>
      <c r="KNU91" s="76">
        <v>0.89444444444444449</v>
      </c>
      <c r="KNV91" s="77" t="str">
        <f t="shared" ref="KNV91:KPR91" si="236">IF(KNU91="","",IF(KNU91&gt;KNZ91,"O","P"))</f>
        <v>O</v>
      </c>
      <c r="KNW91" s="79">
        <v>5</v>
      </c>
      <c r="KNX91" s="75">
        <v>1276006</v>
      </c>
      <c r="KNY91" s="80"/>
      <c r="KNZ91" s="81">
        <v>0.86944444444444446</v>
      </c>
      <c r="KOA91" s="74" t="s">
        <v>27</v>
      </c>
      <c r="KOB91" s="74" t="s">
        <v>24</v>
      </c>
      <c r="KOC91" s="75" t="s">
        <v>25</v>
      </c>
      <c r="KOD91" s="76">
        <f>IFERROR(VLOOKUP(KOC91,'[1]List KPI'!$A$103:$F$118,6,0),"")</f>
        <v>1.0416666666666666E-2</v>
      </c>
      <c r="KOE91" s="76">
        <v>0.86944444444444446</v>
      </c>
      <c r="KOF91" s="76">
        <v>0.86944444444444446</v>
      </c>
      <c r="KOG91" s="77" t="str">
        <f t="shared" si="235"/>
        <v>O</v>
      </c>
      <c r="KOH91" s="74" t="s">
        <v>28</v>
      </c>
      <c r="KOI91" s="75" t="s">
        <v>23</v>
      </c>
      <c r="KOJ91" s="78">
        <f>IFERROR(VLOOKUP(KOI91,'[1]List KPI'!$M$3:$N$8,2,0),"")</f>
        <v>2.0833333333333332E-2</v>
      </c>
      <c r="KOK91" s="76">
        <v>0.89444444444444449</v>
      </c>
      <c r="KOL91" s="77" t="str">
        <f t="shared" si="236"/>
        <v>O</v>
      </c>
      <c r="KOM91" s="79">
        <v>5</v>
      </c>
      <c r="KON91" s="75">
        <v>1276006</v>
      </c>
      <c r="KOO91" s="80"/>
      <c r="KOP91" s="81">
        <v>0.86944444444444446</v>
      </c>
      <c r="KOQ91" s="74" t="s">
        <v>27</v>
      </c>
      <c r="KOR91" s="74" t="s">
        <v>24</v>
      </c>
      <c r="KOS91" s="75" t="s">
        <v>25</v>
      </c>
      <c r="KOT91" s="76">
        <f>IFERROR(VLOOKUP(KOS91,'[1]List KPI'!$A$103:$F$118,6,0),"")</f>
        <v>1.0416666666666666E-2</v>
      </c>
      <c r="KOU91" s="76">
        <v>0.86944444444444446</v>
      </c>
      <c r="KOV91" s="76">
        <v>0.86944444444444446</v>
      </c>
      <c r="KOW91" s="77" t="str">
        <f t="shared" si="235"/>
        <v>O</v>
      </c>
      <c r="KOX91" s="74" t="s">
        <v>28</v>
      </c>
      <c r="KOY91" s="75" t="s">
        <v>23</v>
      </c>
      <c r="KOZ91" s="78">
        <f>IFERROR(VLOOKUP(KOY91,'[1]List KPI'!$M$3:$N$8,2,0),"")</f>
        <v>2.0833333333333332E-2</v>
      </c>
      <c r="KPA91" s="76">
        <v>0.89444444444444449</v>
      </c>
      <c r="KPB91" s="77" t="str">
        <f t="shared" si="236"/>
        <v>O</v>
      </c>
      <c r="KPC91" s="79">
        <v>5</v>
      </c>
      <c r="KPD91" s="75">
        <v>1276006</v>
      </c>
      <c r="KPE91" s="80"/>
      <c r="KPF91" s="81">
        <v>0.86944444444444446</v>
      </c>
      <c r="KPG91" s="74" t="s">
        <v>27</v>
      </c>
      <c r="KPH91" s="74" t="s">
        <v>24</v>
      </c>
      <c r="KPI91" s="75" t="s">
        <v>25</v>
      </c>
      <c r="KPJ91" s="76">
        <f>IFERROR(VLOOKUP(KPI91,'[1]List KPI'!$A$103:$F$118,6,0),"")</f>
        <v>1.0416666666666666E-2</v>
      </c>
      <c r="KPK91" s="76">
        <v>0.86944444444444446</v>
      </c>
      <c r="KPL91" s="76">
        <v>0.86944444444444446</v>
      </c>
      <c r="KPM91" s="77" t="str">
        <f t="shared" si="235"/>
        <v>O</v>
      </c>
      <c r="KPN91" s="74" t="s">
        <v>28</v>
      </c>
      <c r="KPO91" s="75" t="s">
        <v>23</v>
      </c>
      <c r="KPP91" s="78">
        <f>IFERROR(VLOOKUP(KPO91,'[1]List KPI'!$M$3:$N$8,2,0),"")</f>
        <v>2.0833333333333332E-2</v>
      </c>
      <c r="KPQ91" s="76">
        <v>0.89444444444444449</v>
      </c>
      <c r="KPR91" s="77" t="str">
        <f t="shared" si="236"/>
        <v>O</v>
      </c>
      <c r="KPS91" s="79">
        <v>5</v>
      </c>
      <c r="KPT91" s="75">
        <v>1276006</v>
      </c>
      <c r="KPU91" s="80"/>
      <c r="KPV91" s="81">
        <v>0.86944444444444446</v>
      </c>
      <c r="KPW91" s="74" t="s">
        <v>27</v>
      </c>
      <c r="KPX91" s="74" t="s">
        <v>24</v>
      </c>
      <c r="KPY91" s="75" t="s">
        <v>25</v>
      </c>
      <c r="KPZ91" s="76">
        <f>IFERROR(VLOOKUP(KPY91,'[1]List KPI'!$A$103:$F$118,6,0),"")</f>
        <v>1.0416666666666666E-2</v>
      </c>
      <c r="KQA91" s="76">
        <v>0.86944444444444446</v>
      </c>
      <c r="KQB91" s="76">
        <v>0.86944444444444446</v>
      </c>
      <c r="KQC91" s="77" t="str">
        <f t="shared" ref="KQC91:KRY91" si="237">IF(KQB91="","",IF(KQB91&gt;KQK91,"O","P"))</f>
        <v>O</v>
      </c>
      <c r="KQD91" s="74" t="s">
        <v>28</v>
      </c>
      <c r="KQE91" s="75" t="s">
        <v>23</v>
      </c>
      <c r="KQF91" s="78">
        <f>IFERROR(VLOOKUP(KQE91,'[1]List KPI'!$M$3:$N$8,2,0),"")</f>
        <v>2.0833333333333332E-2</v>
      </c>
      <c r="KQG91" s="76">
        <v>0.89444444444444449</v>
      </c>
      <c r="KQH91" s="77" t="str">
        <f t="shared" ref="KQH91:KSD91" si="238">IF(KQG91="","",IF(KQG91&gt;KQL91,"O","P"))</f>
        <v>O</v>
      </c>
      <c r="KQI91" s="79">
        <v>5</v>
      </c>
      <c r="KQJ91" s="75">
        <v>1276006</v>
      </c>
      <c r="KQK91" s="80"/>
      <c r="KQL91" s="81">
        <v>0.86944444444444446</v>
      </c>
      <c r="KQM91" s="74" t="s">
        <v>27</v>
      </c>
      <c r="KQN91" s="74" t="s">
        <v>24</v>
      </c>
      <c r="KQO91" s="75" t="s">
        <v>25</v>
      </c>
      <c r="KQP91" s="76">
        <f>IFERROR(VLOOKUP(KQO91,'[1]List KPI'!$A$103:$F$118,6,0),"")</f>
        <v>1.0416666666666666E-2</v>
      </c>
      <c r="KQQ91" s="76">
        <v>0.86944444444444446</v>
      </c>
      <c r="KQR91" s="76">
        <v>0.86944444444444446</v>
      </c>
      <c r="KQS91" s="77" t="str">
        <f t="shared" si="237"/>
        <v>O</v>
      </c>
      <c r="KQT91" s="74" t="s">
        <v>28</v>
      </c>
      <c r="KQU91" s="75" t="s">
        <v>23</v>
      </c>
      <c r="KQV91" s="78">
        <f>IFERROR(VLOOKUP(KQU91,'[1]List KPI'!$M$3:$N$8,2,0),"")</f>
        <v>2.0833333333333332E-2</v>
      </c>
      <c r="KQW91" s="76">
        <v>0.89444444444444449</v>
      </c>
      <c r="KQX91" s="77" t="str">
        <f t="shared" si="238"/>
        <v>O</v>
      </c>
      <c r="KQY91" s="79">
        <v>5</v>
      </c>
      <c r="KQZ91" s="75">
        <v>1276006</v>
      </c>
      <c r="KRA91" s="80"/>
      <c r="KRB91" s="81">
        <v>0.86944444444444446</v>
      </c>
      <c r="KRC91" s="74" t="s">
        <v>27</v>
      </c>
      <c r="KRD91" s="74" t="s">
        <v>24</v>
      </c>
      <c r="KRE91" s="75" t="s">
        <v>25</v>
      </c>
      <c r="KRF91" s="76">
        <f>IFERROR(VLOOKUP(KRE91,'[1]List KPI'!$A$103:$F$118,6,0),"")</f>
        <v>1.0416666666666666E-2</v>
      </c>
      <c r="KRG91" s="76">
        <v>0.86944444444444446</v>
      </c>
      <c r="KRH91" s="76">
        <v>0.86944444444444446</v>
      </c>
      <c r="KRI91" s="77" t="str">
        <f t="shared" si="237"/>
        <v>O</v>
      </c>
      <c r="KRJ91" s="74" t="s">
        <v>28</v>
      </c>
      <c r="KRK91" s="75" t="s">
        <v>23</v>
      </c>
      <c r="KRL91" s="78">
        <f>IFERROR(VLOOKUP(KRK91,'[1]List KPI'!$M$3:$N$8,2,0),"")</f>
        <v>2.0833333333333332E-2</v>
      </c>
      <c r="KRM91" s="76">
        <v>0.89444444444444449</v>
      </c>
      <c r="KRN91" s="77" t="str">
        <f t="shared" si="238"/>
        <v>O</v>
      </c>
      <c r="KRO91" s="79">
        <v>5</v>
      </c>
      <c r="KRP91" s="75">
        <v>1276006</v>
      </c>
      <c r="KRQ91" s="80"/>
      <c r="KRR91" s="81">
        <v>0.86944444444444446</v>
      </c>
      <c r="KRS91" s="74" t="s">
        <v>27</v>
      </c>
      <c r="KRT91" s="74" t="s">
        <v>24</v>
      </c>
      <c r="KRU91" s="75" t="s">
        <v>25</v>
      </c>
      <c r="KRV91" s="76">
        <f>IFERROR(VLOOKUP(KRU91,'[1]List KPI'!$A$103:$F$118,6,0),"")</f>
        <v>1.0416666666666666E-2</v>
      </c>
      <c r="KRW91" s="76">
        <v>0.86944444444444446</v>
      </c>
      <c r="KRX91" s="76">
        <v>0.86944444444444446</v>
      </c>
      <c r="KRY91" s="77" t="str">
        <f t="shared" si="237"/>
        <v>O</v>
      </c>
      <c r="KRZ91" s="74" t="s">
        <v>28</v>
      </c>
      <c r="KSA91" s="75" t="s">
        <v>23</v>
      </c>
      <c r="KSB91" s="78">
        <f>IFERROR(VLOOKUP(KSA91,'[1]List KPI'!$M$3:$N$8,2,0),"")</f>
        <v>2.0833333333333332E-2</v>
      </c>
      <c r="KSC91" s="76">
        <v>0.89444444444444449</v>
      </c>
      <c r="KSD91" s="77" t="str">
        <f t="shared" si="238"/>
        <v>O</v>
      </c>
      <c r="KSE91" s="79">
        <v>5</v>
      </c>
      <c r="KSF91" s="75">
        <v>1276006</v>
      </c>
      <c r="KSG91" s="80"/>
      <c r="KSH91" s="81">
        <v>0.86944444444444446</v>
      </c>
      <c r="KSI91" s="74" t="s">
        <v>27</v>
      </c>
      <c r="KSJ91" s="74" t="s">
        <v>24</v>
      </c>
      <c r="KSK91" s="75" t="s">
        <v>25</v>
      </c>
      <c r="KSL91" s="76">
        <f>IFERROR(VLOOKUP(KSK91,'[1]List KPI'!$A$103:$F$118,6,0),"")</f>
        <v>1.0416666666666666E-2</v>
      </c>
      <c r="KSM91" s="76">
        <v>0.86944444444444446</v>
      </c>
      <c r="KSN91" s="76">
        <v>0.86944444444444446</v>
      </c>
      <c r="KSO91" s="77" t="str">
        <f t="shared" ref="KSO91:KUK91" si="239">IF(KSN91="","",IF(KSN91&gt;KSW91,"O","P"))</f>
        <v>O</v>
      </c>
      <c r="KSP91" s="74" t="s">
        <v>28</v>
      </c>
      <c r="KSQ91" s="75" t="s">
        <v>23</v>
      </c>
      <c r="KSR91" s="78">
        <f>IFERROR(VLOOKUP(KSQ91,'[1]List KPI'!$M$3:$N$8,2,0),"")</f>
        <v>2.0833333333333332E-2</v>
      </c>
      <c r="KSS91" s="76">
        <v>0.89444444444444449</v>
      </c>
      <c r="KST91" s="77" t="str">
        <f t="shared" ref="KST91:KUP91" si="240">IF(KSS91="","",IF(KSS91&gt;KSX91,"O","P"))</f>
        <v>O</v>
      </c>
      <c r="KSU91" s="79">
        <v>5</v>
      </c>
      <c r="KSV91" s="75">
        <v>1276006</v>
      </c>
      <c r="KSW91" s="80"/>
      <c r="KSX91" s="81">
        <v>0.86944444444444446</v>
      </c>
      <c r="KSY91" s="74" t="s">
        <v>27</v>
      </c>
      <c r="KSZ91" s="74" t="s">
        <v>24</v>
      </c>
      <c r="KTA91" s="75" t="s">
        <v>25</v>
      </c>
      <c r="KTB91" s="76">
        <f>IFERROR(VLOOKUP(KTA91,'[1]List KPI'!$A$103:$F$118,6,0),"")</f>
        <v>1.0416666666666666E-2</v>
      </c>
      <c r="KTC91" s="76">
        <v>0.86944444444444446</v>
      </c>
      <c r="KTD91" s="76">
        <v>0.86944444444444446</v>
      </c>
      <c r="KTE91" s="77" t="str">
        <f t="shared" si="239"/>
        <v>O</v>
      </c>
      <c r="KTF91" s="74" t="s">
        <v>28</v>
      </c>
      <c r="KTG91" s="75" t="s">
        <v>23</v>
      </c>
      <c r="KTH91" s="78">
        <f>IFERROR(VLOOKUP(KTG91,'[1]List KPI'!$M$3:$N$8,2,0),"")</f>
        <v>2.0833333333333332E-2</v>
      </c>
      <c r="KTI91" s="76">
        <v>0.89444444444444449</v>
      </c>
      <c r="KTJ91" s="77" t="str">
        <f t="shared" si="240"/>
        <v>O</v>
      </c>
      <c r="KTK91" s="79">
        <v>5</v>
      </c>
      <c r="KTL91" s="75">
        <v>1276006</v>
      </c>
      <c r="KTM91" s="80"/>
      <c r="KTN91" s="81">
        <v>0.86944444444444446</v>
      </c>
      <c r="KTO91" s="74" t="s">
        <v>27</v>
      </c>
      <c r="KTP91" s="74" t="s">
        <v>24</v>
      </c>
      <c r="KTQ91" s="75" t="s">
        <v>25</v>
      </c>
      <c r="KTR91" s="76">
        <f>IFERROR(VLOOKUP(KTQ91,'[1]List KPI'!$A$103:$F$118,6,0),"")</f>
        <v>1.0416666666666666E-2</v>
      </c>
      <c r="KTS91" s="76">
        <v>0.86944444444444446</v>
      </c>
      <c r="KTT91" s="76">
        <v>0.86944444444444446</v>
      </c>
      <c r="KTU91" s="77" t="str">
        <f t="shared" si="239"/>
        <v>O</v>
      </c>
      <c r="KTV91" s="74" t="s">
        <v>28</v>
      </c>
      <c r="KTW91" s="75" t="s">
        <v>23</v>
      </c>
      <c r="KTX91" s="78">
        <f>IFERROR(VLOOKUP(KTW91,'[1]List KPI'!$M$3:$N$8,2,0),"")</f>
        <v>2.0833333333333332E-2</v>
      </c>
      <c r="KTY91" s="76">
        <v>0.89444444444444449</v>
      </c>
      <c r="KTZ91" s="77" t="str">
        <f t="shared" si="240"/>
        <v>O</v>
      </c>
      <c r="KUA91" s="79">
        <v>5</v>
      </c>
      <c r="KUB91" s="75">
        <v>1276006</v>
      </c>
      <c r="KUC91" s="80"/>
      <c r="KUD91" s="81">
        <v>0.86944444444444446</v>
      </c>
      <c r="KUE91" s="74" t="s">
        <v>27</v>
      </c>
      <c r="KUF91" s="74" t="s">
        <v>24</v>
      </c>
      <c r="KUG91" s="75" t="s">
        <v>25</v>
      </c>
      <c r="KUH91" s="76">
        <f>IFERROR(VLOOKUP(KUG91,'[1]List KPI'!$A$103:$F$118,6,0),"")</f>
        <v>1.0416666666666666E-2</v>
      </c>
      <c r="KUI91" s="76">
        <v>0.86944444444444446</v>
      </c>
      <c r="KUJ91" s="76">
        <v>0.86944444444444446</v>
      </c>
      <c r="KUK91" s="77" t="str">
        <f t="shared" si="239"/>
        <v>O</v>
      </c>
      <c r="KUL91" s="74" t="s">
        <v>28</v>
      </c>
      <c r="KUM91" s="75" t="s">
        <v>23</v>
      </c>
      <c r="KUN91" s="78">
        <f>IFERROR(VLOOKUP(KUM91,'[1]List KPI'!$M$3:$N$8,2,0),"")</f>
        <v>2.0833333333333332E-2</v>
      </c>
      <c r="KUO91" s="76">
        <v>0.89444444444444449</v>
      </c>
      <c r="KUP91" s="77" t="str">
        <f t="shared" si="240"/>
        <v>O</v>
      </c>
      <c r="KUQ91" s="79">
        <v>5</v>
      </c>
      <c r="KUR91" s="75">
        <v>1276006</v>
      </c>
      <c r="KUS91" s="80"/>
      <c r="KUT91" s="81">
        <v>0.86944444444444446</v>
      </c>
      <c r="KUU91" s="74" t="s">
        <v>27</v>
      </c>
      <c r="KUV91" s="74" t="s">
        <v>24</v>
      </c>
      <c r="KUW91" s="75" t="s">
        <v>25</v>
      </c>
      <c r="KUX91" s="76">
        <f>IFERROR(VLOOKUP(KUW91,'[1]List KPI'!$A$103:$F$118,6,0),"")</f>
        <v>1.0416666666666666E-2</v>
      </c>
      <c r="KUY91" s="76">
        <v>0.86944444444444446</v>
      </c>
      <c r="KUZ91" s="76">
        <v>0.86944444444444446</v>
      </c>
      <c r="KVA91" s="77" t="str">
        <f t="shared" ref="KVA91:KWW91" si="241">IF(KUZ91="","",IF(KUZ91&gt;KVI91,"O","P"))</f>
        <v>O</v>
      </c>
      <c r="KVB91" s="74" t="s">
        <v>28</v>
      </c>
      <c r="KVC91" s="75" t="s">
        <v>23</v>
      </c>
      <c r="KVD91" s="78">
        <f>IFERROR(VLOOKUP(KVC91,'[1]List KPI'!$M$3:$N$8,2,0),"")</f>
        <v>2.0833333333333332E-2</v>
      </c>
      <c r="KVE91" s="76">
        <v>0.89444444444444449</v>
      </c>
      <c r="KVF91" s="77" t="str">
        <f t="shared" ref="KVF91:KXB91" si="242">IF(KVE91="","",IF(KVE91&gt;KVJ91,"O","P"))</f>
        <v>O</v>
      </c>
      <c r="KVG91" s="79">
        <v>5</v>
      </c>
      <c r="KVH91" s="75">
        <v>1276006</v>
      </c>
      <c r="KVI91" s="80"/>
      <c r="KVJ91" s="81">
        <v>0.86944444444444446</v>
      </c>
      <c r="KVK91" s="74" t="s">
        <v>27</v>
      </c>
      <c r="KVL91" s="74" t="s">
        <v>24</v>
      </c>
      <c r="KVM91" s="75" t="s">
        <v>25</v>
      </c>
      <c r="KVN91" s="76">
        <f>IFERROR(VLOOKUP(KVM91,'[1]List KPI'!$A$103:$F$118,6,0),"")</f>
        <v>1.0416666666666666E-2</v>
      </c>
      <c r="KVO91" s="76">
        <v>0.86944444444444446</v>
      </c>
      <c r="KVP91" s="76">
        <v>0.86944444444444446</v>
      </c>
      <c r="KVQ91" s="77" t="str">
        <f t="shared" si="241"/>
        <v>O</v>
      </c>
      <c r="KVR91" s="74" t="s">
        <v>28</v>
      </c>
      <c r="KVS91" s="75" t="s">
        <v>23</v>
      </c>
      <c r="KVT91" s="78">
        <f>IFERROR(VLOOKUP(KVS91,'[1]List KPI'!$M$3:$N$8,2,0),"")</f>
        <v>2.0833333333333332E-2</v>
      </c>
      <c r="KVU91" s="76">
        <v>0.89444444444444449</v>
      </c>
      <c r="KVV91" s="77" t="str">
        <f t="shared" si="242"/>
        <v>O</v>
      </c>
      <c r="KVW91" s="79">
        <v>5</v>
      </c>
      <c r="KVX91" s="75">
        <v>1276006</v>
      </c>
      <c r="KVY91" s="80"/>
      <c r="KVZ91" s="81">
        <v>0.86944444444444446</v>
      </c>
      <c r="KWA91" s="74" t="s">
        <v>27</v>
      </c>
      <c r="KWB91" s="74" t="s">
        <v>24</v>
      </c>
      <c r="KWC91" s="75" t="s">
        <v>25</v>
      </c>
      <c r="KWD91" s="76">
        <f>IFERROR(VLOOKUP(KWC91,'[1]List KPI'!$A$103:$F$118,6,0),"")</f>
        <v>1.0416666666666666E-2</v>
      </c>
      <c r="KWE91" s="76">
        <v>0.86944444444444446</v>
      </c>
      <c r="KWF91" s="76">
        <v>0.86944444444444446</v>
      </c>
      <c r="KWG91" s="77" t="str">
        <f t="shared" si="241"/>
        <v>O</v>
      </c>
      <c r="KWH91" s="74" t="s">
        <v>28</v>
      </c>
      <c r="KWI91" s="75" t="s">
        <v>23</v>
      </c>
      <c r="KWJ91" s="78">
        <f>IFERROR(VLOOKUP(KWI91,'[1]List KPI'!$M$3:$N$8,2,0),"")</f>
        <v>2.0833333333333332E-2</v>
      </c>
      <c r="KWK91" s="76">
        <v>0.89444444444444449</v>
      </c>
      <c r="KWL91" s="77" t="str">
        <f t="shared" si="242"/>
        <v>O</v>
      </c>
      <c r="KWM91" s="79">
        <v>5</v>
      </c>
      <c r="KWN91" s="75">
        <v>1276006</v>
      </c>
      <c r="KWO91" s="80"/>
      <c r="KWP91" s="81">
        <v>0.86944444444444446</v>
      </c>
      <c r="KWQ91" s="74" t="s">
        <v>27</v>
      </c>
      <c r="KWR91" s="74" t="s">
        <v>24</v>
      </c>
      <c r="KWS91" s="75" t="s">
        <v>25</v>
      </c>
      <c r="KWT91" s="76">
        <f>IFERROR(VLOOKUP(KWS91,'[1]List KPI'!$A$103:$F$118,6,0),"")</f>
        <v>1.0416666666666666E-2</v>
      </c>
      <c r="KWU91" s="76">
        <v>0.86944444444444446</v>
      </c>
      <c r="KWV91" s="76">
        <v>0.86944444444444446</v>
      </c>
      <c r="KWW91" s="77" t="str">
        <f t="shared" si="241"/>
        <v>O</v>
      </c>
      <c r="KWX91" s="74" t="s">
        <v>28</v>
      </c>
      <c r="KWY91" s="75" t="s">
        <v>23</v>
      </c>
      <c r="KWZ91" s="78">
        <f>IFERROR(VLOOKUP(KWY91,'[1]List KPI'!$M$3:$N$8,2,0),"")</f>
        <v>2.0833333333333332E-2</v>
      </c>
      <c r="KXA91" s="76">
        <v>0.89444444444444449</v>
      </c>
      <c r="KXB91" s="77" t="str">
        <f t="shared" si="242"/>
        <v>O</v>
      </c>
      <c r="KXC91" s="79">
        <v>5</v>
      </c>
      <c r="KXD91" s="75">
        <v>1276006</v>
      </c>
      <c r="KXE91" s="80"/>
      <c r="KXF91" s="81">
        <v>0.86944444444444446</v>
      </c>
      <c r="KXG91" s="74" t="s">
        <v>27</v>
      </c>
      <c r="KXH91" s="74" t="s">
        <v>24</v>
      </c>
      <c r="KXI91" s="75" t="s">
        <v>25</v>
      </c>
      <c r="KXJ91" s="76">
        <f>IFERROR(VLOOKUP(KXI91,'[1]List KPI'!$A$103:$F$118,6,0),"")</f>
        <v>1.0416666666666666E-2</v>
      </c>
      <c r="KXK91" s="76">
        <v>0.86944444444444446</v>
      </c>
      <c r="KXL91" s="76">
        <v>0.86944444444444446</v>
      </c>
      <c r="KXM91" s="77" t="str">
        <f t="shared" ref="KXM91:KZI91" si="243">IF(KXL91="","",IF(KXL91&gt;KXU91,"O","P"))</f>
        <v>O</v>
      </c>
      <c r="KXN91" s="74" t="s">
        <v>28</v>
      </c>
      <c r="KXO91" s="75" t="s">
        <v>23</v>
      </c>
      <c r="KXP91" s="78">
        <f>IFERROR(VLOOKUP(KXO91,'[1]List KPI'!$M$3:$N$8,2,0),"")</f>
        <v>2.0833333333333332E-2</v>
      </c>
      <c r="KXQ91" s="76">
        <v>0.89444444444444449</v>
      </c>
      <c r="KXR91" s="77" t="str">
        <f t="shared" ref="KXR91:KZN91" si="244">IF(KXQ91="","",IF(KXQ91&gt;KXV91,"O","P"))</f>
        <v>O</v>
      </c>
      <c r="KXS91" s="79">
        <v>5</v>
      </c>
      <c r="KXT91" s="75">
        <v>1276006</v>
      </c>
      <c r="KXU91" s="80"/>
      <c r="KXV91" s="81">
        <v>0.86944444444444446</v>
      </c>
      <c r="KXW91" s="74" t="s">
        <v>27</v>
      </c>
      <c r="KXX91" s="74" t="s">
        <v>24</v>
      </c>
      <c r="KXY91" s="75" t="s">
        <v>25</v>
      </c>
      <c r="KXZ91" s="76">
        <f>IFERROR(VLOOKUP(KXY91,'[1]List KPI'!$A$103:$F$118,6,0),"")</f>
        <v>1.0416666666666666E-2</v>
      </c>
      <c r="KYA91" s="76">
        <v>0.86944444444444446</v>
      </c>
      <c r="KYB91" s="76">
        <v>0.86944444444444446</v>
      </c>
      <c r="KYC91" s="77" t="str">
        <f t="shared" si="243"/>
        <v>O</v>
      </c>
      <c r="KYD91" s="74" t="s">
        <v>28</v>
      </c>
      <c r="KYE91" s="75" t="s">
        <v>23</v>
      </c>
      <c r="KYF91" s="78">
        <f>IFERROR(VLOOKUP(KYE91,'[1]List KPI'!$M$3:$N$8,2,0),"")</f>
        <v>2.0833333333333332E-2</v>
      </c>
      <c r="KYG91" s="76">
        <v>0.89444444444444449</v>
      </c>
      <c r="KYH91" s="77" t="str">
        <f t="shared" si="244"/>
        <v>O</v>
      </c>
      <c r="KYI91" s="79">
        <v>5</v>
      </c>
      <c r="KYJ91" s="75">
        <v>1276006</v>
      </c>
      <c r="KYK91" s="80"/>
      <c r="KYL91" s="81">
        <v>0.86944444444444446</v>
      </c>
      <c r="KYM91" s="74" t="s">
        <v>27</v>
      </c>
      <c r="KYN91" s="74" t="s">
        <v>24</v>
      </c>
      <c r="KYO91" s="75" t="s">
        <v>25</v>
      </c>
      <c r="KYP91" s="76">
        <f>IFERROR(VLOOKUP(KYO91,'[1]List KPI'!$A$103:$F$118,6,0),"")</f>
        <v>1.0416666666666666E-2</v>
      </c>
      <c r="KYQ91" s="76">
        <v>0.86944444444444446</v>
      </c>
      <c r="KYR91" s="76">
        <v>0.86944444444444446</v>
      </c>
      <c r="KYS91" s="77" t="str">
        <f t="shared" si="243"/>
        <v>O</v>
      </c>
      <c r="KYT91" s="74" t="s">
        <v>28</v>
      </c>
      <c r="KYU91" s="75" t="s">
        <v>23</v>
      </c>
      <c r="KYV91" s="78">
        <f>IFERROR(VLOOKUP(KYU91,'[1]List KPI'!$M$3:$N$8,2,0),"")</f>
        <v>2.0833333333333332E-2</v>
      </c>
      <c r="KYW91" s="76">
        <v>0.89444444444444449</v>
      </c>
      <c r="KYX91" s="77" t="str">
        <f t="shared" si="244"/>
        <v>O</v>
      </c>
      <c r="KYY91" s="79">
        <v>5</v>
      </c>
      <c r="KYZ91" s="75">
        <v>1276006</v>
      </c>
      <c r="KZA91" s="80"/>
      <c r="KZB91" s="81">
        <v>0.86944444444444446</v>
      </c>
      <c r="KZC91" s="74" t="s">
        <v>27</v>
      </c>
      <c r="KZD91" s="74" t="s">
        <v>24</v>
      </c>
      <c r="KZE91" s="75" t="s">
        <v>25</v>
      </c>
      <c r="KZF91" s="76">
        <f>IFERROR(VLOOKUP(KZE91,'[1]List KPI'!$A$103:$F$118,6,0),"")</f>
        <v>1.0416666666666666E-2</v>
      </c>
      <c r="KZG91" s="76">
        <v>0.86944444444444446</v>
      </c>
      <c r="KZH91" s="76">
        <v>0.86944444444444446</v>
      </c>
      <c r="KZI91" s="77" t="str">
        <f t="shared" si="243"/>
        <v>O</v>
      </c>
      <c r="KZJ91" s="74" t="s">
        <v>28</v>
      </c>
      <c r="KZK91" s="75" t="s">
        <v>23</v>
      </c>
      <c r="KZL91" s="78">
        <f>IFERROR(VLOOKUP(KZK91,'[1]List KPI'!$M$3:$N$8,2,0),"")</f>
        <v>2.0833333333333332E-2</v>
      </c>
      <c r="KZM91" s="76">
        <v>0.89444444444444449</v>
      </c>
      <c r="KZN91" s="77" t="str">
        <f t="shared" si="244"/>
        <v>O</v>
      </c>
      <c r="KZO91" s="79">
        <v>5</v>
      </c>
      <c r="KZP91" s="75">
        <v>1276006</v>
      </c>
      <c r="KZQ91" s="80"/>
      <c r="KZR91" s="81">
        <v>0.86944444444444446</v>
      </c>
      <c r="KZS91" s="74" t="s">
        <v>27</v>
      </c>
      <c r="KZT91" s="74" t="s">
        <v>24</v>
      </c>
      <c r="KZU91" s="75" t="s">
        <v>25</v>
      </c>
      <c r="KZV91" s="76">
        <f>IFERROR(VLOOKUP(KZU91,'[1]List KPI'!$A$103:$F$118,6,0),"")</f>
        <v>1.0416666666666666E-2</v>
      </c>
      <c r="KZW91" s="76">
        <v>0.86944444444444446</v>
      </c>
      <c r="KZX91" s="76">
        <v>0.86944444444444446</v>
      </c>
      <c r="KZY91" s="77" t="str">
        <f t="shared" ref="KZY91:LBU91" si="245">IF(KZX91="","",IF(KZX91&gt;LAG91,"O","P"))</f>
        <v>O</v>
      </c>
      <c r="KZZ91" s="74" t="s">
        <v>28</v>
      </c>
      <c r="LAA91" s="75" t="s">
        <v>23</v>
      </c>
      <c r="LAB91" s="78">
        <f>IFERROR(VLOOKUP(LAA91,'[1]List KPI'!$M$3:$N$8,2,0),"")</f>
        <v>2.0833333333333332E-2</v>
      </c>
      <c r="LAC91" s="76">
        <v>0.89444444444444449</v>
      </c>
      <c r="LAD91" s="77" t="str">
        <f t="shared" ref="LAD91:LBZ91" si="246">IF(LAC91="","",IF(LAC91&gt;LAH91,"O","P"))</f>
        <v>O</v>
      </c>
      <c r="LAE91" s="79">
        <v>5</v>
      </c>
      <c r="LAF91" s="75">
        <v>1276006</v>
      </c>
      <c r="LAG91" s="80"/>
      <c r="LAH91" s="81">
        <v>0.86944444444444446</v>
      </c>
      <c r="LAI91" s="74" t="s">
        <v>27</v>
      </c>
      <c r="LAJ91" s="74" t="s">
        <v>24</v>
      </c>
      <c r="LAK91" s="75" t="s">
        <v>25</v>
      </c>
      <c r="LAL91" s="76">
        <f>IFERROR(VLOOKUP(LAK91,'[1]List KPI'!$A$103:$F$118,6,0),"")</f>
        <v>1.0416666666666666E-2</v>
      </c>
      <c r="LAM91" s="76">
        <v>0.86944444444444446</v>
      </c>
      <c r="LAN91" s="76">
        <v>0.86944444444444446</v>
      </c>
      <c r="LAO91" s="77" t="str">
        <f t="shared" si="245"/>
        <v>O</v>
      </c>
      <c r="LAP91" s="74" t="s">
        <v>28</v>
      </c>
      <c r="LAQ91" s="75" t="s">
        <v>23</v>
      </c>
      <c r="LAR91" s="78">
        <f>IFERROR(VLOOKUP(LAQ91,'[1]List KPI'!$M$3:$N$8,2,0),"")</f>
        <v>2.0833333333333332E-2</v>
      </c>
      <c r="LAS91" s="76">
        <v>0.89444444444444449</v>
      </c>
      <c r="LAT91" s="77" t="str">
        <f t="shared" si="246"/>
        <v>O</v>
      </c>
      <c r="LAU91" s="79">
        <v>5</v>
      </c>
      <c r="LAV91" s="75">
        <v>1276006</v>
      </c>
      <c r="LAW91" s="80"/>
      <c r="LAX91" s="81">
        <v>0.86944444444444446</v>
      </c>
      <c r="LAY91" s="74" t="s">
        <v>27</v>
      </c>
      <c r="LAZ91" s="74" t="s">
        <v>24</v>
      </c>
      <c r="LBA91" s="75" t="s">
        <v>25</v>
      </c>
      <c r="LBB91" s="76">
        <f>IFERROR(VLOOKUP(LBA91,'[1]List KPI'!$A$103:$F$118,6,0),"")</f>
        <v>1.0416666666666666E-2</v>
      </c>
      <c r="LBC91" s="76">
        <v>0.86944444444444446</v>
      </c>
      <c r="LBD91" s="76">
        <v>0.86944444444444446</v>
      </c>
      <c r="LBE91" s="77" t="str">
        <f t="shared" si="245"/>
        <v>O</v>
      </c>
      <c r="LBF91" s="74" t="s">
        <v>28</v>
      </c>
      <c r="LBG91" s="75" t="s">
        <v>23</v>
      </c>
      <c r="LBH91" s="78">
        <f>IFERROR(VLOOKUP(LBG91,'[1]List KPI'!$M$3:$N$8,2,0),"")</f>
        <v>2.0833333333333332E-2</v>
      </c>
      <c r="LBI91" s="76">
        <v>0.89444444444444449</v>
      </c>
      <c r="LBJ91" s="77" t="str">
        <f t="shared" si="246"/>
        <v>O</v>
      </c>
      <c r="LBK91" s="79">
        <v>5</v>
      </c>
      <c r="LBL91" s="75">
        <v>1276006</v>
      </c>
      <c r="LBM91" s="80"/>
      <c r="LBN91" s="81">
        <v>0.86944444444444446</v>
      </c>
      <c r="LBO91" s="74" t="s">
        <v>27</v>
      </c>
      <c r="LBP91" s="74" t="s">
        <v>24</v>
      </c>
      <c r="LBQ91" s="75" t="s">
        <v>25</v>
      </c>
      <c r="LBR91" s="76">
        <f>IFERROR(VLOOKUP(LBQ91,'[1]List KPI'!$A$103:$F$118,6,0),"")</f>
        <v>1.0416666666666666E-2</v>
      </c>
      <c r="LBS91" s="76">
        <v>0.86944444444444446</v>
      </c>
      <c r="LBT91" s="76">
        <v>0.86944444444444446</v>
      </c>
      <c r="LBU91" s="77" t="str">
        <f t="shared" si="245"/>
        <v>O</v>
      </c>
      <c r="LBV91" s="74" t="s">
        <v>28</v>
      </c>
      <c r="LBW91" s="75" t="s">
        <v>23</v>
      </c>
      <c r="LBX91" s="78">
        <f>IFERROR(VLOOKUP(LBW91,'[1]List KPI'!$M$3:$N$8,2,0),"")</f>
        <v>2.0833333333333332E-2</v>
      </c>
      <c r="LBY91" s="76">
        <v>0.89444444444444449</v>
      </c>
      <c r="LBZ91" s="77" t="str">
        <f t="shared" si="246"/>
        <v>O</v>
      </c>
      <c r="LCA91" s="79">
        <v>5</v>
      </c>
      <c r="LCB91" s="75">
        <v>1276006</v>
      </c>
      <c r="LCC91" s="80"/>
      <c r="LCD91" s="81">
        <v>0.86944444444444446</v>
      </c>
      <c r="LCE91" s="74" t="s">
        <v>27</v>
      </c>
      <c r="LCF91" s="74" t="s">
        <v>24</v>
      </c>
      <c r="LCG91" s="75" t="s">
        <v>25</v>
      </c>
      <c r="LCH91" s="76">
        <f>IFERROR(VLOOKUP(LCG91,'[1]List KPI'!$A$103:$F$118,6,0),"")</f>
        <v>1.0416666666666666E-2</v>
      </c>
      <c r="LCI91" s="76">
        <v>0.86944444444444446</v>
      </c>
      <c r="LCJ91" s="76">
        <v>0.86944444444444446</v>
      </c>
      <c r="LCK91" s="77" t="str">
        <f t="shared" ref="LCK91:LEG91" si="247">IF(LCJ91="","",IF(LCJ91&gt;LCS91,"O","P"))</f>
        <v>O</v>
      </c>
      <c r="LCL91" s="74" t="s">
        <v>28</v>
      </c>
      <c r="LCM91" s="75" t="s">
        <v>23</v>
      </c>
      <c r="LCN91" s="78">
        <f>IFERROR(VLOOKUP(LCM91,'[1]List KPI'!$M$3:$N$8,2,0),"")</f>
        <v>2.0833333333333332E-2</v>
      </c>
      <c r="LCO91" s="76">
        <v>0.89444444444444449</v>
      </c>
      <c r="LCP91" s="77" t="str">
        <f t="shared" ref="LCP91:LEL91" si="248">IF(LCO91="","",IF(LCO91&gt;LCT91,"O","P"))</f>
        <v>O</v>
      </c>
      <c r="LCQ91" s="79">
        <v>5</v>
      </c>
      <c r="LCR91" s="75">
        <v>1276006</v>
      </c>
      <c r="LCS91" s="80"/>
      <c r="LCT91" s="81">
        <v>0.86944444444444446</v>
      </c>
      <c r="LCU91" s="74" t="s">
        <v>27</v>
      </c>
      <c r="LCV91" s="74" t="s">
        <v>24</v>
      </c>
      <c r="LCW91" s="75" t="s">
        <v>25</v>
      </c>
      <c r="LCX91" s="76">
        <f>IFERROR(VLOOKUP(LCW91,'[1]List KPI'!$A$103:$F$118,6,0),"")</f>
        <v>1.0416666666666666E-2</v>
      </c>
      <c r="LCY91" s="76">
        <v>0.86944444444444446</v>
      </c>
      <c r="LCZ91" s="76">
        <v>0.86944444444444446</v>
      </c>
      <c r="LDA91" s="77" t="str">
        <f t="shared" si="247"/>
        <v>O</v>
      </c>
      <c r="LDB91" s="74" t="s">
        <v>28</v>
      </c>
      <c r="LDC91" s="75" t="s">
        <v>23</v>
      </c>
      <c r="LDD91" s="78">
        <f>IFERROR(VLOOKUP(LDC91,'[1]List KPI'!$M$3:$N$8,2,0),"")</f>
        <v>2.0833333333333332E-2</v>
      </c>
      <c r="LDE91" s="76">
        <v>0.89444444444444449</v>
      </c>
      <c r="LDF91" s="77" t="str">
        <f t="shared" si="248"/>
        <v>O</v>
      </c>
      <c r="LDG91" s="79">
        <v>5</v>
      </c>
      <c r="LDH91" s="75">
        <v>1276006</v>
      </c>
      <c r="LDI91" s="80"/>
      <c r="LDJ91" s="81">
        <v>0.86944444444444446</v>
      </c>
      <c r="LDK91" s="74" t="s">
        <v>27</v>
      </c>
      <c r="LDL91" s="74" t="s">
        <v>24</v>
      </c>
      <c r="LDM91" s="75" t="s">
        <v>25</v>
      </c>
      <c r="LDN91" s="76">
        <f>IFERROR(VLOOKUP(LDM91,'[1]List KPI'!$A$103:$F$118,6,0),"")</f>
        <v>1.0416666666666666E-2</v>
      </c>
      <c r="LDO91" s="76">
        <v>0.86944444444444446</v>
      </c>
      <c r="LDP91" s="76">
        <v>0.86944444444444446</v>
      </c>
      <c r="LDQ91" s="77" t="str">
        <f t="shared" si="247"/>
        <v>O</v>
      </c>
      <c r="LDR91" s="74" t="s">
        <v>28</v>
      </c>
      <c r="LDS91" s="75" t="s">
        <v>23</v>
      </c>
      <c r="LDT91" s="78">
        <f>IFERROR(VLOOKUP(LDS91,'[1]List KPI'!$M$3:$N$8,2,0),"")</f>
        <v>2.0833333333333332E-2</v>
      </c>
      <c r="LDU91" s="76">
        <v>0.89444444444444449</v>
      </c>
      <c r="LDV91" s="77" t="str">
        <f t="shared" si="248"/>
        <v>O</v>
      </c>
      <c r="LDW91" s="79">
        <v>5</v>
      </c>
      <c r="LDX91" s="75">
        <v>1276006</v>
      </c>
      <c r="LDY91" s="80"/>
      <c r="LDZ91" s="81">
        <v>0.86944444444444446</v>
      </c>
      <c r="LEA91" s="74" t="s">
        <v>27</v>
      </c>
      <c r="LEB91" s="74" t="s">
        <v>24</v>
      </c>
      <c r="LEC91" s="75" t="s">
        <v>25</v>
      </c>
      <c r="LED91" s="76">
        <f>IFERROR(VLOOKUP(LEC91,'[1]List KPI'!$A$103:$F$118,6,0),"")</f>
        <v>1.0416666666666666E-2</v>
      </c>
      <c r="LEE91" s="76">
        <v>0.86944444444444446</v>
      </c>
      <c r="LEF91" s="76">
        <v>0.86944444444444446</v>
      </c>
      <c r="LEG91" s="77" t="str">
        <f t="shared" si="247"/>
        <v>O</v>
      </c>
      <c r="LEH91" s="74" t="s">
        <v>28</v>
      </c>
      <c r="LEI91" s="75" t="s">
        <v>23</v>
      </c>
      <c r="LEJ91" s="78">
        <f>IFERROR(VLOOKUP(LEI91,'[1]List KPI'!$M$3:$N$8,2,0),"")</f>
        <v>2.0833333333333332E-2</v>
      </c>
      <c r="LEK91" s="76">
        <v>0.89444444444444449</v>
      </c>
      <c r="LEL91" s="77" t="str">
        <f t="shared" si="248"/>
        <v>O</v>
      </c>
      <c r="LEM91" s="79">
        <v>5</v>
      </c>
      <c r="LEN91" s="75">
        <v>1276006</v>
      </c>
      <c r="LEO91" s="80"/>
      <c r="LEP91" s="81">
        <v>0.86944444444444446</v>
      </c>
      <c r="LEQ91" s="74" t="s">
        <v>27</v>
      </c>
      <c r="LER91" s="74" t="s">
        <v>24</v>
      </c>
      <c r="LES91" s="75" t="s">
        <v>25</v>
      </c>
      <c r="LET91" s="76">
        <f>IFERROR(VLOOKUP(LES91,'[1]List KPI'!$A$103:$F$118,6,0),"")</f>
        <v>1.0416666666666666E-2</v>
      </c>
      <c r="LEU91" s="76">
        <v>0.86944444444444446</v>
      </c>
      <c r="LEV91" s="76">
        <v>0.86944444444444446</v>
      </c>
      <c r="LEW91" s="77" t="str">
        <f t="shared" ref="LEW91:LGS91" si="249">IF(LEV91="","",IF(LEV91&gt;LFE91,"O","P"))</f>
        <v>O</v>
      </c>
      <c r="LEX91" s="74" t="s">
        <v>28</v>
      </c>
      <c r="LEY91" s="75" t="s">
        <v>23</v>
      </c>
      <c r="LEZ91" s="78">
        <f>IFERROR(VLOOKUP(LEY91,'[1]List KPI'!$M$3:$N$8,2,0),"")</f>
        <v>2.0833333333333332E-2</v>
      </c>
      <c r="LFA91" s="76">
        <v>0.89444444444444449</v>
      </c>
      <c r="LFB91" s="77" t="str">
        <f t="shared" ref="LFB91:LGX91" si="250">IF(LFA91="","",IF(LFA91&gt;LFF91,"O","P"))</f>
        <v>O</v>
      </c>
      <c r="LFC91" s="79">
        <v>5</v>
      </c>
      <c r="LFD91" s="75">
        <v>1276006</v>
      </c>
      <c r="LFE91" s="80"/>
      <c r="LFF91" s="81">
        <v>0.86944444444444446</v>
      </c>
      <c r="LFG91" s="74" t="s">
        <v>27</v>
      </c>
      <c r="LFH91" s="74" t="s">
        <v>24</v>
      </c>
      <c r="LFI91" s="75" t="s">
        <v>25</v>
      </c>
      <c r="LFJ91" s="76">
        <f>IFERROR(VLOOKUP(LFI91,'[1]List KPI'!$A$103:$F$118,6,0),"")</f>
        <v>1.0416666666666666E-2</v>
      </c>
      <c r="LFK91" s="76">
        <v>0.86944444444444446</v>
      </c>
      <c r="LFL91" s="76">
        <v>0.86944444444444446</v>
      </c>
      <c r="LFM91" s="77" t="str">
        <f t="shared" si="249"/>
        <v>O</v>
      </c>
      <c r="LFN91" s="74" t="s">
        <v>28</v>
      </c>
      <c r="LFO91" s="75" t="s">
        <v>23</v>
      </c>
      <c r="LFP91" s="78">
        <f>IFERROR(VLOOKUP(LFO91,'[1]List KPI'!$M$3:$N$8,2,0),"")</f>
        <v>2.0833333333333332E-2</v>
      </c>
      <c r="LFQ91" s="76">
        <v>0.89444444444444449</v>
      </c>
      <c r="LFR91" s="77" t="str">
        <f t="shared" si="250"/>
        <v>O</v>
      </c>
      <c r="LFS91" s="79">
        <v>5</v>
      </c>
      <c r="LFT91" s="75">
        <v>1276006</v>
      </c>
      <c r="LFU91" s="80"/>
      <c r="LFV91" s="81">
        <v>0.86944444444444446</v>
      </c>
      <c r="LFW91" s="74" t="s">
        <v>27</v>
      </c>
      <c r="LFX91" s="74" t="s">
        <v>24</v>
      </c>
      <c r="LFY91" s="75" t="s">
        <v>25</v>
      </c>
      <c r="LFZ91" s="76">
        <f>IFERROR(VLOOKUP(LFY91,'[1]List KPI'!$A$103:$F$118,6,0),"")</f>
        <v>1.0416666666666666E-2</v>
      </c>
      <c r="LGA91" s="76">
        <v>0.86944444444444446</v>
      </c>
      <c r="LGB91" s="76">
        <v>0.86944444444444446</v>
      </c>
      <c r="LGC91" s="77" t="str">
        <f t="shared" si="249"/>
        <v>O</v>
      </c>
      <c r="LGD91" s="74" t="s">
        <v>28</v>
      </c>
      <c r="LGE91" s="75" t="s">
        <v>23</v>
      </c>
      <c r="LGF91" s="78">
        <f>IFERROR(VLOOKUP(LGE91,'[1]List KPI'!$M$3:$N$8,2,0),"")</f>
        <v>2.0833333333333332E-2</v>
      </c>
      <c r="LGG91" s="76">
        <v>0.89444444444444449</v>
      </c>
      <c r="LGH91" s="77" t="str">
        <f t="shared" si="250"/>
        <v>O</v>
      </c>
      <c r="LGI91" s="79">
        <v>5</v>
      </c>
      <c r="LGJ91" s="75">
        <v>1276006</v>
      </c>
      <c r="LGK91" s="80"/>
      <c r="LGL91" s="81">
        <v>0.86944444444444446</v>
      </c>
      <c r="LGM91" s="74" t="s">
        <v>27</v>
      </c>
      <c r="LGN91" s="74" t="s">
        <v>24</v>
      </c>
      <c r="LGO91" s="75" t="s">
        <v>25</v>
      </c>
      <c r="LGP91" s="76">
        <f>IFERROR(VLOOKUP(LGO91,'[1]List KPI'!$A$103:$F$118,6,0),"")</f>
        <v>1.0416666666666666E-2</v>
      </c>
      <c r="LGQ91" s="76">
        <v>0.86944444444444446</v>
      </c>
      <c r="LGR91" s="76">
        <v>0.86944444444444446</v>
      </c>
      <c r="LGS91" s="77" t="str">
        <f t="shared" si="249"/>
        <v>O</v>
      </c>
      <c r="LGT91" s="74" t="s">
        <v>28</v>
      </c>
      <c r="LGU91" s="75" t="s">
        <v>23</v>
      </c>
      <c r="LGV91" s="78">
        <f>IFERROR(VLOOKUP(LGU91,'[1]List KPI'!$M$3:$N$8,2,0),"")</f>
        <v>2.0833333333333332E-2</v>
      </c>
      <c r="LGW91" s="76">
        <v>0.89444444444444449</v>
      </c>
      <c r="LGX91" s="77" t="str">
        <f t="shared" si="250"/>
        <v>O</v>
      </c>
      <c r="LGY91" s="79">
        <v>5</v>
      </c>
      <c r="LGZ91" s="75">
        <v>1276006</v>
      </c>
      <c r="LHA91" s="80"/>
      <c r="LHB91" s="81">
        <v>0.86944444444444446</v>
      </c>
      <c r="LHC91" s="74" t="s">
        <v>27</v>
      </c>
      <c r="LHD91" s="74" t="s">
        <v>24</v>
      </c>
      <c r="LHE91" s="75" t="s">
        <v>25</v>
      </c>
      <c r="LHF91" s="76">
        <f>IFERROR(VLOOKUP(LHE91,'[1]List KPI'!$A$103:$F$118,6,0),"")</f>
        <v>1.0416666666666666E-2</v>
      </c>
      <c r="LHG91" s="76">
        <v>0.86944444444444446</v>
      </c>
      <c r="LHH91" s="76">
        <v>0.86944444444444446</v>
      </c>
      <c r="LHI91" s="77" t="str">
        <f t="shared" ref="LHI91:LJE91" si="251">IF(LHH91="","",IF(LHH91&gt;LHQ91,"O","P"))</f>
        <v>O</v>
      </c>
      <c r="LHJ91" s="74" t="s">
        <v>28</v>
      </c>
      <c r="LHK91" s="75" t="s">
        <v>23</v>
      </c>
      <c r="LHL91" s="78">
        <f>IFERROR(VLOOKUP(LHK91,'[1]List KPI'!$M$3:$N$8,2,0),"")</f>
        <v>2.0833333333333332E-2</v>
      </c>
      <c r="LHM91" s="76">
        <v>0.89444444444444449</v>
      </c>
      <c r="LHN91" s="77" t="str">
        <f t="shared" ref="LHN91:LJJ91" si="252">IF(LHM91="","",IF(LHM91&gt;LHR91,"O","P"))</f>
        <v>O</v>
      </c>
      <c r="LHO91" s="79">
        <v>5</v>
      </c>
      <c r="LHP91" s="75">
        <v>1276006</v>
      </c>
      <c r="LHQ91" s="80"/>
      <c r="LHR91" s="81">
        <v>0.86944444444444446</v>
      </c>
      <c r="LHS91" s="74" t="s">
        <v>27</v>
      </c>
      <c r="LHT91" s="74" t="s">
        <v>24</v>
      </c>
      <c r="LHU91" s="75" t="s">
        <v>25</v>
      </c>
      <c r="LHV91" s="76">
        <f>IFERROR(VLOOKUP(LHU91,'[1]List KPI'!$A$103:$F$118,6,0),"")</f>
        <v>1.0416666666666666E-2</v>
      </c>
      <c r="LHW91" s="76">
        <v>0.86944444444444446</v>
      </c>
      <c r="LHX91" s="76">
        <v>0.86944444444444446</v>
      </c>
      <c r="LHY91" s="77" t="str">
        <f t="shared" si="251"/>
        <v>O</v>
      </c>
      <c r="LHZ91" s="74" t="s">
        <v>28</v>
      </c>
      <c r="LIA91" s="75" t="s">
        <v>23</v>
      </c>
      <c r="LIB91" s="78">
        <f>IFERROR(VLOOKUP(LIA91,'[1]List KPI'!$M$3:$N$8,2,0),"")</f>
        <v>2.0833333333333332E-2</v>
      </c>
      <c r="LIC91" s="76">
        <v>0.89444444444444449</v>
      </c>
      <c r="LID91" s="77" t="str">
        <f t="shared" si="252"/>
        <v>O</v>
      </c>
      <c r="LIE91" s="79">
        <v>5</v>
      </c>
      <c r="LIF91" s="75">
        <v>1276006</v>
      </c>
      <c r="LIG91" s="80"/>
      <c r="LIH91" s="81">
        <v>0.86944444444444446</v>
      </c>
      <c r="LII91" s="74" t="s">
        <v>27</v>
      </c>
      <c r="LIJ91" s="74" t="s">
        <v>24</v>
      </c>
      <c r="LIK91" s="75" t="s">
        <v>25</v>
      </c>
      <c r="LIL91" s="76">
        <f>IFERROR(VLOOKUP(LIK91,'[1]List KPI'!$A$103:$F$118,6,0),"")</f>
        <v>1.0416666666666666E-2</v>
      </c>
      <c r="LIM91" s="76">
        <v>0.86944444444444446</v>
      </c>
      <c r="LIN91" s="76">
        <v>0.86944444444444446</v>
      </c>
      <c r="LIO91" s="77" t="str">
        <f t="shared" si="251"/>
        <v>O</v>
      </c>
      <c r="LIP91" s="74" t="s">
        <v>28</v>
      </c>
      <c r="LIQ91" s="75" t="s">
        <v>23</v>
      </c>
      <c r="LIR91" s="78">
        <f>IFERROR(VLOOKUP(LIQ91,'[1]List KPI'!$M$3:$N$8,2,0),"")</f>
        <v>2.0833333333333332E-2</v>
      </c>
      <c r="LIS91" s="76">
        <v>0.89444444444444449</v>
      </c>
      <c r="LIT91" s="77" t="str">
        <f t="shared" si="252"/>
        <v>O</v>
      </c>
      <c r="LIU91" s="79">
        <v>5</v>
      </c>
      <c r="LIV91" s="75">
        <v>1276006</v>
      </c>
      <c r="LIW91" s="80"/>
      <c r="LIX91" s="81">
        <v>0.86944444444444446</v>
      </c>
      <c r="LIY91" s="74" t="s">
        <v>27</v>
      </c>
      <c r="LIZ91" s="74" t="s">
        <v>24</v>
      </c>
      <c r="LJA91" s="75" t="s">
        <v>25</v>
      </c>
      <c r="LJB91" s="76">
        <f>IFERROR(VLOOKUP(LJA91,'[1]List KPI'!$A$103:$F$118,6,0),"")</f>
        <v>1.0416666666666666E-2</v>
      </c>
      <c r="LJC91" s="76">
        <v>0.86944444444444446</v>
      </c>
      <c r="LJD91" s="76">
        <v>0.86944444444444446</v>
      </c>
      <c r="LJE91" s="77" t="str">
        <f t="shared" si="251"/>
        <v>O</v>
      </c>
      <c r="LJF91" s="74" t="s">
        <v>28</v>
      </c>
      <c r="LJG91" s="75" t="s">
        <v>23</v>
      </c>
      <c r="LJH91" s="78">
        <f>IFERROR(VLOOKUP(LJG91,'[1]List KPI'!$M$3:$N$8,2,0),"")</f>
        <v>2.0833333333333332E-2</v>
      </c>
      <c r="LJI91" s="76">
        <v>0.89444444444444449</v>
      </c>
      <c r="LJJ91" s="77" t="str">
        <f t="shared" si="252"/>
        <v>O</v>
      </c>
      <c r="LJK91" s="79">
        <v>5</v>
      </c>
      <c r="LJL91" s="75">
        <v>1276006</v>
      </c>
      <c r="LJM91" s="80"/>
      <c r="LJN91" s="81">
        <v>0.86944444444444446</v>
      </c>
      <c r="LJO91" s="74" t="s">
        <v>27</v>
      </c>
      <c r="LJP91" s="74" t="s">
        <v>24</v>
      </c>
      <c r="LJQ91" s="75" t="s">
        <v>25</v>
      </c>
      <c r="LJR91" s="76">
        <f>IFERROR(VLOOKUP(LJQ91,'[1]List KPI'!$A$103:$F$118,6,0),"")</f>
        <v>1.0416666666666666E-2</v>
      </c>
      <c r="LJS91" s="76">
        <v>0.86944444444444446</v>
      </c>
      <c r="LJT91" s="76">
        <v>0.86944444444444446</v>
      </c>
      <c r="LJU91" s="77" t="str">
        <f t="shared" ref="LJU91:LLQ91" si="253">IF(LJT91="","",IF(LJT91&gt;LKC91,"O","P"))</f>
        <v>O</v>
      </c>
      <c r="LJV91" s="74" t="s">
        <v>28</v>
      </c>
      <c r="LJW91" s="75" t="s">
        <v>23</v>
      </c>
      <c r="LJX91" s="78">
        <f>IFERROR(VLOOKUP(LJW91,'[1]List KPI'!$M$3:$N$8,2,0),"")</f>
        <v>2.0833333333333332E-2</v>
      </c>
      <c r="LJY91" s="76">
        <v>0.89444444444444449</v>
      </c>
      <c r="LJZ91" s="77" t="str">
        <f t="shared" ref="LJZ91:LLV91" si="254">IF(LJY91="","",IF(LJY91&gt;LKD91,"O","P"))</f>
        <v>O</v>
      </c>
      <c r="LKA91" s="79">
        <v>5</v>
      </c>
      <c r="LKB91" s="75">
        <v>1276006</v>
      </c>
      <c r="LKC91" s="80"/>
      <c r="LKD91" s="81">
        <v>0.86944444444444446</v>
      </c>
      <c r="LKE91" s="74" t="s">
        <v>27</v>
      </c>
      <c r="LKF91" s="74" t="s">
        <v>24</v>
      </c>
      <c r="LKG91" s="75" t="s">
        <v>25</v>
      </c>
      <c r="LKH91" s="76">
        <f>IFERROR(VLOOKUP(LKG91,'[1]List KPI'!$A$103:$F$118,6,0),"")</f>
        <v>1.0416666666666666E-2</v>
      </c>
      <c r="LKI91" s="76">
        <v>0.86944444444444446</v>
      </c>
      <c r="LKJ91" s="76">
        <v>0.86944444444444446</v>
      </c>
      <c r="LKK91" s="77" t="str">
        <f t="shared" si="253"/>
        <v>O</v>
      </c>
      <c r="LKL91" s="74" t="s">
        <v>28</v>
      </c>
      <c r="LKM91" s="75" t="s">
        <v>23</v>
      </c>
      <c r="LKN91" s="78">
        <f>IFERROR(VLOOKUP(LKM91,'[1]List KPI'!$M$3:$N$8,2,0),"")</f>
        <v>2.0833333333333332E-2</v>
      </c>
      <c r="LKO91" s="76">
        <v>0.89444444444444449</v>
      </c>
      <c r="LKP91" s="77" t="str">
        <f t="shared" si="254"/>
        <v>O</v>
      </c>
      <c r="LKQ91" s="79">
        <v>5</v>
      </c>
      <c r="LKR91" s="75">
        <v>1276006</v>
      </c>
      <c r="LKS91" s="80"/>
      <c r="LKT91" s="81">
        <v>0.86944444444444446</v>
      </c>
      <c r="LKU91" s="74" t="s">
        <v>27</v>
      </c>
      <c r="LKV91" s="74" t="s">
        <v>24</v>
      </c>
      <c r="LKW91" s="75" t="s">
        <v>25</v>
      </c>
      <c r="LKX91" s="76">
        <f>IFERROR(VLOOKUP(LKW91,'[1]List KPI'!$A$103:$F$118,6,0),"")</f>
        <v>1.0416666666666666E-2</v>
      </c>
      <c r="LKY91" s="76">
        <v>0.86944444444444446</v>
      </c>
      <c r="LKZ91" s="76">
        <v>0.86944444444444446</v>
      </c>
      <c r="LLA91" s="77" t="str">
        <f t="shared" si="253"/>
        <v>O</v>
      </c>
      <c r="LLB91" s="74" t="s">
        <v>28</v>
      </c>
      <c r="LLC91" s="75" t="s">
        <v>23</v>
      </c>
      <c r="LLD91" s="78">
        <f>IFERROR(VLOOKUP(LLC91,'[1]List KPI'!$M$3:$N$8,2,0),"")</f>
        <v>2.0833333333333332E-2</v>
      </c>
      <c r="LLE91" s="76">
        <v>0.89444444444444449</v>
      </c>
      <c r="LLF91" s="77" t="str">
        <f t="shared" si="254"/>
        <v>O</v>
      </c>
      <c r="LLG91" s="79">
        <v>5</v>
      </c>
      <c r="LLH91" s="75">
        <v>1276006</v>
      </c>
      <c r="LLI91" s="80"/>
      <c r="LLJ91" s="81">
        <v>0.86944444444444446</v>
      </c>
      <c r="LLK91" s="74" t="s">
        <v>27</v>
      </c>
      <c r="LLL91" s="74" t="s">
        <v>24</v>
      </c>
      <c r="LLM91" s="75" t="s">
        <v>25</v>
      </c>
      <c r="LLN91" s="76">
        <f>IFERROR(VLOOKUP(LLM91,'[1]List KPI'!$A$103:$F$118,6,0),"")</f>
        <v>1.0416666666666666E-2</v>
      </c>
      <c r="LLO91" s="76">
        <v>0.86944444444444446</v>
      </c>
      <c r="LLP91" s="76">
        <v>0.86944444444444446</v>
      </c>
      <c r="LLQ91" s="77" t="str">
        <f t="shared" si="253"/>
        <v>O</v>
      </c>
      <c r="LLR91" s="74" t="s">
        <v>28</v>
      </c>
      <c r="LLS91" s="75" t="s">
        <v>23</v>
      </c>
      <c r="LLT91" s="78">
        <f>IFERROR(VLOOKUP(LLS91,'[1]List KPI'!$M$3:$N$8,2,0),"")</f>
        <v>2.0833333333333332E-2</v>
      </c>
      <c r="LLU91" s="76">
        <v>0.89444444444444449</v>
      </c>
      <c r="LLV91" s="77" t="str">
        <f t="shared" si="254"/>
        <v>O</v>
      </c>
      <c r="LLW91" s="79">
        <v>5</v>
      </c>
      <c r="LLX91" s="75">
        <v>1276006</v>
      </c>
      <c r="LLY91" s="80"/>
      <c r="LLZ91" s="81">
        <v>0.86944444444444446</v>
      </c>
      <c r="LMA91" s="74" t="s">
        <v>27</v>
      </c>
      <c r="LMB91" s="74" t="s">
        <v>24</v>
      </c>
      <c r="LMC91" s="75" t="s">
        <v>25</v>
      </c>
      <c r="LMD91" s="76">
        <f>IFERROR(VLOOKUP(LMC91,'[1]List KPI'!$A$103:$F$118,6,0),"")</f>
        <v>1.0416666666666666E-2</v>
      </c>
      <c r="LME91" s="76">
        <v>0.86944444444444446</v>
      </c>
      <c r="LMF91" s="76">
        <v>0.86944444444444446</v>
      </c>
      <c r="LMG91" s="77" t="str">
        <f t="shared" ref="LMG91:LOC91" si="255">IF(LMF91="","",IF(LMF91&gt;LMO91,"O","P"))</f>
        <v>O</v>
      </c>
      <c r="LMH91" s="74" t="s">
        <v>28</v>
      </c>
      <c r="LMI91" s="75" t="s">
        <v>23</v>
      </c>
      <c r="LMJ91" s="78">
        <f>IFERROR(VLOOKUP(LMI91,'[1]List KPI'!$M$3:$N$8,2,0),"")</f>
        <v>2.0833333333333332E-2</v>
      </c>
      <c r="LMK91" s="76">
        <v>0.89444444444444449</v>
      </c>
      <c r="LML91" s="77" t="str">
        <f t="shared" ref="LML91:LOH91" si="256">IF(LMK91="","",IF(LMK91&gt;LMP91,"O","P"))</f>
        <v>O</v>
      </c>
      <c r="LMM91" s="79">
        <v>5</v>
      </c>
      <c r="LMN91" s="75">
        <v>1276006</v>
      </c>
      <c r="LMO91" s="80"/>
      <c r="LMP91" s="81">
        <v>0.86944444444444446</v>
      </c>
      <c r="LMQ91" s="74" t="s">
        <v>27</v>
      </c>
      <c r="LMR91" s="74" t="s">
        <v>24</v>
      </c>
      <c r="LMS91" s="75" t="s">
        <v>25</v>
      </c>
      <c r="LMT91" s="76">
        <f>IFERROR(VLOOKUP(LMS91,'[1]List KPI'!$A$103:$F$118,6,0),"")</f>
        <v>1.0416666666666666E-2</v>
      </c>
      <c r="LMU91" s="76">
        <v>0.86944444444444446</v>
      </c>
      <c r="LMV91" s="76">
        <v>0.86944444444444446</v>
      </c>
      <c r="LMW91" s="77" t="str">
        <f t="shared" si="255"/>
        <v>O</v>
      </c>
      <c r="LMX91" s="74" t="s">
        <v>28</v>
      </c>
      <c r="LMY91" s="75" t="s">
        <v>23</v>
      </c>
      <c r="LMZ91" s="78">
        <f>IFERROR(VLOOKUP(LMY91,'[1]List KPI'!$M$3:$N$8,2,0),"")</f>
        <v>2.0833333333333332E-2</v>
      </c>
      <c r="LNA91" s="76">
        <v>0.89444444444444449</v>
      </c>
      <c r="LNB91" s="77" t="str">
        <f t="shared" si="256"/>
        <v>O</v>
      </c>
      <c r="LNC91" s="79">
        <v>5</v>
      </c>
      <c r="LND91" s="75">
        <v>1276006</v>
      </c>
      <c r="LNE91" s="80"/>
      <c r="LNF91" s="81">
        <v>0.86944444444444446</v>
      </c>
      <c r="LNG91" s="74" t="s">
        <v>27</v>
      </c>
      <c r="LNH91" s="74" t="s">
        <v>24</v>
      </c>
      <c r="LNI91" s="75" t="s">
        <v>25</v>
      </c>
      <c r="LNJ91" s="76">
        <f>IFERROR(VLOOKUP(LNI91,'[1]List KPI'!$A$103:$F$118,6,0),"")</f>
        <v>1.0416666666666666E-2</v>
      </c>
      <c r="LNK91" s="76">
        <v>0.86944444444444446</v>
      </c>
      <c r="LNL91" s="76">
        <v>0.86944444444444446</v>
      </c>
      <c r="LNM91" s="77" t="str">
        <f t="shared" si="255"/>
        <v>O</v>
      </c>
      <c r="LNN91" s="74" t="s">
        <v>28</v>
      </c>
      <c r="LNO91" s="75" t="s">
        <v>23</v>
      </c>
      <c r="LNP91" s="78">
        <f>IFERROR(VLOOKUP(LNO91,'[1]List KPI'!$M$3:$N$8,2,0),"")</f>
        <v>2.0833333333333332E-2</v>
      </c>
      <c r="LNQ91" s="76">
        <v>0.89444444444444449</v>
      </c>
      <c r="LNR91" s="77" t="str">
        <f t="shared" si="256"/>
        <v>O</v>
      </c>
      <c r="LNS91" s="79">
        <v>5</v>
      </c>
      <c r="LNT91" s="75">
        <v>1276006</v>
      </c>
      <c r="LNU91" s="80"/>
      <c r="LNV91" s="81">
        <v>0.86944444444444446</v>
      </c>
      <c r="LNW91" s="74" t="s">
        <v>27</v>
      </c>
      <c r="LNX91" s="74" t="s">
        <v>24</v>
      </c>
      <c r="LNY91" s="75" t="s">
        <v>25</v>
      </c>
      <c r="LNZ91" s="76">
        <f>IFERROR(VLOOKUP(LNY91,'[1]List KPI'!$A$103:$F$118,6,0),"")</f>
        <v>1.0416666666666666E-2</v>
      </c>
      <c r="LOA91" s="76">
        <v>0.86944444444444446</v>
      </c>
      <c r="LOB91" s="76">
        <v>0.86944444444444446</v>
      </c>
      <c r="LOC91" s="77" t="str">
        <f t="shared" si="255"/>
        <v>O</v>
      </c>
      <c r="LOD91" s="74" t="s">
        <v>28</v>
      </c>
      <c r="LOE91" s="75" t="s">
        <v>23</v>
      </c>
      <c r="LOF91" s="78">
        <f>IFERROR(VLOOKUP(LOE91,'[1]List KPI'!$M$3:$N$8,2,0),"")</f>
        <v>2.0833333333333332E-2</v>
      </c>
      <c r="LOG91" s="76">
        <v>0.89444444444444449</v>
      </c>
      <c r="LOH91" s="77" t="str">
        <f t="shared" si="256"/>
        <v>O</v>
      </c>
      <c r="LOI91" s="79">
        <v>5</v>
      </c>
      <c r="LOJ91" s="75">
        <v>1276006</v>
      </c>
      <c r="LOK91" s="80"/>
      <c r="LOL91" s="81">
        <v>0.86944444444444446</v>
      </c>
      <c r="LOM91" s="74" t="s">
        <v>27</v>
      </c>
      <c r="LON91" s="74" t="s">
        <v>24</v>
      </c>
      <c r="LOO91" s="75" t="s">
        <v>25</v>
      </c>
      <c r="LOP91" s="76">
        <f>IFERROR(VLOOKUP(LOO91,'[1]List KPI'!$A$103:$F$118,6,0),"")</f>
        <v>1.0416666666666666E-2</v>
      </c>
      <c r="LOQ91" s="76">
        <v>0.86944444444444446</v>
      </c>
      <c r="LOR91" s="76">
        <v>0.86944444444444446</v>
      </c>
      <c r="LOS91" s="77" t="str">
        <f t="shared" ref="LOS91:LQO91" si="257">IF(LOR91="","",IF(LOR91&gt;LPA91,"O","P"))</f>
        <v>O</v>
      </c>
      <c r="LOT91" s="74" t="s">
        <v>28</v>
      </c>
      <c r="LOU91" s="75" t="s">
        <v>23</v>
      </c>
      <c r="LOV91" s="78">
        <f>IFERROR(VLOOKUP(LOU91,'[1]List KPI'!$M$3:$N$8,2,0),"")</f>
        <v>2.0833333333333332E-2</v>
      </c>
      <c r="LOW91" s="76">
        <v>0.89444444444444449</v>
      </c>
      <c r="LOX91" s="77" t="str">
        <f t="shared" ref="LOX91:LQT91" si="258">IF(LOW91="","",IF(LOW91&gt;LPB91,"O","P"))</f>
        <v>O</v>
      </c>
      <c r="LOY91" s="79">
        <v>5</v>
      </c>
      <c r="LOZ91" s="75">
        <v>1276006</v>
      </c>
      <c r="LPA91" s="80"/>
      <c r="LPB91" s="81">
        <v>0.86944444444444446</v>
      </c>
      <c r="LPC91" s="74" t="s">
        <v>27</v>
      </c>
      <c r="LPD91" s="74" t="s">
        <v>24</v>
      </c>
      <c r="LPE91" s="75" t="s">
        <v>25</v>
      </c>
      <c r="LPF91" s="76">
        <f>IFERROR(VLOOKUP(LPE91,'[1]List KPI'!$A$103:$F$118,6,0),"")</f>
        <v>1.0416666666666666E-2</v>
      </c>
      <c r="LPG91" s="76">
        <v>0.86944444444444446</v>
      </c>
      <c r="LPH91" s="76">
        <v>0.86944444444444446</v>
      </c>
      <c r="LPI91" s="77" t="str">
        <f t="shared" si="257"/>
        <v>O</v>
      </c>
      <c r="LPJ91" s="74" t="s">
        <v>28</v>
      </c>
      <c r="LPK91" s="75" t="s">
        <v>23</v>
      </c>
      <c r="LPL91" s="78">
        <f>IFERROR(VLOOKUP(LPK91,'[1]List KPI'!$M$3:$N$8,2,0),"")</f>
        <v>2.0833333333333332E-2</v>
      </c>
      <c r="LPM91" s="76">
        <v>0.89444444444444449</v>
      </c>
      <c r="LPN91" s="77" t="str">
        <f t="shared" si="258"/>
        <v>O</v>
      </c>
      <c r="LPO91" s="79">
        <v>5</v>
      </c>
      <c r="LPP91" s="75">
        <v>1276006</v>
      </c>
      <c r="LPQ91" s="80"/>
      <c r="LPR91" s="81">
        <v>0.86944444444444446</v>
      </c>
      <c r="LPS91" s="74" t="s">
        <v>27</v>
      </c>
      <c r="LPT91" s="74" t="s">
        <v>24</v>
      </c>
      <c r="LPU91" s="75" t="s">
        <v>25</v>
      </c>
      <c r="LPV91" s="76">
        <f>IFERROR(VLOOKUP(LPU91,'[1]List KPI'!$A$103:$F$118,6,0),"")</f>
        <v>1.0416666666666666E-2</v>
      </c>
      <c r="LPW91" s="76">
        <v>0.86944444444444446</v>
      </c>
      <c r="LPX91" s="76">
        <v>0.86944444444444446</v>
      </c>
      <c r="LPY91" s="77" t="str">
        <f t="shared" si="257"/>
        <v>O</v>
      </c>
      <c r="LPZ91" s="74" t="s">
        <v>28</v>
      </c>
      <c r="LQA91" s="75" t="s">
        <v>23</v>
      </c>
      <c r="LQB91" s="78">
        <f>IFERROR(VLOOKUP(LQA91,'[1]List KPI'!$M$3:$N$8,2,0),"")</f>
        <v>2.0833333333333332E-2</v>
      </c>
      <c r="LQC91" s="76">
        <v>0.89444444444444449</v>
      </c>
      <c r="LQD91" s="77" t="str">
        <f t="shared" si="258"/>
        <v>O</v>
      </c>
      <c r="LQE91" s="79">
        <v>5</v>
      </c>
      <c r="LQF91" s="75">
        <v>1276006</v>
      </c>
      <c r="LQG91" s="80"/>
      <c r="LQH91" s="81">
        <v>0.86944444444444446</v>
      </c>
      <c r="LQI91" s="74" t="s">
        <v>27</v>
      </c>
      <c r="LQJ91" s="74" t="s">
        <v>24</v>
      </c>
      <c r="LQK91" s="75" t="s">
        <v>25</v>
      </c>
      <c r="LQL91" s="76">
        <f>IFERROR(VLOOKUP(LQK91,'[1]List KPI'!$A$103:$F$118,6,0),"")</f>
        <v>1.0416666666666666E-2</v>
      </c>
      <c r="LQM91" s="76">
        <v>0.86944444444444446</v>
      </c>
      <c r="LQN91" s="76">
        <v>0.86944444444444446</v>
      </c>
      <c r="LQO91" s="77" t="str">
        <f t="shared" si="257"/>
        <v>O</v>
      </c>
      <c r="LQP91" s="74" t="s">
        <v>28</v>
      </c>
      <c r="LQQ91" s="75" t="s">
        <v>23</v>
      </c>
      <c r="LQR91" s="78">
        <f>IFERROR(VLOOKUP(LQQ91,'[1]List KPI'!$M$3:$N$8,2,0),"")</f>
        <v>2.0833333333333332E-2</v>
      </c>
      <c r="LQS91" s="76">
        <v>0.89444444444444449</v>
      </c>
      <c r="LQT91" s="77" t="str">
        <f t="shared" si="258"/>
        <v>O</v>
      </c>
      <c r="LQU91" s="79">
        <v>5</v>
      </c>
      <c r="LQV91" s="75">
        <v>1276006</v>
      </c>
      <c r="LQW91" s="80"/>
      <c r="LQX91" s="81">
        <v>0.86944444444444446</v>
      </c>
      <c r="LQY91" s="74" t="s">
        <v>27</v>
      </c>
      <c r="LQZ91" s="74" t="s">
        <v>24</v>
      </c>
      <c r="LRA91" s="75" t="s">
        <v>25</v>
      </c>
      <c r="LRB91" s="76">
        <f>IFERROR(VLOOKUP(LRA91,'[1]List KPI'!$A$103:$F$118,6,0),"")</f>
        <v>1.0416666666666666E-2</v>
      </c>
      <c r="LRC91" s="76">
        <v>0.86944444444444446</v>
      </c>
      <c r="LRD91" s="76">
        <v>0.86944444444444446</v>
      </c>
      <c r="LRE91" s="77" t="str">
        <f t="shared" ref="LRE91:LTA91" si="259">IF(LRD91="","",IF(LRD91&gt;LRM91,"O","P"))</f>
        <v>O</v>
      </c>
      <c r="LRF91" s="74" t="s">
        <v>28</v>
      </c>
      <c r="LRG91" s="75" t="s">
        <v>23</v>
      </c>
      <c r="LRH91" s="78">
        <f>IFERROR(VLOOKUP(LRG91,'[1]List KPI'!$M$3:$N$8,2,0),"")</f>
        <v>2.0833333333333332E-2</v>
      </c>
      <c r="LRI91" s="76">
        <v>0.89444444444444449</v>
      </c>
      <c r="LRJ91" s="77" t="str">
        <f t="shared" ref="LRJ91:LTF91" si="260">IF(LRI91="","",IF(LRI91&gt;LRN91,"O","P"))</f>
        <v>O</v>
      </c>
      <c r="LRK91" s="79">
        <v>5</v>
      </c>
      <c r="LRL91" s="75">
        <v>1276006</v>
      </c>
      <c r="LRM91" s="80"/>
      <c r="LRN91" s="81">
        <v>0.86944444444444446</v>
      </c>
      <c r="LRO91" s="74" t="s">
        <v>27</v>
      </c>
      <c r="LRP91" s="74" t="s">
        <v>24</v>
      </c>
      <c r="LRQ91" s="75" t="s">
        <v>25</v>
      </c>
      <c r="LRR91" s="76">
        <f>IFERROR(VLOOKUP(LRQ91,'[1]List KPI'!$A$103:$F$118,6,0),"")</f>
        <v>1.0416666666666666E-2</v>
      </c>
      <c r="LRS91" s="76">
        <v>0.86944444444444446</v>
      </c>
      <c r="LRT91" s="76">
        <v>0.86944444444444446</v>
      </c>
      <c r="LRU91" s="77" t="str">
        <f t="shared" si="259"/>
        <v>O</v>
      </c>
      <c r="LRV91" s="74" t="s">
        <v>28</v>
      </c>
      <c r="LRW91" s="75" t="s">
        <v>23</v>
      </c>
      <c r="LRX91" s="78">
        <f>IFERROR(VLOOKUP(LRW91,'[1]List KPI'!$M$3:$N$8,2,0),"")</f>
        <v>2.0833333333333332E-2</v>
      </c>
      <c r="LRY91" s="76">
        <v>0.89444444444444449</v>
      </c>
      <c r="LRZ91" s="77" t="str">
        <f t="shared" si="260"/>
        <v>O</v>
      </c>
      <c r="LSA91" s="79">
        <v>5</v>
      </c>
      <c r="LSB91" s="75">
        <v>1276006</v>
      </c>
      <c r="LSC91" s="80"/>
      <c r="LSD91" s="81">
        <v>0.86944444444444446</v>
      </c>
      <c r="LSE91" s="74" t="s">
        <v>27</v>
      </c>
      <c r="LSF91" s="74" t="s">
        <v>24</v>
      </c>
      <c r="LSG91" s="75" t="s">
        <v>25</v>
      </c>
      <c r="LSH91" s="76">
        <f>IFERROR(VLOOKUP(LSG91,'[1]List KPI'!$A$103:$F$118,6,0),"")</f>
        <v>1.0416666666666666E-2</v>
      </c>
      <c r="LSI91" s="76">
        <v>0.86944444444444446</v>
      </c>
      <c r="LSJ91" s="76">
        <v>0.86944444444444446</v>
      </c>
      <c r="LSK91" s="77" t="str">
        <f t="shared" si="259"/>
        <v>O</v>
      </c>
      <c r="LSL91" s="74" t="s">
        <v>28</v>
      </c>
      <c r="LSM91" s="75" t="s">
        <v>23</v>
      </c>
      <c r="LSN91" s="78">
        <f>IFERROR(VLOOKUP(LSM91,'[1]List KPI'!$M$3:$N$8,2,0),"")</f>
        <v>2.0833333333333332E-2</v>
      </c>
      <c r="LSO91" s="76">
        <v>0.89444444444444449</v>
      </c>
      <c r="LSP91" s="77" t="str">
        <f t="shared" si="260"/>
        <v>O</v>
      </c>
      <c r="LSQ91" s="79">
        <v>5</v>
      </c>
      <c r="LSR91" s="75">
        <v>1276006</v>
      </c>
      <c r="LSS91" s="80"/>
      <c r="LST91" s="81">
        <v>0.86944444444444446</v>
      </c>
      <c r="LSU91" s="74" t="s">
        <v>27</v>
      </c>
      <c r="LSV91" s="74" t="s">
        <v>24</v>
      </c>
      <c r="LSW91" s="75" t="s">
        <v>25</v>
      </c>
      <c r="LSX91" s="76">
        <f>IFERROR(VLOOKUP(LSW91,'[1]List KPI'!$A$103:$F$118,6,0),"")</f>
        <v>1.0416666666666666E-2</v>
      </c>
      <c r="LSY91" s="76">
        <v>0.86944444444444446</v>
      </c>
      <c r="LSZ91" s="76">
        <v>0.86944444444444446</v>
      </c>
      <c r="LTA91" s="77" t="str">
        <f t="shared" si="259"/>
        <v>O</v>
      </c>
      <c r="LTB91" s="74" t="s">
        <v>28</v>
      </c>
      <c r="LTC91" s="75" t="s">
        <v>23</v>
      </c>
      <c r="LTD91" s="78">
        <f>IFERROR(VLOOKUP(LTC91,'[1]List KPI'!$M$3:$N$8,2,0),"")</f>
        <v>2.0833333333333332E-2</v>
      </c>
      <c r="LTE91" s="76">
        <v>0.89444444444444449</v>
      </c>
      <c r="LTF91" s="77" t="str">
        <f t="shared" si="260"/>
        <v>O</v>
      </c>
      <c r="LTG91" s="79">
        <v>5</v>
      </c>
      <c r="LTH91" s="75">
        <v>1276006</v>
      </c>
      <c r="LTI91" s="80"/>
      <c r="LTJ91" s="81">
        <v>0.86944444444444446</v>
      </c>
      <c r="LTK91" s="74" t="s">
        <v>27</v>
      </c>
      <c r="LTL91" s="74" t="s">
        <v>24</v>
      </c>
      <c r="LTM91" s="75" t="s">
        <v>25</v>
      </c>
      <c r="LTN91" s="76">
        <f>IFERROR(VLOOKUP(LTM91,'[1]List KPI'!$A$103:$F$118,6,0),"")</f>
        <v>1.0416666666666666E-2</v>
      </c>
      <c r="LTO91" s="76">
        <v>0.86944444444444446</v>
      </c>
      <c r="LTP91" s="76">
        <v>0.86944444444444446</v>
      </c>
      <c r="LTQ91" s="77" t="str">
        <f t="shared" ref="LTQ91:LVM91" si="261">IF(LTP91="","",IF(LTP91&gt;LTY91,"O","P"))</f>
        <v>O</v>
      </c>
      <c r="LTR91" s="74" t="s">
        <v>28</v>
      </c>
      <c r="LTS91" s="75" t="s">
        <v>23</v>
      </c>
      <c r="LTT91" s="78">
        <f>IFERROR(VLOOKUP(LTS91,'[1]List KPI'!$M$3:$N$8,2,0),"")</f>
        <v>2.0833333333333332E-2</v>
      </c>
      <c r="LTU91" s="76">
        <v>0.89444444444444449</v>
      </c>
      <c r="LTV91" s="77" t="str">
        <f t="shared" ref="LTV91:LVR91" si="262">IF(LTU91="","",IF(LTU91&gt;LTZ91,"O","P"))</f>
        <v>O</v>
      </c>
      <c r="LTW91" s="79">
        <v>5</v>
      </c>
      <c r="LTX91" s="75">
        <v>1276006</v>
      </c>
      <c r="LTY91" s="80"/>
      <c r="LTZ91" s="81">
        <v>0.86944444444444446</v>
      </c>
      <c r="LUA91" s="74" t="s">
        <v>27</v>
      </c>
      <c r="LUB91" s="74" t="s">
        <v>24</v>
      </c>
      <c r="LUC91" s="75" t="s">
        <v>25</v>
      </c>
      <c r="LUD91" s="76">
        <f>IFERROR(VLOOKUP(LUC91,'[1]List KPI'!$A$103:$F$118,6,0),"")</f>
        <v>1.0416666666666666E-2</v>
      </c>
      <c r="LUE91" s="76">
        <v>0.86944444444444446</v>
      </c>
      <c r="LUF91" s="76">
        <v>0.86944444444444446</v>
      </c>
      <c r="LUG91" s="77" t="str">
        <f t="shared" si="261"/>
        <v>O</v>
      </c>
      <c r="LUH91" s="74" t="s">
        <v>28</v>
      </c>
      <c r="LUI91" s="75" t="s">
        <v>23</v>
      </c>
      <c r="LUJ91" s="78">
        <f>IFERROR(VLOOKUP(LUI91,'[1]List KPI'!$M$3:$N$8,2,0),"")</f>
        <v>2.0833333333333332E-2</v>
      </c>
      <c r="LUK91" s="76">
        <v>0.89444444444444449</v>
      </c>
      <c r="LUL91" s="77" t="str">
        <f t="shared" si="262"/>
        <v>O</v>
      </c>
      <c r="LUM91" s="79">
        <v>5</v>
      </c>
      <c r="LUN91" s="75">
        <v>1276006</v>
      </c>
      <c r="LUO91" s="80"/>
      <c r="LUP91" s="81">
        <v>0.86944444444444446</v>
      </c>
      <c r="LUQ91" s="74" t="s">
        <v>27</v>
      </c>
      <c r="LUR91" s="74" t="s">
        <v>24</v>
      </c>
      <c r="LUS91" s="75" t="s">
        <v>25</v>
      </c>
      <c r="LUT91" s="76">
        <f>IFERROR(VLOOKUP(LUS91,'[1]List KPI'!$A$103:$F$118,6,0),"")</f>
        <v>1.0416666666666666E-2</v>
      </c>
      <c r="LUU91" s="76">
        <v>0.86944444444444446</v>
      </c>
      <c r="LUV91" s="76">
        <v>0.86944444444444446</v>
      </c>
      <c r="LUW91" s="77" t="str">
        <f t="shared" si="261"/>
        <v>O</v>
      </c>
      <c r="LUX91" s="74" t="s">
        <v>28</v>
      </c>
      <c r="LUY91" s="75" t="s">
        <v>23</v>
      </c>
      <c r="LUZ91" s="78">
        <f>IFERROR(VLOOKUP(LUY91,'[1]List KPI'!$M$3:$N$8,2,0),"")</f>
        <v>2.0833333333333332E-2</v>
      </c>
      <c r="LVA91" s="76">
        <v>0.89444444444444449</v>
      </c>
      <c r="LVB91" s="77" t="str">
        <f t="shared" si="262"/>
        <v>O</v>
      </c>
      <c r="LVC91" s="79">
        <v>5</v>
      </c>
      <c r="LVD91" s="75">
        <v>1276006</v>
      </c>
      <c r="LVE91" s="80"/>
      <c r="LVF91" s="81">
        <v>0.86944444444444446</v>
      </c>
      <c r="LVG91" s="74" t="s">
        <v>27</v>
      </c>
      <c r="LVH91" s="74" t="s">
        <v>24</v>
      </c>
      <c r="LVI91" s="75" t="s">
        <v>25</v>
      </c>
      <c r="LVJ91" s="76">
        <f>IFERROR(VLOOKUP(LVI91,'[1]List KPI'!$A$103:$F$118,6,0),"")</f>
        <v>1.0416666666666666E-2</v>
      </c>
      <c r="LVK91" s="76">
        <v>0.86944444444444446</v>
      </c>
      <c r="LVL91" s="76">
        <v>0.86944444444444446</v>
      </c>
      <c r="LVM91" s="77" t="str">
        <f t="shared" si="261"/>
        <v>O</v>
      </c>
      <c r="LVN91" s="74" t="s">
        <v>28</v>
      </c>
      <c r="LVO91" s="75" t="s">
        <v>23</v>
      </c>
      <c r="LVP91" s="78">
        <f>IFERROR(VLOOKUP(LVO91,'[1]List KPI'!$M$3:$N$8,2,0),"")</f>
        <v>2.0833333333333332E-2</v>
      </c>
      <c r="LVQ91" s="76">
        <v>0.89444444444444449</v>
      </c>
      <c r="LVR91" s="77" t="str">
        <f t="shared" si="262"/>
        <v>O</v>
      </c>
      <c r="LVS91" s="79">
        <v>5</v>
      </c>
      <c r="LVT91" s="75">
        <v>1276006</v>
      </c>
      <c r="LVU91" s="80"/>
      <c r="LVV91" s="81">
        <v>0.86944444444444446</v>
      </c>
      <c r="LVW91" s="74" t="s">
        <v>27</v>
      </c>
      <c r="LVX91" s="74" t="s">
        <v>24</v>
      </c>
      <c r="LVY91" s="75" t="s">
        <v>25</v>
      </c>
      <c r="LVZ91" s="76">
        <f>IFERROR(VLOOKUP(LVY91,'[1]List KPI'!$A$103:$F$118,6,0),"")</f>
        <v>1.0416666666666666E-2</v>
      </c>
      <c r="LWA91" s="76">
        <v>0.86944444444444446</v>
      </c>
      <c r="LWB91" s="76">
        <v>0.86944444444444446</v>
      </c>
      <c r="LWC91" s="77" t="str">
        <f t="shared" ref="LWC91:LXY91" si="263">IF(LWB91="","",IF(LWB91&gt;LWK91,"O","P"))</f>
        <v>O</v>
      </c>
      <c r="LWD91" s="74" t="s">
        <v>28</v>
      </c>
      <c r="LWE91" s="75" t="s">
        <v>23</v>
      </c>
      <c r="LWF91" s="78">
        <f>IFERROR(VLOOKUP(LWE91,'[1]List KPI'!$M$3:$N$8,2,0),"")</f>
        <v>2.0833333333333332E-2</v>
      </c>
      <c r="LWG91" s="76">
        <v>0.89444444444444449</v>
      </c>
      <c r="LWH91" s="77" t="str">
        <f t="shared" ref="LWH91:LYD91" si="264">IF(LWG91="","",IF(LWG91&gt;LWL91,"O","P"))</f>
        <v>O</v>
      </c>
      <c r="LWI91" s="79">
        <v>5</v>
      </c>
      <c r="LWJ91" s="75">
        <v>1276006</v>
      </c>
      <c r="LWK91" s="80"/>
      <c r="LWL91" s="81">
        <v>0.86944444444444446</v>
      </c>
      <c r="LWM91" s="74" t="s">
        <v>27</v>
      </c>
      <c r="LWN91" s="74" t="s">
        <v>24</v>
      </c>
      <c r="LWO91" s="75" t="s">
        <v>25</v>
      </c>
      <c r="LWP91" s="76">
        <f>IFERROR(VLOOKUP(LWO91,'[1]List KPI'!$A$103:$F$118,6,0),"")</f>
        <v>1.0416666666666666E-2</v>
      </c>
      <c r="LWQ91" s="76">
        <v>0.86944444444444446</v>
      </c>
      <c r="LWR91" s="76">
        <v>0.86944444444444446</v>
      </c>
      <c r="LWS91" s="77" t="str">
        <f t="shared" si="263"/>
        <v>O</v>
      </c>
      <c r="LWT91" s="74" t="s">
        <v>28</v>
      </c>
      <c r="LWU91" s="75" t="s">
        <v>23</v>
      </c>
      <c r="LWV91" s="78">
        <f>IFERROR(VLOOKUP(LWU91,'[1]List KPI'!$M$3:$N$8,2,0),"")</f>
        <v>2.0833333333333332E-2</v>
      </c>
      <c r="LWW91" s="76">
        <v>0.89444444444444449</v>
      </c>
      <c r="LWX91" s="77" t="str">
        <f t="shared" si="264"/>
        <v>O</v>
      </c>
      <c r="LWY91" s="79">
        <v>5</v>
      </c>
      <c r="LWZ91" s="75">
        <v>1276006</v>
      </c>
      <c r="LXA91" s="80"/>
      <c r="LXB91" s="81">
        <v>0.86944444444444446</v>
      </c>
      <c r="LXC91" s="74" t="s">
        <v>27</v>
      </c>
      <c r="LXD91" s="74" t="s">
        <v>24</v>
      </c>
      <c r="LXE91" s="75" t="s">
        <v>25</v>
      </c>
      <c r="LXF91" s="76">
        <f>IFERROR(VLOOKUP(LXE91,'[1]List KPI'!$A$103:$F$118,6,0),"")</f>
        <v>1.0416666666666666E-2</v>
      </c>
      <c r="LXG91" s="76">
        <v>0.86944444444444446</v>
      </c>
      <c r="LXH91" s="76">
        <v>0.86944444444444446</v>
      </c>
      <c r="LXI91" s="77" t="str">
        <f t="shared" si="263"/>
        <v>O</v>
      </c>
      <c r="LXJ91" s="74" t="s">
        <v>28</v>
      </c>
      <c r="LXK91" s="75" t="s">
        <v>23</v>
      </c>
      <c r="LXL91" s="78">
        <f>IFERROR(VLOOKUP(LXK91,'[1]List KPI'!$M$3:$N$8,2,0),"")</f>
        <v>2.0833333333333332E-2</v>
      </c>
      <c r="LXM91" s="76">
        <v>0.89444444444444449</v>
      </c>
      <c r="LXN91" s="77" t="str">
        <f t="shared" si="264"/>
        <v>O</v>
      </c>
      <c r="LXO91" s="79">
        <v>5</v>
      </c>
      <c r="LXP91" s="75">
        <v>1276006</v>
      </c>
      <c r="LXQ91" s="80"/>
      <c r="LXR91" s="81">
        <v>0.86944444444444446</v>
      </c>
      <c r="LXS91" s="74" t="s">
        <v>27</v>
      </c>
      <c r="LXT91" s="74" t="s">
        <v>24</v>
      </c>
      <c r="LXU91" s="75" t="s">
        <v>25</v>
      </c>
      <c r="LXV91" s="76">
        <f>IFERROR(VLOOKUP(LXU91,'[1]List KPI'!$A$103:$F$118,6,0),"")</f>
        <v>1.0416666666666666E-2</v>
      </c>
      <c r="LXW91" s="76">
        <v>0.86944444444444446</v>
      </c>
      <c r="LXX91" s="76">
        <v>0.86944444444444446</v>
      </c>
      <c r="LXY91" s="77" t="str">
        <f t="shared" si="263"/>
        <v>O</v>
      </c>
      <c r="LXZ91" s="74" t="s">
        <v>28</v>
      </c>
      <c r="LYA91" s="75" t="s">
        <v>23</v>
      </c>
      <c r="LYB91" s="78">
        <f>IFERROR(VLOOKUP(LYA91,'[1]List KPI'!$M$3:$N$8,2,0),"")</f>
        <v>2.0833333333333332E-2</v>
      </c>
      <c r="LYC91" s="76">
        <v>0.89444444444444449</v>
      </c>
      <c r="LYD91" s="77" t="str">
        <f t="shared" si="264"/>
        <v>O</v>
      </c>
      <c r="LYE91" s="79">
        <v>5</v>
      </c>
      <c r="LYF91" s="75">
        <v>1276006</v>
      </c>
      <c r="LYG91" s="80"/>
      <c r="LYH91" s="81">
        <v>0.86944444444444446</v>
      </c>
      <c r="LYI91" s="74" t="s">
        <v>27</v>
      </c>
      <c r="LYJ91" s="74" t="s">
        <v>24</v>
      </c>
      <c r="LYK91" s="75" t="s">
        <v>25</v>
      </c>
      <c r="LYL91" s="76">
        <f>IFERROR(VLOOKUP(LYK91,'[1]List KPI'!$A$103:$F$118,6,0),"")</f>
        <v>1.0416666666666666E-2</v>
      </c>
      <c r="LYM91" s="76">
        <v>0.86944444444444446</v>
      </c>
      <c r="LYN91" s="76">
        <v>0.86944444444444446</v>
      </c>
      <c r="LYO91" s="77" t="str">
        <f t="shared" ref="LYO91:MAK91" si="265">IF(LYN91="","",IF(LYN91&gt;LYW91,"O","P"))</f>
        <v>O</v>
      </c>
      <c r="LYP91" s="74" t="s">
        <v>28</v>
      </c>
      <c r="LYQ91" s="75" t="s">
        <v>23</v>
      </c>
      <c r="LYR91" s="78">
        <f>IFERROR(VLOOKUP(LYQ91,'[1]List KPI'!$M$3:$N$8,2,0),"")</f>
        <v>2.0833333333333332E-2</v>
      </c>
      <c r="LYS91" s="76">
        <v>0.89444444444444449</v>
      </c>
      <c r="LYT91" s="77" t="str">
        <f t="shared" ref="LYT91:MAP91" si="266">IF(LYS91="","",IF(LYS91&gt;LYX91,"O","P"))</f>
        <v>O</v>
      </c>
      <c r="LYU91" s="79">
        <v>5</v>
      </c>
      <c r="LYV91" s="75">
        <v>1276006</v>
      </c>
      <c r="LYW91" s="80"/>
      <c r="LYX91" s="81">
        <v>0.86944444444444446</v>
      </c>
      <c r="LYY91" s="74" t="s">
        <v>27</v>
      </c>
      <c r="LYZ91" s="74" t="s">
        <v>24</v>
      </c>
      <c r="LZA91" s="75" t="s">
        <v>25</v>
      </c>
      <c r="LZB91" s="76">
        <f>IFERROR(VLOOKUP(LZA91,'[1]List KPI'!$A$103:$F$118,6,0),"")</f>
        <v>1.0416666666666666E-2</v>
      </c>
      <c r="LZC91" s="76">
        <v>0.86944444444444446</v>
      </c>
      <c r="LZD91" s="76">
        <v>0.86944444444444446</v>
      </c>
      <c r="LZE91" s="77" t="str">
        <f t="shared" si="265"/>
        <v>O</v>
      </c>
      <c r="LZF91" s="74" t="s">
        <v>28</v>
      </c>
      <c r="LZG91" s="75" t="s">
        <v>23</v>
      </c>
      <c r="LZH91" s="78">
        <f>IFERROR(VLOOKUP(LZG91,'[1]List KPI'!$M$3:$N$8,2,0),"")</f>
        <v>2.0833333333333332E-2</v>
      </c>
      <c r="LZI91" s="76">
        <v>0.89444444444444449</v>
      </c>
      <c r="LZJ91" s="77" t="str">
        <f t="shared" si="266"/>
        <v>O</v>
      </c>
      <c r="LZK91" s="79">
        <v>5</v>
      </c>
      <c r="LZL91" s="75">
        <v>1276006</v>
      </c>
      <c r="LZM91" s="80"/>
      <c r="LZN91" s="81">
        <v>0.86944444444444446</v>
      </c>
      <c r="LZO91" s="74" t="s">
        <v>27</v>
      </c>
      <c r="LZP91" s="74" t="s">
        <v>24</v>
      </c>
      <c r="LZQ91" s="75" t="s">
        <v>25</v>
      </c>
      <c r="LZR91" s="76">
        <f>IFERROR(VLOOKUP(LZQ91,'[1]List KPI'!$A$103:$F$118,6,0),"")</f>
        <v>1.0416666666666666E-2</v>
      </c>
      <c r="LZS91" s="76">
        <v>0.86944444444444446</v>
      </c>
      <c r="LZT91" s="76">
        <v>0.86944444444444446</v>
      </c>
      <c r="LZU91" s="77" t="str">
        <f t="shared" si="265"/>
        <v>O</v>
      </c>
      <c r="LZV91" s="74" t="s">
        <v>28</v>
      </c>
      <c r="LZW91" s="75" t="s">
        <v>23</v>
      </c>
      <c r="LZX91" s="78">
        <f>IFERROR(VLOOKUP(LZW91,'[1]List KPI'!$M$3:$N$8,2,0),"")</f>
        <v>2.0833333333333332E-2</v>
      </c>
      <c r="LZY91" s="76">
        <v>0.89444444444444449</v>
      </c>
      <c r="LZZ91" s="77" t="str">
        <f t="shared" si="266"/>
        <v>O</v>
      </c>
      <c r="MAA91" s="79">
        <v>5</v>
      </c>
      <c r="MAB91" s="75">
        <v>1276006</v>
      </c>
      <c r="MAC91" s="80"/>
      <c r="MAD91" s="81">
        <v>0.86944444444444446</v>
      </c>
      <c r="MAE91" s="74" t="s">
        <v>27</v>
      </c>
      <c r="MAF91" s="74" t="s">
        <v>24</v>
      </c>
      <c r="MAG91" s="75" t="s">
        <v>25</v>
      </c>
      <c r="MAH91" s="76">
        <f>IFERROR(VLOOKUP(MAG91,'[1]List KPI'!$A$103:$F$118,6,0),"")</f>
        <v>1.0416666666666666E-2</v>
      </c>
      <c r="MAI91" s="76">
        <v>0.86944444444444446</v>
      </c>
      <c r="MAJ91" s="76">
        <v>0.86944444444444446</v>
      </c>
      <c r="MAK91" s="77" t="str">
        <f t="shared" si="265"/>
        <v>O</v>
      </c>
      <c r="MAL91" s="74" t="s">
        <v>28</v>
      </c>
      <c r="MAM91" s="75" t="s">
        <v>23</v>
      </c>
      <c r="MAN91" s="78">
        <f>IFERROR(VLOOKUP(MAM91,'[1]List KPI'!$M$3:$N$8,2,0),"")</f>
        <v>2.0833333333333332E-2</v>
      </c>
      <c r="MAO91" s="76">
        <v>0.89444444444444449</v>
      </c>
      <c r="MAP91" s="77" t="str">
        <f t="shared" si="266"/>
        <v>O</v>
      </c>
      <c r="MAQ91" s="79">
        <v>5</v>
      </c>
      <c r="MAR91" s="75">
        <v>1276006</v>
      </c>
      <c r="MAS91" s="80"/>
      <c r="MAT91" s="81">
        <v>0.86944444444444446</v>
      </c>
      <c r="MAU91" s="74" t="s">
        <v>27</v>
      </c>
      <c r="MAV91" s="74" t="s">
        <v>24</v>
      </c>
      <c r="MAW91" s="75" t="s">
        <v>25</v>
      </c>
      <c r="MAX91" s="76">
        <f>IFERROR(VLOOKUP(MAW91,'[1]List KPI'!$A$103:$F$118,6,0),"")</f>
        <v>1.0416666666666666E-2</v>
      </c>
      <c r="MAY91" s="76">
        <v>0.86944444444444446</v>
      </c>
      <c r="MAZ91" s="76">
        <v>0.86944444444444446</v>
      </c>
      <c r="MBA91" s="77" t="str">
        <f t="shared" ref="MBA91:MCW91" si="267">IF(MAZ91="","",IF(MAZ91&gt;MBI91,"O","P"))</f>
        <v>O</v>
      </c>
      <c r="MBB91" s="74" t="s">
        <v>28</v>
      </c>
      <c r="MBC91" s="75" t="s">
        <v>23</v>
      </c>
      <c r="MBD91" s="78">
        <f>IFERROR(VLOOKUP(MBC91,'[1]List KPI'!$M$3:$N$8,2,0),"")</f>
        <v>2.0833333333333332E-2</v>
      </c>
      <c r="MBE91" s="76">
        <v>0.89444444444444449</v>
      </c>
      <c r="MBF91" s="77" t="str">
        <f t="shared" ref="MBF91:MDB91" si="268">IF(MBE91="","",IF(MBE91&gt;MBJ91,"O","P"))</f>
        <v>O</v>
      </c>
      <c r="MBG91" s="79">
        <v>5</v>
      </c>
      <c r="MBH91" s="75">
        <v>1276006</v>
      </c>
      <c r="MBI91" s="80"/>
      <c r="MBJ91" s="81">
        <v>0.86944444444444446</v>
      </c>
      <c r="MBK91" s="74" t="s">
        <v>27</v>
      </c>
      <c r="MBL91" s="74" t="s">
        <v>24</v>
      </c>
      <c r="MBM91" s="75" t="s">
        <v>25</v>
      </c>
      <c r="MBN91" s="76">
        <f>IFERROR(VLOOKUP(MBM91,'[1]List KPI'!$A$103:$F$118,6,0),"")</f>
        <v>1.0416666666666666E-2</v>
      </c>
      <c r="MBO91" s="76">
        <v>0.86944444444444446</v>
      </c>
      <c r="MBP91" s="76">
        <v>0.86944444444444446</v>
      </c>
      <c r="MBQ91" s="77" t="str">
        <f t="shared" si="267"/>
        <v>O</v>
      </c>
      <c r="MBR91" s="74" t="s">
        <v>28</v>
      </c>
      <c r="MBS91" s="75" t="s">
        <v>23</v>
      </c>
      <c r="MBT91" s="78">
        <f>IFERROR(VLOOKUP(MBS91,'[1]List KPI'!$M$3:$N$8,2,0),"")</f>
        <v>2.0833333333333332E-2</v>
      </c>
      <c r="MBU91" s="76">
        <v>0.89444444444444449</v>
      </c>
      <c r="MBV91" s="77" t="str">
        <f t="shared" si="268"/>
        <v>O</v>
      </c>
      <c r="MBW91" s="79">
        <v>5</v>
      </c>
      <c r="MBX91" s="75">
        <v>1276006</v>
      </c>
      <c r="MBY91" s="80"/>
      <c r="MBZ91" s="81">
        <v>0.86944444444444446</v>
      </c>
      <c r="MCA91" s="74" t="s">
        <v>27</v>
      </c>
      <c r="MCB91" s="74" t="s">
        <v>24</v>
      </c>
      <c r="MCC91" s="75" t="s">
        <v>25</v>
      </c>
      <c r="MCD91" s="76">
        <f>IFERROR(VLOOKUP(MCC91,'[1]List KPI'!$A$103:$F$118,6,0),"")</f>
        <v>1.0416666666666666E-2</v>
      </c>
      <c r="MCE91" s="76">
        <v>0.86944444444444446</v>
      </c>
      <c r="MCF91" s="76">
        <v>0.86944444444444446</v>
      </c>
      <c r="MCG91" s="77" t="str">
        <f t="shared" si="267"/>
        <v>O</v>
      </c>
      <c r="MCH91" s="74" t="s">
        <v>28</v>
      </c>
      <c r="MCI91" s="75" t="s">
        <v>23</v>
      </c>
      <c r="MCJ91" s="78">
        <f>IFERROR(VLOOKUP(MCI91,'[1]List KPI'!$M$3:$N$8,2,0),"")</f>
        <v>2.0833333333333332E-2</v>
      </c>
      <c r="MCK91" s="76">
        <v>0.89444444444444449</v>
      </c>
      <c r="MCL91" s="77" t="str">
        <f t="shared" si="268"/>
        <v>O</v>
      </c>
      <c r="MCM91" s="79">
        <v>5</v>
      </c>
      <c r="MCN91" s="75">
        <v>1276006</v>
      </c>
      <c r="MCO91" s="80"/>
      <c r="MCP91" s="81">
        <v>0.86944444444444446</v>
      </c>
      <c r="MCQ91" s="74" t="s">
        <v>27</v>
      </c>
      <c r="MCR91" s="74" t="s">
        <v>24</v>
      </c>
      <c r="MCS91" s="75" t="s">
        <v>25</v>
      </c>
      <c r="MCT91" s="76">
        <f>IFERROR(VLOOKUP(MCS91,'[1]List KPI'!$A$103:$F$118,6,0),"")</f>
        <v>1.0416666666666666E-2</v>
      </c>
      <c r="MCU91" s="76">
        <v>0.86944444444444446</v>
      </c>
      <c r="MCV91" s="76">
        <v>0.86944444444444446</v>
      </c>
      <c r="MCW91" s="77" t="str">
        <f t="shared" si="267"/>
        <v>O</v>
      </c>
      <c r="MCX91" s="74" t="s">
        <v>28</v>
      </c>
      <c r="MCY91" s="75" t="s">
        <v>23</v>
      </c>
      <c r="MCZ91" s="78">
        <f>IFERROR(VLOOKUP(MCY91,'[1]List KPI'!$M$3:$N$8,2,0),"")</f>
        <v>2.0833333333333332E-2</v>
      </c>
      <c r="MDA91" s="76">
        <v>0.89444444444444449</v>
      </c>
      <c r="MDB91" s="77" t="str">
        <f t="shared" si="268"/>
        <v>O</v>
      </c>
      <c r="MDC91" s="79">
        <v>5</v>
      </c>
      <c r="MDD91" s="75">
        <v>1276006</v>
      </c>
      <c r="MDE91" s="80"/>
      <c r="MDF91" s="81">
        <v>0.86944444444444446</v>
      </c>
      <c r="MDG91" s="74" t="s">
        <v>27</v>
      </c>
      <c r="MDH91" s="74" t="s">
        <v>24</v>
      </c>
      <c r="MDI91" s="75" t="s">
        <v>25</v>
      </c>
      <c r="MDJ91" s="76">
        <f>IFERROR(VLOOKUP(MDI91,'[1]List KPI'!$A$103:$F$118,6,0),"")</f>
        <v>1.0416666666666666E-2</v>
      </c>
      <c r="MDK91" s="76">
        <v>0.86944444444444446</v>
      </c>
      <c r="MDL91" s="76">
        <v>0.86944444444444446</v>
      </c>
      <c r="MDM91" s="77" t="str">
        <f t="shared" ref="MDM91:MFI91" si="269">IF(MDL91="","",IF(MDL91&gt;MDU91,"O","P"))</f>
        <v>O</v>
      </c>
      <c r="MDN91" s="74" t="s">
        <v>28</v>
      </c>
      <c r="MDO91" s="75" t="s">
        <v>23</v>
      </c>
      <c r="MDP91" s="78">
        <f>IFERROR(VLOOKUP(MDO91,'[1]List KPI'!$M$3:$N$8,2,0),"")</f>
        <v>2.0833333333333332E-2</v>
      </c>
      <c r="MDQ91" s="76">
        <v>0.89444444444444449</v>
      </c>
      <c r="MDR91" s="77" t="str">
        <f t="shared" ref="MDR91:MFN91" si="270">IF(MDQ91="","",IF(MDQ91&gt;MDV91,"O","P"))</f>
        <v>O</v>
      </c>
      <c r="MDS91" s="79">
        <v>5</v>
      </c>
      <c r="MDT91" s="75">
        <v>1276006</v>
      </c>
      <c r="MDU91" s="80"/>
      <c r="MDV91" s="81">
        <v>0.86944444444444446</v>
      </c>
      <c r="MDW91" s="74" t="s">
        <v>27</v>
      </c>
      <c r="MDX91" s="74" t="s">
        <v>24</v>
      </c>
      <c r="MDY91" s="75" t="s">
        <v>25</v>
      </c>
      <c r="MDZ91" s="76">
        <f>IFERROR(VLOOKUP(MDY91,'[1]List KPI'!$A$103:$F$118,6,0),"")</f>
        <v>1.0416666666666666E-2</v>
      </c>
      <c r="MEA91" s="76">
        <v>0.86944444444444446</v>
      </c>
      <c r="MEB91" s="76">
        <v>0.86944444444444446</v>
      </c>
      <c r="MEC91" s="77" t="str">
        <f t="shared" si="269"/>
        <v>O</v>
      </c>
      <c r="MED91" s="74" t="s">
        <v>28</v>
      </c>
      <c r="MEE91" s="75" t="s">
        <v>23</v>
      </c>
      <c r="MEF91" s="78">
        <f>IFERROR(VLOOKUP(MEE91,'[1]List KPI'!$M$3:$N$8,2,0),"")</f>
        <v>2.0833333333333332E-2</v>
      </c>
      <c r="MEG91" s="76">
        <v>0.89444444444444449</v>
      </c>
      <c r="MEH91" s="77" t="str">
        <f t="shared" si="270"/>
        <v>O</v>
      </c>
      <c r="MEI91" s="79">
        <v>5</v>
      </c>
      <c r="MEJ91" s="75">
        <v>1276006</v>
      </c>
      <c r="MEK91" s="80"/>
      <c r="MEL91" s="81">
        <v>0.86944444444444446</v>
      </c>
      <c r="MEM91" s="74" t="s">
        <v>27</v>
      </c>
      <c r="MEN91" s="74" t="s">
        <v>24</v>
      </c>
      <c r="MEO91" s="75" t="s">
        <v>25</v>
      </c>
      <c r="MEP91" s="76">
        <f>IFERROR(VLOOKUP(MEO91,'[1]List KPI'!$A$103:$F$118,6,0),"")</f>
        <v>1.0416666666666666E-2</v>
      </c>
      <c r="MEQ91" s="76">
        <v>0.86944444444444446</v>
      </c>
      <c r="MER91" s="76">
        <v>0.86944444444444446</v>
      </c>
      <c r="MES91" s="77" t="str">
        <f t="shared" si="269"/>
        <v>O</v>
      </c>
      <c r="MET91" s="74" t="s">
        <v>28</v>
      </c>
      <c r="MEU91" s="75" t="s">
        <v>23</v>
      </c>
      <c r="MEV91" s="78">
        <f>IFERROR(VLOOKUP(MEU91,'[1]List KPI'!$M$3:$N$8,2,0),"")</f>
        <v>2.0833333333333332E-2</v>
      </c>
      <c r="MEW91" s="76">
        <v>0.89444444444444449</v>
      </c>
      <c r="MEX91" s="77" t="str">
        <f t="shared" si="270"/>
        <v>O</v>
      </c>
      <c r="MEY91" s="79">
        <v>5</v>
      </c>
      <c r="MEZ91" s="75">
        <v>1276006</v>
      </c>
      <c r="MFA91" s="80"/>
      <c r="MFB91" s="81">
        <v>0.86944444444444446</v>
      </c>
      <c r="MFC91" s="74" t="s">
        <v>27</v>
      </c>
      <c r="MFD91" s="74" t="s">
        <v>24</v>
      </c>
      <c r="MFE91" s="75" t="s">
        <v>25</v>
      </c>
      <c r="MFF91" s="76">
        <f>IFERROR(VLOOKUP(MFE91,'[1]List KPI'!$A$103:$F$118,6,0),"")</f>
        <v>1.0416666666666666E-2</v>
      </c>
      <c r="MFG91" s="76">
        <v>0.86944444444444446</v>
      </c>
      <c r="MFH91" s="76">
        <v>0.86944444444444446</v>
      </c>
      <c r="MFI91" s="77" t="str">
        <f t="shared" si="269"/>
        <v>O</v>
      </c>
      <c r="MFJ91" s="74" t="s">
        <v>28</v>
      </c>
      <c r="MFK91" s="75" t="s">
        <v>23</v>
      </c>
      <c r="MFL91" s="78">
        <f>IFERROR(VLOOKUP(MFK91,'[1]List KPI'!$M$3:$N$8,2,0),"")</f>
        <v>2.0833333333333332E-2</v>
      </c>
      <c r="MFM91" s="76">
        <v>0.89444444444444449</v>
      </c>
      <c r="MFN91" s="77" t="str">
        <f t="shared" si="270"/>
        <v>O</v>
      </c>
      <c r="MFO91" s="79">
        <v>5</v>
      </c>
      <c r="MFP91" s="75">
        <v>1276006</v>
      </c>
      <c r="MFQ91" s="80"/>
      <c r="MFR91" s="81">
        <v>0.86944444444444446</v>
      </c>
      <c r="MFS91" s="74" t="s">
        <v>27</v>
      </c>
      <c r="MFT91" s="74" t="s">
        <v>24</v>
      </c>
      <c r="MFU91" s="75" t="s">
        <v>25</v>
      </c>
      <c r="MFV91" s="76">
        <f>IFERROR(VLOOKUP(MFU91,'[1]List KPI'!$A$103:$F$118,6,0),"")</f>
        <v>1.0416666666666666E-2</v>
      </c>
      <c r="MFW91" s="76">
        <v>0.86944444444444446</v>
      </c>
      <c r="MFX91" s="76">
        <v>0.86944444444444446</v>
      </c>
      <c r="MFY91" s="77" t="str">
        <f t="shared" ref="MFY91:MHU91" si="271">IF(MFX91="","",IF(MFX91&gt;MGG91,"O","P"))</f>
        <v>O</v>
      </c>
      <c r="MFZ91" s="74" t="s">
        <v>28</v>
      </c>
      <c r="MGA91" s="75" t="s">
        <v>23</v>
      </c>
      <c r="MGB91" s="78">
        <f>IFERROR(VLOOKUP(MGA91,'[1]List KPI'!$M$3:$N$8,2,0),"")</f>
        <v>2.0833333333333332E-2</v>
      </c>
      <c r="MGC91" s="76">
        <v>0.89444444444444449</v>
      </c>
      <c r="MGD91" s="77" t="str">
        <f t="shared" ref="MGD91:MHZ91" si="272">IF(MGC91="","",IF(MGC91&gt;MGH91,"O","P"))</f>
        <v>O</v>
      </c>
      <c r="MGE91" s="79">
        <v>5</v>
      </c>
      <c r="MGF91" s="75">
        <v>1276006</v>
      </c>
      <c r="MGG91" s="80"/>
      <c r="MGH91" s="81">
        <v>0.86944444444444446</v>
      </c>
      <c r="MGI91" s="74" t="s">
        <v>27</v>
      </c>
      <c r="MGJ91" s="74" t="s">
        <v>24</v>
      </c>
      <c r="MGK91" s="75" t="s">
        <v>25</v>
      </c>
      <c r="MGL91" s="76">
        <f>IFERROR(VLOOKUP(MGK91,'[1]List KPI'!$A$103:$F$118,6,0),"")</f>
        <v>1.0416666666666666E-2</v>
      </c>
      <c r="MGM91" s="76">
        <v>0.86944444444444446</v>
      </c>
      <c r="MGN91" s="76">
        <v>0.86944444444444446</v>
      </c>
      <c r="MGO91" s="77" t="str">
        <f t="shared" si="271"/>
        <v>O</v>
      </c>
      <c r="MGP91" s="74" t="s">
        <v>28</v>
      </c>
      <c r="MGQ91" s="75" t="s">
        <v>23</v>
      </c>
      <c r="MGR91" s="78">
        <f>IFERROR(VLOOKUP(MGQ91,'[1]List KPI'!$M$3:$N$8,2,0),"")</f>
        <v>2.0833333333333332E-2</v>
      </c>
      <c r="MGS91" s="76">
        <v>0.89444444444444449</v>
      </c>
      <c r="MGT91" s="77" t="str">
        <f t="shared" si="272"/>
        <v>O</v>
      </c>
      <c r="MGU91" s="79">
        <v>5</v>
      </c>
      <c r="MGV91" s="75">
        <v>1276006</v>
      </c>
      <c r="MGW91" s="80"/>
      <c r="MGX91" s="81">
        <v>0.86944444444444446</v>
      </c>
      <c r="MGY91" s="74" t="s">
        <v>27</v>
      </c>
      <c r="MGZ91" s="74" t="s">
        <v>24</v>
      </c>
      <c r="MHA91" s="75" t="s">
        <v>25</v>
      </c>
      <c r="MHB91" s="76">
        <f>IFERROR(VLOOKUP(MHA91,'[1]List KPI'!$A$103:$F$118,6,0),"")</f>
        <v>1.0416666666666666E-2</v>
      </c>
      <c r="MHC91" s="76">
        <v>0.86944444444444446</v>
      </c>
      <c r="MHD91" s="76">
        <v>0.86944444444444446</v>
      </c>
      <c r="MHE91" s="77" t="str">
        <f t="shared" si="271"/>
        <v>O</v>
      </c>
      <c r="MHF91" s="74" t="s">
        <v>28</v>
      </c>
      <c r="MHG91" s="75" t="s">
        <v>23</v>
      </c>
      <c r="MHH91" s="78">
        <f>IFERROR(VLOOKUP(MHG91,'[1]List KPI'!$M$3:$N$8,2,0),"")</f>
        <v>2.0833333333333332E-2</v>
      </c>
      <c r="MHI91" s="76">
        <v>0.89444444444444449</v>
      </c>
      <c r="MHJ91" s="77" t="str">
        <f t="shared" si="272"/>
        <v>O</v>
      </c>
      <c r="MHK91" s="79">
        <v>5</v>
      </c>
      <c r="MHL91" s="75">
        <v>1276006</v>
      </c>
      <c r="MHM91" s="80"/>
      <c r="MHN91" s="81">
        <v>0.86944444444444446</v>
      </c>
      <c r="MHO91" s="74" t="s">
        <v>27</v>
      </c>
      <c r="MHP91" s="74" t="s">
        <v>24</v>
      </c>
      <c r="MHQ91" s="75" t="s">
        <v>25</v>
      </c>
      <c r="MHR91" s="76">
        <f>IFERROR(VLOOKUP(MHQ91,'[1]List KPI'!$A$103:$F$118,6,0),"")</f>
        <v>1.0416666666666666E-2</v>
      </c>
      <c r="MHS91" s="76">
        <v>0.86944444444444446</v>
      </c>
      <c r="MHT91" s="76">
        <v>0.86944444444444446</v>
      </c>
      <c r="MHU91" s="77" t="str">
        <f t="shared" si="271"/>
        <v>O</v>
      </c>
      <c r="MHV91" s="74" t="s">
        <v>28</v>
      </c>
      <c r="MHW91" s="75" t="s">
        <v>23</v>
      </c>
      <c r="MHX91" s="78">
        <f>IFERROR(VLOOKUP(MHW91,'[1]List KPI'!$M$3:$N$8,2,0),"")</f>
        <v>2.0833333333333332E-2</v>
      </c>
      <c r="MHY91" s="76">
        <v>0.89444444444444449</v>
      </c>
      <c r="MHZ91" s="77" t="str">
        <f t="shared" si="272"/>
        <v>O</v>
      </c>
      <c r="MIA91" s="79">
        <v>5</v>
      </c>
      <c r="MIB91" s="75">
        <v>1276006</v>
      </c>
      <c r="MIC91" s="80"/>
      <c r="MID91" s="81">
        <v>0.86944444444444446</v>
      </c>
      <c r="MIE91" s="74" t="s">
        <v>27</v>
      </c>
      <c r="MIF91" s="74" t="s">
        <v>24</v>
      </c>
      <c r="MIG91" s="75" t="s">
        <v>25</v>
      </c>
      <c r="MIH91" s="76">
        <f>IFERROR(VLOOKUP(MIG91,'[1]List KPI'!$A$103:$F$118,6,0),"")</f>
        <v>1.0416666666666666E-2</v>
      </c>
      <c r="MII91" s="76">
        <v>0.86944444444444446</v>
      </c>
      <c r="MIJ91" s="76">
        <v>0.86944444444444446</v>
      </c>
      <c r="MIK91" s="77" t="str">
        <f t="shared" ref="MIK91:MKG91" si="273">IF(MIJ91="","",IF(MIJ91&gt;MIS91,"O","P"))</f>
        <v>O</v>
      </c>
      <c r="MIL91" s="74" t="s">
        <v>28</v>
      </c>
      <c r="MIM91" s="75" t="s">
        <v>23</v>
      </c>
      <c r="MIN91" s="78">
        <f>IFERROR(VLOOKUP(MIM91,'[1]List KPI'!$M$3:$N$8,2,0),"")</f>
        <v>2.0833333333333332E-2</v>
      </c>
      <c r="MIO91" s="76">
        <v>0.89444444444444449</v>
      </c>
      <c r="MIP91" s="77" t="str">
        <f t="shared" ref="MIP91:MKL91" si="274">IF(MIO91="","",IF(MIO91&gt;MIT91,"O","P"))</f>
        <v>O</v>
      </c>
      <c r="MIQ91" s="79">
        <v>5</v>
      </c>
      <c r="MIR91" s="75">
        <v>1276006</v>
      </c>
      <c r="MIS91" s="80"/>
      <c r="MIT91" s="81">
        <v>0.86944444444444446</v>
      </c>
      <c r="MIU91" s="74" t="s">
        <v>27</v>
      </c>
      <c r="MIV91" s="74" t="s">
        <v>24</v>
      </c>
      <c r="MIW91" s="75" t="s">
        <v>25</v>
      </c>
      <c r="MIX91" s="76">
        <f>IFERROR(VLOOKUP(MIW91,'[1]List KPI'!$A$103:$F$118,6,0),"")</f>
        <v>1.0416666666666666E-2</v>
      </c>
      <c r="MIY91" s="76">
        <v>0.86944444444444446</v>
      </c>
      <c r="MIZ91" s="76">
        <v>0.86944444444444446</v>
      </c>
      <c r="MJA91" s="77" t="str">
        <f t="shared" si="273"/>
        <v>O</v>
      </c>
      <c r="MJB91" s="74" t="s">
        <v>28</v>
      </c>
      <c r="MJC91" s="75" t="s">
        <v>23</v>
      </c>
      <c r="MJD91" s="78">
        <f>IFERROR(VLOOKUP(MJC91,'[1]List KPI'!$M$3:$N$8,2,0),"")</f>
        <v>2.0833333333333332E-2</v>
      </c>
      <c r="MJE91" s="76">
        <v>0.89444444444444449</v>
      </c>
      <c r="MJF91" s="77" t="str">
        <f t="shared" si="274"/>
        <v>O</v>
      </c>
      <c r="MJG91" s="79">
        <v>5</v>
      </c>
      <c r="MJH91" s="75">
        <v>1276006</v>
      </c>
      <c r="MJI91" s="80"/>
      <c r="MJJ91" s="81">
        <v>0.86944444444444446</v>
      </c>
      <c r="MJK91" s="74" t="s">
        <v>27</v>
      </c>
      <c r="MJL91" s="74" t="s">
        <v>24</v>
      </c>
      <c r="MJM91" s="75" t="s">
        <v>25</v>
      </c>
      <c r="MJN91" s="76">
        <f>IFERROR(VLOOKUP(MJM91,'[1]List KPI'!$A$103:$F$118,6,0),"")</f>
        <v>1.0416666666666666E-2</v>
      </c>
      <c r="MJO91" s="76">
        <v>0.86944444444444446</v>
      </c>
      <c r="MJP91" s="76">
        <v>0.86944444444444446</v>
      </c>
      <c r="MJQ91" s="77" t="str">
        <f t="shared" si="273"/>
        <v>O</v>
      </c>
      <c r="MJR91" s="74" t="s">
        <v>28</v>
      </c>
      <c r="MJS91" s="75" t="s">
        <v>23</v>
      </c>
      <c r="MJT91" s="78">
        <f>IFERROR(VLOOKUP(MJS91,'[1]List KPI'!$M$3:$N$8,2,0),"")</f>
        <v>2.0833333333333332E-2</v>
      </c>
      <c r="MJU91" s="76">
        <v>0.89444444444444449</v>
      </c>
      <c r="MJV91" s="77" t="str">
        <f t="shared" si="274"/>
        <v>O</v>
      </c>
      <c r="MJW91" s="79">
        <v>5</v>
      </c>
      <c r="MJX91" s="75">
        <v>1276006</v>
      </c>
      <c r="MJY91" s="80"/>
      <c r="MJZ91" s="81">
        <v>0.86944444444444446</v>
      </c>
      <c r="MKA91" s="74" t="s">
        <v>27</v>
      </c>
      <c r="MKB91" s="74" t="s">
        <v>24</v>
      </c>
      <c r="MKC91" s="75" t="s">
        <v>25</v>
      </c>
      <c r="MKD91" s="76">
        <f>IFERROR(VLOOKUP(MKC91,'[1]List KPI'!$A$103:$F$118,6,0),"")</f>
        <v>1.0416666666666666E-2</v>
      </c>
      <c r="MKE91" s="76">
        <v>0.86944444444444446</v>
      </c>
      <c r="MKF91" s="76">
        <v>0.86944444444444446</v>
      </c>
      <c r="MKG91" s="77" t="str">
        <f t="shared" si="273"/>
        <v>O</v>
      </c>
      <c r="MKH91" s="74" t="s">
        <v>28</v>
      </c>
      <c r="MKI91" s="75" t="s">
        <v>23</v>
      </c>
      <c r="MKJ91" s="78">
        <f>IFERROR(VLOOKUP(MKI91,'[1]List KPI'!$M$3:$N$8,2,0),"")</f>
        <v>2.0833333333333332E-2</v>
      </c>
      <c r="MKK91" s="76">
        <v>0.89444444444444449</v>
      </c>
      <c r="MKL91" s="77" t="str">
        <f t="shared" si="274"/>
        <v>O</v>
      </c>
      <c r="MKM91" s="79">
        <v>5</v>
      </c>
      <c r="MKN91" s="75">
        <v>1276006</v>
      </c>
      <c r="MKO91" s="80"/>
      <c r="MKP91" s="81">
        <v>0.86944444444444446</v>
      </c>
      <c r="MKQ91" s="74" t="s">
        <v>27</v>
      </c>
      <c r="MKR91" s="74" t="s">
        <v>24</v>
      </c>
      <c r="MKS91" s="75" t="s">
        <v>25</v>
      </c>
      <c r="MKT91" s="76">
        <f>IFERROR(VLOOKUP(MKS91,'[1]List KPI'!$A$103:$F$118,6,0),"")</f>
        <v>1.0416666666666666E-2</v>
      </c>
      <c r="MKU91" s="76">
        <v>0.86944444444444446</v>
      </c>
      <c r="MKV91" s="76">
        <v>0.86944444444444446</v>
      </c>
      <c r="MKW91" s="77" t="str">
        <f t="shared" ref="MKW91:MMS91" si="275">IF(MKV91="","",IF(MKV91&gt;MLE91,"O","P"))</f>
        <v>O</v>
      </c>
      <c r="MKX91" s="74" t="s">
        <v>28</v>
      </c>
      <c r="MKY91" s="75" t="s">
        <v>23</v>
      </c>
      <c r="MKZ91" s="78">
        <f>IFERROR(VLOOKUP(MKY91,'[1]List KPI'!$M$3:$N$8,2,0),"")</f>
        <v>2.0833333333333332E-2</v>
      </c>
      <c r="MLA91" s="76">
        <v>0.89444444444444449</v>
      </c>
      <c r="MLB91" s="77" t="str">
        <f t="shared" ref="MLB91:MMX91" si="276">IF(MLA91="","",IF(MLA91&gt;MLF91,"O","P"))</f>
        <v>O</v>
      </c>
      <c r="MLC91" s="79">
        <v>5</v>
      </c>
      <c r="MLD91" s="75">
        <v>1276006</v>
      </c>
      <c r="MLE91" s="80"/>
      <c r="MLF91" s="81">
        <v>0.86944444444444446</v>
      </c>
      <c r="MLG91" s="74" t="s">
        <v>27</v>
      </c>
      <c r="MLH91" s="74" t="s">
        <v>24</v>
      </c>
      <c r="MLI91" s="75" t="s">
        <v>25</v>
      </c>
      <c r="MLJ91" s="76">
        <f>IFERROR(VLOOKUP(MLI91,'[1]List KPI'!$A$103:$F$118,6,0),"")</f>
        <v>1.0416666666666666E-2</v>
      </c>
      <c r="MLK91" s="76">
        <v>0.86944444444444446</v>
      </c>
      <c r="MLL91" s="76">
        <v>0.86944444444444446</v>
      </c>
      <c r="MLM91" s="77" t="str">
        <f t="shared" si="275"/>
        <v>O</v>
      </c>
      <c r="MLN91" s="74" t="s">
        <v>28</v>
      </c>
      <c r="MLO91" s="75" t="s">
        <v>23</v>
      </c>
      <c r="MLP91" s="78">
        <f>IFERROR(VLOOKUP(MLO91,'[1]List KPI'!$M$3:$N$8,2,0),"")</f>
        <v>2.0833333333333332E-2</v>
      </c>
      <c r="MLQ91" s="76">
        <v>0.89444444444444449</v>
      </c>
      <c r="MLR91" s="77" t="str">
        <f t="shared" si="276"/>
        <v>O</v>
      </c>
      <c r="MLS91" s="79">
        <v>5</v>
      </c>
      <c r="MLT91" s="75">
        <v>1276006</v>
      </c>
      <c r="MLU91" s="80"/>
      <c r="MLV91" s="81">
        <v>0.86944444444444446</v>
      </c>
      <c r="MLW91" s="74" t="s">
        <v>27</v>
      </c>
      <c r="MLX91" s="74" t="s">
        <v>24</v>
      </c>
      <c r="MLY91" s="75" t="s">
        <v>25</v>
      </c>
      <c r="MLZ91" s="76">
        <f>IFERROR(VLOOKUP(MLY91,'[1]List KPI'!$A$103:$F$118,6,0),"")</f>
        <v>1.0416666666666666E-2</v>
      </c>
      <c r="MMA91" s="76">
        <v>0.86944444444444446</v>
      </c>
      <c r="MMB91" s="76">
        <v>0.86944444444444446</v>
      </c>
      <c r="MMC91" s="77" t="str">
        <f t="shared" si="275"/>
        <v>O</v>
      </c>
      <c r="MMD91" s="74" t="s">
        <v>28</v>
      </c>
      <c r="MME91" s="75" t="s">
        <v>23</v>
      </c>
      <c r="MMF91" s="78">
        <f>IFERROR(VLOOKUP(MME91,'[1]List KPI'!$M$3:$N$8,2,0),"")</f>
        <v>2.0833333333333332E-2</v>
      </c>
      <c r="MMG91" s="76">
        <v>0.89444444444444449</v>
      </c>
      <c r="MMH91" s="77" t="str">
        <f t="shared" si="276"/>
        <v>O</v>
      </c>
      <c r="MMI91" s="79">
        <v>5</v>
      </c>
      <c r="MMJ91" s="75">
        <v>1276006</v>
      </c>
      <c r="MMK91" s="80"/>
      <c r="MML91" s="81">
        <v>0.86944444444444446</v>
      </c>
      <c r="MMM91" s="74" t="s">
        <v>27</v>
      </c>
      <c r="MMN91" s="74" t="s">
        <v>24</v>
      </c>
      <c r="MMO91" s="75" t="s">
        <v>25</v>
      </c>
      <c r="MMP91" s="76">
        <f>IFERROR(VLOOKUP(MMO91,'[1]List KPI'!$A$103:$F$118,6,0),"")</f>
        <v>1.0416666666666666E-2</v>
      </c>
      <c r="MMQ91" s="76">
        <v>0.86944444444444446</v>
      </c>
      <c r="MMR91" s="76">
        <v>0.86944444444444446</v>
      </c>
      <c r="MMS91" s="77" t="str">
        <f t="shared" si="275"/>
        <v>O</v>
      </c>
      <c r="MMT91" s="74" t="s">
        <v>28</v>
      </c>
      <c r="MMU91" s="75" t="s">
        <v>23</v>
      </c>
      <c r="MMV91" s="78">
        <f>IFERROR(VLOOKUP(MMU91,'[1]List KPI'!$M$3:$N$8,2,0),"")</f>
        <v>2.0833333333333332E-2</v>
      </c>
      <c r="MMW91" s="76">
        <v>0.89444444444444449</v>
      </c>
      <c r="MMX91" s="77" t="str">
        <f t="shared" si="276"/>
        <v>O</v>
      </c>
      <c r="MMY91" s="79">
        <v>5</v>
      </c>
      <c r="MMZ91" s="75">
        <v>1276006</v>
      </c>
      <c r="MNA91" s="80"/>
      <c r="MNB91" s="81">
        <v>0.86944444444444446</v>
      </c>
      <c r="MNC91" s="74" t="s">
        <v>27</v>
      </c>
      <c r="MND91" s="74" t="s">
        <v>24</v>
      </c>
      <c r="MNE91" s="75" t="s">
        <v>25</v>
      </c>
      <c r="MNF91" s="76">
        <f>IFERROR(VLOOKUP(MNE91,'[1]List KPI'!$A$103:$F$118,6,0),"")</f>
        <v>1.0416666666666666E-2</v>
      </c>
      <c r="MNG91" s="76">
        <v>0.86944444444444446</v>
      </c>
      <c r="MNH91" s="76">
        <v>0.86944444444444446</v>
      </c>
      <c r="MNI91" s="77" t="str">
        <f t="shared" ref="MNI91:MPE91" si="277">IF(MNH91="","",IF(MNH91&gt;MNQ91,"O","P"))</f>
        <v>O</v>
      </c>
      <c r="MNJ91" s="74" t="s">
        <v>28</v>
      </c>
      <c r="MNK91" s="75" t="s">
        <v>23</v>
      </c>
      <c r="MNL91" s="78">
        <f>IFERROR(VLOOKUP(MNK91,'[1]List KPI'!$M$3:$N$8,2,0),"")</f>
        <v>2.0833333333333332E-2</v>
      </c>
      <c r="MNM91" s="76">
        <v>0.89444444444444449</v>
      </c>
      <c r="MNN91" s="77" t="str">
        <f t="shared" ref="MNN91:MPJ91" si="278">IF(MNM91="","",IF(MNM91&gt;MNR91,"O","P"))</f>
        <v>O</v>
      </c>
      <c r="MNO91" s="79">
        <v>5</v>
      </c>
      <c r="MNP91" s="75">
        <v>1276006</v>
      </c>
      <c r="MNQ91" s="80"/>
      <c r="MNR91" s="81">
        <v>0.86944444444444446</v>
      </c>
      <c r="MNS91" s="74" t="s">
        <v>27</v>
      </c>
      <c r="MNT91" s="74" t="s">
        <v>24</v>
      </c>
      <c r="MNU91" s="75" t="s">
        <v>25</v>
      </c>
      <c r="MNV91" s="76">
        <f>IFERROR(VLOOKUP(MNU91,'[1]List KPI'!$A$103:$F$118,6,0),"")</f>
        <v>1.0416666666666666E-2</v>
      </c>
      <c r="MNW91" s="76">
        <v>0.86944444444444446</v>
      </c>
      <c r="MNX91" s="76">
        <v>0.86944444444444446</v>
      </c>
      <c r="MNY91" s="77" t="str">
        <f t="shared" si="277"/>
        <v>O</v>
      </c>
      <c r="MNZ91" s="74" t="s">
        <v>28</v>
      </c>
      <c r="MOA91" s="75" t="s">
        <v>23</v>
      </c>
      <c r="MOB91" s="78">
        <f>IFERROR(VLOOKUP(MOA91,'[1]List KPI'!$M$3:$N$8,2,0),"")</f>
        <v>2.0833333333333332E-2</v>
      </c>
      <c r="MOC91" s="76">
        <v>0.89444444444444449</v>
      </c>
      <c r="MOD91" s="77" t="str">
        <f t="shared" si="278"/>
        <v>O</v>
      </c>
      <c r="MOE91" s="79">
        <v>5</v>
      </c>
      <c r="MOF91" s="75">
        <v>1276006</v>
      </c>
      <c r="MOG91" s="80"/>
      <c r="MOH91" s="81">
        <v>0.86944444444444446</v>
      </c>
      <c r="MOI91" s="74" t="s">
        <v>27</v>
      </c>
      <c r="MOJ91" s="74" t="s">
        <v>24</v>
      </c>
      <c r="MOK91" s="75" t="s">
        <v>25</v>
      </c>
      <c r="MOL91" s="76">
        <f>IFERROR(VLOOKUP(MOK91,'[1]List KPI'!$A$103:$F$118,6,0),"")</f>
        <v>1.0416666666666666E-2</v>
      </c>
      <c r="MOM91" s="76">
        <v>0.86944444444444446</v>
      </c>
      <c r="MON91" s="76">
        <v>0.86944444444444446</v>
      </c>
      <c r="MOO91" s="77" t="str">
        <f t="shared" si="277"/>
        <v>O</v>
      </c>
      <c r="MOP91" s="74" t="s">
        <v>28</v>
      </c>
      <c r="MOQ91" s="75" t="s">
        <v>23</v>
      </c>
      <c r="MOR91" s="78">
        <f>IFERROR(VLOOKUP(MOQ91,'[1]List KPI'!$M$3:$N$8,2,0),"")</f>
        <v>2.0833333333333332E-2</v>
      </c>
      <c r="MOS91" s="76">
        <v>0.89444444444444449</v>
      </c>
      <c r="MOT91" s="77" t="str">
        <f t="shared" si="278"/>
        <v>O</v>
      </c>
      <c r="MOU91" s="79">
        <v>5</v>
      </c>
      <c r="MOV91" s="75">
        <v>1276006</v>
      </c>
      <c r="MOW91" s="80"/>
      <c r="MOX91" s="81">
        <v>0.86944444444444446</v>
      </c>
      <c r="MOY91" s="74" t="s">
        <v>27</v>
      </c>
      <c r="MOZ91" s="74" t="s">
        <v>24</v>
      </c>
      <c r="MPA91" s="75" t="s">
        <v>25</v>
      </c>
      <c r="MPB91" s="76">
        <f>IFERROR(VLOOKUP(MPA91,'[1]List KPI'!$A$103:$F$118,6,0),"")</f>
        <v>1.0416666666666666E-2</v>
      </c>
      <c r="MPC91" s="76">
        <v>0.86944444444444446</v>
      </c>
      <c r="MPD91" s="76">
        <v>0.86944444444444446</v>
      </c>
      <c r="MPE91" s="77" t="str">
        <f t="shared" si="277"/>
        <v>O</v>
      </c>
      <c r="MPF91" s="74" t="s">
        <v>28</v>
      </c>
      <c r="MPG91" s="75" t="s">
        <v>23</v>
      </c>
      <c r="MPH91" s="78">
        <f>IFERROR(VLOOKUP(MPG91,'[1]List KPI'!$M$3:$N$8,2,0),"")</f>
        <v>2.0833333333333332E-2</v>
      </c>
      <c r="MPI91" s="76">
        <v>0.89444444444444449</v>
      </c>
      <c r="MPJ91" s="77" t="str">
        <f t="shared" si="278"/>
        <v>O</v>
      </c>
      <c r="MPK91" s="79">
        <v>5</v>
      </c>
      <c r="MPL91" s="75">
        <v>1276006</v>
      </c>
      <c r="MPM91" s="80"/>
      <c r="MPN91" s="81">
        <v>0.86944444444444446</v>
      </c>
      <c r="MPO91" s="74" t="s">
        <v>27</v>
      </c>
      <c r="MPP91" s="74" t="s">
        <v>24</v>
      </c>
      <c r="MPQ91" s="75" t="s">
        <v>25</v>
      </c>
      <c r="MPR91" s="76">
        <f>IFERROR(VLOOKUP(MPQ91,'[1]List KPI'!$A$103:$F$118,6,0),"")</f>
        <v>1.0416666666666666E-2</v>
      </c>
      <c r="MPS91" s="76">
        <v>0.86944444444444446</v>
      </c>
      <c r="MPT91" s="76">
        <v>0.86944444444444446</v>
      </c>
      <c r="MPU91" s="77" t="str">
        <f t="shared" ref="MPU91:MRQ91" si="279">IF(MPT91="","",IF(MPT91&gt;MQC91,"O","P"))</f>
        <v>O</v>
      </c>
      <c r="MPV91" s="74" t="s">
        <v>28</v>
      </c>
      <c r="MPW91" s="75" t="s">
        <v>23</v>
      </c>
      <c r="MPX91" s="78">
        <f>IFERROR(VLOOKUP(MPW91,'[1]List KPI'!$M$3:$N$8,2,0),"")</f>
        <v>2.0833333333333332E-2</v>
      </c>
      <c r="MPY91" s="76">
        <v>0.89444444444444449</v>
      </c>
      <c r="MPZ91" s="77" t="str">
        <f t="shared" ref="MPZ91:MRV91" si="280">IF(MPY91="","",IF(MPY91&gt;MQD91,"O","P"))</f>
        <v>O</v>
      </c>
      <c r="MQA91" s="79">
        <v>5</v>
      </c>
      <c r="MQB91" s="75">
        <v>1276006</v>
      </c>
      <c r="MQC91" s="80"/>
      <c r="MQD91" s="81">
        <v>0.86944444444444446</v>
      </c>
      <c r="MQE91" s="74" t="s">
        <v>27</v>
      </c>
      <c r="MQF91" s="74" t="s">
        <v>24</v>
      </c>
      <c r="MQG91" s="75" t="s">
        <v>25</v>
      </c>
      <c r="MQH91" s="76">
        <f>IFERROR(VLOOKUP(MQG91,'[1]List KPI'!$A$103:$F$118,6,0),"")</f>
        <v>1.0416666666666666E-2</v>
      </c>
      <c r="MQI91" s="76">
        <v>0.86944444444444446</v>
      </c>
      <c r="MQJ91" s="76">
        <v>0.86944444444444446</v>
      </c>
      <c r="MQK91" s="77" t="str">
        <f t="shared" si="279"/>
        <v>O</v>
      </c>
      <c r="MQL91" s="74" t="s">
        <v>28</v>
      </c>
      <c r="MQM91" s="75" t="s">
        <v>23</v>
      </c>
      <c r="MQN91" s="78">
        <f>IFERROR(VLOOKUP(MQM91,'[1]List KPI'!$M$3:$N$8,2,0),"")</f>
        <v>2.0833333333333332E-2</v>
      </c>
      <c r="MQO91" s="76">
        <v>0.89444444444444449</v>
      </c>
      <c r="MQP91" s="77" t="str">
        <f t="shared" si="280"/>
        <v>O</v>
      </c>
      <c r="MQQ91" s="79">
        <v>5</v>
      </c>
      <c r="MQR91" s="75">
        <v>1276006</v>
      </c>
      <c r="MQS91" s="80"/>
      <c r="MQT91" s="81">
        <v>0.86944444444444446</v>
      </c>
      <c r="MQU91" s="74" t="s">
        <v>27</v>
      </c>
      <c r="MQV91" s="74" t="s">
        <v>24</v>
      </c>
      <c r="MQW91" s="75" t="s">
        <v>25</v>
      </c>
      <c r="MQX91" s="76">
        <f>IFERROR(VLOOKUP(MQW91,'[1]List KPI'!$A$103:$F$118,6,0),"")</f>
        <v>1.0416666666666666E-2</v>
      </c>
      <c r="MQY91" s="76">
        <v>0.86944444444444446</v>
      </c>
      <c r="MQZ91" s="76">
        <v>0.86944444444444446</v>
      </c>
      <c r="MRA91" s="77" t="str">
        <f t="shared" si="279"/>
        <v>O</v>
      </c>
      <c r="MRB91" s="74" t="s">
        <v>28</v>
      </c>
      <c r="MRC91" s="75" t="s">
        <v>23</v>
      </c>
      <c r="MRD91" s="78">
        <f>IFERROR(VLOOKUP(MRC91,'[1]List KPI'!$M$3:$N$8,2,0),"")</f>
        <v>2.0833333333333332E-2</v>
      </c>
      <c r="MRE91" s="76">
        <v>0.89444444444444449</v>
      </c>
      <c r="MRF91" s="77" t="str">
        <f t="shared" si="280"/>
        <v>O</v>
      </c>
      <c r="MRG91" s="79">
        <v>5</v>
      </c>
      <c r="MRH91" s="75">
        <v>1276006</v>
      </c>
      <c r="MRI91" s="80"/>
      <c r="MRJ91" s="81">
        <v>0.86944444444444446</v>
      </c>
      <c r="MRK91" s="74" t="s">
        <v>27</v>
      </c>
      <c r="MRL91" s="74" t="s">
        <v>24</v>
      </c>
      <c r="MRM91" s="75" t="s">
        <v>25</v>
      </c>
      <c r="MRN91" s="76">
        <f>IFERROR(VLOOKUP(MRM91,'[1]List KPI'!$A$103:$F$118,6,0),"")</f>
        <v>1.0416666666666666E-2</v>
      </c>
      <c r="MRO91" s="76">
        <v>0.86944444444444446</v>
      </c>
      <c r="MRP91" s="76">
        <v>0.86944444444444446</v>
      </c>
      <c r="MRQ91" s="77" t="str">
        <f t="shared" si="279"/>
        <v>O</v>
      </c>
      <c r="MRR91" s="74" t="s">
        <v>28</v>
      </c>
      <c r="MRS91" s="75" t="s">
        <v>23</v>
      </c>
      <c r="MRT91" s="78">
        <f>IFERROR(VLOOKUP(MRS91,'[1]List KPI'!$M$3:$N$8,2,0),"")</f>
        <v>2.0833333333333332E-2</v>
      </c>
      <c r="MRU91" s="76">
        <v>0.89444444444444449</v>
      </c>
      <c r="MRV91" s="77" t="str">
        <f t="shared" si="280"/>
        <v>O</v>
      </c>
      <c r="MRW91" s="79">
        <v>5</v>
      </c>
      <c r="MRX91" s="75">
        <v>1276006</v>
      </c>
      <c r="MRY91" s="80"/>
      <c r="MRZ91" s="81">
        <v>0.86944444444444446</v>
      </c>
      <c r="MSA91" s="74" t="s">
        <v>27</v>
      </c>
      <c r="MSB91" s="74" t="s">
        <v>24</v>
      </c>
      <c r="MSC91" s="75" t="s">
        <v>25</v>
      </c>
      <c r="MSD91" s="76">
        <f>IFERROR(VLOOKUP(MSC91,'[1]List KPI'!$A$103:$F$118,6,0),"")</f>
        <v>1.0416666666666666E-2</v>
      </c>
      <c r="MSE91" s="76">
        <v>0.86944444444444446</v>
      </c>
      <c r="MSF91" s="76">
        <v>0.86944444444444446</v>
      </c>
      <c r="MSG91" s="77" t="str">
        <f t="shared" ref="MSG91:MUC91" si="281">IF(MSF91="","",IF(MSF91&gt;MSO91,"O","P"))</f>
        <v>O</v>
      </c>
      <c r="MSH91" s="74" t="s">
        <v>28</v>
      </c>
      <c r="MSI91" s="75" t="s">
        <v>23</v>
      </c>
      <c r="MSJ91" s="78">
        <f>IFERROR(VLOOKUP(MSI91,'[1]List KPI'!$M$3:$N$8,2,0),"")</f>
        <v>2.0833333333333332E-2</v>
      </c>
      <c r="MSK91" s="76">
        <v>0.89444444444444449</v>
      </c>
      <c r="MSL91" s="77" t="str">
        <f t="shared" ref="MSL91:MUH91" si="282">IF(MSK91="","",IF(MSK91&gt;MSP91,"O","P"))</f>
        <v>O</v>
      </c>
      <c r="MSM91" s="79">
        <v>5</v>
      </c>
      <c r="MSN91" s="75">
        <v>1276006</v>
      </c>
      <c r="MSO91" s="80"/>
      <c r="MSP91" s="81">
        <v>0.86944444444444446</v>
      </c>
      <c r="MSQ91" s="74" t="s">
        <v>27</v>
      </c>
      <c r="MSR91" s="74" t="s">
        <v>24</v>
      </c>
      <c r="MSS91" s="75" t="s">
        <v>25</v>
      </c>
      <c r="MST91" s="76">
        <f>IFERROR(VLOOKUP(MSS91,'[1]List KPI'!$A$103:$F$118,6,0),"")</f>
        <v>1.0416666666666666E-2</v>
      </c>
      <c r="MSU91" s="76">
        <v>0.86944444444444446</v>
      </c>
      <c r="MSV91" s="76">
        <v>0.86944444444444446</v>
      </c>
      <c r="MSW91" s="77" t="str">
        <f t="shared" si="281"/>
        <v>O</v>
      </c>
      <c r="MSX91" s="74" t="s">
        <v>28</v>
      </c>
      <c r="MSY91" s="75" t="s">
        <v>23</v>
      </c>
      <c r="MSZ91" s="78">
        <f>IFERROR(VLOOKUP(MSY91,'[1]List KPI'!$M$3:$N$8,2,0),"")</f>
        <v>2.0833333333333332E-2</v>
      </c>
      <c r="MTA91" s="76">
        <v>0.89444444444444449</v>
      </c>
      <c r="MTB91" s="77" t="str">
        <f t="shared" si="282"/>
        <v>O</v>
      </c>
      <c r="MTC91" s="79">
        <v>5</v>
      </c>
      <c r="MTD91" s="75">
        <v>1276006</v>
      </c>
      <c r="MTE91" s="80"/>
      <c r="MTF91" s="81">
        <v>0.86944444444444446</v>
      </c>
      <c r="MTG91" s="74" t="s">
        <v>27</v>
      </c>
      <c r="MTH91" s="74" t="s">
        <v>24</v>
      </c>
      <c r="MTI91" s="75" t="s">
        <v>25</v>
      </c>
      <c r="MTJ91" s="76">
        <f>IFERROR(VLOOKUP(MTI91,'[1]List KPI'!$A$103:$F$118,6,0),"")</f>
        <v>1.0416666666666666E-2</v>
      </c>
      <c r="MTK91" s="76">
        <v>0.86944444444444446</v>
      </c>
      <c r="MTL91" s="76">
        <v>0.86944444444444446</v>
      </c>
      <c r="MTM91" s="77" t="str">
        <f t="shared" si="281"/>
        <v>O</v>
      </c>
      <c r="MTN91" s="74" t="s">
        <v>28</v>
      </c>
      <c r="MTO91" s="75" t="s">
        <v>23</v>
      </c>
      <c r="MTP91" s="78">
        <f>IFERROR(VLOOKUP(MTO91,'[1]List KPI'!$M$3:$N$8,2,0),"")</f>
        <v>2.0833333333333332E-2</v>
      </c>
      <c r="MTQ91" s="76">
        <v>0.89444444444444449</v>
      </c>
      <c r="MTR91" s="77" t="str">
        <f t="shared" si="282"/>
        <v>O</v>
      </c>
      <c r="MTS91" s="79">
        <v>5</v>
      </c>
      <c r="MTT91" s="75">
        <v>1276006</v>
      </c>
      <c r="MTU91" s="80"/>
      <c r="MTV91" s="81">
        <v>0.86944444444444446</v>
      </c>
      <c r="MTW91" s="74" t="s">
        <v>27</v>
      </c>
      <c r="MTX91" s="74" t="s">
        <v>24</v>
      </c>
      <c r="MTY91" s="75" t="s">
        <v>25</v>
      </c>
      <c r="MTZ91" s="76">
        <f>IFERROR(VLOOKUP(MTY91,'[1]List KPI'!$A$103:$F$118,6,0),"")</f>
        <v>1.0416666666666666E-2</v>
      </c>
      <c r="MUA91" s="76">
        <v>0.86944444444444446</v>
      </c>
      <c r="MUB91" s="76">
        <v>0.86944444444444446</v>
      </c>
      <c r="MUC91" s="77" t="str">
        <f t="shared" si="281"/>
        <v>O</v>
      </c>
      <c r="MUD91" s="74" t="s">
        <v>28</v>
      </c>
      <c r="MUE91" s="75" t="s">
        <v>23</v>
      </c>
      <c r="MUF91" s="78">
        <f>IFERROR(VLOOKUP(MUE91,'[1]List KPI'!$M$3:$N$8,2,0),"")</f>
        <v>2.0833333333333332E-2</v>
      </c>
      <c r="MUG91" s="76">
        <v>0.89444444444444449</v>
      </c>
      <c r="MUH91" s="77" t="str">
        <f t="shared" si="282"/>
        <v>O</v>
      </c>
      <c r="MUI91" s="79">
        <v>5</v>
      </c>
      <c r="MUJ91" s="75">
        <v>1276006</v>
      </c>
      <c r="MUK91" s="80"/>
      <c r="MUL91" s="81">
        <v>0.86944444444444446</v>
      </c>
      <c r="MUM91" s="74" t="s">
        <v>27</v>
      </c>
      <c r="MUN91" s="74" t="s">
        <v>24</v>
      </c>
      <c r="MUO91" s="75" t="s">
        <v>25</v>
      </c>
      <c r="MUP91" s="76">
        <f>IFERROR(VLOOKUP(MUO91,'[1]List KPI'!$A$103:$F$118,6,0),"")</f>
        <v>1.0416666666666666E-2</v>
      </c>
      <c r="MUQ91" s="76">
        <v>0.86944444444444446</v>
      </c>
      <c r="MUR91" s="76">
        <v>0.86944444444444446</v>
      </c>
      <c r="MUS91" s="77" t="str">
        <f t="shared" ref="MUS91:MWO91" si="283">IF(MUR91="","",IF(MUR91&gt;MVA91,"O","P"))</f>
        <v>O</v>
      </c>
      <c r="MUT91" s="74" t="s">
        <v>28</v>
      </c>
      <c r="MUU91" s="75" t="s">
        <v>23</v>
      </c>
      <c r="MUV91" s="78">
        <f>IFERROR(VLOOKUP(MUU91,'[1]List KPI'!$M$3:$N$8,2,0),"")</f>
        <v>2.0833333333333332E-2</v>
      </c>
      <c r="MUW91" s="76">
        <v>0.89444444444444449</v>
      </c>
      <c r="MUX91" s="77" t="str">
        <f t="shared" ref="MUX91:MWT91" si="284">IF(MUW91="","",IF(MUW91&gt;MVB91,"O","P"))</f>
        <v>O</v>
      </c>
      <c r="MUY91" s="79">
        <v>5</v>
      </c>
      <c r="MUZ91" s="75">
        <v>1276006</v>
      </c>
      <c r="MVA91" s="80"/>
      <c r="MVB91" s="81">
        <v>0.86944444444444446</v>
      </c>
      <c r="MVC91" s="74" t="s">
        <v>27</v>
      </c>
      <c r="MVD91" s="74" t="s">
        <v>24</v>
      </c>
      <c r="MVE91" s="75" t="s">
        <v>25</v>
      </c>
      <c r="MVF91" s="76">
        <f>IFERROR(VLOOKUP(MVE91,'[1]List KPI'!$A$103:$F$118,6,0),"")</f>
        <v>1.0416666666666666E-2</v>
      </c>
      <c r="MVG91" s="76">
        <v>0.86944444444444446</v>
      </c>
      <c r="MVH91" s="76">
        <v>0.86944444444444446</v>
      </c>
      <c r="MVI91" s="77" t="str">
        <f t="shared" si="283"/>
        <v>O</v>
      </c>
      <c r="MVJ91" s="74" t="s">
        <v>28</v>
      </c>
      <c r="MVK91" s="75" t="s">
        <v>23</v>
      </c>
      <c r="MVL91" s="78">
        <f>IFERROR(VLOOKUP(MVK91,'[1]List KPI'!$M$3:$N$8,2,0),"")</f>
        <v>2.0833333333333332E-2</v>
      </c>
      <c r="MVM91" s="76">
        <v>0.89444444444444449</v>
      </c>
      <c r="MVN91" s="77" t="str">
        <f t="shared" si="284"/>
        <v>O</v>
      </c>
      <c r="MVO91" s="79">
        <v>5</v>
      </c>
      <c r="MVP91" s="75">
        <v>1276006</v>
      </c>
      <c r="MVQ91" s="80"/>
      <c r="MVR91" s="81">
        <v>0.86944444444444446</v>
      </c>
      <c r="MVS91" s="74" t="s">
        <v>27</v>
      </c>
      <c r="MVT91" s="74" t="s">
        <v>24</v>
      </c>
      <c r="MVU91" s="75" t="s">
        <v>25</v>
      </c>
      <c r="MVV91" s="76">
        <f>IFERROR(VLOOKUP(MVU91,'[1]List KPI'!$A$103:$F$118,6,0),"")</f>
        <v>1.0416666666666666E-2</v>
      </c>
      <c r="MVW91" s="76">
        <v>0.86944444444444446</v>
      </c>
      <c r="MVX91" s="76">
        <v>0.86944444444444446</v>
      </c>
      <c r="MVY91" s="77" t="str">
        <f t="shared" si="283"/>
        <v>O</v>
      </c>
      <c r="MVZ91" s="74" t="s">
        <v>28</v>
      </c>
      <c r="MWA91" s="75" t="s">
        <v>23</v>
      </c>
      <c r="MWB91" s="78">
        <f>IFERROR(VLOOKUP(MWA91,'[1]List KPI'!$M$3:$N$8,2,0),"")</f>
        <v>2.0833333333333332E-2</v>
      </c>
      <c r="MWC91" s="76">
        <v>0.89444444444444449</v>
      </c>
      <c r="MWD91" s="77" t="str">
        <f t="shared" si="284"/>
        <v>O</v>
      </c>
      <c r="MWE91" s="79">
        <v>5</v>
      </c>
      <c r="MWF91" s="75">
        <v>1276006</v>
      </c>
      <c r="MWG91" s="80"/>
      <c r="MWH91" s="81">
        <v>0.86944444444444446</v>
      </c>
      <c r="MWI91" s="74" t="s">
        <v>27</v>
      </c>
      <c r="MWJ91" s="74" t="s">
        <v>24</v>
      </c>
      <c r="MWK91" s="75" t="s">
        <v>25</v>
      </c>
      <c r="MWL91" s="76">
        <f>IFERROR(VLOOKUP(MWK91,'[1]List KPI'!$A$103:$F$118,6,0),"")</f>
        <v>1.0416666666666666E-2</v>
      </c>
      <c r="MWM91" s="76">
        <v>0.86944444444444446</v>
      </c>
      <c r="MWN91" s="76">
        <v>0.86944444444444446</v>
      </c>
      <c r="MWO91" s="77" t="str">
        <f t="shared" si="283"/>
        <v>O</v>
      </c>
      <c r="MWP91" s="74" t="s">
        <v>28</v>
      </c>
      <c r="MWQ91" s="75" t="s">
        <v>23</v>
      </c>
      <c r="MWR91" s="78">
        <f>IFERROR(VLOOKUP(MWQ91,'[1]List KPI'!$M$3:$N$8,2,0),"")</f>
        <v>2.0833333333333332E-2</v>
      </c>
      <c r="MWS91" s="76">
        <v>0.89444444444444449</v>
      </c>
      <c r="MWT91" s="77" t="str">
        <f t="shared" si="284"/>
        <v>O</v>
      </c>
      <c r="MWU91" s="79">
        <v>5</v>
      </c>
      <c r="MWV91" s="75">
        <v>1276006</v>
      </c>
      <c r="MWW91" s="80"/>
      <c r="MWX91" s="81">
        <v>0.86944444444444446</v>
      </c>
      <c r="MWY91" s="74" t="s">
        <v>27</v>
      </c>
      <c r="MWZ91" s="74" t="s">
        <v>24</v>
      </c>
      <c r="MXA91" s="75" t="s">
        <v>25</v>
      </c>
      <c r="MXB91" s="76">
        <f>IFERROR(VLOOKUP(MXA91,'[1]List KPI'!$A$103:$F$118,6,0),"")</f>
        <v>1.0416666666666666E-2</v>
      </c>
      <c r="MXC91" s="76">
        <v>0.86944444444444446</v>
      </c>
      <c r="MXD91" s="76">
        <v>0.86944444444444446</v>
      </c>
      <c r="MXE91" s="77" t="str">
        <f t="shared" ref="MXE91:MZA91" si="285">IF(MXD91="","",IF(MXD91&gt;MXM91,"O","P"))</f>
        <v>O</v>
      </c>
      <c r="MXF91" s="74" t="s">
        <v>28</v>
      </c>
      <c r="MXG91" s="75" t="s">
        <v>23</v>
      </c>
      <c r="MXH91" s="78">
        <f>IFERROR(VLOOKUP(MXG91,'[1]List KPI'!$M$3:$N$8,2,0),"")</f>
        <v>2.0833333333333332E-2</v>
      </c>
      <c r="MXI91" s="76">
        <v>0.89444444444444449</v>
      </c>
      <c r="MXJ91" s="77" t="str">
        <f t="shared" ref="MXJ91:MZF91" si="286">IF(MXI91="","",IF(MXI91&gt;MXN91,"O","P"))</f>
        <v>O</v>
      </c>
      <c r="MXK91" s="79">
        <v>5</v>
      </c>
      <c r="MXL91" s="75">
        <v>1276006</v>
      </c>
      <c r="MXM91" s="80"/>
      <c r="MXN91" s="81">
        <v>0.86944444444444446</v>
      </c>
      <c r="MXO91" s="74" t="s">
        <v>27</v>
      </c>
      <c r="MXP91" s="74" t="s">
        <v>24</v>
      </c>
      <c r="MXQ91" s="75" t="s">
        <v>25</v>
      </c>
      <c r="MXR91" s="76">
        <f>IFERROR(VLOOKUP(MXQ91,'[1]List KPI'!$A$103:$F$118,6,0),"")</f>
        <v>1.0416666666666666E-2</v>
      </c>
      <c r="MXS91" s="76">
        <v>0.86944444444444446</v>
      </c>
      <c r="MXT91" s="76">
        <v>0.86944444444444446</v>
      </c>
      <c r="MXU91" s="77" t="str">
        <f t="shared" si="285"/>
        <v>O</v>
      </c>
      <c r="MXV91" s="74" t="s">
        <v>28</v>
      </c>
      <c r="MXW91" s="75" t="s">
        <v>23</v>
      </c>
      <c r="MXX91" s="78">
        <f>IFERROR(VLOOKUP(MXW91,'[1]List KPI'!$M$3:$N$8,2,0),"")</f>
        <v>2.0833333333333332E-2</v>
      </c>
      <c r="MXY91" s="76">
        <v>0.89444444444444449</v>
      </c>
      <c r="MXZ91" s="77" t="str">
        <f t="shared" si="286"/>
        <v>O</v>
      </c>
      <c r="MYA91" s="79">
        <v>5</v>
      </c>
      <c r="MYB91" s="75">
        <v>1276006</v>
      </c>
      <c r="MYC91" s="80"/>
      <c r="MYD91" s="81">
        <v>0.86944444444444446</v>
      </c>
      <c r="MYE91" s="74" t="s">
        <v>27</v>
      </c>
      <c r="MYF91" s="74" t="s">
        <v>24</v>
      </c>
      <c r="MYG91" s="75" t="s">
        <v>25</v>
      </c>
      <c r="MYH91" s="76">
        <f>IFERROR(VLOOKUP(MYG91,'[1]List KPI'!$A$103:$F$118,6,0),"")</f>
        <v>1.0416666666666666E-2</v>
      </c>
      <c r="MYI91" s="76">
        <v>0.86944444444444446</v>
      </c>
      <c r="MYJ91" s="76">
        <v>0.86944444444444446</v>
      </c>
      <c r="MYK91" s="77" t="str">
        <f t="shared" si="285"/>
        <v>O</v>
      </c>
      <c r="MYL91" s="74" t="s">
        <v>28</v>
      </c>
      <c r="MYM91" s="75" t="s">
        <v>23</v>
      </c>
      <c r="MYN91" s="78">
        <f>IFERROR(VLOOKUP(MYM91,'[1]List KPI'!$M$3:$N$8,2,0),"")</f>
        <v>2.0833333333333332E-2</v>
      </c>
      <c r="MYO91" s="76">
        <v>0.89444444444444449</v>
      </c>
      <c r="MYP91" s="77" t="str">
        <f t="shared" si="286"/>
        <v>O</v>
      </c>
      <c r="MYQ91" s="79">
        <v>5</v>
      </c>
      <c r="MYR91" s="75">
        <v>1276006</v>
      </c>
      <c r="MYS91" s="80"/>
      <c r="MYT91" s="81">
        <v>0.86944444444444446</v>
      </c>
      <c r="MYU91" s="74" t="s">
        <v>27</v>
      </c>
      <c r="MYV91" s="74" t="s">
        <v>24</v>
      </c>
      <c r="MYW91" s="75" t="s">
        <v>25</v>
      </c>
      <c r="MYX91" s="76">
        <f>IFERROR(VLOOKUP(MYW91,'[1]List KPI'!$A$103:$F$118,6,0),"")</f>
        <v>1.0416666666666666E-2</v>
      </c>
      <c r="MYY91" s="76">
        <v>0.86944444444444446</v>
      </c>
      <c r="MYZ91" s="76">
        <v>0.86944444444444446</v>
      </c>
      <c r="MZA91" s="77" t="str">
        <f t="shared" si="285"/>
        <v>O</v>
      </c>
      <c r="MZB91" s="74" t="s">
        <v>28</v>
      </c>
      <c r="MZC91" s="75" t="s">
        <v>23</v>
      </c>
      <c r="MZD91" s="78">
        <f>IFERROR(VLOOKUP(MZC91,'[1]List KPI'!$M$3:$N$8,2,0),"")</f>
        <v>2.0833333333333332E-2</v>
      </c>
      <c r="MZE91" s="76">
        <v>0.89444444444444449</v>
      </c>
      <c r="MZF91" s="77" t="str">
        <f t="shared" si="286"/>
        <v>O</v>
      </c>
      <c r="MZG91" s="79">
        <v>5</v>
      </c>
      <c r="MZH91" s="75">
        <v>1276006</v>
      </c>
      <c r="MZI91" s="80"/>
      <c r="MZJ91" s="81">
        <v>0.86944444444444446</v>
      </c>
      <c r="MZK91" s="74" t="s">
        <v>27</v>
      </c>
      <c r="MZL91" s="74" t="s">
        <v>24</v>
      </c>
      <c r="MZM91" s="75" t="s">
        <v>25</v>
      </c>
      <c r="MZN91" s="76">
        <f>IFERROR(VLOOKUP(MZM91,'[1]List KPI'!$A$103:$F$118,6,0),"")</f>
        <v>1.0416666666666666E-2</v>
      </c>
      <c r="MZO91" s="76">
        <v>0.86944444444444446</v>
      </c>
      <c r="MZP91" s="76">
        <v>0.86944444444444446</v>
      </c>
      <c r="MZQ91" s="77" t="str">
        <f t="shared" ref="MZQ91:NBM91" si="287">IF(MZP91="","",IF(MZP91&gt;MZY91,"O","P"))</f>
        <v>O</v>
      </c>
      <c r="MZR91" s="74" t="s">
        <v>28</v>
      </c>
      <c r="MZS91" s="75" t="s">
        <v>23</v>
      </c>
      <c r="MZT91" s="78">
        <f>IFERROR(VLOOKUP(MZS91,'[1]List KPI'!$M$3:$N$8,2,0),"")</f>
        <v>2.0833333333333332E-2</v>
      </c>
      <c r="MZU91" s="76">
        <v>0.89444444444444449</v>
      </c>
      <c r="MZV91" s="77" t="str">
        <f t="shared" ref="MZV91:NBR91" si="288">IF(MZU91="","",IF(MZU91&gt;MZZ91,"O","P"))</f>
        <v>O</v>
      </c>
      <c r="MZW91" s="79">
        <v>5</v>
      </c>
      <c r="MZX91" s="75">
        <v>1276006</v>
      </c>
      <c r="MZY91" s="80"/>
      <c r="MZZ91" s="81">
        <v>0.86944444444444446</v>
      </c>
      <c r="NAA91" s="74" t="s">
        <v>27</v>
      </c>
      <c r="NAB91" s="74" t="s">
        <v>24</v>
      </c>
      <c r="NAC91" s="75" t="s">
        <v>25</v>
      </c>
      <c r="NAD91" s="76">
        <f>IFERROR(VLOOKUP(NAC91,'[1]List KPI'!$A$103:$F$118,6,0),"")</f>
        <v>1.0416666666666666E-2</v>
      </c>
      <c r="NAE91" s="76">
        <v>0.86944444444444446</v>
      </c>
      <c r="NAF91" s="76">
        <v>0.86944444444444446</v>
      </c>
      <c r="NAG91" s="77" t="str">
        <f t="shared" si="287"/>
        <v>O</v>
      </c>
      <c r="NAH91" s="74" t="s">
        <v>28</v>
      </c>
      <c r="NAI91" s="75" t="s">
        <v>23</v>
      </c>
      <c r="NAJ91" s="78">
        <f>IFERROR(VLOOKUP(NAI91,'[1]List KPI'!$M$3:$N$8,2,0),"")</f>
        <v>2.0833333333333332E-2</v>
      </c>
      <c r="NAK91" s="76">
        <v>0.89444444444444449</v>
      </c>
      <c r="NAL91" s="77" t="str">
        <f t="shared" si="288"/>
        <v>O</v>
      </c>
      <c r="NAM91" s="79">
        <v>5</v>
      </c>
      <c r="NAN91" s="75">
        <v>1276006</v>
      </c>
      <c r="NAO91" s="80"/>
      <c r="NAP91" s="81">
        <v>0.86944444444444446</v>
      </c>
      <c r="NAQ91" s="74" t="s">
        <v>27</v>
      </c>
      <c r="NAR91" s="74" t="s">
        <v>24</v>
      </c>
      <c r="NAS91" s="75" t="s">
        <v>25</v>
      </c>
      <c r="NAT91" s="76">
        <f>IFERROR(VLOOKUP(NAS91,'[1]List KPI'!$A$103:$F$118,6,0),"")</f>
        <v>1.0416666666666666E-2</v>
      </c>
      <c r="NAU91" s="76">
        <v>0.86944444444444446</v>
      </c>
      <c r="NAV91" s="76">
        <v>0.86944444444444446</v>
      </c>
      <c r="NAW91" s="77" t="str">
        <f t="shared" si="287"/>
        <v>O</v>
      </c>
      <c r="NAX91" s="74" t="s">
        <v>28</v>
      </c>
      <c r="NAY91" s="75" t="s">
        <v>23</v>
      </c>
      <c r="NAZ91" s="78">
        <f>IFERROR(VLOOKUP(NAY91,'[1]List KPI'!$M$3:$N$8,2,0),"")</f>
        <v>2.0833333333333332E-2</v>
      </c>
      <c r="NBA91" s="76">
        <v>0.89444444444444449</v>
      </c>
      <c r="NBB91" s="77" t="str">
        <f t="shared" si="288"/>
        <v>O</v>
      </c>
      <c r="NBC91" s="79">
        <v>5</v>
      </c>
      <c r="NBD91" s="75">
        <v>1276006</v>
      </c>
      <c r="NBE91" s="80"/>
      <c r="NBF91" s="81">
        <v>0.86944444444444446</v>
      </c>
      <c r="NBG91" s="74" t="s">
        <v>27</v>
      </c>
      <c r="NBH91" s="74" t="s">
        <v>24</v>
      </c>
      <c r="NBI91" s="75" t="s">
        <v>25</v>
      </c>
      <c r="NBJ91" s="76">
        <f>IFERROR(VLOOKUP(NBI91,'[1]List KPI'!$A$103:$F$118,6,0),"")</f>
        <v>1.0416666666666666E-2</v>
      </c>
      <c r="NBK91" s="76">
        <v>0.86944444444444446</v>
      </c>
      <c r="NBL91" s="76">
        <v>0.86944444444444446</v>
      </c>
      <c r="NBM91" s="77" t="str">
        <f t="shared" si="287"/>
        <v>O</v>
      </c>
      <c r="NBN91" s="74" t="s">
        <v>28</v>
      </c>
      <c r="NBO91" s="75" t="s">
        <v>23</v>
      </c>
      <c r="NBP91" s="78">
        <f>IFERROR(VLOOKUP(NBO91,'[1]List KPI'!$M$3:$N$8,2,0),"")</f>
        <v>2.0833333333333332E-2</v>
      </c>
      <c r="NBQ91" s="76">
        <v>0.89444444444444449</v>
      </c>
      <c r="NBR91" s="77" t="str">
        <f t="shared" si="288"/>
        <v>O</v>
      </c>
      <c r="NBS91" s="79">
        <v>5</v>
      </c>
      <c r="NBT91" s="75">
        <v>1276006</v>
      </c>
      <c r="NBU91" s="80"/>
      <c r="NBV91" s="81">
        <v>0.86944444444444446</v>
      </c>
      <c r="NBW91" s="74" t="s">
        <v>27</v>
      </c>
      <c r="NBX91" s="74" t="s">
        <v>24</v>
      </c>
      <c r="NBY91" s="75" t="s">
        <v>25</v>
      </c>
      <c r="NBZ91" s="76">
        <f>IFERROR(VLOOKUP(NBY91,'[1]List KPI'!$A$103:$F$118,6,0),"")</f>
        <v>1.0416666666666666E-2</v>
      </c>
      <c r="NCA91" s="76">
        <v>0.86944444444444446</v>
      </c>
      <c r="NCB91" s="76">
        <v>0.86944444444444446</v>
      </c>
      <c r="NCC91" s="77" t="str">
        <f t="shared" ref="NCC91:NDY91" si="289">IF(NCB91="","",IF(NCB91&gt;NCK91,"O","P"))</f>
        <v>O</v>
      </c>
      <c r="NCD91" s="74" t="s">
        <v>28</v>
      </c>
      <c r="NCE91" s="75" t="s">
        <v>23</v>
      </c>
      <c r="NCF91" s="78">
        <f>IFERROR(VLOOKUP(NCE91,'[1]List KPI'!$M$3:$N$8,2,0),"")</f>
        <v>2.0833333333333332E-2</v>
      </c>
      <c r="NCG91" s="76">
        <v>0.89444444444444449</v>
      </c>
      <c r="NCH91" s="77" t="str">
        <f t="shared" ref="NCH91:NED91" si="290">IF(NCG91="","",IF(NCG91&gt;NCL91,"O","P"))</f>
        <v>O</v>
      </c>
      <c r="NCI91" s="79">
        <v>5</v>
      </c>
      <c r="NCJ91" s="75">
        <v>1276006</v>
      </c>
      <c r="NCK91" s="80"/>
      <c r="NCL91" s="81">
        <v>0.86944444444444446</v>
      </c>
      <c r="NCM91" s="74" t="s">
        <v>27</v>
      </c>
      <c r="NCN91" s="74" t="s">
        <v>24</v>
      </c>
      <c r="NCO91" s="75" t="s">
        <v>25</v>
      </c>
      <c r="NCP91" s="76">
        <f>IFERROR(VLOOKUP(NCO91,'[1]List KPI'!$A$103:$F$118,6,0),"")</f>
        <v>1.0416666666666666E-2</v>
      </c>
      <c r="NCQ91" s="76">
        <v>0.86944444444444446</v>
      </c>
      <c r="NCR91" s="76">
        <v>0.86944444444444446</v>
      </c>
      <c r="NCS91" s="77" t="str">
        <f t="shared" si="289"/>
        <v>O</v>
      </c>
      <c r="NCT91" s="74" t="s">
        <v>28</v>
      </c>
      <c r="NCU91" s="75" t="s">
        <v>23</v>
      </c>
      <c r="NCV91" s="78">
        <f>IFERROR(VLOOKUP(NCU91,'[1]List KPI'!$M$3:$N$8,2,0),"")</f>
        <v>2.0833333333333332E-2</v>
      </c>
      <c r="NCW91" s="76">
        <v>0.89444444444444449</v>
      </c>
      <c r="NCX91" s="77" t="str">
        <f t="shared" si="290"/>
        <v>O</v>
      </c>
      <c r="NCY91" s="79">
        <v>5</v>
      </c>
      <c r="NCZ91" s="75">
        <v>1276006</v>
      </c>
      <c r="NDA91" s="80"/>
      <c r="NDB91" s="81">
        <v>0.86944444444444446</v>
      </c>
      <c r="NDC91" s="74" t="s">
        <v>27</v>
      </c>
      <c r="NDD91" s="74" t="s">
        <v>24</v>
      </c>
      <c r="NDE91" s="75" t="s">
        <v>25</v>
      </c>
      <c r="NDF91" s="76">
        <f>IFERROR(VLOOKUP(NDE91,'[1]List KPI'!$A$103:$F$118,6,0),"")</f>
        <v>1.0416666666666666E-2</v>
      </c>
      <c r="NDG91" s="76">
        <v>0.86944444444444446</v>
      </c>
      <c r="NDH91" s="76">
        <v>0.86944444444444446</v>
      </c>
      <c r="NDI91" s="77" t="str">
        <f t="shared" si="289"/>
        <v>O</v>
      </c>
      <c r="NDJ91" s="74" t="s">
        <v>28</v>
      </c>
      <c r="NDK91" s="75" t="s">
        <v>23</v>
      </c>
      <c r="NDL91" s="78">
        <f>IFERROR(VLOOKUP(NDK91,'[1]List KPI'!$M$3:$N$8,2,0),"")</f>
        <v>2.0833333333333332E-2</v>
      </c>
      <c r="NDM91" s="76">
        <v>0.89444444444444449</v>
      </c>
      <c r="NDN91" s="77" t="str">
        <f t="shared" si="290"/>
        <v>O</v>
      </c>
      <c r="NDO91" s="79">
        <v>5</v>
      </c>
      <c r="NDP91" s="75">
        <v>1276006</v>
      </c>
      <c r="NDQ91" s="80"/>
      <c r="NDR91" s="81">
        <v>0.86944444444444446</v>
      </c>
      <c r="NDS91" s="74" t="s">
        <v>27</v>
      </c>
      <c r="NDT91" s="74" t="s">
        <v>24</v>
      </c>
      <c r="NDU91" s="75" t="s">
        <v>25</v>
      </c>
      <c r="NDV91" s="76">
        <f>IFERROR(VLOOKUP(NDU91,'[1]List KPI'!$A$103:$F$118,6,0),"")</f>
        <v>1.0416666666666666E-2</v>
      </c>
      <c r="NDW91" s="76">
        <v>0.86944444444444446</v>
      </c>
      <c r="NDX91" s="76">
        <v>0.86944444444444446</v>
      </c>
      <c r="NDY91" s="77" t="str">
        <f t="shared" si="289"/>
        <v>O</v>
      </c>
      <c r="NDZ91" s="74" t="s">
        <v>28</v>
      </c>
      <c r="NEA91" s="75" t="s">
        <v>23</v>
      </c>
      <c r="NEB91" s="78">
        <f>IFERROR(VLOOKUP(NEA91,'[1]List KPI'!$M$3:$N$8,2,0),"")</f>
        <v>2.0833333333333332E-2</v>
      </c>
      <c r="NEC91" s="76">
        <v>0.89444444444444449</v>
      </c>
      <c r="NED91" s="77" t="str">
        <f t="shared" si="290"/>
        <v>O</v>
      </c>
      <c r="NEE91" s="79">
        <v>5</v>
      </c>
      <c r="NEF91" s="75">
        <v>1276006</v>
      </c>
      <c r="NEG91" s="80"/>
      <c r="NEH91" s="81">
        <v>0.86944444444444446</v>
      </c>
      <c r="NEI91" s="74" t="s">
        <v>27</v>
      </c>
      <c r="NEJ91" s="74" t="s">
        <v>24</v>
      </c>
      <c r="NEK91" s="75" t="s">
        <v>25</v>
      </c>
      <c r="NEL91" s="76">
        <f>IFERROR(VLOOKUP(NEK91,'[1]List KPI'!$A$103:$F$118,6,0),"")</f>
        <v>1.0416666666666666E-2</v>
      </c>
      <c r="NEM91" s="76">
        <v>0.86944444444444446</v>
      </c>
      <c r="NEN91" s="76">
        <v>0.86944444444444446</v>
      </c>
      <c r="NEO91" s="77" t="str">
        <f t="shared" ref="NEO91:NGK91" si="291">IF(NEN91="","",IF(NEN91&gt;NEW91,"O","P"))</f>
        <v>O</v>
      </c>
      <c r="NEP91" s="74" t="s">
        <v>28</v>
      </c>
      <c r="NEQ91" s="75" t="s">
        <v>23</v>
      </c>
      <c r="NER91" s="78">
        <f>IFERROR(VLOOKUP(NEQ91,'[1]List KPI'!$M$3:$N$8,2,0),"")</f>
        <v>2.0833333333333332E-2</v>
      </c>
      <c r="NES91" s="76">
        <v>0.89444444444444449</v>
      </c>
      <c r="NET91" s="77" t="str">
        <f t="shared" ref="NET91:NGP91" si="292">IF(NES91="","",IF(NES91&gt;NEX91,"O","P"))</f>
        <v>O</v>
      </c>
      <c r="NEU91" s="79">
        <v>5</v>
      </c>
      <c r="NEV91" s="75">
        <v>1276006</v>
      </c>
      <c r="NEW91" s="80"/>
      <c r="NEX91" s="81">
        <v>0.86944444444444446</v>
      </c>
      <c r="NEY91" s="74" t="s">
        <v>27</v>
      </c>
      <c r="NEZ91" s="74" t="s">
        <v>24</v>
      </c>
      <c r="NFA91" s="75" t="s">
        <v>25</v>
      </c>
      <c r="NFB91" s="76">
        <f>IFERROR(VLOOKUP(NFA91,'[1]List KPI'!$A$103:$F$118,6,0),"")</f>
        <v>1.0416666666666666E-2</v>
      </c>
      <c r="NFC91" s="76">
        <v>0.86944444444444446</v>
      </c>
      <c r="NFD91" s="76">
        <v>0.86944444444444446</v>
      </c>
      <c r="NFE91" s="77" t="str">
        <f t="shared" si="291"/>
        <v>O</v>
      </c>
      <c r="NFF91" s="74" t="s">
        <v>28</v>
      </c>
      <c r="NFG91" s="75" t="s">
        <v>23</v>
      </c>
      <c r="NFH91" s="78">
        <f>IFERROR(VLOOKUP(NFG91,'[1]List KPI'!$M$3:$N$8,2,0),"")</f>
        <v>2.0833333333333332E-2</v>
      </c>
      <c r="NFI91" s="76">
        <v>0.89444444444444449</v>
      </c>
      <c r="NFJ91" s="77" t="str">
        <f t="shared" si="292"/>
        <v>O</v>
      </c>
      <c r="NFK91" s="79">
        <v>5</v>
      </c>
      <c r="NFL91" s="75">
        <v>1276006</v>
      </c>
      <c r="NFM91" s="80"/>
      <c r="NFN91" s="81">
        <v>0.86944444444444446</v>
      </c>
      <c r="NFO91" s="74" t="s">
        <v>27</v>
      </c>
      <c r="NFP91" s="74" t="s">
        <v>24</v>
      </c>
      <c r="NFQ91" s="75" t="s">
        <v>25</v>
      </c>
      <c r="NFR91" s="76">
        <f>IFERROR(VLOOKUP(NFQ91,'[1]List KPI'!$A$103:$F$118,6,0),"")</f>
        <v>1.0416666666666666E-2</v>
      </c>
      <c r="NFS91" s="76">
        <v>0.86944444444444446</v>
      </c>
      <c r="NFT91" s="76">
        <v>0.86944444444444446</v>
      </c>
      <c r="NFU91" s="77" t="str">
        <f t="shared" si="291"/>
        <v>O</v>
      </c>
      <c r="NFV91" s="74" t="s">
        <v>28</v>
      </c>
      <c r="NFW91" s="75" t="s">
        <v>23</v>
      </c>
      <c r="NFX91" s="78">
        <f>IFERROR(VLOOKUP(NFW91,'[1]List KPI'!$M$3:$N$8,2,0),"")</f>
        <v>2.0833333333333332E-2</v>
      </c>
      <c r="NFY91" s="76">
        <v>0.89444444444444449</v>
      </c>
      <c r="NFZ91" s="77" t="str">
        <f t="shared" si="292"/>
        <v>O</v>
      </c>
      <c r="NGA91" s="79">
        <v>5</v>
      </c>
      <c r="NGB91" s="75">
        <v>1276006</v>
      </c>
      <c r="NGC91" s="80"/>
      <c r="NGD91" s="81">
        <v>0.86944444444444446</v>
      </c>
      <c r="NGE91" s="74" t="s">
        <v>27</v>
      </c>
      <c r="NGF91" s="74" t="s">
        <v>24</v>
      </c>
      <c r="NGG91" s="75" t="s">
        <v>25</v>
      </c>
      <c r="NGH91" s="76">
        <f>IFERROR(VLOOKUP(NGG91,'[1]List KPI'!$A$103:$F$118,6,0),"")</f>
        <v>1.0416666666666666E-2</v>
      </c>
      <c r="NGI91" s="76">
        <v>0.86944444444444446</v>
      </c>
      <c r="NGJ91" s="76">
        <v>0.86944444444444446</v>
      </c>
      <c r="NGK91" s="77" t="str">
        <f t="shared" si="291"/>
        <v>O</v>
      </c>
      <c r="NGL91" s="74" t="s">
        <v>28</v>
      </c>
      <c r="NGM91" s="75" t="s">
        <v>23</v>
      </c>
      <c r="NGN91" s="78">
        <f>IFERROR(VLOOKUP(NGM91,'[1]List KPI'!$M$3:$N$8,2,0),"")</f>
        <v>2.0833333333333332E-2</v>
      </c>
      <c r="NGO91" s="76">
        <v>0.89444444444444449</v>
      </c>
      <c r="NGP91" s="77" t="str">
        <f t="shared" si="292"/>
        <v>O</v>
      </c>
      <c r="NGQ91" s="79">
        <v>5</v>
      </c>
      <c r="NGR91" s="75">
        <v>1276006</v>
      </c>
      <c r="NGS91" s="80"/>
      <c r="NGT91" s="81">
        <v>0.86944444444444446</v>
      </c>
      <c r="NGU91" s="74" t="s">
        <v>27</v>
      </c>
      <c r="NGV91" s="74" t="s">
        <v>24</v>
      </c>
      <c r="NGW91" s="75" t="s">
        <v>25</v>
      </c>
      <c r="NGX91" s="76">
        <f>IFERROR(VLOOKUP(NGW91,'[1]List KPI'!$A$103:$F$118,6,0),"")</f>
        <v>1.0416666666666666E-2</v>
      </c>
      <c r="NGY91" s="76">
        <v>0.86944444444444446</v>
      </c>
      <c r="NGZ91" s="76">
        <v>0.86944444444444446</v>
      </c>
      <c r="NHA91" s="77" t="str">
        <f t="shared" ref="NHA91:NIW91" si="293">IF(NGZ91="","",IF(NGZ91&gt;NHI91,"O","P"))</f>
        <v>O</v>
      </c>
      <c r="NHB91" s="74" t="s">
        <v>28</v>
      </c>
      <c r="NHC91" s="75" t="s">
        <v>23</v>
      </c>
      <c r="NHD91" s="78">
        <f>IFERROR(VLOOKUP(NHC91,'[1]List KPI'!$M$3:$N$8,2,0),"")</f>
        <v>2.0833333333333332E-2</v>
      </c>
      <c r="NHE91" s="76">
        <v>0.89444444444444449</v>
      </c>
      <c r="NHF91" s="77" t="str">
        <f t="shared" ref="NHF91:NJB91" si="294">IF(NHE91="","",IF(NHE91&gt;NHJ91,"O","P"))</f>
        <v>O</v>
      </c>
      <c r="NHG91" s="79">
        <v>5</v>
      </c>
      <c r="NHH91" s="75">
        <v>1276006</v>
      </c>
      <c r="NHI91" s="80"/>
      <c r="NHJ91" s="81">
        <v>0.86944444444444446</v>
      </c>
      <c r="NHK91" s="74" t="s">
        <v>27</v>
      </c>
      <c r="NHL91" s="74" t="s">
        <v>24</v>
      </c>
      <c r="NHM91" s="75" t="s">
        <v>25</v>
      </c>
      <c r="NHN91" s="76">
        <f>IFERROR(VLOOKUP(NHM91,'[1]List KPI'!$A$103:$F$118,6,0),"")</f>
        <v>1.0416666666666666E-2</v>
      </c>
      <c r="NHO91" s="76">
        <v>0.86944444444444446</v>
      </c>
      <c r="NHP91" s="76">
        <v>0.86944444444444446</v>
      </c>
      <c r="NHQ91" s="77" t="str">
        <f t="shared" si="293"/>
        <v>O</v>
      </c>
      <c r="NHR91" s="74" t="s">
        <v>28</v>
      </c>
      <c r="NHS91" s="75" t="s">
        <v>23</v>
      </c>
      <c r="NHT91" s="78">
        <f>IFERROR(VLOOKUP(NHS91,'[1]List KPI'!$M$3:$N$8,2,0),"")</f>
        <v>2.0833333333333332E-2</v>
      </c>
      <c r="NHU91" s="76">
        <v>0.89444444444444449</v>
      </c>
      <c r="NHV91" s="77" t="str">
        <f t="shared" si="294"/>
        <v>O</v>
      </c>
      <c r="NHW91" s="79">
        <v>5</v>
      </c>
      <c r="NHX91" s="75">
        <v>1276006</v>
      </c>
      <c r="NHY91" s="80"/>
      <c r="NHZ91" s="81">
        <v>0.86944444444444446</v>
      </c>
      <c r="NIA91" s="74" t="s">
        <v>27</v>
      </c>
      <c r="NIB91" s="74" t="s">
        <v>24</v>
      </c>
      <c r="NIC91" s="75" t="s">
        <v>25</v>
      </c>
      <c r="NID91" s="76">
        <f>IFERROR(VLOOKUP(NIC91,'[1]List KPI'!$A$103:$F$118,6,0),"")</f>
        <v>1.0416666666666666E-2</v>
      </c>
      <c r="NIE91" s="76">
        <v>0.86944444444444446</v>
      </c>
      <c r="NIF91" s="76">
        <v>0.86944444444444446</v>
      </c>
      <c r="NIG91" s="77" t="str">
        <f t="shared" si="293"/>
        <v>O</v>
      </c>
      <c r="NIH91" s="74" t="s">
        <v>28</v>
      </c>
      <c r="NII91" s="75" t="s">
        <v>23</v>
      </c>
      <c r="NIJ91" s="78">
        <f>IFERROR(VLOOKUP(NII91,'[1]List KPI'!$M$3:$N$8,2,0),"")</f>
        <v>2.0833333333333332E-2</v>
      </c>
      <c r="NIK91" s="76">
        <v>0.89444444444444449</v>
      </c>
      <c r="NIL91" s="77" t="str">
        <f t="shared" si="294"/>
        <v>O</v>
      </c>
      <c r="NIM91" s="79">
        <v>5</v>
      </c>
      <c r="NIN91" s="75">
        <v>1276006</v>
      </c>
      <c r="NIO91" s="80"/>
      <c r="NIP91" s="81">
        <v>0.86944444444444446</v>
      </c>
      <c r="NIQ91" s="74" t="s">
        <v>27</v>
      </c>
      <c r="NIR91" s="74" t="s">
        <v>24</v>
      </c>
      <c r="NIS91" s="75" t="s">
        <v>25</v>
      </c>
      <c r="NIT91" s="76">
        <f>IFERROR(VLOOKUP(NIS91,'[1]List KPI'!$A$103:$F$118,6,0),"")</f>
        <v>1.0416666666666666E-2</v>
      </c>
      <c r="NIU91" s="76">
        <v>0.86944444444444446</v>
      </c>
      <c r="NIV91" s="76">
        <v>0.86944444444444446</v>
      </c>
      <c r="NIW91" s="77" t="str">
        <f t="shared" si="293"/>
        <v>O</v>
      </c>
      <c r="NIX91" s="74" t="s">
        <v>28</v>
      </c>
      <c r="NIY91" s="75" t="s">
        <v>23</v>
      </c>
      <c r="NIZ91" s="78">
        <f>IFERROR(VLOOKUP(NIY91,'[1]List KPI'!$M$3:$N$8,2,0),"")</f>
        <v>2.0833333333333332E-2</v>
      </c>
      <c r="NJA91" s="76">
        <v>0.89444444444444449</v>
      </c>
      <c r="NJB91" s="77" t="str">
        <f t="shared" si="294"/>
        <v>O</v>
      </c>
      <c r="NJC91" s="79">
        <v>5</v>
      </c>
      <c r="NJD91" s="75">
        <v>1276006</v>
      </c>
      <c r="NJE91" s="80"/>
      <c r="NJF91" s="81">
        <v>0.86944444444444446</v>
      </c>
      <c r="NJG91" s="74" t="s">
        <v>27</v>
      </c>
      <c r="NJH91" s="74" t="s">
        <v>24</v>
      </c>
      <c r="NJI91" s="75" t="s">
        <v>25</v>
      </c>
      <c r="NJJ91" s="76">
        <f>IFERROR(VLOOKUP(NJI91,'[1]List KPI'!$A$103:$F$118,6,0),"")</f>
        <v>1.0416666666666666E-2</v>
      </c>
      <c r="NJK91" s="76">
        <v>0.86944444444444446</v>
      </c>
      <c r="NJL91" s="76">
        <v>0.86944444444444446</v>
      </c>
      <c r="NJM91" s="77" t="str">
        <f t="shared" ref="NJM91:NLI91" si="295">IF(NJL91="","",IF(NJL91&gt;NJU91,"O","P"))</f>
        <v>O</v>
      </c>
      <c r="NJN91" s="74" t="s">
        <v>28</v>
      </c>
      <c r="NJO91" s="75" t="s">
        <v>23</v>
      </c>
      <c r="NJP91" s="78">
        <f>IFERROR(VLOOKUP(NJO91,'[1]List KPI'!$M$3:$N$8,2,0),"")</f>
        <v>2.0833333333333332E-2</v>
      </c>
      <c r="NJQ91" s="76">
        <v>0.89444444444444449</v>
      </c>
      <c r="NJR91" s="77" t="str">
        <f t="shared" ref="NJR91:NLN91" si="296">IF(NJQ91="","",IF(NJQ91&gt;NJV91,"O","P"))</f>
        <v>O</v>
      </c>
      <c r="NJS91" s="79">
        <v>5</v>
      </c>
      <c r="NJT91" s="75">
        <v>1276006</v>
      </c>
      <c r="NJU91" s="80"/>
      <c r="NJV91" s="81">
        <v>0.86944444444444446</v>
      </c>
      <c r="NJW91" s="74" t="s">
        <v>27</v>
      </c>
      <c r="NJX91" s="74" t="s">
        <v>24</v>
      </c>
      <c r="NJY91" s="75" t="s">
        <v>25</v>
      </c>
      <c r="NJZ91" s="76">
        <f>IFERROR(VLOOKUP(NJY91,'[1]List KPI'!$A$103:$F$118,6,0),"")</f>
        <v>1.0416666666666666E-2</v>
      </c>
      <c r="NKA91" s="76">
        <v>0.86944444444444446</v>
      </c>
      <c r="NKB91" s="76">
        <v>0.86944444444444446</v>
      </c>
      <c r="NKC91" s="77" t="str">
        <f t="shared" si="295"/>
        <v>O</v>
      </c>
      <c r="NKD91" s="74" t="s">
        <v>28</v>
      </c>
      <c r="NKE91" s="75" t="s">
        <v>23</v>
      </c>
      <c r="NKF91" s="78">
        <f>IFERROR(VLOOKUP(NKE91,'[1]List KPI'!$M$3:$N$8,2,0),"")</f>
        <v>2.0833333333333332E-2</v>
      </c>
      <c r="NKG91" s="76">
        <v>0.89444444444444449</v>
      </c>
      <c r="NKH91" s="77" t="str">
        <f t="shared" si="296"/>
        <v>O</v>
      </c>
      <c r="NKI91" s="79">
        <v>5</v>
      </c>
      <c r="NKJ91" s="75">
        <v>1276006</v>
      </c>
      <c r="NKK91" s="80"/>
      <c r="NKL91" s="81">
        <v>0.86944444444444446</v>
      </c>
      <c r="NKM91" s="74" t="s">
        <v>27</v>
      </c>
      <c r="NKN91" s="74" t="s">
        <v>24</v>
      </c>
      <c r="NKO91" s="75" t="s">
        <v>25</v>
      </c>
      <c r="NKP91" s="76">
        <f>IFERROR(VLOOKUP(NKO91,'[1]List KPI'!$A$103:$F$118,6,0),"")</f>
        <v>1.0416666666666666E-2</v>
      </c>
      <c r="NKQ91" s="76">
        <v>0.86944444444444446</v>
      </c>
      <c r="NKR91" s="76">
        <v>0.86944444444444446</v>
      </c>
      <c r="NKS91" s="77" t="str">
        <f t="shared" si="295"/>
        <v>O</v>
      </c>
      <c r="NKT91" s="74" t="s">
        <v>28</v>
      </c>
      <c r="NKU91" s="75" t="s">
        <v>23</v>
      </c>
      <c r="NKV91" s="78">
        <f>IFERROR(VLOOKUP(NKU91,'[1]List KPI'!$M$3:$N$8,2,0),"")</f>
        <v>2.0833333333333332E-2</v>
      </c>
      <c r="NKW91" s="76">
        <v>0.89444444444444449</v>
      </c>
      <c r="NKX91" s="77" t="str">
        <f t="shared" si="296"/>
        <v>O</v>
      </c>
      <c r="NKY91" s="79">
        <v>5</v>
      </c>
      <c r="NKZ91" s="75">
        <v>1276006</v>
      </c>
      <c r="NLA91" s="80"/>
      <c r="NLB91" s="81">
        <v>0.86944444444444446</v>
      </c>
      <c r="NLC91" s="74" t="s">
        <v>27</v>
      </c>
      <c r="NLD91" s="74" t="s">
        <v>24</v>
      </c>
      <c r="NLE91" s="75" t="s">
        <v>25</v>
      </c>
      <c r="NLF91" s="76">
        <f>IFERROR(VLOOKUP(NLE91,'[1]List KPI'!$A$103:$F$118,6,0),"")</f>
        <v>1.0416666666666666E-2</v>
      </c>
      <c r="NLG91" s="76">
        <v>0.86944444444444446</v>
      </c>
      <c r="NLH91" s="76">
        <v>0.86944444444444446</v>
      </c>
      <c r="NLI91" s="77" t="str">
        <f t="shared" si="295"/>
        <v>O</v>
      </c>
      <c r="NLJ91" s="74" t="s">
        <v>28</v>
      </c>
      <c r="NLK91" s="75" t="s">
        <v>23</v>
      </c>
      <c r="NLL91" s="78">
        <f>IFERROR(VLOOKUP(NLK91,'[1]List KPI'!$M$3:$N$8,2,0),"")</f>
        <v>2.0833333333333332E-2</v>
      </c>
      <c r="NLM91" s="76">
        <v>0.89444444444444449</v>
      </c>
      <c r="NLN91" s="77" t="str">
        <f t="shared" si="296"/>
        <v>O</v>
      </c>
      <c r="NLO91" s="79">
        <v>5</v>
      </c>
      <c r="NLP91" s="75">
        <v>1276006</v>
      </c>
      <c r="NLQ91" s="80"/>
      <c r="NLR91" s="81">
        <v>0.86944444444444446</v>
      </c>
      <c r="NLS91" s="74" t="s">
        <v>27</v>
      </c>
      <c r="NLT91" s="74" t="s">
        <v>24</v>
      </c>
      <c r="NLU91" s="75" t="s">
        <v>25</v>
      </c>
      <c r="NLV91" s="76">
        <f>IFERROR(VLOOKUP(NLU91,'[1]List KPI'!$A$103:$F$118,6,0),"")</f>
        <v>1.0416666666666666E-2</v>
      </c>
      <c r="NLW91" s="76">
        <v>0.86944444444444446</v>
      </c>
      <c r="NLX91" s="76">
        <v>0.86944444444444446</v>
      </c>
      <c r="NLY91" s="77" t="str">
        <f t="shared" ref="NLY91:NNU91" si="297">IF(NLX91="","",IF(NLX91&gt;NMG91,"O","P"))</f>
        <v>O</v>
      </c>
      <c r="NLZ91" s="74" t="s">
        <v>28</v>
      </c>
      <c r="NMA91" s="75" t="s">
        <v>23</v>
      </c>
      <c r="NMB91" s="78">
        <f>IFERROR(VLOOKUP(NMA91,'[1]List KPI'!$M$3:$N$8,2,0),"")</f>
        <v>2.0833333333333332E-2</v>
      </c>
      <c r="NMC91" s="76">
        <v>0.89444444444444449</v>
      </c>
      <c r="NMD91" s="77" t="str">
        <f t="shared" ref="NMD91:NNZ91" si="298">IF(NMC91="","",IF(NMC91&gt;NMH91,"O","P"))</f>
        <v>O</v>
      </c>
      <c r="NME91" s="79">
        <v>5</v>
      </c>
      <c r="NMF91" s="75">
        <v>1276006</v>
      </c>
      <c r="NMG91" s="80"/>
      <c r="NMH91" s="81">
        <v>0.86944444444444446</v>
      </c>
      <c r="NMI91" s="74" t="s">
        <v>27</v>
      </c>
      <c r="NMJ91" s="74" t="s">
        <v>24</v>
      </c>
      <c r="NMK91" s="75" t="s">
        <v>25</v>
      </c>
      <c r="NML91" s="76">
        <f>IFERROR(VLOOKUP(NMK91,'[1]List KPI'!$A$103:$F$118,6,0),"")</f>
        <v>1.0416666666666666E-2</v>
      </c>
      <c r="NMM91" s="76">
        <v>0.86944444444444446</v>
      </c>
      <c r="NMN91" s="76">
        <v>0.86944444444444446</v>
      </c>
      <c r="NMO91" s="77" t="str">
        <f t="shared" si="297"/>
        <v>O</v>
      </c>
      <c r="NMP91" s="74" t="s">
        <v>28</v>
      </c>
      <c r="NMQ91" s="75" t="s">
        <v>23</v>
      </c>
      <c r="NMR91" s="78">
        <f>IFERROR(VLOOKUP(NMQ91,'[1]List KPI'!$M$3:$N$8,2,0),"")</f>
        <v>2.0833333333333332E-2</v>
      </c>
      <c r="NMS91" s="76">
        <v>0.89444444444444449</v>
      </c>
      <c r="NMT91" s="77" t="str">
        <f t="shared" si="298"/>
        <v>O</v>
      </c>
      <c r="NMU91" s="79">
        <v>5</v>
      </c>
      <c r="NMV91" s="75">
        <v>1276006</v>
      </c>
      <c r="NMW91" s="80"/>
      <c r="NMX91" s="81">
        <v>0.86944444444444446</v>
      </c>
      <c r="NMY91" s="74" t="s">
        <v>27</v>
      </c>
      <c r="NMZ91" s="74" t="s">
        <v>24</v>
      </c>
      <c r="NNA91" s="75" t="s">
        <v>25</v>
      </c>
      <c r="NNB91" s="76">
        <f>IFERROR(VLOOKUP(NNA91,'[1]List KPI'!$A$103:$F$118,6,0),"")</f>
        <v>1.0416666666666666E-2</v>
      </c>
      <c r="NNC91" s="76">
        <v>0.86944444444444446</v>
      </c>
      <c r="NND91" s="76">
        <v>0.86944444444444446</v>
      </c>
      <c r="NNE91" s="77" t="str">
        <f t="shared" si="297"/>
        <v>O</v>
      </c>
      <c r="NNF91" s="74" t="s">
        <v>28</v>
      </c>
      <c r="NNG91" s="75" t="s">
        <v>23</v>
      </c>
      <c r="NNH91" s="78">
        <f>IFERROR(VLOOKUP(NNG91,'[1]List KPI'!$M$3:$N$8,2,0),"")</f>
        <v>2.0833333333333332E-2</v>
      </c>
      <c r="NNI91" s="76">
        <v>0.89444444444444449</v>
      </c>
      <c r="NNJ91" s="77" t="str">
        <f t="shared" si="298"/>
        <v>O</v>
      </c>
      <c r="NNK91" s="79">
        <v>5</v>
      </c>
      <c r="NNL91" s="75">
        <v>1276006</v>
      </c>
      <c r="NNM91" s="80"/>
      <c r="NNN91" s="81">
        <v>0.86944444444444446</v>
      </c>
      <c r="NNO91" s="74" t="s">
        <v>27</v>
      </c>
      <c r="NNP91" s="74" t="s">
        <v>24</v>
      </c>
      <c r="NNQ91" s="75" t="s">
        <v>25</v>
      </c>
      <c r="NNR91" s="76">
        <f>IFERROR(VLOOKUP(NNQ91,'[1]List KPI'!$A$103:$F$118,6,0),"")</f>
        <v>1.0416666666666666E-2</v>
      </c>
      <c r="NNS91" s="76">
        <v>0.86944444444444446</v>
      </c>
      <c r="NNT91" s="76">
        <v>0.86944444444444446</v>
      </c>
      <c r="NNU91" s="77" t="str">
        <f t="shared" si="297"/>
        <v>O</v>
      </c>
      <c r="NNV91" s="74" t="s">
        <v>28</v>
      </c>
      <c r="NNW91" s="75" t="s">
        <v>23</v>
      </c>
      <c r="NNX91" s="78">
        <f>IFERROR(VLOOKUP(NNW91,'[1]List KPI'!$M$3:$N$8,2,0),"")</f>
        <v>2.0833333333333332E-2</v>
      </c>
      <c r="NNY91" s="76">
        <v>0.89444444444444449</v>
      </c>
      <c r="NNZ91" s="77" t="str">
        <f t="shared" si="298"/>
        <v>O</v>
      </c>
      <c r="NOA91" s="79">
        <v>5</v>
      </c>
      <c r="NOB91" s="75">
        <v>1276006</v>
      </c>
      <c r="NOC91" s="80"/>
      <c r="NOD91" s="81">
        <v>0.86944444444444446</v>
      </c>
      <c r="NOE91" s="74" t="s">
        <v>27</v>
      </c>
      <c r="NOF91" s="74" t="s">
        <v>24</v>
      </c>
      <c r="NOG91" s="75" t="s">
        <v>25</v>
      </c>
      <c r="NOH91" s="76">
        <f>IFERROR(VLOOKUP(NOG91,'[1]List KPI'!$A$103:$F$118,6,0),"")</f>
        <v>1.0416666666666666E-2</v>
      </c>
      <c r="NOI91" s="76">
        <v>0.86944444444444446</v>
      </c>
      <c r="NOJ91" s="76">
        <v>0.86944444444444446</v>
      </c>
      <c r="NOK91" s="77" t="str">
        <f t="shared" ref="NOK91:NQG91" si="299">IF(NOJ91="","",IF(NOJ91&gt;NOS91,"O","P"))</f>
        <v>O</v>
      </c>
      <c r="NOL91" s="74" t="s">
        <v>28</v>
      </c>
      <c r="NOM91" s="75" t="s">
        <v>23</v>
      </c>
      <c r="NON91" s="78">
        <f>IFERROR(VLOOKUP(NOM91,'[1]List KPI'!$M$3:$N$8,2,0),"")</f>
        <v>2.0833333333333332E-2</v>
      </c>
      <c r="NOO91" s="76">
        <v>0.89444444444444449</v>
      </c>
      <c r="NOP91" s="77" t="str">
        <f t="shared" ref="NOP91:NQL91" si="300">IF(NOO91="","",IF(NOO91&gt;NOT91,"O","P"))</f>
        <v>O</v>
      </c>
      <c r="NOQ91" s="79">
        <v>5</v>
      </c>
      <c r="NOR91" s="75">
        <v>1276006</v>
      </c>
      <c r="NOS91" s="80"/>
      <c r="NOT91" s="81">
        <v>0.86944444444444446</v>
      </c>
      <c r="NOU91" s="74" t="s">
        <v>27</v>
      </c>
      <c r="NOV91" s="74" t="s">
        <v>24</v>
      </c>
      <c r="NOW91" s="75" t="s">
        <v>25</v>
      </c>
      <c r="NOX91" s="76">
        <f>IFERROR(VLOOKUP(NOW91,'[1]List KPI'!$A$103:$F$118,6,0),"")</f>
        <v>1.0416666666666666E-2</v>
      </c>
      <c r="NOY91" s="76">
        <v>0.86944444444444446</v>
      </c>
      <c r="NOZ91" s="76">
        <v>0.86944444444444446</v>
      </c>
      <c r="NPA91" s="77" t="str">
        <f t="shared" si="299"/>
        <v>O</v>
      </c>
      <c r="NPB91" s="74" t="s">
        <v>28</v>
      </c>
      <c r="NPC91" s="75" t="s">
        <v>23</v>
      </c>
      <c r="NPD91" s="78">
        <f>IFERROR(VLOOKUP(NPC91,'[1]List KPI'!$M$3:$N$8,2,0),"")</f>
        <v>2.0833333333333332E-2</v>
      </c>
      <c r="NPE91" s="76">
        <v>0.89444444444444449</v>
      </c>
      <c r="NPF91" s="77" t="str">
        <f t="shared" si="300"/>
        <v>O</v>
      </c>
      <c r="NPG91" s="79">
        <v>5</v>
      </c>
      <c r="NPH91" s="75">
        <v>1276006</v>
      </c>
      <c r="NPI91" s="80"/>
      <c r="NPJ91" s="81">
        <v>0.86944444444444446</v>
      </c>
      <c r="NPK91" s="74" t="s">
        <v>27</v>
      </c>
      <c r="NPL91" s="74" t="s">
        <v>24</v>
      </c>
      <c r="NPM91" s="75" t="s">
        <v>25</v>
      </c>
      <c r="NPN91" s="76">
        <f>IFERROR(VLOOKUP(NPM91,'[1]List KPI'!$A$103:$F$118,6,0),"")</f>
        <v>1.0416666666666666E-2</v>
      </c>
      <c r="NPO91" s="76">
        <v>0.86944444444444446</v>
      </c>
      <c r="NPP91" s="76">
        <v>0.86944444444444446</v>
      </c>
      <c r="NPQ91" s="77" t="str">
        <f t="shared" si="299"/>
        <v>O</v>
      </c>
      <c r="NPR91" s="74" t="s">
        <v>28</v>
      </c>
      <c r="NPS91" s="75" t="s">
        <v>23</v>
      </c>
      <c r="NPT91" s="78">
        <f>IFERROR(VLOOKUP(NPS91,'[1]List KPI'!$M$3:$N$8,2,0),"")</f>
        <v>2.0833333333333332E-2</v>
      </c>
      <c r="NPU91" s="76">
        <v>0.89444444444444449</v>
      </c>
      <c r="NPV91" s="77" t="str">
        <f t="shared" si="300"/>
        <v>O</v>
      </c>
      <c r="NPW91" s="79">
        <v>5</v>
      </c>
      <c r="NPX91" s="75">
        <v>1276006</v>
      </c>
      <c r="NPY91" s="80"/>
      <c r="NPZ91" s="81">
        <v>0.86944444444444446</v>
      </c>
      <c r="NQA91" s="74" t="s">
        <v>27</v>
      </c>
      <c r="NQB91" s="74" t="s">
        <v>24</v>
      </c>
      <c r="NQC91" s="75" t="s">
        <v>25</v>
      </c>
      <c r="NQD91" s="76">
        <f>IFERROR(VLOOKUP(NQC91,'[1]List KPI'!$A$103:$F$118,6,0),"")</f>
        <v>1.0416666666666666E-2</v>
      </c>
      <c r="NQE91" s="76">
        <v>0.86944444444444446</v>
      </c>
      <c r="NQF91" s="76">
        <v>0.86944444444444446</v>
      </c>
      <c r="NQG91" s="77" t="str">
        <f t="shared" si="299"/>
        <v>O</v>
      </c>
      <c r="NQH91" s="74" t="s">
        <v>28</v>
      </c>
      <c r="NQI91" s="75" t="s">
        <v>23</v>
      </c>
      <c r="NQJ91" s="78">
        <f>IFERROR(VLOOKUP(NQI91,'[1]List KPI'!$M$3:$N$8,2,0),"")</f>
        <v>2.0833333333333332E-2</v>
      </c>
      <c r="NQK91" s="76">
        <v>0.89444444444444449</v>
      </c>
      <c r="NQL91" s="77" t="str">
        <f t="shared" si="300"/>
        <v>O</v>
      </c>
      <c r="NQM91" s="79">
        <v>5</v>
      </c>
      <c r="NQN91" s="75">
        <v>1276006</v>
      </c>
      <c r="NQO91" s="80"/>
      <c r="NQP91" s="81">
        <v>0.86944444444444446</v>
      </c>
      <c r="NQQ91" s="74" t="s">
        <v>27</v>
      </c>
      <c r="NQR91" s="74" t="s">
        <v>24</v>
      </c>
      <c r="NQS91" s="75" t="s">
        <v>25</v>
      </c>
      <c r="NQT91" s="76">
        <f>IFERROR(VLOOKUP(NQS91,'[1]List KPI'!$A$103:$F$118,6,0),"")</f>
        <v>1.0416666666666666E-2</v>
      </c>
      <c r="NQU91" s="76">
        <v>0.86944444444444446</v>
      </c>
      <c r="NQV91" s="76">
        <v>0.86944444444444446</v>
      </c>
      <c r="NQW91" s="77" t="str">
        <f t="shared" ref="NQW91:NSS91" si="301">IF(NQV91="","",IF(NQV91&gt;NRE91,"O","P"))</f>
        <v>O</v>
      </c>
      <c r="NQX91" s="74" t="s">
        <v>28</v>
      </c>
      <c r="NQY91" s="75" t="s">
        <v>23</v>
      </c>
      <c r="NQZ91" s="78">
        <f>IFERROR(VLOOKUP(NQY91,'[1]List KPI'!$M$3:$N$8,2,0),"")</f>
        <v>2.0833333333333332E-2</v>
      </c>
      <c r="NRA91" s="76">
        <v>0.89444444444444449</v>
      </c>
      <c r="NRB91" s="77" t="str">
        <f t="shared" ref="NRB91:NSX91" si="302">IF(NRA91="","",IF(NRA91&gt;NRF91,"O","P"))</f>
        <v>O</v>
      </c>
      <c r="NRC91" s="79">
        <v>5</v>
      </c>
      <c r="NRD91" s="75">
        <v>1276006</v>
      </c>
      <c r="NRE91" s="80"/>
      <c r="NRF91" s="81">
        <v>0.86944444444444446</v>
      </c>
      <c r="NRG91" s="74" t="s">
        <v>27</v>
      </c>
      <c r="NRH91" s="74" t="s">
        <v>24</v>
      </c>
      <c r="NRI91" s="75" t="s">
        <v>25</v>
      </c>
      <c r="NRJ91" s="76">
        <f>IFERROR(VLOOKUP(NRI91,'[1]List KPI'!$A$103:$F$118,6,0),"")</f>
        <v>1.0416666666666666E-2</v>
      </c>
      <c r="NRK91" s="76">
        <v>0.86944444444444446</v>
      </c>
      <c r="NRL91" s="76">
        <v>0.86944444444444446</v>
      </c>
      <c r="NRM91" s="77" t="str">
        <f t="shared" si="301"/>
        <v>O</v>
      </c>
      <c r="NRN91" s="74" t="s">
        <v>28</v>
      </c>
      <c r="NRO91" s="75" t="s">
        <v>23</v>
      </c>
      <c r="NRP91" s="78">
        <f>IFERROR(VLOOKUP(NRO91,'[1]List KPI'!$M$3:$N$8,2,0),"")</f>
        <v>2.0833333333333332E-2</v>
      </c>
      <c r="NRQ91" s="76">
        <v>0.89444444444444449</v>
      </c>
      <c r="NRR91" s="77" t="str">
        <f t="shared" si="302"/>
        <v>O</v>
      </c>
      <c r="NRS91" s="79">
        <v>5</v>
      </c>
      <c r="NRT91" s="75">
        <v>1276006</v>
      </c>
      <c r="NRU91" s="80"/>
      <c r="NRV91" s="81">
        <v>0.86944444444444446</v>
      </c>
      <c r="NRW91" s="74" t="s">
        <v>27</v>
      </c>
      <c r="NRX91" s="74" t="s">
        <v>24</v>
      </c>
      <c r="NRY91" s="75" t="s">
        <v>25</v>
      </c>
      <c r="NRZ91" s="76">
        <f>IFERROR(VLOOKUP(NRY91,'[1]List KPI'!$A$103:$F$118,6,0),"")</f>
        <v>1.0416666666666666E-2</v>
      </c>
      <c r="NSA91" s="76">
        <v>0.86944444444444446</v>
      </c>
      <c r="NSB91" s="76">
        <v>0.86944444444444446</v>
      </c>
      <c r="NSC91" s="77" t="str">
        <f t="shared" si="301"/>
        <v>O</v>
      </c>
      <c r="NSD91" s="74" t="s">
        <v>28</v>
      </c>
      <c r="NSE91" s="75" t="s">
        <v>23</v>
      </c>
      <c r="NSF91" s="78">
        <f>IFERROR(VLOOKUP(NSE91,'[1]List KPI'!$M$3:$N$8,2,0),"")</f>
        <v>2.0833333333333332E-2</v>
      </c>
      <c r="NSG91" s="76">
        <v>0.89444444444444449</v>
      </c>
      <c r="NSH91" s="77" t="str">
        <f t="shared" si="302"/>
        <v>O</v>
      </c>
      <c r="NSI91" s="79">
        <v>5</v>
      </c>
      <c r="NSJ91" s="75">
        <v>1276006</v>
      </c>
      <c r="NSK91" s="80"/>
      <c r="NSL91" s="81">
        <v>0.86944444444444446</v>
      </c>
      <c r="NSM91" s="74" t="s">
        <v>27</v>
      </c>
      <c r="NSN91" s="74" t="s">
        <v>24</v>
      </c>
      <c r="NSO91" s="75" t="s">
        <v>25</v>
      </c>
      <c r="NSP91" s="76">
        <f>IFERROR(VLOOKUP(NSO91,'[1]List KPI'!$A$103:$F$118,6,0),"")</f>
        <v>1.0416666666666666E-2</v>
      </c>
      <c r="NSQ91" s="76">
        <v>0.86944444444444446</v>
      </c>
      <c r="NSR91" s="76">
        <v>0.86944444444444446</v>
      </c>
      <c r="NSS91" s="77" t="str">
        <f t="shared" si="301"/>
        <v>O</v>
      </c>
      <c r="NST91" s="74" t="s">
        <v>28</v>
      </c>
      <c r="NSU91" s="75" t="s">
        <v>23</v>
      </c>
      <c r="NSV91" s="78">
        <f>IFERROR(VLOOKUP(NSU91,'[1]List KPI'!$M$3:$N$8,2,0),"")</f>
        <v>2.0833333333333332E-2</v>
      </c>
      <c r="NSW91" s="76">
        <v>0.89444444444444449</v>
      </c>
      <c r="NSX91" s="77" t="str">
        <f t="shared" si="302"/>
        <v>O</v>
      </c>
      <c r="NSY91" s="79">
        <v>5</v>
      </c>
      <c r="NSZ91" s="75">
        <v>1276006</v>
      </c>
      <c r="NTA91" s="80"/>
      <c r="NTB91" s="81">
        <v>0.86944444444444446</v>
      </c>
      <c r="NTC91" s="74" t="s">
        <v>27</v>
      </c>
      <c r="NTD91" s="74" t="s">
        <v>24</v>
      </c>
      <c r="NTE91" s="75" t="s">
        <v>25</v>
      </c>
      <c r="NTF91" s="76">
        <f>IFERROR(VLOOKUP(NTE91,'[1]List KPI'!$A$103:$F$118,6,0),"")</f>
        <v>1.0416666666666666E-2</v>
      </c>
      <c r="NTG91" s="76">
        <v>0.86944444444444446</v>
      </c>
      <c r="NTH91" s="76">
        <v>0.86944444444444446</v>
      </c>
      <c r="NTI91" s="77" t="str">
        <f t="shared" ref="NTI91:NVE91" si="303">IF(NTH91="","",IF(NTH91&gt;NTQ91,"O","P"))</f>
        <v>O</v>
      </c>
      <c r="NTJ91" s="74" t="s">
        <v>28</v>
      </c>
      <c r="NTK91" s="75" t="s">
        <v>23</v>
      </c>
      <c r="NTL91" s="78">
        <f>IFERROR(VLOOKUP(NTK91,'[1]List KPI'!$M$3:$N$8,2,0),"")</f>
        <v>2.0833333333333332E-2</v>
      </c>
      <c r="NTM91" s="76">
        <v>0.89444444444444449</v>
      </c>
      <c r="NTN91" s="77" t="str">
        <f t="shared" ref="NTN91:NVJ91" si="304">IF(NTM91="","",IF(NTM91&gt;NTR91,"O","P"))</f>
        <v>O</v>
      </c>
      <c r="NTO91" s="79">
        <v>5</v>
      </c>
      <c r="NTP91" s="75">
        <v>1276006</v>
      </c>
      <c r="NTQ91" s="80"/>
      <c r="NTR91" s="81">
        <v>0.86944444444444446</v>
      </c>
      <c r="NTS91" s="74" t="s">
        <v>27</v>
      </c>
      <c r="NTT91" s="74" t="s">
        <v>24</v>
      </c>
      <c r="NTU91" s="75" t="s">
        <v>25</v>
      </c>
      <c r="NTV91" s="76">
        <f>IFERROR(VLOOKUP(NTU91,'[1]List KPI'!$A$103:$F$118,6,0),"")</f>
        <v>1.0416666666666666E-2</v>
      </c>
      <c r="NTW91" s="76">
        <v>0.86944444444444446</v>
      </c>
      <c r="NTX91" s="76">
        <v>0.86944444444444446</v>
      </c>
      <c r="NTY91" s="77" t="str">
        <f t="shared" si="303"/>
        <v>O</v>
      </c>
      <c r="NTZ91" s="74" t="s">
        <v>28</v>
      </c>
      <c r="NUA91" s="75" t="s">
        <v>23</v>
      </c>
      <c r="NUB91" s="78">
        <f>IFERROR(VLOOKUP(NUA91,'[1]List KPI'!$M$3:$N$8,2,0),"")</f>
        <v>2.0833333333333332E-2</v>
      </c>
      <c r="NUC91" s="76">
        <v>0.89444444444444449</v>
      </c>
      <c r="NUD91" s="77" t="str">
        <f t="shared" si="304"/>
        <v>O</v>
      </c>
      <c r="NUE91" s="79">
        <v>5</v>
      </c>
      <c r="NUF91" s="75">
        <v>1276006</v>
      </c>
      <c r="NUG91" s="80"/>
      <c r="NUH91" s="81">
        <v>0.86944444444444446</v>
      </c>
      <c r="NUI91" s="74" t="s">
        <v>27</v>
      </c>
      <c r="NUJ91" s="74" t="s">
        <v>24</v>
      </c>
      <c r="NUK91" s="75" t="s">
        <v>25</v>
      </c>
      <c r="NUL91" s="76">
        <f>IFERROR(VLOOKUP(NUK91,'[1]List KPI'!$A$103:$F$118,6,0),"")</f>
        <v>1.0416666666666666E-2</v>
      </c>
      <c r="NUM91" s="76">
        <v>0.86944444444444446</v>
      </c>
      <c r="NUN91" s="76">
        <v>0.86944444444444446</v>
      </c>
      <c r="NUO91" s="77" t="str">
        <f t="shared" si="303"/>
        <v>O</v>
      </c>
      <c r="NUP91" s="74" t="s">
        <v>28</v>
      </c>
      <c r="NUQ91" s="75" t="s">
        <v>23</v>
      </c>
      <c r="NUR91" s="78">
        <f>IFERROR(VLOOKUP(NUQ91,'[1]List KPI'!$M$3:$N$8,2,0),"")</f>
        <v>2.0833333333333332E-2</v>
      </c>
      <c r="NUS91" s="76">
        <v>0.89444444444444449</v>
      </c>
      <c r="NUT91" s="77" t="str">
        <f t="shared" si="304"/>
        <v>O</v>
      </c>
      <c r="NUU91" s="79">
        <v>5</v>
      </c>
      <c r="NUV91" s="75">
        <v>1276006</v>
      </c>
      <c r="NUW91" s="80"/>
      <c r="NUX91" s="81">
        <v>0.86944444444444446</v>
      </c>
      <c r="NUY91" s="74" t="s">
        <v>27</v>
      </c>
      <c r="NUZ91" s="74" t="s">
        <v>24</v>
      </c>
      <c r="NVA91" s="75" t="s">
        <v>25</v>
      </c>
      <c r="NVB91" s="76">
        <f>IFERROR(VLOOKUP(NVA91,'[1]List KPI'!$A$103:$F$118,6,0),"")</f>
        <v>1.0416666666666666E-2</v>
      </c>
      <c r="NVC91" s="76">
        <v>0.86944444444444446</v>
      </c>
      <c r="NVD91" s="76">
        <v>0.86944444444444446</v>
      </c>
      <c r="NVE91" s="77" t="str">
        <f t="shared" si="303"/>
        <v>O</v>
      </c>
      <c r="NVF91" s="74" t="s">
        <v>28</v>
      </c>
      <c r="NVG91" s="75" t="s">
        <v>23</v>
      </c>
      <c r="NVH91" s="78">
        <f>IFERROR(VLOOKUP(NVG91,'[1]List KPI'!$M$3:$N$8,2,0),"")</f>
        <v>2.0833333333333332E-2</v>
      </c>
      <c r="NVI91" s="76">
        <v>0.89444444444444449</v>
      </c>
      <c r="NVJ91" s="77" t="str">
        <f t="shared" si="304"/>
        <v>O</v>
      </c>
      <c r="NVK91" s="79">
        <v>5</v>
      </c>
      <c r="NVL91" s="75">
        <v>1276006</v>
      </c>
      <c r="NVM91" s="80"/>
      <c r="NVN91" s="81">
        <v>0.86944444444444446</v>
      </c>
      <c r="NVO91" s="74" t="s">
        <v>27</v>
      </c>
      <c r="NVP91" s="74" t="s">
        <v>24</v>
      </c>
      <c r="NVQ91" s="75" t="s">
        <v>25</v>
      </c>
      <c r="NVR91" s="76">
        <f>IFERROR(VLOOKUP(NVQ91,'[1]List KPI'!$A$103:$F$118,6,0),"")</f>
        <v>1.0416666666666666E-2</v>
      </c>
      <c r="NVS91" s="76">
        <v>0.86944444444444446</v>
      </c>
      <c r="NVT91" s="76">
        <v>0.86944444444444446</v>
      </c>
      <c r="NVU91" s="77" t="str">
        <f t="shared" ref="NVU91:NXQ91" si="305">IF(NVT91="","",IF(NVT91&gt;NWC91,"O","P"))</f>
        <v>O</v>
      </c>
      <c r="NVV91" s="74" t="s">
        <v>28</v>
      </c>
      <c r="NVW91" s="75" t="s">
        <v>23</v>
      </c>
      <c r="NVX91" s="78">
        <f>IFERROR(VLOOKUP(NVW91,'[1]List KPI'!$M$3:$N$8,2,0),"")</f>
        <v>2.0833333333333332E-2</v>
      </c>
      <c r="NVY91" s="76">
        <v>0.89444444444444449</v>
      </c>
      <c r="NVZ91" s="77" t="str">
        <f t="shared" ref="NVZ91:NXV91" si="306">IF(NVY91="","",IF(NVY91&gt;NWD91,"O","P"))</f>
        <v>O</v>
      </c>
      <c r="NWA91" s="79">
        <v>5</v>
      </c>
      <c r="NWB91" s="75">
        <v>1276006</v>
      </c>
      <c r="NWC91" s="80"/>
      <c r="NWD91" s="81">
        <v>0.86944444444444446</v>
      </c>
      <c r="NWE91" s="74" t="s">
        <v>27</v>
      </c>
      <c r="NWF91" s="74" t="s">
        <v>24</v>
      </c>
      <c r="NWG91" s="75" t="s">
        <v>25</v>
      </c>
      <c r="NWH91" s="76">
        <f>IFERROR(VLOOKUP(NWG91,'[1]List KPI'!$A$103:$F$118,6,0),"")</f>
        <v>1.0416666666666666E-2</v>
      </c>
      <c r="NWI91" s="76">
        <v>0.86944444444444446</v>
      </c>
      <c r="NWJ91" s="76">
        <v>0.86944444444444446</v>
      </c>
      <c r="NWK91" s="77" t="str">
        <f t="shared" si="305"/>
        <v>O</v>
      </c>
      <c r="NWL91" s="74" t="s">
        <v>28</v>
      </c>
      <c r="NWM91" s="75" t="s">
        <v>23</v>
      </c>
      <c r="NWN91" s="78">
        <f>IFERROR(VLOOKUP(NWM91,'[1]List KPI'!$M$3:$N$8,2,0),"")</f>
        <v>2.0833333333333332E-2</v>
      </c>
      <c r="NWO91" s="76">
        <v>0.89444444444444449</v>
      </c>
      <c r="NWP91" s="77" t="str">
        <f t="shared" si="306"/>
        <v>O</v>
      </c>
      <c r="NWQ91" s="79">
        <v>5</v>
      </c>
      <c r="NWR91" s="75">
        <v>1276006</v>
      </c>
      <c r="NWS91" s="80"/>
      <c r="NWT91" s="81">
        <v>0.86944444444444446</v>
      </c>
      <c r="NWU91" s="74" t="s">
        <v>27</v>
      </c>
      <c r="NWV91" s="74" t="s">
        <v>24</v>
      </c>
      <c r="NWW91" s="75" t="s">
        <v>25</v>
      </c>
      <c r="NWX91" s="76">
        <f>IFERROR(VLOOKUP(NWW91,'[1]List KPI'!$A$103:$F$118,6,0),"")</f>
        <v>1.0416666666666666E-2</v>
      </c>
      <c r="NWY91" s="76">
        <v>0.86944444444444446</v>
      </c>
      <c r="NWZ91" s="76">
        <v>0.86944444444444446</v>
      </c>
      <c r="NXA91" s="77" t="str">
        <f t="shared" si="305"/>
        <v>O</v>
      </c>
      <c r="NXB91" s="74" t="s">
        <v>28</v>
      </c>
      <c r="NXC91" s="75" t="s">
        <v>23</v>
      </c>
      <c r="NXD91" s="78">
        <f>IFERROR(VLOOKUP(NXC91,'[1]List KPI'!$M$3:$N$8,2,0),"")</f>
        <v>2.0833333333333332E-2</v>
      </c>
      <c r="NXE91" s="76">
        <v>0.89444444444444449</v>
      </c>
      <c r="NXF91" s="77" t="str">
        <f t="shared" si="306"/>
        <v>O</v>
      </c>
      <c r="NXG91" s="79">
        <v>5</v>
      </c>
      <c r="NXH91" s="75">
        <v>1276006</v>
      </c>
      <c r="NXI91" s="80"/>
      <c r="NXJ91" s="81">
        <v>0.86944444444444446</v>
      </c>
      <c r="NXK91" s="74" t="s">
        <v>27</v>
      </c>
      <c r="NXL91" s="74" t="s">
        <v>24</v>
      </c>
      <c r="NXM91" s="75" t="s">
        <v>25</v>
      </c>
      <c r="NXN91" s="76">
        <f>IFERROR(VLOOKUP(NXM91,'[1]List KPI'!$A$103:$F$118,6,0),"")</f>
        <v>1.0416666666666666E-2</v>
      </c>
      <c r="NXO91" s="76">
        <v>0.86944444444444446</v>
      </c>
      <c r="NXP91" s="76">
        <v>0.86944444444444446</v>
      </c>
      <c r="NXQ91" s="77" t="str">
        <f t="shared" si="305"/>
        <v>O</v>
      </c>
      <c r="NXR91" s="74" t="s">
        <v>28</v>
      </c>
      <c r="NXS91" s="75" t="s">
        <v>23</v>
      </c>
      <c r="NXT91" s="78">
        <f>IFERROR(VLOOKUP(NXS91,'[1]List KPI'!$M$3:$N$8,2,0),"")</f>
        <v>2.0833333333333332E-2</v>
      </c>
      <c r="NXU91" s="76">
        <v>0.89444444444444449</v>
      </c>
      <c r="NXV91" s="77" t="str">
        <f t="shared" si="306"/>
        <v>O</v>
      </c>
      <c r="NXW91" s="79">
        <v>5</v>
      </c>
      <c r="NXX91" s="75">
        <v>1276006</v>
      </c>
      <c r="NXY91" s="80"/>
      <c r="NXZ91" s="81">
        <v>0.86944444444444446</v>
      </c>
      <c r="NYA91" s="74" t="s">
        <v>27</v>
      </c>
      <c r="NYB91" s="74" t="s">
        <v>24</v>
      </c>
      <c r="NYC91" s="75" t="s">
        <v>25</v>
      </c>
      <c r="NYD91" s="76">
        <f>IFERROR(VLOOKUP(NYC91,'[1]List KPI'!$A$103:$F$118,6,0),"")</f>
        <v>1.0416666666666666E-2</v>
      </c>
      <c r="NYE91" s="76">
        <v>0.86944444444444446</v>
      </c>
      <c r="NYF91" s="76">
        <v>0.86944444444444446</v>
      </c>
      <c r="NYG91" s="77" t="str">
        <f t="shared" ref="NYG91:OAC91" si="307">IF(NYF91="","",IF(NYF91&gt;NYO91,"O","P"))</f>
        <v>O</v>
      </c>
      <c r="NYH91" s="74" t="s">
        <v>28</v>
      </c>
      <c r="NYI91" s="75" t="s">
        <v>23</v>
      </c>
      <c r="NYJ91" s="78">
        <f>IFERROR(VLOOKUP(NYI91,'[1]List KPI'!$M$3:$N$8,2,0),"")</f>
        <v>2.0833333333333332E-2</v>
      </c>
      <c r="NYK91" s="76">
        <v>0.89444444444444449</v>
      </c>
      <c r="NYL91" s="77" t="str">
        <f t="shared" ref="NYL91:OAH91" si="308">IF(NYK91="","",IF(NYK91&gt;NYP91,"O","P"))</f>
        <v>O</v>
      </c>
      <c r="NYM91" s="79">
        <v>5</v>
      </c>
      <c r="NYN91" s="75">
        <v>1276006</v>
      </c>
      <c r="NYO91" s="80"/>
      <c r="NYP91" s="81">
        <v>0.86944444444444446</v>
      </c>
      <c r="NYQ91" s="74" t="s">
        <v>27</v>
      </c>
      <c r="NYR91" s="74" t="s">
        <v>24</v>
      </c>
      <c r="NYS91" s="75" t="s">
        <v>25</v>
      </c>
      <c r="NYT91" s="76">
        <f>IFERROR(VLOOKUP(NYS91,'[1]List KPI'!$A$103:$F$118,6,0),"")</f>
        <v>1.0416666666666666E-2</v>
      </c>
      <c r="NYU91" s="76">
        <v>0.86944444444444446</v>
      </c>
      <c r="NYV91" s="76">
        <v>0.86944444444444446</v>
      </c>
      <c r="NYW91" s="77" t="str">
        <f t="shared" si="307"/>
        <v>O</v>
      </c>
      <c r="NYX91" s="74" t="s">
        <v>28</v>
      </c>
      <c r="NYY91" s="75" t="s">
        <v>23</v>
      </c>
      <c r="NYZ91" s="78">
        <f>IFERROR(VLOOKUP(NYY91,'[1]List KPI'!$M$3:$N$8,2,0),"")</f>
        <v>2.0833333333333332E-2</v>
      </c>
      <c r="NZA91" s="76">
        <v>0.89444444444444449</v>
      </c>
      <c r="NZB91" s="77" t="str">
        <f t="shared" si="308"/>
        <v>O</v>
      </c>
      <c r="NZC91" s="79">
        <v>5</v>
      </c>
      <c r="NZD91" s="75">
        <v>1276006</v>
      </c>
      <c r="NZE91" s="80"/>
      <c r="NZF91" s="81">
        <v>0.86944444444444446</v>
      </c>
      <c r="NZG91" s="74" t="s">
        <v>27</v>
      </c>
      <c r="NZH91" s="74" t="s">
        <v>24</v>
      </c>
      <c r="NZI91" s="75" t="s">
        <v>25</v>
      </c>
      <c r="NZJ91" s="76">
        <f>IFERROR(VLOOKUP(NZI91,'[1]List KPI'!$A$103:$F$118,6,0),"")</f>
        <v>1.0416666666666666E-2</v>
      </c>
      <c r="NZK91" s="76">
        <v>0.86944444444444446</v>
      </c>
      <c r="NZL91" s="76">
        <v>0.86944444444444446</v>
      </c>
      <c r="NZM91" s="77" t="str">
        <f t="shared" si="307"/>
        <v>O</v>
      </c>
      <c r="NZN91" s="74" t="s">
        <v>28</v>
      </c>
      <c r="NZO91" s="75" t="s">
        <v>23</v>
      </c>
      <c r="NZP91" s="78">
        <f>IFERROR(VLOOKUP(NZO91,'[1]List KPI'!$M$3:$N$8,2,0),"")</f>
        <v>2.0833333333333332E-2</v>
      </c>
      <c r="NZQ91" s="76">
        <v>0.89444444444444449</v>
      </c>
      <c r="NZR91" s="77" t="str">
        <f t="shared" si="308"/>
        <v>O</v>
      </c>
      <c r="NZS91" s="79">
        <v>5</v>
      </c>
      <c r="NZT91" s="75">
        <v>1276006</v>
      </c>
      <c r="NZU91" s="80"/>
      <c r="NZV91" s="81">
        <v>0.86944444444444446</v>
      </c>
      <c r="NZW91" s="74" t="s">
        <v>27</v>
      </c>
      <c r="NZX91" s="74" t="s">
        <v>24</v>
      </c>
      <c r="NZY91" s="75" t="s">
        <v>25</v>
      </c>
      <c r="NZZ91" s="76">
        <f>IFERROR(VLOOKUP(NZY91,'[1]List KPI'!$A$103:$F$118,6,0),"")</f>
        <v>1.0416666666666666E-2</v>
      </c>
      <c r="OAA91" s="76">
        <v>0.86944444444444446</v>
      </c>
      <c r="OAB91" s="76">
        <v>0.86944444444444446</v>
      </c>
      <c r="OAC91" s="77" t="str">
        <f t="shared" si="307"/>
        <v>O</v>
      </c>
      <c r="OAD91" s="74" t="s">
        <v>28</v>
      </c>
      <c r="OAE91" s="75" t="s">
        <v>23</v>
      </c>
      <c r="OAF91" s="78">
        <f>IFERROR(VLOOKUP(OAE91,'[1]List KPI'!$M$3:$N$8,2,0),"")</f>
        <v>2.0833333333333332E-2</v>
      </c>
      <c r="OAG91" s="76">
        <v>0.89444444444444449</v>
      </c>
      <c r="OAH91" s="77" t="str">
        <f t="shared" si="308"/>
        <v>O</v>
      </c>
      <c r="OAI91" s="79">
        <v>5</v>
      </c>
      <c r="OAJ91" s="75">
        <v>1276006</v>
      </c>
      <c r="OAK91" s="80"/>
      <c r="OAL91" s="81">
        <v>0.86944444444444446</v>
      </c>
      <c r="OAM91" s="74" t="s">
        <v>27</v>
      </c>
      <c r="OAN91" s="74" t="s">
        <v>24</v>
      </c>
      <c r="OAO91" s="75" t="s">
        <v>25</v>
      </c>
      <c r="OAP91" s="76">
        <f>IFERROR(VLOOKUP(OAO91,'[1]List KPI'!$A$103:$F$118,6,0),"")</f>
        <v>1.0416666666666666E-2</v>
      </c>
      <c r="OAQ91" s="76">
        <v>0.86944444444444446</v>
      </c>
      <c r="OAR91" s="76">
        <v>0.86944444444444446</v>
      </c>
      <c r="OAS91" s="77" t="str">
        <f t="shared" ref="OAS91:OCO91" si="309">IF(OAR91="","",IF(OAR91&gt;OBA91,"O","P"))</f>
        <v>O</v>
      </c>
      <c r="OAT91" s="74" t="s">
        <v>28</v>
      </c>
      <c r="OAU91" s="75" t="s">
        <v>23</v>
      </c>
      <c r="OAV91" s="78">
        <f>IFERROR(VLOOKUP(OAU91,'[1]List KPI'!$M$3:$N$8,2,0),"")</f>
        <v>2.0833333333333332E-2</v>
      </c>
      <c r="OAW91" s="76">
        <v>0.89444444444444449</v>
      </c>
      <c r="OAX91" s="77" t="str">
        <f t="shared" ref="OAX91:OCT91" si="310">IF(OAW91="","",IF(OAW91&gt;OBB91,"O","P"))</f>
        <v>O</v>
      </c>
      <c r="OAY91" s="79">
        <v>5</v>
      </c>
      <c r="OAZ91" s="75">
        <v>1276006</v>
      </c>
      <c r="OBA91" s="80"/>
      <c r="OBB91" s="81">
        <v>0.86944444444444446</v>
      </c>
      <c r="OBC91" s="74" t="s">
        <v>27</v>
      </c>
      <c r="OBD91" s="74" t="s">
        <v>24</v>
      </c>
      <c r="OBE91" s="75" t="s">
        <v>25</v>
      </c>
      <c r="OBF91" s="76">
        <f>IFERROR(VLOOKUP(OBE91,'[1]List KPI'!$A$103:$F$118,6,0),"")</f>
        <v>1.0416666666666666E-2</v>
      </c>
      <c r="OBG91" s="76">
        <v>0.86944444444444446</v>
      </c>
      <c r="OBH91" s="76">
        <v>0.86944444444444446</v>
      </c>
      <c r="OBI91" s="77" t="str">
        <f t="shared" si="309"/>
        <v>O</v>
      </c>
      <c r="OBJ91" s="74" t="s">
        <v>28</v>
      </c>
      <c r="OBK91" s="75" t="s">
        <v>23</v>
      </c>
      <c r="OBL91" s="78">
        <f>IFERROR(VLOOKUP(OBK91,'[1]List KPI'!$M$3:$N$8,2,0),"")</f>
        <v>2.0833333333333332E-2</v>
      </c>
      <c r="OBM91" s="76">
        <v>0.89444444444444449</v>
      </c>
      <c r="OBN91" s="77" t="str">
        <f t="shared" si="310"/>
        <v>O</v>
      </c>
      <c r="OBO91" s="79">
        <v>5</v>
      </c>
      <c r="OBP91" s="75">
        <v>1276006</v>
      </c>
      <c r="OBQ91" s="80"/>
      <c r="OBR91" s="81">
        <v>0.86944444444444446</v>
      </c>
      <c r="OBS91" s="74" t="s">
        <v>27</v>
      </c>
      <c r="OBT91" s="74" t="s">
        <v>24</v>
      </c>
      <c r="OBU91" s="75" t="s">
        <v>25</v>
      </c>
      <c r="OBV91" s="76">
        <f>IFERROR(VLOOKUP(OBU91,'[1]List KPI'!$A$103:$F$118,6,0),"")</f>
        <v>1.0416666666666666E-2</v>
      </c>
      <c r="OBW91" s="76">
        <v>0.86944444444444446</v>
      </c>
      <c r="OBX91" s="76">
        <v>0.86944444444444446</v>
      </c>
      <c r="OBY91" s="77" t="str">
        <f t="shared" si="309"/>
        <v>O</v>
      </c>
      <c r="OBZ91" s="74" t="s">
        <v>28</v>
      </c>
      <c r="OCA91" s="75" t="s">
        <v>23</v>
      </c>
      <c r="OCB91" s="78">
        <f>IFERROR(VLOOKUP(OCA91,'[1]List KPI'!$M$3:$N$8,2,0),"")</f>
        <v>2.0833333333333332E-2</v>
      </c>
      <c r="OCC91" s="76">
        <v>0.89444444444444449</v>
      </c>
      <c r="OCD91" s="77" t="str">
        <f t="shared" si="310"/>
        <v>O</v>
      </c>
      <c r="OCE91" s="79">
        <v>5</v>
      </c>
      <c r="OCF91" s="75">
        <v>1276006</v>
      </c>
      <c r="OCG91" s="80"/>
      <c r="OCH91" s="81">
        <v>0.86944444444444446</v>
      </c>
      <c r="OCI91" s="74" t="s">
        <v>27</v>
      </c>
      <c r="OCJ91" s="74" t="s">
        <v>24</v>
      </c>
      <c r="OCK91" s="75" t="s">
        <v>25</v>
      </c>
      <c r="OCL91" s="76">
        <f>IFERROR(VLOOKUP(OCK91,'[1]List KPI'!$A$103:$F$118,6,0),"")</f>
        <v>1.0416666666666666E-2</v>
      </c>
      <c r="OCM91" s="76">
        <v>0.86944444444444446</v>
      </c>
      <c r="OCN91" s="76">
        <v>0.86944444444444446</v>
      </c>
      <c r="OCO91" s="77" t="str">
        <f t="shared" si="309"/>
        <v>O</v>
      </c>
      <c r="OCP91" s="74" t="s">
        <v>28</v>
      </c>
      <c r="OCQ91" s="75" t="s">
        <v>23</v>
      </c>
      <c r="OCR91" s="78">
        <f>IFERROR(VLOOKUP(OCQ91,'[1]List KPI'!$M$3:$N$8,2,0),"")</f>
        <v>2.0833333333333332E-2</v>
      </c>
      <c r="OCS91" s="76">
        <v>0.89444444444444449</v>
      </c>
      <c r="OCT91" s="77" t="str">
        <f t="shared" si="310"/>
        <v>O</v>
      </c>
      <c r="OCU91" s="79">
        <v>5</v>
      </c>
      <c r="OCV91" s="75">
        <v>1276006</v>
      </c>
      <c r="OCW91" s="80"/>
      <c r="OCX91" s="81">
        <v>0.86944444444444446</v>
      </c>
      <c r="OCY91" s="74" t="s">
        <v>27</v>
      </c>
      <c r="OCZ91" s="74" t="s">
        <v>24</v>
      </c>
      <c r="ODA91" s="75" t="s">
        <v>25</v>
      </c>
      <c r="ODB91" s="76">
        <f>IFERROR(VLOOKUP(ODA91,'[1]List KPI'!$A$103:$F$118,6,0),"")</f>
        <v>1.0416666666666666E-2</v>
      </c>
      <c r="ODC91" s="76">
        <v>0.86944444444444446</v>
      </c>
      <c r="ODD91" s="76">
        <v>0.86944444444444446</v>
      </c>
      <c r="ODE91" s="77" t="str">
        <f t="shared" ref="ODE91:OFA91" si="311">IF(ODD91="","",IF(ODD91&gt;ODM91,"O","P"))</f>
        <v>O</v>
      </c>
      <c r="ODF91" s="74" t="s">
        <v>28</v>
      </c>
      <c r="ODG91" s="75" t="s">
        <v>23</v>
      </c>
      <c r="ODH91" s="78">
        <f>IFERROR(VLOOKUP(ODG91,'[1]List KPI'!$M$3:$N$8,2,0),"")</f>
        <v>2.0833333333333332E-2</v>
      </c>
      <c r="ODI91" s="76">
        <v>0.89444444444444449</v>
      </c>
      <c r="ODJ91" s="77" t="str">
        <f t="shared" ref="ODJ91:OFF91" si="312">IF(ODI91="","",IF(ODI91&gt;ODN91,"O","P"))</f>
        <v>O</v>
      </c>
      <c r="ODK91" s="79">
        <v>5</v>
      </c>
      <c r="ODL91" s="75">
        <v>1276006</v>
      </c>
      <c r="ODM91" s="80"/>
      <c r="ODN91" s="81">
        <v>0.86944444444444446</v>
      </c>
      <c r="ODO91" s="74" t="s">
        <v>27</v>
      </c>
      <c r="ODP91" s="74" t="s">
        <v>24</v>
      </c>
      <c r="ODQ91" s="75" t="s">
        <v>25</v>
      </c>
      <c r="ODR91" s="76">
        <f>IFERROR(VLOOKUP(ODQ91,'[1]List KPI'!$A$103:$F$118,6,0),"")</f>
        <v>1.0416666666666666E-2</v>
      </c>
      <c r="ODS91" s="76">
        <v>0.86944444444444446</v>
      </c>
      <c r="ODT91" s="76">
        <v>0.86944444444444446</v>
      </c>
      <c r="ODU91" s="77" t="str">
        <f t="shared" si="311"/>
        <v>O</v>
      </c>
      <c r="ODV91" s="74" t="s">
        <v>28</v>
      </c>
      <c r="ODW91" s="75" t="s">
        <v>23</v>
      </c>
      <c r="ODX91" s="78">
        <f>IFERROR(VLOOKUP(ODW91,'[1]List KPI'!$M$3:$N$8,2,0),"")</f>
        <v>2.0833333333333332E-2</v>
      </c>
      <c r="ODY91" s="76">
        <v>0.89444444444444449</v>
      </c>
      <c r="ODZ91" s="77" t="str">
        <f t="shared" si="312"/>
        <v>O</v>
      </c>
      <c r="OEA91" s="79">
        <v>5</v>
      </c>
      <c r="OEB91" s="75">
        <v>1276006</v>
      </c>
      <c r="OEC91" s="80"/>
      <c r="OED91" s="81">
        <v>0.86944444444444446</v>
      </c>
      <c r="OEE91" s="74" t="s">
        <v>27</v>
      </c>
      <c r="OEF91" s="74" t="s">
        <v>24</v>
      </c>
      <c r="OEG91" s="75" t="s">
        <v>25</v>
      </c>
      <c r="OEH91" s="76">
        <f>IFERROR(VLOOKUP(OEG91,'[1]List KPI'!$A$103:$F$118,6,0),"")</f>
        <v>1.0416666666666666E-2</v>
      </c>
      <c r="OEI91" s="76">
        <v>0.86944444444444446</v>
      </c>
      <c r="OEJ91" s="76">
        <v>0.86944444444444446</v>
      </c>
      <c r="OEK91" s="77" t="str">
        <f t="shared" si="311"/>
        <v>O</v>
      </c>
      <c r="OEL91" s="74" t="s">
        <v>28</v>
      </c>
      <c r="OEM91" s="75" t="s">
        <v>23</v>
      </c>
      <c r="OEN91" s="78">
        <f>IFERROR(VLOOKUP(OEM91,'[1]List KPI'!$M$3:$N$8,2,0),"")</f>
        <v>2.0833333333333332E-2</v>
      </c>
      <c r="OEO91" s="76">
        <v>0.89444444444444449</v>
      </c>
      <c r="OEP91" s="77" t="str">
        <f t="shared" si="312"/>
        <v>O</v>
      </c>
      <c r="OEQ91" s="79">
        <v>5</v>
      </c>
      <c r="OER91" s="75">
        <v>1276006</v>
      </c>
      <c r="OES91" s="80"/>
      <c r="OET91" s="81">
        <v>0.86944444444444446</v>
      </c>
      <c r="OEU91" s="74" t="s">
        <v>27</v>
      </c>
      <c r="OEV91" s="74" t="s">
        <v>24</v>
      </c>
      <c r="OEW91" s="75" t="s">
        <v>25</v>
      </c>
      <c r="OEX91" s="76">
        <f>IFERROR(VLOOKUP(OEW91,'[1]List KPI'!$A$103:$F$118,6,0),"")</f>
        <v>1.0416666666666666E-2</v>
      </c>
      <c r="OEY91" s="76">
        <v>0.86944444444444446</v>
      </c>
      <c r="OEZ91" s="76">
        <v>0.86944444444444446</v>
      </c>
      <c r="OFA91" s="77" t="str">
        <f t="shared" si="311"/>
        <v>O</v>
      </c>
      <c r="OFB91" s="74" t="s">
        <v>28</v>
      </c>
      <c r="OFC91" s="75" t="s">
        <v>23</v>
      </c>
      <c r="OFD91" s="78">
        <f>IFERROR(VLOOKUP(OFC91,'[1]List KPI'!$M$3:$N$8,2,0),"")</f>
        <v>2.0833333333333332E-2</v>
      </c>
      <c r="OFE91" s="76">
        <v>0.89444444444444449</v>
      </c>
      <c r="OFF91" s="77" t="str">
        <f t="shared" si="312"/>
        <v>O</v>
      </c>
      <c r="OFG91" s="79">
        <v>5</v>
      </c>
      <c r="OFH91" s="75">
        <v>1276006</v>
      </c>
      <c r="OFI91" s="80"/>
      <c r="OFJ91" s="81">
        <v>0.86944444444444446</v>
      </c>
      <c r="OFK91" s="74" t="s">
        <v>27</v>
      </c>
      <c r="OFL91" s="74" t="s">
        <v>24</v>
      </c>
      <c r="OFM91" s="75" t="s">
        <v>25</v>
      </c>
      <c r="OFN91" s="76">
        <f>IFERROR(VLOOKUP(OFM91,'[1]List KPI'!$A$103:$F$118,6,0),"")</f>
        <v>1.0416666666666666E-2</v>
      </c>
      <c r="OFO91" s="76">
        <v>0.86944444444444446</v>
      </c>
      <c r="OFP91" s="76">
        <v>0.86944444444444446</v>
      </c>
      <c r="OFQ91" s="77" t="str">
        <f t="shared" ref="OFQ91:OHM91" si="313">IF(OFP91="","",IF(OFP91&gt;OFY91,"O","P"))</f>
        <v>O</v>
      </c>
      <c r="OFR91" s="74" t="s">
        <v>28</v>
      </c>
      <c r="OFS91" s="75" t="s">
        <v>23</v>
      </c>
      <c r="OFT91" s="78">
        <f>IFERROR(VLOOKUP(OFS91,'[1]List KPI'!$M$3:$N$8,2,0),"")</f>
        <v>2.0833333333333332E-2</v>
      </c>
      <c r="OFU91" s="76">
        <v>0.89444444444444449</v>
      </c>
      <c r="OFV91" s="77" t="str">
        <f t="shared" ref="OFV91:OHR91" si="314">IF(OFU91="","",IF(OFU91&gt;OFZ91,"O","P"))</f>
        <v>O</v>
      </c>
      <c r="OFW91" s="79">
        <v>5</v>
      </c>
      <c r="OFX91" s="75">
        <v>1276006</v>
      </c>
      <c r="OFY91" s="80"/>
      <c r="OFZ91" s="81">
        <v>0.86944444444444446</v>
      </c>
      <c r="OGA91" s="74" t="s">
        <v>27</v>
      </c>
      <c r="OGB91" s="74" t="s">
        <v>24</v>
      </c>
      <c r="OGC91" s="75" t="s">
        <v>25</v>
      </c>
      <c r="OGD91" s="76">
        <f>IFERROR(VLOOKUP(OGC91,'[1]List KPI'!$A$103:$F$118,6,0),"")</f>
        <v>1.0416666666666666E-2</v>
      </c>
      <c r="OGE91" s="76">
        <v>0.86944444444444446</v>
      </c>
      <c r="OGF91" s="76">
        <v>0.86944444444444446</v>
      </c>
      <c r="OGG91" s="77" t="str">
        <f t="shared" si="313"/>
        <v>O</v>
      </c>
      <c r="OGH91" s="74" t="s">
        <v>28</v>
      </c>
      <c r="OGI91" s="75" t="s">
        <v>23</v>
      </c>
      <c r="OGJ91" s="78">
        <f>IFERROR(VLOOKUP(OGI91,'[1]List KPI'!$M$3:$N$8,2,0),"")</f>
        <v>2.0833333333333332E-2</v>
      </c>
      <c r="OGK91" s="76">
        <v>0.89444444444444449</v>
      </c>
      <c r="OGL91" s="77" t="str">
        <f t="shared" si="314"/>
        <v>O</v>
      </c>
      <c r="OGM91" s="79">
        <v>5</v>
      </c>
      <c r="OGN91" s="75">
        <v>1276006</v>
      </c>
      <c r="OGO91" s="80"/>
      <c r="OGP91" s="81">
        <v>0.86944444444444446</v>
      </c>
      <c r="OGQ91" s="74" t="s">
        <v>27</v>
      </c>
      <c r="OGR91" s="74" t="s">
        <v>24</v>
      </c>
      <c r="OGS91" s="75" t="s">
        <v>25</v>
      </c>
      <c r="OGT91" s="76">
        <f>IFERROR(VLOOKUP(OGS91,'[1]List KPI'!$A$103:$F$118,6,0),"")</f>
        <v>1.0416666666666666E-2</v>
      </c>
      <c r="OGU91" s="76">
        <v>0.86944444444444446</v>
      </c>
      <c r="OGV91" s="76">
        <v>0.86944444444444446</v>
      </c>
      <c r="OGW91" s="77" t="str">
        <f t="shared" si="313"/>
        <v>O</v>
      </c>
      <c r="OGX91" s="74" t="s">
        <v>28</v>
      </c>
      <c r="OGY91" s="75" t="s">
        <v>23</v>
      </c>
      <c r="OGZ91" s="78">
        <f>IFERROR(VLOOKUP(OGY91,'[1]List KPI'!$M$3:$N$8,2,0),"")</f>
        <v>2.0833333333333332E-2</v>
      </c>
      <c r="OHA91" s="76">
        <v>0.89444444444444449</v>
      </c>
      <c r="OHB91" s="77" t="str">
        <f t="shared" si="314"/>
        <v>O</v>
      </c>
      <c r="OHC91" s="79">
        <v>5</v>
      </c>
      <c r="OHD91" s="75">
        <v>1276006</v>
      </c>
      <c r="OHE91" s="80"/>
      <c r="OHF91" s="81">
        <v>0.86944444444444446</v>
      </c>
      <c r="OHG91" s="74" t="s">
        <v>27</v>
      </c>
      <c r="OHH91" s="74" t="s">
        <v>24</v>
      </c>
      <c r="OHI91" s="75" t="s">
        <v>25</v>
      </c>
      <c r="OHJ91" s="76">
        <f>IFERROR(VLOOKUP(OHI91,'[1]List KPI'!$A$103:$F$118,6,0),"")</f>
        <v>1.0416666666666666E-2</v>
      </c>
      <c r="OHK91" s="76">
        <v>0.86944444444444446</v>
      </c>
      <c r="OHL91" s="76">
        <v>0.86944444444444446</v>
      </c>
      <c r="OHM91" s="77" t="str">
        <f t="shared" si="313"/>
        <v>O</v>
      </c>
      <c r="OHN91" s="74" t="s">
        <v>28</v>
      </c>
      <c r="OHO91" s="75" t="s">
        <v>23</v>
      </c>
      <c r="OHP91" s="78">
        <f>IFERROR(VLOOKUP(OHO91,'[1]List KPI'!$M$3:$N$8,2,0),"")</f>
        <v>2.0833333333333332E-2</v>
      </c>
      <c r="OHQ91" s="76">
        <v>0.89444444444444449</v>
      </c>
      <c r="OHR91" s="77" t="str">
        <f t="shared" si="314"/>
        <v>O</v>
      </c>
      <c r="OHS91" s="79">
        <v>5</v>
      </c>
      <c r="OHT91" s="75">
        <v>1276006</v>
      </c>
      <c r="OHU91" s="80"/>
      <c r="OHV91" s="81">
        <v>0.86944444444444446</v>
      </c>
      <c r="OHW91" s="74" t="s">
        <v>27</v>
      </c>
      <c r="OHX91" s="74" t="s">
        <v>24</v>
      </c>
      <c r="OHY91" s="75" t="s">
        <v>25</v>
      </c>
      <c r="OHZ91" s="76">
        <f>IFERROR(VLOOKUP(OHY91,'[1]List KPI'!$A$103:$F$118,6,0),"")</f>
        <v>1.0416666666666666E-2</v>
      </c>
      <c r="OIA91" s="76">
        <v>0.86944444444444446</v>
      </c>
      <c r="OIB91" s="76">
        <v>0.86944444444444446</v>
      </c>
      <c r="OIC91" s="77" t="str">
        <f t="shared" ref="OIC91:OJY91" si="315">IF(OIB91="","",IF(OIB91&gt;OIK91,"O","P"))</f>
        <v>O</v>
      </c>
      <c r="OID91" s="74" t="s">
        <v>28</v>
      </c>
      <c r="OIE91" s="75" t="s">
        <v>23</v>
      </c>
      <c r="OIF91" s="78">
        <f>IFERROR(VLOOKUP(OIE91,'[1]List KPI'!$M$3:$N$8,2,0),"")</f>
        <v>2.0833333333333332E-2</v>
      </c>
      <c r="OIG91" s="76">
        <v>0.89444444444444449</v>
      </c>
      <c r="OIH91" s="77" t="str">
        <f t="shared" ref="OIH91:OKD91" si="316">IF(OIG91="","",IF(OIG91&gt;OIL91,"O","P"))</f>
        <v>O</v>
      </c>
      <c r="OII91" s="79">
        <v>5</v>
      </c>
      <c r="OIJ91" s="75">
        <v>1276006</v>
      </c>
      <c r="OIK91" s="80"/>
      <c r="OIL91" s="81">
        <v>0.86944444444444446</v>
      </c>
      <c r="OIM91" s="74" t="s">
        <v>27</v>
      </c>
      <c r="OIN91" s="74" t="s">
        <v>24</v>
      </c>
      <c r="OIO91" s="75" t="s">
        <v>25</v>
      </c>
      <c r="OIP91" s="76">
        <f>IFERROR(VLOOKUP(OIO91,'[1]List KPI'!$A$103:$F$118,6,0),"")</f>
        <v>1.0416666666666666E-2</v>
      </c>
      <c r="OIQ91" s="76">
        <v>0.86944444444444446</v>
      </c>
      <c r="OIR91" s="76">
        <v>0.86944444444444446</v>
      </c>
      <c r="OIS91" s="77" t="str">
        <f t="shared" si="315"/>
        <v>O</v>
      </c>
      <c r="OIT91" s="74" t="s">
        <v>28</v>
      </c>
      <c r="OIU91" s="75" t="s">
        <v>23</v>
      </c>
      <c r="OIV91" s="78">
        <f>IFERROR(VLOOKUP(OIU91,'[1]List KPI'!$M$3:$N$8,2,0),"")</f>
        <v>2.0833333333333332E-2</v>
      </c>
      <c r="OIW91" s="76">
        <v>0.89444444444444449</v>
      </c>
      <c r="OIX91" s="77" t="str">
        <f t="shared" si="316"/>
        <v>O</v>
      </c>
      <c r="OIY91" s="79">
        <v>5</v>
      </c>
      <c r="OIZ91" s="75">
        <v>1276006</v>
      </c>
      <c r="OJA91" s="80"/>
      <c r="OJB91" s="81">
        <v>0.86944444444444446</v>
      </c>
      <c r="OJC91" s="74" t="s">
        <v>27</v>
      </c>
      <c r="OJD91" s="74" t="s">
        <v>24</v>
      </c>
      <c r="OJE91" s="75" t="s">
        <v>25</v>
      </c>
      <c r="OJF91" s="76">
        <f>IFERROR(VLOOKUP(OJE91,'[1]List KPI'!$A$103:$F$118,6,0),"")</f>
        <v>1.0416666666666666E-2</v>
      </c>
      <c r="OJG91" s="76">
        <v>0.86944444444444446</v>
      </c>
      <c r="OJH91" s="76">
        <v>0.86944444444444446</v>
      </c>
      <c r="OJI91" s="77" t="str">
        <f t="shared" si="315"/>
        <v>O</v>
      </c>
      <c r="OJJ91" s="74" t="s">
        <v>28</v>
      </c>
      <c r="OJK91" s="75" t="s">
        <v>23</v>
      </c>
      <c r="OJL91" s="78">
        <f>IFERROR(VLOOKUP(OJK91,'[1]List KPI'!$M$3:$N$8,2,0),"")</f>
        <v>2.0833333333333332E-2</v>
      </c>
      <c r="OJM91" s="76">
        <v>0.89444444444444449</v>
      </c>
      <c r="OJN91" s="77" t="str">
        <f t="shared" si="316"/>
        <v>O</v>
      </c>
      <c r="OJO91" s="79">
        <v>5</v>
      </c>
      <c r="OJP91" s="75">
        <v>1276006</v>
      </c>
      <c r="OJQ91" s="80"/>
      <c r="OJR91" s="81">
        <v>0.86944444444444446</v>
      </c>
      <c r="OJS91" s="74" t="s">
        <v>27</v>
      </c>
      <c r="OJT91" s="74" t="s">
        <v>24</v>
      </c>
      <c r="OJU91" s="75" t="s">
        <v>25</v>
      </c>
      <c r="OJV91" s="76">
        <f>IFERROR(VLOOKUP(OJU91,'[1]List KPI'!$A$103:$F$118,6,0),"")</f>
        <v>1.0416666666666666E-2</v>
      </c>
      <c r="OJW91" s="76">
        <v>0.86944444444444446</v>
      </c>
      <c r="OJX91" s="76">
        <v>0.86944444444444446</v>
      </c>
      <c r="OJY91" s="77" t="str">
        <f t="shared" si="315"/>
        <v>O</v>
      </c>
      <c r="OJZ91" s="74" t="s">
        <v>28</v>
      </c>
      <c r="OKA91" s="75" t="s">
        <v>23</v>
      </c>
      <c r="OKB91" s="78">
        <f>IFERROR(VLOOKUP(OKA91,'[1]List KPI'!$M$3:$N$8,2,0),"")</f>
        <v>2.0833333333333332E-2</v>
      </c>
      <c r="OKC91" s="76">
        <v>0.89444444444444449</v>
      </c>
      <c r="OKD91" s="77" t="str">
        <f t="shared" si="316"/>
        <v>O</v>
      </c>
      <c r="OKE91" s="79">
        <v>5</v>
      </c>
      <c r="OKF91" s="75">
        <v>1276006</v>
      </c>
      <c r="OKG91" s="80"/>
      <c r="OKH91" s="81">
        <v>0.86944444444444446</v>
      </c>
      <c r="OKI91" s="74" t="s">
        <v>27</v>
      </c>
      <c r="OKJ91" s="74" t="s">
        <v>24</v>
      </c>
      <c r="OKK91" s="75" t="s">
        <v>25</v>
      </c>
      <c r="OKL91" s="76">
        <f>IFERROR(VLOOKUP(OKK91,'[1]List KPI'!$A$103:$F$118,6,0),"")</f>
        <v>1.0416666666666666E-2</v>
      </c>
      <c r="OKM91" s="76">
        <v>0.86944444444444446</v>
      </c>
      <c r="OKN91" s="76">
        <v>0.86944444444444446</v>
      </c>
      <c r="OKO91" s="77" t="str">
        <f t="shared" ref="OKO91:OMK91" si="317">IF(OKN91="","",IF(OKN91&gt;OKW91,"O","P"))</f>
        <v>O</v>
      </c>
      <c r="OKP91" s="74" t="s">
        <v>28</v>
      </c>
      <c r="OKQ91" s="75" t="s">
        <v>23</v>
      </c>
      <c r="OKR91" s="78">
        <f>IFERROR(VLOOKUP(OKQ91,'[1]List KPI'!$M$3:$N$8,2,0),"")</f>
        <v>2.0833333333333332E-2</v>
      </c>
      <c r="OKS91" s="76">
        <v>0.89444444444444449</v>
      </c>
      <c r="OKT91" s="77" t="str">
        <f t="shared" ref="OKT91:OMP91" si="318">IF(OKS91="","",IF(OKS91&gt;OKX91,"O","P"))</f>
        <v>O</v>
      </c>
      <c r="OKU91" s="79">
        <v>5</v>
      </c>
      <c r="OKV91" s="75">
        <v>1276006</v>
      </c>
      <c r="OKW91" s="80"/>
      <c r="OKX91" s="81">
        <v>0.86944444444444446</v>
      </c>
      <c r="OKY91" s="74" t="s">
        <v>27</v>
      </c>
      <c r="OKZ91" s="74" t="s">
        <v>24</v>
      </c>
      <c r="OLA91" s="75" t="s">
        <v>25</v>
      </c>
      <c r="OLB91" s="76">
        <f>IFERROR(VLOOKUP(OLA91,'[1]List KPI'!$A$103:$F$118,6,0),"")</f>
        <v>1.0416666666666666E-2</v>
      </c>
      <c r="OLC91" s="76">
        <v>0.86944444444444446</v>
      </c>
      <c r="OLD91" s="76">
        <v>0.86944444444444446</v>
      </c>
      <c r="OLE91" s="77" t="str">
        <f t="shared" si="317"/>
        <v>O</v>
      </c>
      <c r="OLF91" s="74" t="s">
        <v>28</v>
      </c>
      <c r="OLG91" s="75" t="s">
        <v>23</v>
      </c>
      <c r="OLH91" s="78">
        <f>IFERROR(VLOOKUP(OLG91,'[1]List KPI'!$M$3:$N$8,2,0),"")</f>
        <v>2.0833333333333332E-2</v>
      </c>
      <c r="OLI91" s="76">
        <v>0.89444444444444449</v>
      </c>
      <c r="OLJ91" s="77" t="str">
        <f t="shared" si="318"/>
        <v>O</v>
      </c>
      <c r="OLK91" s="79">
        <v>5</v>
      </c>
      <c r="OLL91" s="75">
        <v>1276006</v>
      </c>
      <c r="OLM91" s="80"/>
      <c r="OLN91" s="81">
        <v>0.86944444444444446</v>
      </c>
      <c r="OLO91" s="74" t="s">
        <v>27</v>
      </c>
      <c r="OLP91" s="74" t="s">
        <v>24</v>
      </c>
      <c r="OLQ91" s="75" t="s">
        <v>25</v>
      </c>
      <c r="OLR91" s="76">
        <f>IFERROR(VLOOKUP(OLQ91,'[1]List KPI'!$A$103:$F$118,6,0),"")</f>
        <v>1.0416666666666666E-2</v>
      </c>
      <c r="OLS91" s="76">
        <v>0.86944444444444446</v>
      </c>
      <c r="OLT91" s="76">
        <v>0.86944444444444446</v>
      </c>
      <c r="OLU91" s="77" t="str">
        <f t="shared" si="317"/>
        <v>O</v>
      </c>
      <c r="OLV91" s="74" t="s">
        <v>28</v>
      </c>
      <c r="OLW91" s="75" t="s">
        <v>23</v>
      </c>
      <c r="OLX91" s="78">
        <f>IFERROR(VLOOKUP(OLW91,'[1]List KPI'!$M$3:$N$8,2,0),"")</f>
        <v>2.0833333333333332E-2</v>
      </c>
      <c r="OLY91" s="76">
        <v>0.89444444444444449</v>
      </c>
      <c r="OLZ91" s="77" t="str">
        <f t="shared" si="318"/>
        <v>O</v>
      </c>
      <c r="OMA91" s="79">
        <v>5</v>
      </c>
      <c r="OMB91" s="75">
        <v>1276006</v>
      </c>
      <c r="OMC91" s="80"/>
      <c r="OMD91" s="81">
        <v>0.86944444444444446</v>
      </c>
      <c r="OME91" s="74" t="s">
        <v>27</v>
      </c>
      <c r="OMF91" s="74" t="s">
        <v>24</v>
      </c>
      <c r="OMG91" s="75" t="s">
        <v>25</v>
      </c>
      <c r="OMH91" s="76">
        <f>IFERROR(VLOOKUP(OMG91,'[1]List KPI'!$A$103:$F$118,6,0),"")</f>
        <v>1.0416666666666666E-2</v>
      </c>
      <c r="OMI91" s="76">
        <v>0.86944444444444446</v>
      </c>
      <c r="OMJ91" s="76">
        <v>0.86944444444444446</v>
      </c>
      <c r="OMK91" s="77" t="str">
        <f t="shared" si="317"/>
        <v>O</v>
      </c>
      <c r="OML91" s="74" t="s">
        <v>28</v>
      </c>
      <c r="OMM91" s="75" t="s">
        <v>23</v>
      </c>
      <c r="OMN91" s="78">
        <f>IFERROR(VLOOKUP(OMM91,'[1]List KPI'!$M$3:$N$8,2,0),"")</f>
        <v>2.0833333333333332E-2</v>
      </c>
      <c r="OMO91" s="76">
        <v>0.89444444444444449</v>
      </c>
      <c r="OMP91" s="77" t="str">
        <f t="shared" si="318"/>
        <v>O</v>
      </c>
      <c r="OMQ91" s="79">
        <v>5</v>
      </c>
      <c r="OMR91" s="75">
        <v>1276006</v>
      </c>
      <c r="OMS91" s="80"/>
      <c r="OMT91" s="81">
        <v>0.86944444444444446</v>
      </c>
      <c r="OMU91" s="74" t="s">
        <v>27</v>
      </c>
      <c r="OMV91" s="74" t="s">
        <v>24</v>
      </c>
      <c r="OMW91" s="75" t="s">
        <v>25</v>
      </c>
      <c r="OMX91" s="76">
        <f>IFERROR(VLOOKUP(OMW91,'[1]List KPI'!$A$103:$F$118,6,0),"")</f>
        <v>1.0416666666666666E-2</v>
      </c>
      <c r="OMY91" s="76">
        <v>0.86944444444444446</v>
      </c>
      <c r="OMZ91" s="76">
        <v>0.86944444444444446</v>
      </c>
      <c r="ONA91" s="77" t="str">
        <f t="shared" ref="ONA91:OOW91" si="319">IF(OMZ91="","",IF(OMZ91&gt;ONI91,"O","P"))</f>
        <v>O</v>
      </c>
      <c r="ONB91" s="74" t="s">
        <v>28</v>
      </c>
      <c r="ONC91" s="75" t="s">
        <v>23</v>
      </c>
      <c r="OND91" s="78">
        <f>IFERROR(VLOOKUP(ONC91,'[1]List KPI'!$M$3:$N$8,2,0),"")</f>
        <v>2.0833333333333332E-2</v>
      </c>
      <c r="ONE91" s="76">
        <v>0.89444444444444449</v>
      </c>
      <c r="ONF91" s="77" t="str">
        <f t="shared" ref="ONF91:OPB91" si="320">IF(ONE91="","",IF(ONE91&gt;ONJ91,"O","P"))</f>
        <v>O</v>
      </c>
      <c r="ONG91" s="79">
        <v>5</v>
      </c>
      <c r="ONH91" s="75">
        <v>1276006</v>
      </c>
      <c r="ONI91" s="80"/>
      <c r="ONJ91" s="81">
        <v>0.86944444444444446</v>
      </c>
      <c r="ONK91" s="74" t="s">
        <v>27</v>
      </c>
      <c r="ONL91" s="74" t="s">
        <v>24</v>
      </c>
      <c r="ONM91" s="75" t="s">
        <v>25</v>
      </c>
      <c r="ONN91" s="76">
        <f>IFERROR(VLOOKUP(ONM91,'[1]List KPI'!$A$103:$F$118,6,0),"")</f>
        <v>1.0416666666666666E-2</v>
      </c>
      <c r="ONO91" s="76">
        <v>0.86944444444444446</v>
      </c>
      <c r="ONP91" s="76">
        <v>0.86944444444444446</v>
      </c>
      <c r="ONQ91" s="77" t="str">
        <f t="shared" si="319"/>
        <v>O</v>
      </c>
      <c r="ONR91" s="74" t="s">
        <v>28</v>
      </c>
      <c r="ONS91" s="75" t="s">
        <v>23</v>
      </c>
      <c r="ONT91" s="78">
        <f>IFERROR(VLOOKUP(ONS91,'[1]List KPI'!$M$3:$N$8,2,0),"")</f>
        <v>2.0833333333333332E-2</v>
      </c>
      <c r="ONU91" s="76">
        <v>0.89444444444444449</v>
      </c>
      <c r="ONV91" s="77" t="str">
        <f t="shared" si="320"/>
        <v>O</v>
      </c>
      <c r="ONW91" s="79">
        <v>5</v>
      </c>
      <c r="ONX91" s="75">
        <v>1276006</v>
      </c>
      <c r="ONY91" s="80"/>
      <c r="ONZ91" s="81">
        <v>0.86944444444444446</v>
      </c>
      <c r="OOA91" s="74" t="s">
        <v>27</v>
      </c>
      <c r="OOB91" s="74" t="s">
        <v>24</v>
      </c>
      <c r="OOC91" s="75" t="s">
        <v>25</v>
      </c>
      <c r="OOD91" s="76">
        <f>IFERROR(VLOOKUP(OOC91,'[1]List KPI'!$A$103:$F$118,6,0),"")</f>
        <v>1.0416666666666666E-2</v>
      </c>
      <c r="OOE91" s="76">
        <v>0.86944444444444446</v>
      </c>
      <c r="OOF91" s="76">
        <v>0.86944444444444446</v>
      </c>
      <c r="OOG91" s="77" t="str">
        <f t="shared" si="319"/>
        <v>O</v>
      </c>
      <c r="OOH91" s="74" t="s">
        <v>28</v>
      </c>
      <c r="OOI91" s="75" t="s">
        <v>23</v>
      </c>
      <c r="OOJ91" s="78">
        <f>IFERROR(VLOOKUP(OOI91,'[1]List KPI'!$M$3:$N$8,2,0),"")</f>
        <v>2.0833333333333332E-2</v>
      </c>
      <c r="OOK91" s="76">
        <v>0.89444444444444449</v>
      </c>
      <c r="OOL91" s="77" t="str">
        <f t="shared" si="320"/>
        <v>O</v>
      </c>
      <c r="OOM91" s="79">
        <v>5</v>
      </c>
      <c r="OON91" s="75">
        <v>1276006</v>
      </c>
      <c r="OOO91" s="80"/>
      <c r="OOP91" s="81">
        <v>0.86944444444444446</v>
      </c>
      <c r="OOQ91" s="74" t="s">
        <v>27</v>
      </c>
      <c r="OOR91" s="74" t="s">
        <v>24</v>
      </c>
      <c r="OOS91" s="75" t="s">
        <v>25</v>
      </c>
      <c r="OOT91" s="76">
        <f>IFERROR(VLOOKUP(OOS91,'[1]List KPI'!$A$103:$F$118,6,0),"")</f>
        <v>1.0416666666666666E-2</v>
      </c>
      <c r="OOU91" s="76">
        <v>0.86944444444444446</v>
      </c>
      <c r="OOV91" s="76">
        <v>0.86944444444444446</v>
      </c>
      <c r="OOW91" s="77" t="str">
        <f t="shared" si="319"/>
        <v>O</v>
      </c>
      <c r="OOX91" s="74" t="s">
        <v>28</v>
      </c>
      <c r="OOY91" s="75" t="s">
        <v>23</v>
      </c>
      <c r="OOZ91" s="78">
        <f>IFERROR(VLOOKUP(OOY91,'[1]List KPI'!$M$3:$N$8,2,0),"")</f>
        <v>2.0833333333333332E-2</v>
      </c>
      <c r="OPA91" s="76">
        <v>0.89444444444444449</v>
      </c>
      <c r="OPB91" s="77" t="str">
        <f t="shared" si="320"/>
        <v>O</v>
      </c>
      <c r="OPC91" s="79">
        <v>5</v>
      </c>
      <c r="OPD91" s="75">
        <v>1276006</v>
      </c>
      <c r="OPE91" s="80"/>
      <c r="OPF91" s="81">
        <v>0.86944444444444446</v>
      </c>
      <c r="OPG91" s="74" t="s">
        <v>27</v>
      </c>
      <c r="OPH91" s="74" t="s">
        <v>24</v>
      </c>
      <c r="OPI91" s="75" t="s">
        <v>25</v>
      </c>
      <c r="OPJ91" s="76">
        <f>IFERROR(VLOOKUP(OPI91,'[1]List KPI'!$A$103:$F$118,6,0),"")</f>
        <v>1.0416666666666666E-2</v>
      </c>
      <c r="OPK91" s="76">
        <v>0.86944444444444446</v>
      </c>
      <c r="OPL91" s="76">
        <v>0.86944444444444446</v>
      </c>
      <c r="OPM91" s="77" t="str">
        <f t="shared" ref="OPM91:ORI91" si="321">IF(OPL91="","",IF(OPL91&gt;OPU91,"O","P"))</f>
        <v>O</v>
      </c>
      <c r="OPN91" s="74" t="s">
        <v>28</v>
      </c>
      <c r="OPO91" s="75" t="s">
        <v>23</v>
      </c>
      <c r="OPP91" s="78">
        <f>IFERROR(VLOOKUP(OPO91,'[1]List KPI'!$M$3:$N$8,2,0),"")</f>
        <v>2.0833333333333332E-2</v>
      </c>
      <c r="OPQ91" s="76">
        <v>0.89444444444444449</v>
      </c>
      <c r="OPR91" s="77" t="str">
        <f t="shared" ref="OPR91:ORN91" si="322">IF(OPQ91="","",IF(OPQ91&gt;OPV91,"O","P"))</f>
        <v>O</v>
      </c>
      <c r="OPS91" s="79">
        <v>5</v>
      </c>
      <c r="OPT91" s="75">
        <v>1276006</v>
      </c>
      <c r="OPU91" s="80"/>
      <c r="OPV91" s="81">
        <v>0.86944444444444446</v>
      </c>
      <c r="OPW91" s="74" t="s">
        <v>27</v>
      </c>
      <c r="OPX91" s="74" t="s">
        <v>24</v>
      </c>
      <c r="OPY91" s="75" t="s">
        <v>25</v>
      </c>
      <c r="OPZ91" s="76">
        <f>IFERROR(VLOOKUP(OPY91,'[1]List KPI'!$A$103:$F$118,6,0),"")</f>
        <v>1.0416666666666666E-2</v>
      </c>
      <c r="OQA91" s="76">
        <v>0.86944444444444446</v>
      </c>
      <c r="OQB91" s="76">
        <v>0.86944444444444446</v>
      </c>
      <c r="OQC91" s="77" t="str">
        <f t="shared" si="321"/>
        <v>O</v>
      </c>
      <c r="OQD91" s="74" t="s">
        <v>28</v>
      </c>
      <c r="OQE91" s="75" t="s">
        <v>23</v>
      </c>
      <c r="OQF91" s="78">
        <f>IFERROR(VLOOKUP(OQE91,'[1]List KPI'!$M$3:$N$8,2,0),"")</f>
        <v>2.0833333333333332E-2</v>
      </c>
      <c r="OQG91" s="76">
        <v>0.89444444444444449</v>
      </c>
      <c r="OQH91" s="77" t="str">
        <f t="shared" si="322"/>
        <v>O</v>
      </c>
      <c r="OQI91" s="79">
        <v>5</v>
      </c>
      <c r="OQJ91" s="75">
        <v>1276006</v>
      </c>
      <c r="OQK91" s="80"/>
      <c r="OQL91" s="81">
        <v>0.86944444444444446</v>
      </c>
      <c r="OQM91" s="74" t="s">
        <v>27</v>
      </c>
      <c r="OQN91" s="74" t="s">
        <v>24</v>
      </c>
      <c r="OQO91" s="75" t="s">
        <v>25</v>
      </c>
      <c r="OQP91" s="76">
        <f>IFERROR(VLOOKUP(OQO91,'[1]List KPI'!$A$103:$F$118,6,0),"")</f>
        <v>1.0416666666666666E-2</v>
      </c>
      <c r="OQQ91" s="76">
        <v>0.86944444444444446</v>
      </c>
      <c r="OQR91" s="76">
        <v>0.86944444444444446</v>
      </c>
      <c r="OQS91" s="77" t="str">
        <f t="shared" si="321"/>
        <v>O</v>
      </c>
      <c r="OQT91" s="74" t="s">
        <v>28</v>
      </c>
      <c r="OQU91" s="75" t="s">
        <v>23</v>
      </c>
      <c r="OQV91" s="78">
        <f>IFERROR(VLOOKUP(OQU91,'[1]List KPI'!$M$3:$N$8,2,0),"")</f>
        <v>2.0833333333333332E-2</v>
      </c>
      <c r="OQW91" s="76">
        <v>0.89444444444444449</v>
      </c>
      <c r="OQX91" s="77" t="str">
        <f t="shared" si="322"/>
        <v>O</v>
      </c>
      <c r="OQY91" s="79">
        <v>5</v>
      </c>
      <c r="OQZ91" s="75">
        <v>1276006</v>
      </c>
      <c r="ORA91" s="80"/>
      <c r="ORB91" s="81">
        <v>0.86944444444444446</v>
      </c>
      <c r="ORC91" s="74" t="s">
        <v>27</v>
      </c>
      <c r="ORD91" s="74" t="s">
        <v>24</v>
      </c>
      <c r="ORE91" s="75" t="s">
        <v>25</v>
      </c>
      <c r="ORF91" s="76">
        <f>IFERROR(VLOOKUP(ORE91,'[1]List KPI'!$A$103:$F$118,6,0),"")</f>
        <v>1.0416666666666666E-2</v>
      </c>
      <c r="ORG91" s="76">
        <v>0.86944444444444446</v>
      </c>
      <c r="ORH91" s="76">
        <v>0.86944444444444446</v>
      </c>
      <c r="ORI91" s="77" t="str">
        <f t="shared" si="321"/>
        <v>O</v>
      </c>
      <c r="ORJ91" s="74" t="s">
        <v>28</v>
      </c>
      <c r="ORK91" s="75" t="s">
        <v>23</v>
      </c>
      <c r="ORL91" s="78">
        <f>IFERROR(VLOOKUP(ORK91,'[1]List KPI'!$M$3:$N$8,2,0),"")</f>
        <v>2.0833333333333332E-2</v>
      </c>
      <c r="ORM91" s="76">
        <v>0.89444444444444449</v>
      </c>
      <c r="ORN91" s="77" t="str">
        <f t="shared" si="322"/>
        <v>O</v>
      </c>
      <c r="ORO91" s="79">
        <v>5</v>
      </c>
      <c r="ORP91" s="75">
        <v>1276006</v>
      </c>
      <c r="ORQ91" s="80"/>
      <c r="ORR91" s="81">
        <v>0.86944444444444446</v>
      </c>
      <c r="ORS91" s="74" t="s">
        <v>27</v>
      </c>
      <c r="ORT91" s="74" t="s">
        <v>24</v>
      </c>
      <c r="ORU91" s="75" t="s">
        <v>25</v>
      </c>
      <c r="ORV91" s="76">
        <f>IFERROR(VLOOKUP(ORU91,'[1]List KPI'!$A$103:$F$118,6,0),"")</f>
        <v>1.0416666666666666E-2</v>
      </c>
      <c r="ORW91" s="76">
        <v>0.86944444444444446</v>
      </c>
      <c r="ORX91" s="76">
        <v>0.86944444444444446</v>
      </c>
      <c r="ORY91" s="77" t="str">
        <f t="shared" ref="ORY91:OTU91" si="323">IF(ORX91="","",IF(ORX91&gt;OSG91,"O","P"))</f>
        <v>O</v>
      </c>
      <c r="ORZ91" s="74" t="s">
        <v>28</v>
      </c>
      <c r="OSA91" s="75" t="s">
        <v>23</v>
      </c>
      <c r="OSB91" s="78">
        <f>IFERROR(VLOOKUP(OSA91,'[1]List KPI'!$M$3:$N$8,2,0),"")</f>
        <v>2.0833333333333332E-2</v>
      </c>
      <c r="OSC91" s="76">
        <v>0.89444444444444449</v>
      </c>
      <c r="OSD91" s="77" t="str">
        <f t="shared" ref="OSD91:OTZ91" si="324">IF(OSC91="","",IF(OSC91&gt;OSH91,"O","P"))</f>
        <v>O</v>
      </c>
      <c r="OSE91" s="79">
        <v>5</v>
      </c>
      <c r="OSF91" s="75">
        <v>1276006</v>
      </c>
      <c r="OSG91" s="80"/>
      <c r="OSH91" s="81">
        <v>0.86944444444444446</v>
      </c>
      <c r="OSI91" s="74" t="s">
        <v>27</v>
      </c>
      <c r="OSJ91" s="74" t="s">
        <v>24</v>
      </c>
      <c r="OSK91" s="75" t="s">
        <v>25</v>
      </c>
      <c r="OSL91" s="76">
        <f>IFERROR(VLOOKUP(OSK91,'[1]List KPI'!$A$103:$F$118,6,0),"")</f>
        <v>1.0416666666666666E-2</v>
      </c>
      <c r="OSM91" s="76">
        <v>0.86944444444444446</v>
      </c>
      <c r="OSN91" s="76">
        <v>0.86944444444444446</v>
      </c>
      <c r="OSO91" s="77" t="str">
        <f t="shared" si="323"/>
        <v>O</v>
      </c>
      <c r="OSP91" s="74" t="s">
        <v>28</v>
      </c>
      <c r="OSQ91" s="75" t="s">
        <v>23</v>
      </c>
      <c r="OSR91" s="78">
        <f>IFERROR(VLOOKUP(OSQ91,'[1]List KPI'!$M$3:$N$8,2,0),"")</f>
        <v>2.0833333333333332E-2</v>
      </c>
      <c r="OSS91" s="76">
        <v>0.89444444444444449</v>
      </c>
      <c r="OST91" s="77" t="str">
        <f t="shared" si="324"/>
        <v>O</v>
      </c>
      <c r="OSU91" s="79">
        <v>5</v>
      </c>
      <c r="OSV91" s="75">
        <v>1276006</v>
      </c>
      <c r="OSW91" s="80"/>
      <c r="OSX91" s="81">
        <v>0.86944444444444446</v>
      </c>
      <c r="OSY91" s="74" t="s">
        <v>27</v>
      </c>
      <c r="OSZ91" s="74" t="s">
        <v>24</v>
      </c>
      <c r="OTA91" s="75" t="s">
        <v>25</v>
      </c>
      <c r="OTB91" s="76">
        <f>IFERROR(VLOOKUP(OTA91,'[1]List KPI'!$A$103:$F$118,6,0),"")</f>
        <v>1.0416666666666666E-2</v>
      </c>
      <c r="OTC91" s="76">
        <v>0.86944444444444446</v>
      </c>
      <c r="OTD91" s="76">
        <v>0.86944444444444446</v>
      </c>
      <c r="OTE91" s="77" t="str">
        <f t="shared" si="323"/>
        <v>O</v>
      </c>
      <c r="OTF91" s="74" t="s">
        <v>28</v>
      </c>
      <c r="OTG91" s="75" t="s">
        <v>23</v>
      </c>
      <c r="OTH91" s="78">
        <f>IFERROR(VLOOKUP(OTG91,'[1]List KPI'!$M$3:$N$8,2,0),"")</f>
        <v>2.0833333333333332E-2</v>
      </c>
      <c r="OTI91" s="76">
        <v>0.89444444444444449</v>
      </c>
      <c r="OTJ91" s="77" t="str">
        <f t="shared" si="324"/>
        <v>O</v>
      </c>
      <c r="OTK91" s="79">
        <v>5</v>
      </c>
      <c r="OTL91" s="75">
        <v>1276006</v>
      </c>
      <c r="OTM91" s="80"/>
      <c r="OTN91" s="81">
        <v>0.86944444444444446</v>
      </c>
      <c r="OTO91" s="74" t="s">
        <v>27</v>
      </c>
      <c r="OTP91" s="74" t="s">
        <v>24</v>
      </c>
      <c r="OTQ91" s="75" t="s">
        <v>25</v>
      </c>
      <c r="OTR91" s="76">
        <f>IFERROR(VLOOKUP(OTQ91,'[1]List KPI'!$A$103:$F$118,6,0),"")</f>
        <v>1.0416666666666666E-2</v>
      </c>
      <c r="OTS91" s="76">
        <v>0.86944444444444446</v>
      </c>
      <c r="OTT91" s="76">
        <v>0.86944444444444446</v>
      </c>
      <c r="OTU91" s="77" t="str">
        <f t="shared" si="323"/>
        <v>O</v>
      </c>
      <c r="OTV91" s="74" t="s">
        <v>28</v>
      </c>
      <c r="OTW91" s="75" t="s">
        <v>23</v>
      </c>
      <c r="OTX91" s="78">
        <f>IFERROR(VLOOKUP(OTW91,'[1]List KPI'!$M$3:$N$8,2,0),"")</f>
        <v>2.0833333333333332E-2</v>
      </c>
      <c r="OTY91" s="76">
        <v>0.89444444444444449</v>
      </c>
      <c r="OTZ91" s="77" t="str">
        <f t="shared" si="324"/>
        <v>O</v>
      </c>
      <c r="OUA91" s="79">
        <v>5</v>
      </c>
      <c r="OUB91" s="75">
        <v>1276006</v>
      </c>
      <c r="OUC91" s="80"/>
      <c r="OUD91" s="81">
        <v>0.86944444444444446</v>
      </c>
      <c r="OUE91" s="74" t="s">
        <v>27</v>
      </c>
      <c r="OUF91" s="74" t="s">
        <v>24</v>
      </c>
      <c r="OUG91" s="75" t="s">
        <v>25</v>
      </c>
      <c r="OUH91" s="76">
        <f>IFERROR(VLOOKUP(OUG91,'[1]List KPI'!$A$103:$F$118,6,0),"")</f>
        <v>1.0416666666666666E-2</v>
      </c>
      <c r="OUI91" s="76">
        <v>0.86944444444444446</v>
      </c>
      <c r="OUJ91" s="76">
        <v>0.86944444444444446</v>
      </c>
      <c r="OUK91" s="77" t="str">
        <f t="shared" ref="OUK91:OWG91" si="325">IF(OUJ91="","",IF(OUJ91&gt;OUS91,"O","P"))</f>
        <v>O</v>
      </c>
      <c r="OUL91" s="74" t="s">
        <v>28</v>
      </c>
      <c r="OUM91" s="75" t="s">
        <v>23</v>
      </c>
      <c r="OUN91" s="78">
        <f>IFERROR(VLOOKUP(OUM91,'[1]List KPI'!$M$3:$N$8,2,0),"")</f>
        <v>2.0833333333333332E-2</v>
      </c>
      <c r="OUO91" s="76">
        <v>0.89444444444444449</v>
      </c>
      <c r="OUP91" s="77" t="str">
        <f t="shared" ref="OUP91:OWL91" si="326">IF(OUO91="","",IF(OUO91&gt;OUT91,"O","P"))</f>
        <v>O</v>
      </c>
      <c r="OUQ91" s="79">
        <v>5</v>
      </c>
      <c r="OUR91" s="75">
        <v>1276006</v>
      </c>
      <c r="OUS91" s="80"/>
      <c r="OUT91" s="81">
        <v>0.86944444444444446</v>
      </c>
      <c r="OUU91" s="74" t="s">
        <v>27</v>
      </c>
      <c r="OUV91" s="74" t="s">
        <v>24</v>
      </c>
      <c r="OUW91" s="75" t="s">
        <v>25</v>
      </c>
      <c r="OUX91" s="76">
        <f>IFERROR(VLOOKUP(OUW91,'[1]List KPI'!$A$103:$F$118,6,0),"")</f>
        <v>1.0416666666666666E-2</v>
      </c>
      <c r="OUY91" s="76">
        <v>0.86944444444444446</v>
      </c>
      <c r="OUZ91" s="76">
        <v>0.86944444444444446</v>
      </c>
      <c r="OVA91" s="77" t="str">
        <f t="shared" si="325"/>
        <v>O</v>
      </c>
      <c r="OVB91" s="74" t="s">
        <v>28</v>
      </c>
      <c r="OVC91" s="75" t="s">
        <v>23</v>
      </c>
      <c r="OVD91" s="78">
        <f>IFERROR(VLOOKUP(OVC91,'[1]List KPI'!$M$3:$N$8,2,0),"")</f>
        <v>2.0833333333333332E-2</v>
      </c>
      <c r="OVE91" s="76">
        <v>0.89444444444444449</v>
      </c>
      <c r="OVF91" s="77" t="str">
        <f t="shared" si="326"/>
        <v>O</v>
      </c>
      <c r="OVG91" s="79">
        <v>5</v>
      </c>
      <c r="OVH91" s="75">
        <v>1276006</v>
      </c>
      <c r="OVI91" s="80"/>
      <c r="OVJ91" s="81">
        <v>0.86944444444444446</v>
      </c>
      <c r="OVK91" s="74" t="s">
        <v>27</v>
      </c>
      <c r="OVL91" s="74" t="s">
        <v>24</v>
      </c>
      <c r="OVM91" s="75" t="s">
        <v>25</v>
      </c>
      <c r="OVN91" s="76">
        <f>IFERROR(VLOOKUP(OVM91,'[1]List KPI'!$A$103:$F$118,6,0),"")</f>
        <v>1.0416666666666666E-2</v>
      </c>
      <c r="OVO91" s="76">
        <v>0.86944444444444446</v>
      </c>
      <c r="OVP91" s="76">
        <v>0.86944444444444446</v>
      </c>
      <c r="OVQ91" s="77" t="str">
        <f t="shared" si="325"/>
        <v>O</v>
      </c>
      <c r="OVR91" s="74" t="s">
        <v>28</v>
      </c>
      <c r="OVS91" s="75" t="s">
        <v>23</v>
      </c>
      <c r="OVT91" s="78">
        <f>IFERROR(VLOOKUP(OVS91,'[1]List KPI'!$M$3:$N$8,2,0),"")</f>
        <v>2.0833333333333332E-2</v>
      </c>
      <c r="OVU91" s="76">
        <v>0.89444444444444449</v>
      </c>
      <c r="OVV91" s="77" t="str">
        <f t="shared" si="326"/>
        <v>O</v>
      </c>
      <c r="OVW91" s="79">
        <v>5</v>
      </c>
      <c r="OVX91" s="75">
        <v>1276006</v>
      </c>
      <c r="OVY91" s="80"/>
      <c r="OVZ91" s="81">
        <v>0.86944444444444446</v>
      </c>
      <c r="OWA91" s="74" t="s">
        <v>27</v>
      </c>
      <c r="OWB91" s="74" t="s">
        <v>24</v>
      </c>
      <c r="OWC91" s="75" t="s">
        <v>25</v>
      </c>
      <c r="OWD91" s="76">
        <f>IFERROR(VLOOKUP(OWC91,'[1]List KPI'!$A$103:$F$118,6,0),"")</f>
        <v>1.0416666666666666E-2</v>
      </c>
      <c r="OWE91" s="76">
        <v>0.86944444444444446</v>
      </c>
      <c r="OWF91" s="76">
        <v>0.86944444444444446</v>
      </c>
      <c r="OWG91" s="77" t="str">
        <f t="shared" si="325"/>
        <v>O</v>
      </c>
      <c r="OWH91" s="74" t="s">
        <v>28</v>
      </c>
      <c r="OWI91" s="75" t="s">
        <v>23</v>
      </c>
      <c r="OWJ91" s="78">
        <f>IFERROR(VLOOKUP(OWI91,'[1]List KPI'!$M$3:$N$8,2,0),"")</f>
        <v>2.0833333333333332E-2</v>
      </c>
      <c r="OWK91" s="76">
        <v>0.89444444444444449</v>
      </c>
      <c r="OWL91" s="77" t="str">
        <f t="shared" si="326"/>
        <v>O</v>
      </c>
      <c r="OWM91" s="79">
        <v>5</v>
      </c>
      <c r="OWN91" s="75">
        <v>1276006</v>
      </c>
      <c r="OWO91" s="80"/>
      <c r="OWP91" s="81">
        <v>0.86944444444444446</v>
      </c>
      <c r="OWQ91" s="74" t="s">
        <v>27</v>
      </c>
      <c r="OWR91" s="74" t="s">
        <v>24</v>
      </c>
      <c r="OWS91" s="75" t="s">
        <v>25</v>
      </c>
      <c r="OWT91" s="76">
        <f>IFERROR(VLOOKUP(OWS91,'[1]List KPI'!$A$103:$F$118,6,0),"")</f>
        <v>1.0416666666666666E-2</v>
      </c>
      <c r="OWU91" s="76">
        <v>0.86944444444444446</v>
      </c>
      <c r="OWV91" s="76">
        <v>0.86944444444444446</v>
      </c>
      <c r="OWW91" s="77" t="str">
        <f t="shared" ref="OWW91:OYS91" si="327">IF(OWV91="","",IF(OWV91&gt;OXE91,"O","P"))</f>
        <v>O</v>
      </c>
      <c r="OWX91" s="74" t="s">
        <v>28</v>
      </c>
      <c r="OWY91" s="75" t="s">
        <v>23</v>
      </c>
      <c r="OWZ91" s="78">
        <f>IFERROR(VLOOKUP(OWY91,'[1]List KPI'!$M$3:$N$8,2,0),"")</f>
        <v>2.0833333333333332E-2</v>
      </c>
      <c r="OXA91" s="76">
        <v>0.89444444444444449</v>
      </c>
      <c r="OXB91" s="77" t="str">
        <f t="shared" ref="OXB91:OYX91" si="328">IF(OXA91="","",IF(OXA91&gt;OXF91,"O","P"))</f>
        <v>O</v>
      </c>
      <c r="OXC91" s="79">
        <v>5</v>
      </c>
      <c r="OXD91" s="75">
        <v>1276006</v>
      </c>
      <c r="OXE91" s="80"/>
      <c r="OXF91" s="81">
        <v>0.86944444444444446</v>
      </c>
      <c r="OXG91" s="74" t="s">
        <v>27</v>
      </c>
      <c r="OXH91" s="74" t="s">
        <v>24</v>
      </c>
      <c r="OXI91" s="75" t="s">
        <v>25</v>
      </c>
      <c r="OXJ91" s="76">
        <f>IFERROR(VLOOKUP(OXI91,'[1]List KPI'!$A$103:$F$118,6,0),"")</f>
        <v>1.0416666666666666E-2</v>
      </c>
      <c r="OXK91" s="76">
        <v>0.86944444444444446</v>
      </c>
      <c r="OXL91" s="76">
        <v>0.86944444444444446</v>
      </c>
      <c r="OXM91" s="77" t="str">
        <f t="shared" si="327"/>
        <v>O</v>
      </c>
      <c r="OXN91" s="74" t="s">
        <v>28</v>
      </c>
      <c r="OXO91" s="75" t="s">
        <v>23</v>
      </c>
      <c r="OXP91" s="78">
        <f>IFERROR(VLOOKUP(OXO91,'[1]List KPI'!$M$3:$N$8,2,0),"")</f>
        <v>2.0833333333333332E-2</v>
      </c>
      <c r="OXQ91" s="76">
        <v>0.89444444444444449</v>
      </c>
      <c r="OXR91" s="77" t="str">
        <f t="shared" si="328"/>
        <v>O</v>
      </c>
      <c r="OXS91" s="79">
        <v>5</v>
      </c>
      <c r="OXT91" s="75">
        <v>1276006</v>
      </c>
      <c r="OXU91" s="80"/>
      <c r="OXV91" s="81">
        <v>0.86944444444444446</v>
      </c>
      <c r="OXW91" s="74" t="s">
        <v>27</v>
      </c>
      <c r="OXX91" s="74" t="s">
        <v>24</v>
      </c>
      <c r="OXY91" s="75" t="s">
        <v>25</v>
      </c>
      <c r="OXZ91" s="76">
        <f>IFERROR(VLOOKUP(OXY91,'[1]List KPI'!$A$103:$F$118,6,0),"")</f>
        <v>1.0416666666666666E-2</v>
      </c>
      <c r="OYA91" s="76">
        <v>0.86944444444444446</v>
      </c>
      <c r="OYB91" s="76">
        <v>0.86944444444444446</v>
      </c>
      <c r="OYC91" s="77" t="str">
        <f t="shared" si="327"/>
        <v>O</v>
      </c>
      <c r="OYD91" s="74" t="s">
        <v>28</v>
      </c>
      <c r="OYE91" s="75" t="s">
        <v>23</v>
      </c>
      <c r="OYF91" s="78">
        <f>IFERROR(VLOOKUP(OYE91,'[1]List KPI'!$M$3:$N$8,2,0),"")</f>
        <v>2.0833333333333332E-2</v>
      </c>
      <c r="OYG91" s="76">
        <v>0.89444444444444449</v>
      </c>
      <c r="OYH91" s="77" t="str">
        <f t="shared" si="328"/>
        <v>O</v>
      </c>
      <c r="OYI91" s="79">
        <v>5</v>
      </c>
      <c r="OYJ91" s="75">
        <v>1276006</v>
      </c>
      <c r="OYK91" s="80"/>
      <c r="OYL91" s="81">
        <v>0.86944444444444446</v>
      </c>
      <c r="OYM91" s="74" t="s">
        <v>27</v>
      </c>
      <c r="OYN91" s="74" t="s">
        <v>24</v>
      </c>
      <c r="OYO91" s="75" t="s">
        <v>25</v>
      </c>
      <c r="OYP91" s="76">
        <f>IFERROR(VLOOKUP(OYO91,'[1]List KPI'!$A$103:$F$118,6,0),"")</f>
        <v>1.0416666666666666E-2</v>
      </c>
      <c r="OYQ91" s="76">
        <v>0.86944444444444446</v>
      </c>
      <c r="OYR91" s="76">
        <v>0.86944444444444446</v>
      </c>
      <c r="OYS91" s="77" t="str">
        <f t="shared" si="327"/>
        <v>O</v>
      </c>
      <c r="OYT91" s="74" t="s">
        <v>28</v>
      </c>
      <c r="OYU91" s="75" t="s">
        <v>23</v>
      </c>
      <c r="OYV91" s="78">
        <f>IFERROR(VLOOKUP(OYU91,'[1]List KPI'!$M$3:$N$8,2,0),"")</f>
        <v>2.0833333333333332E-2</v>
      </c>
      <c r="OYW91" s="76">
        <v>0.89444444444444449</v>
      </c>
      <c r="OYX91" s="77" t="str">
        <f t="shared" si="328"/>
        <v>O</v>
      </c>
      <c r="OYY91" s="79">
        <v>5</v>
      </c>
      <c r="OYZ91" s="75">
        <v>1276006</v>
      </c>
      <c r="OZA91" s="80"/>
      <c r="OZB91" s="81">
        <v>0.86944444444444446</v>
      </c>
      <c r="OZC91" s="74" t="s">
        <v>27</v>
      </c>
      <c r="OZD91" s="74" t="s">
        <v>24</v>
      </c>
      <c r="OZE91" s="75" t="s">
        <v>25</v>
      </c>
      <c r="OZF91" s="76">
        <f>IFERROR(VLOOKUP(OZE91,'[1]List KPI'!$A$103:$F$118,6,0),"")</f>
        <v>1.0416666666666666E-2</v>
      </c>
      <c r="OZG91" s="76">
        <v>0.86944444444444446</v>
      </c>
      <c r="OZH91" s="76">
        <v>0.86944444444444446</v>
      </c>
      <c r="OZI91" s="77" t="str">
        <f t="shared" ref="OZI91:PBE91" si="329">IF(OZH91="","",IF(OZH91&gt;OZQ91,"O","P"))</f>
        <v>O</v>
      </c>
      <c r="OZJ91" s="74" t="s">
        <v>28</v>
      </c>
      <c r="OZK91" s="75" t="s">
        <v>23</v>
      </c>
      <c r="OZL91" s="78">
        <f>IFERROR(VLOOKUP(OZK91,'[1]List KPI'!$M$3:$N$8,2,0),"")</f>
        <v>2.0833333333333332E-2</v>
      </c>
      <c r="OZM91" s="76">
        <v>0.89444444444444449</v>
      </c>
      <c r="OZN91" s="77" t="str">
        <f t="shared" ref="OZN91:PBJ91" si="330">IF(OZM91="","",IF(OZM91&gt;OZR91,"O","P"))</f>
        <v>O</v>
      </c>
      <c r="OZO91" s="79">
        <v>5</v>
      </c>
      <c r="OZP91" s="75">
        <v>1276006</v>
      </c>
      <c r="OZQ91" s="80"/>
      <c r="OZR91" s="81">
        <v>0.86944444444444446</v>
      </c>
      <c r="OZS91" s="74" t="s">
        <v>27</v>
      </c>
      <c r="OZT91" s="74" t="s">
        <v>24</v>
      </c>
      <c r="OZU91" s="75" t="s">
        <v>25</v>
      </c>
      <c r="OZV91" s="76">
        <f>IFERROR(VLOOKUP(OZU91,'[1]List KPI'!$A$103:$F$118,6,0),"")</f>
        <v>1.0416666666666666E-2</v>
      </c>
      <c r="OZW91" s="76">
        <v>0.86944444444444446</v>
      </c>
      <c r="OZX91" s="76">
        <v>0.86944444444444446</v>
      </c>
      <c r="OZY91" s="77" t="str">
        <f t="shared" si="329"/>
        <v>O</v>
      </c>
      <c r="OZZ91" s="74" t="s">
        <v>28</v>
      </c>
      <c r="PAA91" s="75" t="s">
        <v>23</v>
      </c>
      <c r="PAB91" s="78">
        <f>IFERROR(VLOOKUP(PAA91,'[1]List KPI'!$M$3:$N$8,2,0),"")</f>
        <v>2.0833333333333332E-2</v>
      </c>
      <c r="PAC91" s="76">
        <v>0.89444444444444449</v>
      </c>
      <c r="PAD91" s="77" t="str">
        <f t="shared" si="330"/>
        <v>O</v>
      </c>
      <c r="PAE91" s="79">
        <v>5</v>
      </c>
      <c r="PAF91" s="75">
        <v>1276006</v>
      </c>
      <c r="PAG91" s="80"/>
      <c r="PAH91" s="81">
        <v>0.86944444444444446</v>
      </c>
      <c r="PAI91" s="74" t="s">
        <v>27</v>
      </c>
      <c r="PAJ91" s="74" t="s">
        <v>24</v>
      </c>
      <c r="PAK91" s="75" t="s">
        <v>25</v>
      </c>
      <c r="PAL91" s="76">
        <f>IFERROR(VLOOKUP(PAK91,'[1]List KPI'!$A$103:$F$118,6,0),"")</f>
        <v>1.0416666666666666E-2</v>
      </c>
      <c r="PAM91" s="76">
        <v>0.86944444444444446</v>
      </c>
      <c r="PAN91" s="76">
        <v>0.86944444444444446</v>
      </c>
      <c r="PAO91" s="77" t="str">
        <f t="shared" si="329"/>
        <v>O</v>
      </c>
      <c r="PAP91" s="74" t="s">
        <v>28</v>
      </c>
      <c r="PAQ91" s="75" t="s">
        <v>23</v>
      </c>
      <c r="PAR91" s="78">
        <f>IFERROR(VLOOKUP(PAQ91,'[1]List KPI'!$M$3:$N$8,2,0),"")</f>
        <v>2.0833333333333332E-2</v>
      </c>
      <c r="PAS91" s="76">
        <v>0.89444444444444449</v>
      </c>
      <c r="PAT91" s="77" t="str">
        <f t="shared" si="330"/>
        <v>O</v>
      </c>
      <c r="PAU91" s="79">
        <v>5</v>
      </c>
      <c r="PAV91" s="75">
        <v>1276006</v>
      </c>
      <c r="PAW91" s="80"/>
      <c r="PAX91" s="81">
        <v>0.86944444444444446</v>
      </c>
      <c r="PAY91" s="74" t="s">
        <v>27</v>
      </c>
      <c r="PAZ91" s="74" t="s">
        <v>24</v>
      </c>
      <c r="PBA91" s="75" t="s">
        <v>25</v>
      </c>
      <c r="PBB91" s="76">
        <f>IFERROR(VLOOKUP(PBA91,'[1]List KPI'!$A$103:$F$118,6,0),"")</f>
        <v>1.0416666666666666E-2</v>
      </c>
      <c r="PBC91" s="76">
        <v>0.86944444444444446</v>
      </c>
      <c r="PBD91" s="76">
        <v>0.86944444444444446</v>
      </c>
      <c r="PBE91" s="77" t="str">
        <f t="shared" si="329"/>
        <v>O</v>
      </c>
      <c r="PBF91" s="74" t="s">
        <v>28</v>
      </c>
      <c r="PBG91" s="75" t="s">
        <v>23</v>
      </c>
      <c r="PBH91" s="78">
        <f>IFERROR(VLOOKUP(PBG91,'[1]List KPI'!$M$3:$N$8,2,0),"")</f>
        <v>2.0833333333333332E-2</v>
      </c>
      <c r="PBI91" s="76">
        <v>0.89444444444444449</v>
      </c>
      <c r="PBJ91" s="77" t="str">
        <f t="shared" si="330"/>
        <v>O</v>
      </c>
      <c r="PBK91" s="79">
        <v>5</v>
      </c>
      <c r="PBL91" s="75">
        <v>1276006</v>
      </c>
      <c r="PBM91" s="80"/>
      <c r="PBN91" s="81">
        <v>0.86944444444444446</v>
      </c>
      <c r="PBO91" s="74" t="s">
        <v>27</v>
      </c>
      <c r="PBP91" s="74" t="s">
        <v>24</v>
      </c>
      <c r="PBQ91" s="75" t="s">
        <v>25</v>
      </c>
      <c r="PBR91" s="76">
        <f>IFERROR(VLOOKUP(PBQ91,'[1]List KPI'!$A$103:$F$118,6,0),"")</f>
        <v>1.0416666666666666E-2</v>
      </c>
      <c r="PBS91" s="76">
        <v>0.86944444444444446</v>
      </c>
      <c r="PBT91" s="76">
        <v>0.86944444444444446</v>
      </c>
      <c r="PBU91" s="77" t="str">
        <f t="shared" ref="PBU91:PDQ91" si="331">IF(PBT91="","",IF(PBT91&gt;PCC91,"O","P"))</f>
        <v>O</v>
      </c>
      <c r="PBV91" s="74" t="s">
        <v>28</v>
      </c>
      <c r="PBW91" s="75" t="s">
        <v>23</v>
      </c>
      <c r="PBX91" s="78">
        <f>IFERROR(VLOOKUP(PBW91,'[1]List KPI'!$M$3:$N$8,2,0),"")</f>
        <v>2.0833333333333332E-2</v>
      </c>
      <c r="PBY91" s="76">
        <v>0.89444444444444449</v>
      </c>
      <c r="PBZ91" s="77" t="str">
        <f t="shared" ref="PBZ91:PDV91" si="332">IF(PBY91="","",IF(PBY91&gt;PCD91,"O","P"))</f>
        <v>O</v>
      </c>
      <c r="PCA91" s="79">
        <v>5</v>
      </c>
      <c r="PCB91" s="75">
        <v>1276006</v>
      </c>
      <c r="PCC91" s="80"/>
      <c r="PCD91" s="81">
        <v>0.86944444444444446</v>
      </c>
      <c r="PCE91" s="74" t="s">
        <v>27</v>
      </c>
      <c r="PCF91" s="74" t="s">
        <v>24</v>
      </c>
      <c r="PCG91" s="75" t="s">
        <v>25</v>
      </c>
      <c r="PCH91" s="76">
        <f>IFERROR(VLOOKUP(PCG91,'[1]List KPI'!$A$103:$F$118,6,0),"")</f>
        <v>1.0416666666666666E-2</v>
      </c>
      <c r="PCI91" s="76">
        <v>0.86944444444444446</v>
      </c>
      <c r="PCJ91" s="76">
        <v>0.86944444444444446</v>
      </c>
      <c r="PCK91" s="77" t="str">
        <f t="shared" si="331"/>
        <v>O</v>
      </c>
      <c r="PCL91" s="74" t="s">
        <v>28</v>
      </c>
      <c r="PCM91" s="75" t="s">
        <v>23</v>
      </c>
      <c r="PCN91" s="78">
        <f>IFERROR(VLOOKUP(PCM91,'[1]List KPI'!$M$3:$N$8,2,0),"")</f>
        <v>2.0833333333333332E-2</v>
      </c>
      <c r="PCO91" s="76">
        <v>0.89444444444444449</v>
      </c>
      <c r="PCP91" s="77" t="str">
        <f t="shared" si="332"/>
        <v>O</v>
      </c>
      <c r="PCQ91" s="79">
        <v>5</v>
      </c>
      <c r="PCR91" s="75">
        <v>1276006</v>
      </c>
      <c r="PCS91" s="80"/>
      <c r="PCT91" s="81">
        <v>0.86944444444444446</v>
      </c>
      <c r="PCU91" s="74" t="s">
        <v>27</v>
      </c>
      <c r="PCV91" s="74" t="s">
        <v>24</v>
      </c>
      <c r="PCW91" s="75" t="s">
        <v>25</v>
      </c>
      <c r="PCX91" s="76">
        <f>IFERROR(VLOOKUP(PCW91,'[1]List KPI'!$A$103:$F$118,6,0),"")</f>
        <v>1.0416666666666666E-2</v>
      </c>
      <c r="PCY91" s="76">
        <v>0.86944444444444446</v>
      </c>
      <c r="PCZ91" s="76">
        <v>0.86944444444444446</v>
      </c>
      <c r="PDA91" s="77" t="str">
        <f t="shared" si="331"/>
        <v>O</v>
      </c>
      <c r="PDB91" s="74" t="s">
        <v>28</v>
      </c>
      <c r="PDC91" s="75" t="s">
        <v>23</v>
      </c>
      <c r="PDD91" s="78">
        <f>IFERROR(VLOOKUP(PDC91,'[1]List KPI'!$M$3:$N$8,2,0),"")</f>
        <v>2.0833333333333332E-2</v>
      </c>
      <c r="PDE91" s="76">
        <v>0.89444444444444449</v>
      </c>
      <c r="PDF91" s="77" t="str">
        <f t="shared" si="332"/>
        <v>O</v>
      </c>
      <c r="PDG91" s="79">
        <v>5</v>
      </c>
      <c r="PDH91" s="75">
        <v>1276006</v>
      </c>
      <c r="PDI91" s="80"/>
      <c r="PDJ91" s="81">
        <v>0.86944444444444446</v>
      </c>
      <c r="PDK91" s="74" t="s">
        <v>27</v>
      </c>
      <c r="PDL91" s="74" t="s">
        <v>24</v>
      </c>
      <c r="PDM91" s="75" t="s">
        <v>25</v>
      </c>
      <c r="PDN91" s="76">
        <f>IFERROR(VLOOKUP(PDM91,'[1]List KPI'!$A$103:$F$118,6,0),"")</f>
        <v>1.0416666666666666E-2</v>
      </c>
      <c r="PDO91" s="76">
        <v>0.86944444444444446</v>
      </c>
      <c r="PDP91" s="76">
        <v>0.86944444444444446</v>
      </c>
      <c r="PDQ91" s="77" t="str">
        <f t="shared" si="331"/>
        <v>O</v>
      </c>
      <c r="PDR91" s="74" t="s">
        <v>28</v>
      </c>
      <c r="PDS91" s="75" t="s">
        <v>23</v>
      </c>
      <c r="PDT91" s="78">
        <f>IFERROR(VLOOKUP(PDS91,'[1]List KPI'!$M$3:$N$8,2,0),"")</f>
        <v>2.0833333333333332E-2</v>
      </c>
      <c r="PDU91" s="76">
        <v>0.89444444444444449</v>
      </c>
      <c r="PDV91" s="77" t="str">
        <f t="shared" si="332"/>
        <v>O</v>
      </c>
      <c r="PDW91" s="79">
        <v>5</v>
      </c>
      <c r="PDX91" s="75">
        <v>1276006</v>
      </c>
      <c r="PDY91" s="80"/>
      <c r="PDZ91" s="81">
        <v>0.86944444444444446</v>
      </c>
      <c r="PEA91" s="74" t="s">
        <v>27</v>
      </c>
      <c r="PEB91" s="74" t="s">
        <v>24</v>
      </c>
      <c r="PEC91" s="75" t="s">
        <v>25</v>
      </c>
      <c r="PED91" s="76">
        <f>IFERROR(VLOOKUP(PEC91,'[1]List KPI'!$A$103:$F$118,6,0),"")</f>
        <v>1.0416666666666666E-2</v>
      </c>
      <c r="PEE91" s="76">
        <v>0.86944444444444446</v>
      </c>
      <c r="PEF91" s="76">
        <v>0.86944444444444446</v>
      </c>
      <c r="PEG91" s="77" t="str">
        <f t="shared" ref="PEG91:PGC91" si="333">IF(PEF91="","",IF(PEF91&gt;PEO91,"O","P"))</f>
        <v>O</v>
      </c>
      <c r="PEH91" s="74" t="s">
        <v>28</v>
      </c>
      <c r="PEI91" s="75" t="s">
        <v>23</v>
      </c>
      <c r="PEJ91" s="78">
        <f>IFERROR(VLOOKUP(PEI91,'[1]List KPI'!$M$3:$N$8,2,0),"")</f>
        <v>2.0833333333333332E-2</v>
      </c>
      <c r="PEK91" s="76">
        <v>0.89444444444444449</v>
      </c>
      <c r="PEL91" s="77" t="str">
        <f t="shared" ref="PEL91:PGH91" si="334">IF(PEK91="","",IF(PEK91&gt;PEP91,"O","P"))</f>
        <v>O</v>
      </c>
      <c r="PEM91" s="79">
        <v>5</v>
      </c>
      <c r="PEN91" s="75">
        <v>1276006</v>
      </c>
      <c r="PEO91" s="80"/>
      <c r="PEP91" s="81">
        <v>0.86944444444444446</v>
      </c>
      <c r="PEQ91" s="74" t="s">
        <v>27</v>
      </c>
      <c r="PER91" s="74" t="s">
        <v>24</v>
      </c>
      <c r="PES91" s="75" t="s">
        <v>25</v>
      </c>
      <c r="PET91" s="76">
        <f>IFERROR(VLOOKUP(PES91,'[1]List KPI'!$A$103:$F$118,6,0),"")</f>
        <v>1.0416666666666666E-2</v>
      </c>
      <c r="PEU91" s="76">
        <v>0.86944444444444446</v>
      </c>
      <c r="PEV91" s="76">
        <v>0.86944444444444446</v>
      </c>
      <c r="PEW91" s="77" t="str">
        <f t="shared" si="333"/>
        <v>O</v>
      </c>
      <c r="PEX91" s="74" t="s">
        <v>28</v>
      </c>
      <c r="PEY91" s="75" t="s">
        <v>23</v>
      </c>
      <c r="PEZ91" s="78">
        <f>IFERROR(VLOOKUP(PEY91,'[1]List KPI'!$M$3:$N$8,2,0),"")</f>
        <v>2.0833333333333332E-2</v>
      </c>
      <c r="PFA91" s="76">
        <v>0.89444444444444449</v>
      </c>
      <c r="PFB91" s="77" t="str">
        <f t="shared" si="334"/>
        <v>O</v>
      </c>
      <c r="PFC91" s="79">
        <v>5</v>
      </c>
      <c r="PFD91" s="75">
        <v>1276006</v>
      </c>
      <c r="PFE91" s="80"/>
      <c r="PFF91" s="81">
        <v>0.86944444444444446</v>
      </c>
      <c r="PFG91" s="74" t="s">
        <v>27</v>
      </c>
      <c r="PFH91" s="74" t="s">
        <v>24</v>
      </c>
      <c r="PFI91" s="75" t="s">
        <v>25</v>
      </c>
      <c r="PFJ91" s="76">
        <f>IFERROR(VLOOKUP(PFI91,'[1]List KPI'!$A$103:$F$118,6,0),"")</f>
        <v>1.0416666666666666E-2</v>
      </c>
      <c r="PFK91" s="76">
        <v>0.86944444444444446</v>
      </c>
      <c r="PFL91" s="76">
        <v>0.86944444444444446</v>
      </c>
      <c r="PFM91" s="77" t="str">
        <f t="shared" si="333"/>
        <v>O</v>
      </c>
      <c r="PFN91" s="74" t="s">
        <v>28</v>
      </c>
      <c r="PFO91" s="75" t="s">
        <v>23</v>
      </c>
      <c r="PFP91" s="78">
        <f>IFERROR(VLOOKUP(PFO91,'[1]List KPI'!$M$3:$N$8,2,0),"")</f>
        <v>2.0833333333333332E-2</v>
      </c>
      <c r="PFQ91" s="76">
        <v>0.89444444444444449</v>
      </c>
      <c r="PFR91" s="77" t="str">
        <f t="shared" si="334"/>
        <v>O</v>
      </c>
      <c r="PFS91" s="79">
        <v>5</v>
      </c>
      <c r="PFT91" s="75">
        <v>1276006</v>
      </c>
      <c r="PFU91" s="80"/>
      <c r="PFV91" s="81">
        <v>0.86944444444444446</v>
      </c>
      <c r="PFW91" s="74" t="s">
        <v>27</v>
      </c>
      <c r="PFX91" s="74" t="s">
        <v>24</v>
      </c>
      <c r="PFY91" s="75" t="s">
        <v>25</v>
      </c>
      <c r="PFZ91" s="76">
        <f>IFERROR(VLOOKUP(PFY91,'[1]List KPI'!$A$103:$F$118,6,0),"")</f>
        <v>1.0416666666666666E-2</v>
      </c>
      <c r="PGA91" s="76">
        <v>0.86944444444444446</v>
      </c>
      <c r="PGB91" s="76">
        <v>0.86944444444444446</v>
      </c>
      <c r="PGC91" s="77" t="str">
        <f t="shared" si="333"/>
        <v>O</v>
      </c>
      <c r="PGD91" s="74" t="s">
        <v>28</v>
      </c>
      <c r="PGE91" s="75" t="s">
        <v>23</v>
      </c>
      <c r="PGF91" s="78">
        <f>IFERROR(VLOOKUP(PGE91,'[1]List KPI'!$M$3:$N$8,2,0),"")</f>
        <v>2.0833333333333332E-2</v>
      </c>
      <c r="PGG91" s="76">
        <v>0.89444444444444449</v>
      </c>
      <c r="PGH91" s="77" t="str">
        <f t="shared" si="334"/>
        <v>O</v>
      </c>
      <c r="PGI91" s="79">
        <v>5</v>
      </c>
      <c r="PGJ91" s="75">
        <v>1276006</v>
      </c>
      <c r="PGK91" s="80"/>
      <c r="PGL91" s="81">
        <v>0.86944444444444446</v>
      </c>
      <c r="PGM91" s="74" t="s">
        <v>27</v>
      </c>
      <c r="PGN91" s="74" t="s">
        <v>24</v>
      </c>
      <c r="PGO91" s="75" t="s">
        <v>25</v>
      </c>
      <c r="PGP91" s="76">
        <f>IFERROR(VLOOKUP(PGO91,'[1]List KPI'!$A$103:$F$118,6,0),"")</f>
        <v>1.0416666666666666E-2</v>
      </c>
      <c r="PGQ91" s="76">
        <v>0.86944444444444446</v>
      </c>
      <c r="PGR91" s="76">
        <v>0.86944444444444446</v>
      </c>
      <c r="PGS91" s="77" t="str">
        <f t="shared" ref="PGS91:PIO91" si="335">IF(PGR91="","",IF(PGR91&gt;PHA91,"O","P"))</f>
        <v>O</v>
      </c>
      <c r="PGT91" s="74" t="s">
        <v>28</v>
      </c>
      <c r="PGU91" s="75" t="s">
        <v>23</v>
      </c>
      <c r="PGV91" s="78">
        <f>IFERROR(VLOOKUP(PGU91,'[1]List KPI'!$M$3:$N$8,2,0),"")</f>
        <v>2.0833333333333332E-2</v>
      </c>
      <c r="PGW91" s="76">
        <v>0.89444444444444449</v>
      </c>
      <c r="PGX91" s="77" t="str">
        <f t="shared" ref="PGX91:PIT91" si="336">IF(PGW91="","",IF(PGW91&gt;PHB91,"O","P"))</f>
        <v>O</v>
      </c>
      <c r="PGY91" s="79">
        <v>5</v>
      </c>
      <c r="PGZ91" s="75">
        <v>1276006</v>
      </c>
      <c r="PHA91" s="80"/>
      <c r="PHB91" s="81">
        <v>0.86944444444444446</v>
      </c>
      <c r="PHC91" s="74" t="s">
        <v>27</v>
      </c>
      <c r="PHD91" s="74" t="s">
        <v>24</v>
      </c>
      <c r="PHE91" s="75" t="s">
        <v>25</v>
      </c>
      <c r="PHF91" s="76">
        <f>IFERROR(VLOOKUP(PHE91,'[1]List KPI'!$A$103:$F$118,6,0),"")</f>
        <v>1.0416666666666666E-2</v>
      </c>
      <c r="PHG91" s="76">
        <v>0.86944444444444446</v>
      </c>
      <c r="PHH91" s="76">
        <v>0.86944444444444446</v>
      </c>
      <c r="PHI91" s="77" t="str">
        <f t="shared" si="335"/>
        <v>O</v>
      </c>
      <c r="PHJ91" s="74" t="s">
        <v>28</v>
      </c>
      <c r="PHK91" s="75" t="s">
        <v>23</v>
      </c>
      <c r="PHL91" s="78">
        <f>IFERROR(VLOOKUP(PHK91,'[1]List KPI'!$M$3:$N$8,2,0),"")</f>
        <v>2.0833333333333332E-2</v>
      </c>
      <c r="PHM91" s="76">
        <v>0.89444444444444449</v>
      </c>
      <c r="PHN91" s="77" t="str">
        <f t="shared" si="336"/>
        <v>O</v>
      </c>
      <c r="PHO91" s="79">
        <v>5</v>
      </c>
      <c r="PHP91" s="75">
        <v>1276006</v>
      </c>
      <c r="PHQ91" s="80"/>
      <c r="PHR91" s="81">
        <v>0.86944444444444446</v>
      </c>
      <c r="PHS91" s="74" t="s">
        <v>27</v>
      </c>
      <c r="PHT91" s="74" t="s">
        <v>24</v>
      </c>
      <c r="PHU91" s="75" t="s">
        <v>25</v>
      </c>
      <c r="PHV91" s="76">
        <f>IFERROR(VLOOKUP(PHU91,'[1]List KPI'!$A$103:$F$118,6,0),"")</f>
        <v>1.0416666666666666E-2</v>
      </c>
      <c r="PHW91" s="76">
        <v>0.86944444444444446</v>
      </c>
      <c r="PHX91" s="76">
        <v>0.86944444444444446</v>
      </c>
      <c r="PHY91" s="77" t="str">
        <f t="shared" si="335"/>
        <v>O</v>
      </c>
      <c r="PHZ91" s="74" t="s">
        <v>28</v>
      </c>
      <c r="PIA91" s="75" t="s">
        <v>23</v>
      </c>
      <c r="PIB91" s="78">
        <f>IFERROR(VLOOKUP(PIA91,'[1]List KPI'!$M$3:$N$8,2,0),"")</f>
        <v>2.0833333333333332E-2</v>
      </c>
      <c r="PIC91" s="76">
        <v>0.89444444444444449</v>
      </c>
      <c r="PID91" s="77" t="str">
        <f t="shared" si="336"/>
        <v>O</v>
      </c>
      <c r="PIE91" s="79">
        <v>5</v>
      </c>
      <c r="PIF91" s="75">
        <v>1276006</v>
      </c>
      <c r="PIG91" s="80"/>
      <c r="PIH91" s="81">
        <v>0.86944444444444446</v>
      </c>
      <c r="PII91" s="74" t="s">
        <v>27</v>
      </c>
      <c r="PIJ91" s="74" t="s">
        <v>24</v>
      </c>
      <c r="PIK91" s="75" t="s">
        <v>25</v>
      </c>
      <c r="PIL91" s="76">
        <f>IFERROR(VLOOKUP(PIK91,'[1]List KPI'!$A$103:$F$118,6,0),"")</f>
        <v>1.0416666666666666E-2</v>
      </c>
      <c r="PIM91" s="76">
        <v>0.86944444444444446</v>
      </c>
      <c r="PIN91" s="76">
        <v>0.86944444444444446</v>
      </c>
      <c r="PIO91" s="77" t="str">
        <f t="shared" si="335"/>
        <v>O</v>
      </c>
      <c r="PIP91" s="74" t="s">
        <v>28</v>
      </c>
      <c r="PIQ91" s="75" t="s">
        <v>23</v>
      </c>
      <c r="PIR91" s="78">
        <f>IFERROR(VLOOKUP(PIQ91,'[1]List KPI'!$M$3:$N$8,2,0),"")</f>
        <v>2.0833333333333332E-2</v>
      </c>
      <c r="PIS91" s="76">
        <v>0.89444444444444449</v>
      </c>
      <c r="PIT91" s="77" t="str">
        <f t="shared" si="336"/>
        <v>O</v>
      </c>
      <c r="PIU91" s="79">
        <v>5</v>
      </c>
      <c r="PIV91" s="75">
        <v>1276006</v>
      </c>
      <c r="PIW91" s="80"/>
      <c r="PIX91" s="81">
        <v>0.86944444444444446</v>
      </c>
      <c r="PIY91" s="74" t="s">
        <v>27</v>
      </c>
      <c r="PIZ91" s="74" t="s">
        <v>24</v>
      </c>
      <c r="PJA91" s="75" t="s">
        <v>25</v>
      </c>
      <c r="PJB91" s="76">
        <f>IFERROR(VLOOKUP(PJA91,'[1]List KPI'!$A$103:$F$118,6,0),"")</f>
        <v>1.0416666666666666E-2</v>
      </c>
      <c r="PJC91" s="76">
        <v>0.86944444444444446</v>
      </c>
      <c r="PJD91" s="76">
        <v>0.86944444444444446</v>
      </c>
      <c r="PJE91" s="77" t="str">
        <f t="shared" ref="PJE91:PLA91" si="337">IF(PJD91="","",IF(PJD91&gt;PJM91,"O","P"))</f>
        <v>O</v>
      </c>
      <c r="PJF91" s="74" t="s">
        <v>28</v>
      </c>
      <c r="PJG91" s="75" t="s">
        <v>23</v>
      </c>
      <c r="PJH91" s="78">
        <f>IFERROR(VLOOKUP(PJG91,'[1]List KPI'!$M$3:$N$8,2,0),"")</f>
        <v>2.0833333333333332E-2</v>
      </c>
      <c r="PJI91" s="76">
        <v>0.89444444444444449</v>
      </c>
      <c r="PJJ91" s="77" t="str">
        <f t="shared" ref="PJJ91:PLF91" si="338">IF(PJI91="","",IF(PJI91&gt;PJN91,"O","P"))</f>
        <v>O</v>
      </c>
      <c r="PJK91" s="79">
        <v>5</v>
      </c>
      <c r="PJL91" s="75">
        <v>1276006</v>
      </c>
      <c r="PJM91" s="80"/>
      <c r="PJN91" s="81">
        <v>0.86944444444444446</v>
      </c>
      <c r="PJO91" s="74" t="s">
        <v>27</v>
      </c>
      <c r="PJP91" s="74" t="s">
        <v>24</v>
      </c>
      <c r="PJQ91" s="75" t="s">
        <v>25</v>
      </c>
      <c r="PJR91" s="76">
        <f>IFERROR(VLOOKUP(PJQ91,'[1]List KPI'!$A$103:$F$118,6,0),"")</f>
        <v>1.0416666666666666E-2</v>
      </c>
      <c r="PJS91" s="76">
        <v>0.86944444444444446</v>
      </c>
      <c r="PJT91" s="76">
        <v>0.86944444444444446</v>
      </c>
      <c r="PJU91" s="77" t="str">
        <f t="shared" si="337"/>
        <v>O</v>
      </c>
      <c r="PJV91" s="74" t="s">
        <v>28</v>
      </c>
      <c r="PJW91" s="75" t="s">
        <v>23</v>
      </c>
      <c r="PJX91" s="78">
        <f>IFERROR(VLOOKUP(PJW91,'[1]List KPI'!$M$3:$N$8,2,0),"")</f>
        <v>2.0833333333333332E-2</v>
      </c>
      <c r="PJY91" s="76">
        <v>0.89444444444444449</v>
      </c>
      <c r="PJZ91" s="77" t="str">
        <f t="shared" si="338"/>
        <v>O</v>
      </c>
      <c r="PKA91" s="79">
        <v>5</v>
      </c>
      <c r="PKB91" s="75">
        <v>1276006</v>
      </c>
      <c r="PKC91" s="80"/>
      <c r="PKD91" s="81">
        <v>0.86944444444444446</v>
      </c>
      <c r="PKE91" s="74" t="s">
        <v>27</v>
      </c>
      <c r="PKF91" s="74" t="s">
        <v>24</v>
      </c>
      <c r="PKG91" s="75" t="s">
        <v>25</v>
      </c>
      <c r="PKH91" s="76">
        <f>IFERROR(VLOOKUP(PKG91,'[1]List KPI'!$A$103:$F$118,6,0),"")</f>
        <v>1.0416666666666666E-2</v>
      </c>
      <c r="PKI91" s="76">
        <v>0.86944444444444446</v>
      </c>
      <c r="PKJ91" s="76">
        <v>0.86944444444444446</v>
      </c>
      <c r="PKK91" s="77" t="str">
        <f t="shared" si="337"/>
        <v>O</v>
      </c>
      <c r="PKL91" s="74" t="s">
        <v>28</v>
      </c>
      <c r="PKM91" s="75" t="s">
        <v>23</v>
      </c>
      <c r="PKN91" s="78">
        <f>IFERROR(VLOOKUP(PKM91,'[1]List KPI'!$M$3:$N$8,2,0),"")</f>
        <v>2.0833333333333332E-2</v>
      </c>
      <c r="PKO91" s="76">
        <v>0.89444444444444449</v>
      </c>
      <c r="PKP91" s="77" t="str">
        <f t="shared" si="338"/>
        <v>O</v>
      </c>
      <c r="PKQ91" s="79">
        <v>5</v>
      </c>
      <c r="PKR91" s="75">
        <v>1276006</v>
      </c>
      <c r="PKS91" s="80"/>
      <c r="PKT91" s="81">
        <v>0.86944444444444446</v>
      </c>
      <c r="PKU91" s="74" t="s">
        <v>27</v>
      </c>
      <c r="PKV91" s="74" t="s">
        <v>24</v>
      </c>
      <c r="PKW91" s="75" t="s">
        <v>25</v>
      </c>
      <c r="PKX91" s="76">
        <f>IFERROR(VLOOKUP(PKW91,'[1]List KPI'!$A$103:$F$118,6,0),"")</f>
        <v>1.0416666666666666E-2</v>
      </c>
      <c r="PKY91" s="76">
        <v>0.86944444444444446</v>
      </c>
      <c r="PKZ91" s="76">
        <v>0.86944444444444446</v>
      </c>
      <c r="PLA91" s="77" t="str">
        <f t="shared" si="337"/>
        <v>O</v>
      </c>
      <c r="PLB91" s="74" t="s">
        <v>28</v>
      </c>
      <c r="PLC91" s="75" t="s">
        <v>23</v>
      </c>
      <c r="PLD91" s="78">
        <f>IFERROR(VLOOKUP(PLC91,'[1]List KPI'!$M$3:$N$8,2,0),"")</f>
        <v>2.0833333333333332E-2</v>
      </c>
      <c r="PLE91" s="76">
        <v>0.89444444444444449</v>
      </c>
      <c r="PLF91" s="77" t="str">
        <f t="shared" si="338"/>
        <v>O</v>
      </c>
      <c r="PLG91" s="79">
        <v>5</v>
      </c>
      <c r="PLH91" s="75">
        <v>1276006</v>
      </c>
      <c r="PLI91" s="80"/>
      <c r="PLJ91" s="81">
        <v>0.86944444444444446</v>
      </c>
      <c r="PLK91" s="74" t="s">
        <v>27</v>
      </c>
      <c r="PLL91" s="74" t="s">
        <v>24</v>
      </c>
      <c r="PLM91" s="75" t="s">
        <v>25</v>
      </c>
      <c r="PLN91" s="76">
        <f>IFERROR(VLOOKUP(PLM91,'[1]List KPI'!$A$103:$F$118,6,0),"")</f>
        <v>1.0416666666666666E-2</v>
      </c>
      <c r="PLO91" s="76">
        <v>0.86944444444444446</v>
      </c>
      <c r="PLP91" s="76">
        <v>0.86944444444444446</v>
      </c>
      <c r="PLQ91" s="77" t="str">
        <f t="shared" ref="PLQ91:PNM91" si="339">IF(PLP91="","",IF(PLP91&gt;PLY91,"O","P"))</f>
        <v>O</v>
      </c>
      <c r="PLR91" s="74" t="s">
        <v>28</v>
      </c>
      <c r="PLS91" s="75" t="s">
        <v>23</v>
      </c>
      <c r="PLT91" s="78">
        <f>IFERROR(VLOOKUP(PLS91,'[1]List KPI'!$M$3:$N$8,2,0),"")</f>
        <v>2.0833333333333332E-2</v>
      </c>
      <c r="PLU91" s="76">
        <v>0.89444444444444449</v>
      </c>
      <c r="PLV91" s="77" t="str">
        <f t="shared" ref="PLV91:PNR91" si="340">IF(PLU91="","",IF(PLU91&gt;PLZ91,"O","P"))</f>
        <v>O</v>
      </c>
      <c r="PLW91" s="79">
        <v>5</v>
      </c>
      <c r="PLX91" s="75">
        <v>1276006</v>
      </c>
      <c r="PLY91" s="80"/>
      <c r="PLZ91" s="81">
        <v>0.86944444444444446</v>
      </c>
      <c r="PMA91" s="74" t="s">
        <v>27</v>
      </c>
      <c r="PMB91" s="74" t="s">
        <v>24</v>
      </c>
      <c r="PMC91" s="75" t="s">
        <v>25</v>
      </c>
      <c r="PMD91" s="76">
        <f>IFERROR(VLOOKUP(PMC91,'[1]List KPI'!$A$103:$F$118,6,0),"")</f>
        <v>1.0416666666666666E-2</v>
      </c>
      <c r="PME91" s="76">
        <v>0.86944444444444446</v>
      </c>
      <c r="PMF91" s="76">
        <v>0.86944444444444446</v>
      </c>
      <c r="PMG91" s="77" t="str">
        <f t="shared" si="339"/>
        <v>O</v>
      </c>
      <c r="PMH91" s="74" t="s">
        <v>28</v>
      </c>
      <c r="PMI91" s="75" t="s">
        <v>23</v>
      </c>
      <c r="PMJ91" s="78">
        <f>IFERROR(VLOOKUP(PMI91,'[1]List KPI'!$M$3:$N$8,2,0),"")</f>
        <v>2.0833333333333332E-2</v>
      </c>
      <c r="PMK91" s="76">
        <v>0.89444444444444449</v>
      </c>
      <c r="PML91" s="77" t="str">
        <f t="shared" si="340"/>
        <v>O</v>
      </c>
      <c r="PMM91" s="79">
        <v>5</v>
      </c>
      <c r="PMN91" s="75">
        <v>1276006</v>
      </c>
      <c r="PMO91" s="80"/>
      <c r="PMP91" s="81">
        <v>0.86944444444444446</v>
      </c>
      <c r="PMQ91" s="74" t="s">
        <v>27</v>
      </c>
      <c r="PMR91" s="74" t="s">
        <v>24</v>
      </c>
      <c r="PMS91" s="75" t="s">
        <v>25</v>
      </c>
      <c r="PMT91" s="76">
        <f>IFERROR(VLOOKUP(PMS91,'[1]List KPI'!$A$103:$F$118,6,0),"")</f>
        <v>1.0416666666666666E-2</v>
      </c>
      <c r="PMU91" s="76">
        <v>0.86944444444444446</v>
      </c>
      <c r="PMV91" s="76">
        <v>0.86944444444444446</v>
      </c>
      <c r="PMW91" s="77" t="str">
        <f t="shared" si="339"/>
        <v>O</v>
      </c>
      <c r="PMX91" s="74" t="s">
        <v>28</v>
      </c>
      <c r="PMY91" s="75" t="s">
        <v>23</v>
      </c>
      <c r="PMZ91" s="78">
        <f>IFERROR(VLOOKUP(PMY91,'[1]List KPI'!$M$3:$N$8,2,0),"")</f>
        <v>2.0833333333333332E-2</v>
      </c>
      <c r="PNA91" s="76">
        <v>0.89444444444444449</v>
      </c>
      <c r="PNB91" s="77" t="str">
        <f t="shared" si="340"/>
        <v>O</v>
      </c>
      <c r="PNC91" s="79">
        <v>5</v>
      </c>
      <c r="PND91" s="75">
        <v>1276006</v>
      </c>
      <c r="PNE91" s="80"/>
      <c r="PNF91" s="81">
        <v>0.86944444444444446</v>
      </c>
      <c r="PNG91" s="74" t="s">
        <v>27</v>
      </c>
      <c r="PNH91" s="74" t="s">
        <v>24</v>
      </c>
      <c r="PNI91" s="75" t="s">
        <v>25</v>
      </c>
      <c r="PNJ91" s="76">
        <f>IFERROR(VLOOKUP(PNI91,'[1]List KPI'!$A$103:$F$118,6,0),"")</f>
        <v>1.0416666666666666E-2</v>
      </c>
      <c r="PNK91" s="76">
        <v>0.86944444444444446</v>
      </c>
      <c r="PNL91" s="76">
        <v>0.86944444444444446</v>
      </c>
      <c r="PNM91" s="77" t="str">
        <f t="shared" si="339"/>
        <v>O</v>
      </c>
      <c r="PNN91" s="74" t="s">
        <v>28</v>
      </c>
      <c r="PNO91" s="75" t="s">
        <v>23</v>
      </c>
      <c r="PNP91" s="78">
        <f>IFERROR(VLOOKUP(PNO91,'[1]List KPI'!$M$3:$N$8,2,0),"")</f>
        <v>2.0833333333333332E-2</v>
      </c>
      <c r="PNQ91" s="76">
        <v>0.89444444444444449</v>
      </c>
      <c r="PNR91" s="77" t="str">
        <f t="shared" si="340"/>
        <v>O</v>
      </c>
      <c r="PNS91" s="79">
        <v>5</v>
      </c>
      <c r="PNT91" s="75">
        <v>1276006</v>
      </c>
      <c r="PNU91" s="80"/>
      <c r="PNV91" s="81">
        <v>0.86944444444444446</v>
      </c>
      <c r="PNW91" s="74" t="s">
        <v>27</v>
      </c>
      <c r="PNX91" s="74" t="s">
        <v>24</v>
      </c>
      <c r="PNY91" s="75" t="s">
        <v>25</v>
      </c>
      <c r="PNZ91" s="76">
        <f>IFERROR(VLOOKUP(PNY91,'[1]List KPI'!$A$103:$F$118,6,0),"")</f>
        <v>1.0416666666666666E-2</v>
      </c>
      <c r="POA91" s="76">
        <v>0.86944444444444446</v>
      </c>
      <c r="POB91" s="76">
        <v>0.86944444444444446</v>
      </c>
      <c r="POC91" s="77" t="str">
        <f t="shared" ref="POC91:PPY91" si="341">IF(POB91="","",IF(POB91&gt;POK91,"O","P"))</f>
        <v>O</v>
      </c>
      <c r="POD91" s="74" t="s">
        <v>28</v>
      </c>
      <c r="POE91" s="75" t="s">
        <v>23</v>
      </c>
      <c r="POF91" s="78">
        <f>IFERROR(VLOOKUP(POE91,'[1]List KPI'!$M$3:$N$8,2,0),"")</f>
        <v>2.0833333333333332E-2</v>
      </c>
      <c r="POG91" s="76">
        <v>0.89444444444444449</v>
      </c>
      <c r="POH91" s="77" t="str">
        <f t="shared" ref="POH91:PQD91" si="342">IF(POG91="","",IF(POG91&gt;POL91,"O","P"))</f>
        <v>O</v>
      </c>
      <c r="POI91" s="79">
        <v>5</v>
      </c>
      <c r="POJ91" s="75">
        <v>1276006</v>
      </c>
      <c r="POK91" s="80"/>
      <c r="POL91" s="81">
        <v>0.86944444444444446</v>
      </c>
      <c r="POM91" s="74" t="s">
        <v>27</v>
      </c>
      <c r="PON91" s="74" t="s">
        <v>24</v>
      </c>
      <c r="POO91" s="75" t="s">
        <v>25</v>
      </c>
      <c r="POP91" s="76">
        <f>IFERROR(VLOOKUP(POO91,'[1]List KPI'!$A$103:$F$118,6,0),"")</f>
        <v>1.0416666666666666E-2</v>
      </c>
      <c r="POQ91" s="76">
        <v>0.86944444444444446</v>
      </c>
      <c r="POR91" s="76">
        <v>0.86944444444444446</v>
      </c>
      <c r="POS91" s="77" t="str">
        <f t="shared" si="341"/>
        <v>O</v>
      </c>
      <c r="POT91" s="74" t="s">
        <v>28</v>
      </c>
      <c r="POU91" s="75" t="s">
        <v>23</v>
      </c>
      <c r="POV91" s="78">
        <f>IFERROR(VLOOKUP(POU91,'[1]List KPI'!$M$3:$N$8,2,0),"")</f>
        <v>2.0833333333333332E-2</v>
      </c>
      <c r="POW91" s="76">
        <v>0.89444444444444449</v>
      </c>
      <c r="POX91" s="77" t="str">
        <f t="shared" si="342"/>
        <v>O</v>
      </c>
      <c r="POY91" s="79">
        <v>5</v>
      </c>
      <c r="POZ91" s="75">
        <v>1276006</v>
      </c>
      <c r="PPA91" s="80"/>
      <c r="PPB91" s="81">
        <v>0.86944444444444446</v>
      </c>
      <c r="PPC91" s="74" t="s">
        <v>27</v>
      </c>
      <c r="PPD91" s="74" t="s">
        <v>24</v>
      </c>
      <c r="PPE91" s="75" t="s">
        <v>25</v>
      </c>
      <c r="PPF91" s="76">
        <f>IFERROR(VLOOKUP(PPE91,'[1]List KPI'!$A$103:$F$118,6,0),"")</f>
        <v>1.0416666666666666E-2</v>
      </c>
      <c r="PPG91" s="76">
        <v>0.86944444444444446</v>
      </c>
      <c r="PPH91" s="76">
        <v>0.86944444444444446</v>
      </c>
      <c r="PPI91" s="77" t="str">
        <f t="shared" si="341"/>
        <v>O</v>
      </c>
      <c r="PPJ91" s="74" t="s">
        <v>28</v>
      </c>
      <c r="PPK91" s="75" t="s">
        <v>23</v>
      </c>
      <c r="PPL91" s="78">
        <f>IFERROR(VLOOKUP(PPK91,'[1]List KPI'!$M$3:$N$8,2,0),"")</f>
        <v>2.0833333333333332E-2</v>
      </c>
      <c r="PPM91" s="76">
        <v>0.89444444444444449</v>
      </c>
      <c r="PPN91" s="77" t="str">
        <f t="shared" si="342"/>
        <v>O</v>
      </c>
      <c r="PPO91" s="79">
        <v>5</v>
      </c>
      <c r="PPP91" s="75">
        <v>1276006</v>
      </c>
      <c r="PPQ91" s="80"/>
      <c r="PPR91" s="81">
        <v>0.86944444444444446</v>
      </c>
      <c r="PPS91" s="74" t="s">
        <v>27</v>
      </c>
      <c r="PPT91" s="74" t="s">
        <v>24</v>
      </c>
      <c r="PPU91" s="75" t="s">
        <v>25</v>
      </c>
      <c r="PPV91" s="76">
        <f>IFERROR(VLOOKUP(PPU91,'[1]List KPI'!$A$103:$F$118,6,0),"")</f>
        <v>1.0416666666666666E-2</v>
      </c>
      <c r="PPW91" s="76">
        <v>0.86944444444444446</v>
      </c>
      <c r="PPX91" s="76">
        <v>0.86944444444444446</v>
      </c>
      <c r="PPY91" s="77" t="str">
        <f t="shared" si="341"/>
        <v>O</v>
      </c>
      <c r="PPZ91" s="74" t="s">
        <v>28</v>
      </c>
      <c r="PQA91" s="75" t="s">
        <v>23</v>
      </c>
      <c r="PQB91" s="78">
        <f>IFERROR(VLOOKUP(PQA91,'[1]List KPI'!$M$3:$N$8,2,0),"")</f>
        <v>2.0833333333333332E-2</v>
      </c>
      <c r="PQC91" s="76">
        <v>0.89444444444444449</v>
      </c>
      <c r="PQD91" s="77" t="str">
        <f t="shared" si="342"/>
        <v>O</v>
      </c>
      <c r="PQE91" s="79">
        <v>5</v>
      </c>
      <c r="PQF91" s="75">
        <v>1276006</v>
      </c>
      <c r="PQG91" s="80"/>
      <c r="PQH91" s="81">
        <v>0.86944444444444446</v>
      </c>
      <c r="PQI91" s="74" t="s">
        <v>27</v>
      </c>
      <c r="PQJ91" s="74" t="s">
        <v>24</v>
      </c>
      <c r="PQK91" s="75" t="s">
        <v>25</v>
      </c>
      <c r="PQL91" s="76">
        <f>IFERROR(VLOOKUP(PQK91,'[1]List KPI'!$A$103:$F$118,6,0),"")</f>
        <v>1.0416666666666666E-2</v>
      </c>
      <c r="PQM91" s="76">
        <v>0.86944444444444446</v>
      </c>
      <c r="PQN91" s="76">
        <v>0.86944444444444446</v>
      </c>
      <c r="PQO91" s="77" t="str">
        <f t="shared" ref="PQO91:PSK91" si="343">IF(PQN91="","",IF(PQN91&gt;PQW91,"O","P"))</f>
        <v>O</v>
      </c>
      <c r="PQP91" s="74" t="s">
        <v>28</v>
      </c>
      <c r="PQQ91" s="75" t="s">
        <v>23</v>
      </c>
      <c r="PQR91" s="78">
        <f>IFERROR(VLOOKUP(PQQ91,'[1]List KPI'!$M$3:$N$8,2,0),"")</f>
        <v>2.0833333333333332E-2</v>
      </c>
      <c r="PQS91" s="76">
        <v>0.89444444444444449</v>
      </c>
      <c r="PQT91" s="77" t="str">
        <f t="shared" ref="PQT91:PSP91" si="344">IF(PQS91="","",IF(PQS91&gt;PQX91,"O","P"))</f>
        <v>O</v>
      </c>
      <c r="PQU91" s="79">
        <v>5</v>
      </c>
      <c r="PQV91" s="75">
        <v>1276006</v>
      </c>
      <c r="PQW91" s="80"/>
      <c r="PQX91" s="81">
        <v>0.86944444444444446</v>
      </c>
      <c r="PQY91" s="74" t="s">
        <v>27</v>
      </c>
      <c r="PQZ91" s="74" t="s">
        <v>24</v>
      </c>
      <c r="PRA91" s="75" t="s">
        <v>25</v>
      </c>
      <c r="PRB91" s="76">
        <f>IFERROR(VLOOKUP(PRA91,'[1]List KPI'!$A$103:$F$118,6,0),"")</f>
        <v>1.0416666666666666E-2</v>
      </c>
      <c r="PRC91" s="76">
        <v>0.86944444444444446</v>
      </c>
      <c r="PRD91" s="76">
        <v>0.86944444444444446</v>
      </c>
      <c r="PRE91" s="77" t="str">
        <f t="shared" si="343"/>
        <v>O</v>
      </c>
      <c r="PRF91" s="74" t="s">
        <v>28</v>
      </c>
      <c r="PRG91" s="75" t="s">
        <v>23</v>
      </c>
      <c r="PRH91" s="78">
        <f>IFERROR(VLOOKUP(PRG91,'[1]List KPI'!$M$3:$N$8,2,0),"")</f>
        <v>2.0833333333333332E-2</v>
      </c>
      <c r="PRI91" s="76">
        <v>0.89444444444444449</v>
      </c>
      <c r="PRJ91" s="77" t="str">
        <f t="shared" si="344"/>
        <v>O</v>
      </c>
      <c r="PRK91" s="79">
        <v>5</v>
      </c>
      <c r="PRL91" s="75">
        <v>1276006</v>
      </c>
      <c r="PRM91" s="80"/>
      <c r="PRN91" s="81">
        <v>0.86944444444444446</v>
      </c>
      <c r="PRO91" s="74" t="s">
        <v>27</v>
      </c>
      <c r="PRP91" s="74" t="s">
        <v>24</v>
      </c>
      <c r="PRQ91" s="75" t="s">
        <v>25</v>
      </c>
      <c r="PRR91" s="76">
        <f>IFERROR(VLOOKUP(PRQ91,'[1]List KPI'!$A$103:$F$118,6,0),"")</f>
        <v>1.0416666666666666E-2</v>
      </c>
      <c r="PRS91" s="76">
        <v>0.86944444444444446</v>
      </c>
      <c r="PRT91" s="76">
        <v>0.86944444444444446</v>
      </c>
      <c r="PRU91" s="77" t="str">
        <f t="shared" si="343"/>
        <v>O</v>
      </c>
      <c r="PRV91" s="74" t="s">
        <v>28</v>
      </c>
      <c r="PRW91" s="75" t="s">
        <v>23</v>
      </c>
      <c r="PRX91" s="78">
        <f>IFERROR(VLOOKUP(PRW91,'[1]List KPI'!$M$3:$N$8,2,0),"")</f>
        <v>2.0833333333333332E-2</v>
      </c>
      <c r="PRY91" s="76">
        <v>0.89444444444444449</v>
      </c>
      <c r="PRZ91" s="77" t="str">
        <f t="shared" si="344"/>
        <v>O</v>
      </c>
      <c r="PSA91" s="79">
        <v>5</v>
      </c>
      <c r="PSB91" s="75">
        <v>1276006</v>
      </c>
      <c r="PSC91" s="80"/>
      <c r="PSD91" s="81">
        <v>0.86944444444444446</v>
      </c>
      <c r="PSE91" s="74" t="s">
        <v>27</v>
      </c>
      <c r="PSF91" s="74" t="s">
        <v>24</v>
      </c>
      <c r="PSG91" s="75" t="s">
        <v>25</v>
      </c>
      <c r="PSH91" s="76">
        <f>IFERROR(VLOOKUP(PSG91,'[1]List KPI'!$A$103:$F$118,6,0),"")</f>
        <v>1.0416666666666666E-2</v>
      </c>
      <c r="PSI91" s="76">
        <v>0.86944444444444446</v>
      </c>
      <c r="PSJ91" s="76">
        <v>0.86944444444444446</v>
      </c>
      <c r="PSK91" s="77" t="str">
        <f t="shared" si="343"/>
        <v>O</v>
      </c>
      <c r="PSL91" s="74" t="s">
        <v>28</v>
      </c>
      <c r="PSM91" s="75" t="s">
        <v>23</v>
      </c>
      <c r="PSN91" s="78">
        <f>IFERROR(VLOOKUP(PSM91,'[1]List KPI'!$M$3:$N$8,2,0),"")</f>
        <v>2.0833333333333332E-2</v>
      </c>
      <c r="PSO91" s="76">
        <v>0.89444444444444449</v>
      </c>
      <c r="PSP91" s="77" t="str">
        <f t="shared" si="344"/>
        <v>O</v>
      </c>
      <c r="PSQ91" s="79">
        <v>5</v>
      </c>
      <c r="PSR91" s="75">
        <v>1276006</v>
      </c>
      <c r="PSS91" s="80"/>
      <c r="PST91" s="81">
        <v>0.86944444444444446</v>
      </c>
      <c r="PSU91" s="74" t="s">
        <v>27</v>
      </c>
      <c r="PSV91" s="74" t="s">
        <v>24</v>
      </c>
      <c r="PSW91" s="75" t="s">
        <v>25</v>
      </c>
      <c r="PSX91" s="76">
        <f>IFERROR(VLOOKUP(PSW91,'[1]List KPI'!$A$103:$F$118,6,0),"")</f>
        <v>1.0416666666666666E-2</v>
      </c>
      <c r="PSY91" s="76">
        <v>0.86944444444444446</v>
      </c>
      <c r="PSZ91" s="76">
        <v>0.86944444444444446</v>
      </c>
      <c r="PTA91" s="77" t="str">
        <f t="shared" ref="PTA91:PUW91" si="345">IF(PSZ91="","",IF(PSZ91&gt;PTI91,"O","P"))</f>
        <v>O</v>
      </c>
      <c r="PTB91" s="74" t="s">
        <v>28</v>
      </c>
      <c r="PTC91" s="75" t="s">
        <v>23</v>
      </c>
      <c r="PTD91" s="78">
        <f>IFERROR(VLOOKUP(PTC91,'[1]List KPI'!$M$3:$N$8,2,0),"")</f>
        <v>2.0833333333333332E-2</v>
      </c>
      <c r="PTE91" s="76">
        <v>0.89444444444444449</v>
      </c>
      <c r="PTF91" s="77" t="str">
        <f t="shared" ref="PTF91:PVB91" si="346">IF(PTE91="","",IF(PTE91&gt;PTJ91,"O","P"))</f>
        <v>O</v>
      </c>
      <c r="PTG91" s="79">
        <v>5</v>
      </c>
      <c r="PTH91" s="75">
        <v>1276006</v>
      </c>
      <c r="PTI91" s="80"/>
      <c r="PTJ91" s="81">
        <v>0.86944444444444446</v>
      </c>
      <c r="PTK91" s="74" t="s">
        <v>27</v>
      </c>
      <c r="PTL91" s="74" t="s">
        <v>24</v>
      </c>
      <c r="PTM91" s="75" t="s">
        <v>25</v>
      </c>
      <c r="PTN91" s="76">
        <f>IFERROR(VLOOKUP(PTM91,'[1]List KPI'!$A$103:$F$118,6,0),"")</f>
        <v>1.0416666666666666E-2</v>
      </c>
      <c r="PTO91" s="76">
        <v>0.86944444444444446</v>
      </c>
      <c r="PTP91" s="76">
        <v>0.86944444444444446</v>
      </c>
      <c r="PTQ91" s="77" t="str">
        <f t="shared" si="345"/>
        <v>O</v>
      </c>
      <c r="PTR91" s="74" t="s">
        <v>28</v>
      </c>
      <c r="PTS91" s="75" t="s">
        <v>23</v>
      </c>
      <c r="PTT91" s="78">
        <f>IFERROR(VLOOKUP(PTS91,'[1]List KPI'!$M$3:$N$8,2,0),"")</f>
        <v>2.0833333333333332E-2</v>
      </c>
      <c r="PTU91" s="76">
        <v>0.89444444444444449</v>
      </c>
      <c r="PTV91" s="77" t="str">
        <f t="shared" si="346"/>
        <v>O</v>
      </c>
      <c r="PTW91" s="79">
        <v>5</v>
      </c>
      <c r="PTX91" s="75">
        <v>1276006</v>
      </c>
      <c r="PTY91" s="80"/>
      <c r="PTZ91" s="81">
        <v>0.86944444444444446</v>
      </c>
      <c r="PUA91" s="74" t="s">
        <v>27</v>
      </c>
      <c r="PUB91" s="74" t="s">
        <v>24</v>
      </c>
      <c r="PUC91" s="75" t="s">
        <v>25</v>
      </c>
      <c r="PUD91" s="76">
        <f>IFERROR(VLOOKUP(PUC91,'[1]List KPI'!$A$103:$F$118,6,0),"")</f>
        <v>1.0416666666666666E-2</v>
      </c>
      <c r="PUE91" s="76">
        <v>0.86944444444444446</v>
      </c>
      <c r="PUF91" s="76">
        <v>0.86944444444444446</v>
      </c>
      <c r="PUG91" s="77" t="str">
        <f t="shared" si="345"/>
        <v>O</v>
      </c>
      <c r="PUH91" s="74" t="s">
        <v>28</v>
      </c>
      <c r="PUI91" s="75" t="s">
        <v>23</v>
      </c>
      <c r="PUJ91" s="78">
        <f>IFERROR(VLOOKUP(PUI91,'[1]List KPI'!$M$3:$N$8,2,0),"")</f>
        <v>2.0833333333333332E-2</v>
      </c>
      <c r="PUK91" s="76">
        <v>0.89444444444444449</v>
      </c>
      <c r="PUL91" s="77" t="str">
        <f t="shared" si="346"/>
        <v>O</v>
      </c>
      <c r="PUM91" s="79">
        <v>5</v>
      </c>
      <c r="PUN91" s="75">
        <v>1276006</v>
      </c>
      <c r="PUO91" s="80"/>
      <c r="PUP91" s="81">
        <v>0.86944444444444446</v>
      </c>
      <c r="PUQ91" s="74" t="s">
        <v>27</v>
      </c>
      <c r="PUR91" s="74" t="s">
        <v>24</v>
      </c>
      <c r="PUS91" s="75" t="s">
        <v>25</v>
      </c>
      <c r="PUT91" s="76">
        <f>IFERROR(VLOOKUP(PUS91,'[1]List KPI'!$A$103:$F$118,6,0),"")</f>
        <v>1.0416666666666666E-2</v>
      </c>
      <c r="PUU91" s="76">
        <v>0.86944444444444446</v>
      </c>
      <c r="PUV91" s="76">
        <v>0.86944444444444446</v>
      </c>
      <c r="PUW91" s="77" t="str">
        <f t="shared" si="345"/>
        <v>O</v>
      </c>
      <c r="PUX91" s="74" t="s">
        <v>28</v>
      </c>
      <c r="PUY91" s="75" t="s">
        <v>23</v>
      </c>
      <c r="PUZ91" s="78">
        <f>IFERROR(VLOOKUP(PUY91,'[1]List KPI'!$M$3:$N$8,2,0),"")</f>
        <v>2.0833333333333332E-2</v>
      </c>
      <c r="PVA91" s="76">
        <v>0.89444444444444449</v>
      </c>
      <c r="PVB91" s="77" t="str">
        <f t="shared" si="346"/>
        <v>O</v>
      </c>
      <c r="PVC91" s="79">
        <v>5</v>
      </c>
      <c r="PVD91" s="75">
        <v>1276006</v>
      </c>
      <c r="PVE91" s="80"/>
      <c r="PVF91" s="81">
        <v>0.86944444444444446</v>
      </c>
      <c r="PVG91" s="74" t="s">
        <v>27</v>
      </c>
      <c r="PVH91" s="74" t="s">
        <v>24</v>
      </c>
      <c r="PVI91" s="75" t="s">
        <v>25</v>
      </c>
      <c r="PVJ91" s="76">
        <f>IFERROR(VLOOKUP(PVI91,'[1]List KPI'!$A$103:$F$118,6,0),"")</f>
        <v>1.0416666666666666E-2</v>
      </c>
      <c r="PVK91" s="76">
        <v>0.86944444444444446</v>
      </c>
      <c r="PVL91" s="76">
        <v>0.86944444444444446</v>
      </c>
      <c r="PVM91" s="77" t="str">
        <f t="shared" ref="PVM91:PXI91" si="347">IF(PVL91="","",IF(PVL91&gt;PVU91,"O","P"))</f>
        <v>O</v>
      </c>
      <c r="PVN91" s="74" t="s">
        <v>28</v>
      </c>
      <c r="PVO91" s="75" t="s">
        <v>23</v>
      </c>
      <c r="PVP91" s="78">
        <f>IFERROR(VLOOKUP(PVO91,'[1]List KPI'!$M$3:$N$8,2,0),"")</f>
        <v>2.0833333333333332E-2</v>
      </c>
      <c r="PVQ91" s="76">
        <v>0.89444444444444449</v>
      </c>
      <c r="PVR91" s="77" t="str">
        <f t="shared" ref="PVR91:PXN91" si="348">IF(PVQ91="","",IF(PVQ91&gt;PVV91,"O","P"))</f>
        <v>O</v>
      </c>
      <c r="PVS91" s="79">
        <v>5</v>
      </c>
      <c r="PVT91" s="75">
        <v>1276006</v>
      </c>
      <c r="PVU91" s="80"/>
      <c r="PVV91" s="81">
        <v>0.86944444444444446</v>
      </c>
      <c r="PVW91" s="74" t="s">
        <v>27</v>
      </c>
      <c r="PVX91" s="74" t="s">
        <v>24</v>
      </c>
      <c r="PVY91" s="75" t="s">
        <v>25</v>
      </c>
      <c r="PVZ91" s="76">
        <f>IFERROR(VLOOKUP(PVY91,'[1]List KPI'!$A$103:$F$118,6,0),"")</f>
        <v>1.0416666666666666E-2</v>
      </c>
      <c r="PWA91" s="76">
        <v>0.86944444444444446</v>
      </c>
      <c r="PWB91" s="76">
        <v>0.86944444444444446</v>
      </c>
      <c r="PWC91" s="77" t="str">
        <f t="shared" si="347"/>
        <v>O</v>
      </c>
      <c r="PWD91" s="74" t="s">
        <v>28</v>
      </c>
      <c r="PWE91" s="75" t="s">
        <v>23</v>
      </c>
      <c r="PWF91" s="78">
        <f>IFERROR(VLOOKUP(PWE91,'[1]List KPI'!$M$3:$N$8,2,0),"")</f>
        <v>2.0833333333333332E-2</v>
      </c>
      <c r="PWG91" s="76">
        <v>0.89444444444444449</v>
      </c>
      <c r="PWH91" s="77" t="str">
        <f t="shared" si="348"/>
        <v>O</v>
      </c>
      <c r="PWI91" s="79">
        <v>5</v>
      </c>
      <c r="PWJ91" s="75">
        <v>1276006</v>
      </c>
      <c r="PWK91" s="80"/>
      <c r="PWL91" s="81">
        <v>0.86944444444444446</v>
      </c>
      <c r="PWM91" s="74" t="s">
        <v>27</v>
      </c>
      <c r="PWN91" s="74" t="s">
        <v>24</v>
      </c>
      <c r="PWO91" s="75" t="s">
        <v>25</v>
      </c>
      <c r="PWP91" s="76">
        <f>IFERROR(VLOOKUP(PWO91,'[1]List KPI'!$A$103:$F$118,6,0),"")</f>
        <v>1.0416666666666666E-2</v>
      </c>
      <c r="PWQ91" s="76">
        <v>0.86944444444444446</v>
      </c>
      <c r="PWR91" s="76">
        <v>0.86944444444444446</v>
      </c>
      <c r="PWS91" s="77" t="str">
        <f t="shared" si="347"/>
        <v>O</v>
      </c>
      <c r="PWT91" s="74" t="s">
        <v>28</v>
      </c>
      <c r="PWU91" s="75" t="s">
        <v>23</v>
      </c>
      <c r="PWV91" s="78">
        <f>IFERROR(VLOOKUP(PWU91,'[1]List KPI'!$M$3:$N$8,2,0),"")</f>
        <v>2.0833333333333332E-2</v>
      </c>
      <c r="PWW91" s="76">
        <v>0.89444444444444449</v>
      </c>
      <c r="PWX91" s="77" t="str">
        <f t="shared" si="348"/>
        <v>O</v>
      </c>
      <c r="PWY91" s="79">
        <v>5</v>
      </c>
      <c r="PWZ91" s="75">
        <v>1276006</v>
      </c>
      <c r="PXA91" s="80"/>
      <c r="PXB91" s="81">
        <v>0.86944444444444446</v>
      </c>
      <c r="PXC91" s="74" t="s">
        <v>27</v>
      </c>
      <c r="PXD91" s="74" t="s">
        <v>24</v>
      </c>
      <c r="PXE91" s="75" t="s">
        <v>25</v>
      </c>
      <c r="PXF91" s="76">
        <f>IFERROR(VLOOKUP(PXE91,'[1]List KPI'!$A$103:$F$118,6,0),"")</f>
        <v>1.0416666666666666E-2</v>
      </c>
      <c r="PXG91" s="76">
        <v>0.86944444444444446</v>
      </c>
      <c r="PXH91" s="76">
        <v>0.86944444444444446</v>
      </c>
      <c r="PXI91" s="77" t="str">
        <f t="shared" si="347"/>
        <v>O</v>
      </c>
      <c r="PXJ91" s="74" t="s">
        <v>28</v>
      </c>
      <c r="PXK91" s="75" t="s">
        <v>23</v>
      </c>
      <c r="PXL91" s="78">
        <f>IFERROR(VLOOKUP(PXK91,'[1]List KPI'!$M$3:$N$8,2,0),"")</f>
        <v>2.0833333333333332E-2</v>
      </c>
      <c r="PXM91" s="76">
        <v>0.89444444444444449</v>
      </c>
      <c r="PXN91" s="77" t="str">
        <f t="shared" si="348"/>
        <v>O</v>
      </c>
      <c r="PXO91" s="79">
        <v>5</v>
      </c>
      <c r="PXP91" s="75">
        <v>1276006</v>
      </c>
      <c r="PXQ91" s="80"/>
      <c r="PXR91" s="81">
        <v>0.86944444444444446</v>
      </c>
      <c r="PXS91" s="74" t="s">
        <v>27</v>
      </c>
      <c r="PXT91" s="74" t="s">
        <v>24</v>
      </c>
      <c r="PXU91" s="75" t="s">
        <v>25</v>
      </c>
      <c r="PXV91" s="76">
        <f>IFERROR(VLOOKUP(PXU91,'[1]List KPI'!$A$103:$F$118,6,0),"")</f>
        <v>1.0416666666666666E-2</v>
      </c>
      <c r="PXW91" s="76">
        <v>0.86944444444444446</v>
      </c>
      <c r="PXX91" s="76">
        <v>0.86944444444444446</v>
      </c>
      <c r="PXY91" s="77" t="str">
        <f t="shared" ref="PXY91:PZU91" si="349">IF(PXX91="","",IF(PXX91&gt;PYG91,"O","P"))</f>
        <v>O</v>
      </c>
      <c r="PXZ91" s="74" t="s">
        <v>28</v>
      </c>
      <c r="PYA91" s="75" t="s">
        <v>23</v>
      </c>
      <c r="PYB91" s="78">
        <f>IFERROR(VLOOKUP(PYA91,'[1]List KPI'!$M$3:$N$8,2,0),"")</f>
        <v>2.0833333333333332E-2</v>
      </c>
      <c r="PYC91" s="76">
        <v>0.89444444444444449</v>
      </c>
      <c r="PYD91" s="77" t="str">
        <f t="shared" ref="PYD91:PZZ91" si="350">IF(PYC91="","",IF(PYC91&gt;PYH91,"O","P"))</f>
        <v>O</v>
      </c>
      <c r="PYE91" s="79">
        <v>5</v>
      </c>
      <c r="PYF91" s="75">
        <v>1276006</v>
      </c>
      <c r="PYG91" s="80"/>
      <c r="PYH91" s="81">
        <v>0.86944444444444446</v>
      </c>
      <c r="PYI91" s="74" t="s">
        <v>27</v>
      </c>
      <c r="PYJ91" s="74" t="s">
        <v>24</v>
      </c>
      <c r="PYK91" s="75" t="s">
        <v>25</v>
      </c>
      <c r="PYL91" s="76">
        <f>IFERROR(VLOOKUP(PYK91,'[1]List KPI'!$A$103:$F$118,6,0),"")</f>
        <v>1.0416666666666666E-2</v>
      </c>
      <c r="PYM91" s="76">
        <v>0.86944444444444446</v>
      </c>
      <c r="PYN91" s="76">
        <v>0.86944444444444446</v>
      </c>
      <c r="PYO91" s="77" t="str">
        <f t="shared" si="349"/>
        <v>O</v>
      </c>
      <c r="PYP91" s="74" t="s">
        <v>28</v>
      </c>
      <c r="PYQ91" s="75" t="s">
        <v>23</v>
      </c>
      <c r="PYR91" s="78">
        <f>IFERROR(VLOOKUP(PYQ91,'[1]List KPI'!$M$3:$N$8,2,0),"")</f>
        <v>2.0833333333333332E-2</v>
      </c>
      <c r="PYS91" s="76">
        <v>0.89444444444444449</v>
      </c>
      <c r="PYT91" s="77" t="str">
        <f t="shared" si="350"/>
        <v>O</v>
      </c>
      <c r="PYU91" s="79">
        <v>5</v>
      </c>
      <c r="PYV91" s="75">
        <v>1276006</v>
      </c>
      <c r="PYW91" s="80"/>
      <c r="PYX91" s="81">
        <v>0.86944444444444446</v>
      </c>
      <c r="PYY91" s="74" t="s">
        <v>27</v>
      </c>
      <c r="PYZ91" s="74" t="s">
        <v>24</v>
      </c>
      <c r="PZA91" s="75" t="s">
        <v>25</v>
      </c>
      <c r="PZB91" s="76">
        <f>IFERROR(VLOOKUP(PZA91,'[1]List KPI'!$A$103:$F$118,6,0),"")</f>
        <v>1.0416666666666666E-2</v>
      </c>
      <c r="PZC91" s="76">
        <v>0.86944444444444446</v>
      </c>
      <c r="PZD91" s="76">
        <v>0.86944444444444446</v>
      </c>
      <c r="PZE91" s="77" t="str">
        <f t="shared" si="349"/>
        <v>O</v>
      </c>
      <c r="PZF91" s="74" t="s">
        <v>28</v>
      </c>
      <c r="PZG91" s="75" t="s">
        <v>23</v>
      </c>
      <c r="PZH91" s="78">
        <f>IFERROR(VLOOKUP(PZG91,'[1]List KPI'!$M$3:$N$8,2,0),"")</f>
        <v>2.0833333333333332E-2</v>
      </c>
      <c r="PZI91" s="76">
        <v>0.89444444444444449</v>
      </c>
      <c r="PZJ91" s="77" t="str">
        <f t="shared" si="350"/>
        <v>O</v>
      </c>
      <c r="PZK91" s="79">
        <v>5</v>
      </c>
      <c r="PZL91" s="75">
        <v>1276006</v>
      </c>
      <c r="PZM91" s="80"/>
      <c r="PZN91" s="81">
        <v>0.86944444444444446</v>
      </c>
      <c r="PZO91" s="74" t="s">
        <v>27</v>
      </c>
      <c r="PZP91" s="74" t="s">
        <v>24</v>
      </c>
      <c r="PZQ91" s="75" t="s">
        <v>25</v>
      </c>
      <c r="PZR91" s="76">
        <f>IFERROR(VLOOKUP(PZQ91,'[1]List KPI'!$A$103:$F$118,6,0),"")</f>
        <v>1.0416666666666666E-2</v>
      </c>
      <c r="PZS91" s="76">
        <v>0.86944444444444446</v>
      </c>
      <c r="PZT91" s="76">
        <v>0.86944444444444446</v>
      </c>
      <c r="PZU91" s="77" t="str">
        <f t="shared" si="349"/>
        <v>O</v>
      </c>
      <c r="PZV91" s="74" t="s">
        <v>28</v>
      </c>
      <c r="PZW91" s="75" t="s">
        <v>23</v>
      </c>
      <c r="PZX91" s="78">
        <f>IFERROR(VLOOKUP(PZW91,'[1]List KPI'!$M$3:$N$8,2,0),"")</f>
        <v>2.0833333333333332E-2</v>
      </c>
      <c r="PZY91" s="76">
        <v>0.89444444444444449</v>
      </c>
      <c r="PZZ91" s="77" t="str">
        <f t="shared" si="350"/>
        <v>O</v>
      </c>
      <c r="QAA91" s="79">
        <v>5</v>
      </c>
      <c r="QAB91" s="75">
        <v>1276006</v>
      </c>
      <c r="QAC91" s="80"/>
      <c r="QAD91" s="81">
        <v>0.86944444444444446</v>
      </c>
      <c r="QAE91" s="74" t="s">
        <v>27</v>
      </c>
      <c r="QAF91" s="74" t="s">
        <v>24</v>
      </c>
      <c r="QAG91" s="75" t="s">
        <v>25</v>
      </c>
      <c r="QAH91" s="76">
        <f>IFERROR(VLOOKUP(QAG91,'[1]List KPI'!$A$103:$F$118,6,0),"")</f>
        <v>1.0416666666666666E-2</v>
      </c>
      <c r="QAI91" s="76">
        <v>0.86944444444444446</v>
      </c>
      <c r="QAJ91" s="76">
        <v>0.86944444444444446</v>
      </c>
      <c r="QAK91" s="77" t="str">
        <f t="shared" ref="QAK91:QCG91" si="351">IF(QAJ91="","",IF(QAJ91&gt;QAS91,"O","P"))</f>
        <v>O</v>
      </c>
      <c r="QAL91" s="74" t="s">
        <v>28</v>
      </c>
      <c r="QAM91" s="75" t="s">
        <v>23</v>
      </c>
      <c r="QAN91" s="78">
        <f>IFERROR(VLOOKUP(QAM91,'[1]List KPI'!$M$3:$N$8,2,0),"")</f>
        <v>2.0833333333333332E-2</v>
      </c>
      <c r="QAO91" s="76">
        <v>0.89444444444444449</v>
      </c>
      <c r="QAP91" s="77" t="str">
        <f t="shared" ref="QAP91:QCL91" si="352">IF(QAO91="","",IF(QAO91&gt;QAT91,"O","P"))</f>
        <v>O</v>
      </c>
      <c r="QAQ91" s="79">
        <v>5</v>
      </c>
      <c r="QAR91" s="75">
        <v>1276006</v>
      </c>
      <c r="QAS91" s="80"/>
      <c r="QAT91" s="81">
        <v>0.86944444444444446</v>
      </c>
      <c r="QAU91" s="74" t="s">
        <v>27</v>
      </c>
      <c r="QAV91" s="74" t="s">
        <v>24</v>
      </c>
      <c r="QAW91" s="75" t="s">
        <v>25</v>
      </c>
      <c r="QAX91" s="76">
        <f>IFERROR(VLOOKUP(QAW91,'[1]List KPI'!$A$103:$F$118,6,0),"")</f>
        <v>1.0416666666666666E-2</v>
      </c>
      <c r="QAY91" s="76">
        <v>0.86944444444444446</v>
      </c>
      <c r="QAZ91" s="76">
        <v>0.86944444444444446</v>
      </c>
      <c r="QBA91" s="77" t="str">
        <f t="shared" si="351"/>
        <v>O</v>
      </c>
      <c r="QBB91" s="74" t="s">
        <v>28</v>
      </c>
      <c r="QBC91" s="75" t="s">
        <v>23</v>
      </c>
      <c r="QBD91" s="78">
        <f>IFERROR(VLOOKUP(QBC91,'[1]List KPI'!$M$3:$N$8,2,0),"")</f>
        <v>2.0833333333333332E-2</v>
      </c>
      <c r="QBE91" s="76">
        <v>0.89444444444444449</v>
      </c>
      <c r="QBF91" s="77" t="str">
        <f t="shared" si="352"/>
        <v>O</v>
      </c>
      <c r="QBG91" s="79">
        <v>5</v>
      </c>
      <c r="QBH91" s="75">
        <v>1276006</v>
      </c>
      <c r="QBI91" s="80"/>
      <c r="QBJ91" s="81">
        <v>0.86944444444444446</v>
      </c>
      <c r="QBK91" s="74" t="s">
        <v>27</v>
      </c>
      <c r="QBL91" s="74" t="s">
        <v>24</v>
      </c>
      <c r="QBM91" s="75" t="s">
        <v>25</v>
      </c>
      <c r="QBN91" s="76">
        <f>IFERROR(VLOOKUP(QBM91,'[1]List KPI'!$A$103:$F$118,6,0),"")</f>
        <v>1.0416666666666666E-2</v>
      </c>
      <c r="QBO91" s="76">
        <v>0.86944444444444446</v>
      </c>
      <c r="QBP91" s="76">
        <v>0.86944444444444446</v>
      </c>
      <c r="QBQ91" s="77" t="str">
        <f t="shared" si="351"/>
        <v>O</v>
      </c>
      <c r="QBR91" s="74" t="s">
        <v>28</v>
      </c>
      <c r="QBS91" s="75" t="s">
        <v>23</v>
      </c>
      <c r="QBT91" s="78">
        <f>IFERROR(VLOOKUP(QBS91,'[1]List KPI'!$M$3:$N$8,2,0),"")</f>
        <v>2.0833333333333332E-2</v>
      </c>
      <c r="QBU91" s="76">
        <v>0.89444444444444449</v>
      </c>
      <c r="QBV91" s="77" t="str">
        <f t="shared" si="352"/>
        <v>O</v>
      </c>
      <c r="QBW91" s="79">
        <v>5</v>
      </c>
      <c r="QBX91" s="75">
        <v>1276006</v>
      </c>
      <c r="QBY91" s="80"/>
      <c r="QBZ91" s="81">
        <v>0.86944444444444446</v>
      </c>
      <c r="QCA91" s="74" t="s">
        <v>27</v>
      </c>
      <c r="QCB91" s="74" t="s">
        <v>24</v>
      </c>
      <c r="QCC91" s="75" t="s">
        <v>25</v>
      </c>
      <c r="QCD91" s="76">
        <f>IFERROR(VLOOKUP(QCC91,'[1]List KPI'!$A$103:$F$118,6,0),"")</f>
        <v>1.0416666666666666E-2</v>
      </c>
      <c r="QCE91" s="76">
        <v>0.86944444444444446</v>
      </c>
      <c r="QCF91" s="76">
        <v>0.86944444444444446</v>
      </c>
      <c r="QCG91" s="77" t="str">
        <f t="shared" si="351"/>
        <v>O</v>
      </c>
      <c r="QCH91" s="74" t="s">
        <v>28</v>
      </c>
      <c r="QCI91" s="75" t="s">
        <v>23</v>
      </c>
      <c r="QCJ91" s="78">
        <f>IFERROR(VLOOKUP(QCI91,'[1]List KPI'!$M$3:$N$8,2,0),"")</f>
        <v>2.0833333333333332E-2</v>
      </c>
      <c r="QCK91" s="76">
        <v>0.89444444444444449</v>
      </c>
      <c r="QCL91" s="77" t="str">
        <f t="shared" si="352"/>
        <v>O</v>
      </c>
      <c r="QCM91" s="79">
        <v>5</v>
      </c>
      <c r="QCN91" s="75">
        <v>1276006</v>
      </c>
      <c r="QCO91" s="80"/>
      <c r="QCP91" s="81">
        <v>0.86944444444444446</v>
      </c>
      <c r="QCQ91" s="74" t="s">
        <v>27</v>
      </c>
      <c r="QCR91" s="74" t="s">
        <v>24</v>
      </c>
      <c r="QCS91" s="75" t="s">
        <v>25</v>
      </c>
      <c r="QCT91" s="76">
        <f>IFERROR(VLOOKUP(QCS91,'[1]List KPI'!$A$103:$F$118,6,0),"")</f>
        <v>1.0416666666666666E-2</v>
      </c>
      <c r="QCU91" s="76">
        <v>0.86944444444444446</v>
      </c>
      <c r="QCV91" s="76">
        <v>0.86944444444444446</v>
      </c>
      <c r="QCW91" s="77" t="str">
        <f t="shared" ref="QCW91:QES91" si="353">IF(QCV91="","",IF(QCV91&gt;QDE91,"O","P"))</f>
        <v>O</v>
      </c>
      <c r="QCX91" s="74" t="s">
        <v>28</v>
      </c>
      <c r="QCY91" s="75" t="s">
        <v>23</v>
      </c>
      <c r="QCZ91" s="78">
        <f>IFERROR(VLOOKUP(QCY91,'[1]List KPI'!$M$3:$N$8,2,0),"")</f>
        <v>2.0833333333333332E-2</v>
      </c>
      <c r="QDA91" s="76">
        <v>0.89444444444444449</v>
      </c>
      <c r="QDB91" s="77" t="str">
        <f t="shared" ref="QDB91:QEX91" si="354">IF(QDA91="","",IF(QDA91&gt;QDF91,"O","P"))</f>
        <v>O</v>
      </c>
      <c r="QDC91" s="79">
        <v>5</v>
      </c>
      <c r="QDD91" s="75">
        <v>1276006</v>
      </c>
      <c r="QDE91" s="80"/>
      <c r="QDF91" s="81">
        <v>0.86944444444444446</v>
      </c>
      <c r="QDG91" s="74" t="s">
        <v>27</v>
      </c>
      <c r="QDH91" s="74" t="s">
        <v>24</v>
      </c>
      <c r="QDI91" s="75" t="s">
        <v>25</v>
      </c>
      <c r="QDJ91" s="76">
        <f>IFERROR(VLOOKUP(QDI91,'[1]List KPI'!$A$103:$F$118,6,0),"")</f>
        <v>1.0416666666666666E-2</v>
      </c>
      <c r="QDK91" s="76">
        <v>0.86944444444444446</v>
      </c>
      <c r="QDL91" s="76">
        <v>0.86944444444444446</v>
      </c>
      <c r="QDM91" s="77" t="str">
        <f t="shared" si="353"/>
        <v>O</v>
      </c>
      <c r="QDN91" s="74" t="s">
        <v>28</v>
      </c>
      <c r="QDO91" s="75" t="s">
        <v>23</v>
      </c>
      <c r="QDP91" s="78">
        <f>IFERROR(VLOOKUP(QDO91,'[1]List KPI'!$M$3:$N$8,2,0),"")</f>
        <v>2.0833333333333332E-2</v>
      </c>
      <c r="QDQ91" s="76">
        <v>0.89444444444444449</v>
      </c>
      <c r="QDR91" s="77" t="str">
        <f t="shared" si="354"/>
        <v>O</v>
      </c>
      <c r="QDS91" s="79">
        <v>5</v>
      </c>
      <c r="QDT91" s="75">
        <v>1276006</v>
      </c>
      <c r="QDU91" s="80"/>
      <c r="QDV91" s="81">
        <v>0.86944444444444446</v>
      </c>
      <c r="QDW91" s="74" t="s">
        <v>27</v>
      </c>
      <c r="QDX91" s="74" t="s">
        <v>24</v>
      </c>
      <c r="QDY91" s="75" t="s">
        <v>25</v>
      </c>
      <c r="QDZ91" s="76">
        <f>IFERROR(VLOOKUP(QDY91,'[1]List KPI'!$A$103:$F$118,6,0),"")</f>
        <v>1.0416666666666666E-2</v>
      </c>
      <c r="QEA91" s="76">
        <v>0.86944444444444446</v>
      </c>
      <c r="QEB91" s="76">
        <v>0.86944444444444446</v>
      </c>
      <c r="QEC91" s="77" t="str">
        <f t="shared" si="353"/>
        <v>O</v>
      </c>
      <c r="QED91" s="74" t="s">
        <v>28</v>
      </c>
      <c r="QEE91" s="75" t="s">
        <v>23</v>
      </c>
      <c r="QEF91" s="78">
        <f>IFERROR(VLOOKUP(QEE91,'[1]List KPI'!$M$3:$N$8,2,0),"")</f>
        <v>2.0833333333333332E-2</v>
      </c>
      <c r="QEG91" s="76">
        <v>0.89444444444444449</v>
      </c>
      <c r="QEH91" s="77" t="str">
        <f t="shared" si="354"/>
        <v>O</v>
      </c>
      <c r="QEI91" s="79">
        <v>5</v>
      </c>
      <c r="QEJ91" s="75">
        <v>1276006</v>
      </c>
      <c r="QEK91" s="80"/>
      <c r="QEL91" s="81">
        <v>0.86944444444444446</v>
      </c>
      <c r="QEM91" s="74" t="s">
        <v>27</v>
      </c>
      <c r="QEN91" s="74" t="s">
        <v>24</v>
      </c>
      <c r="QEO91" s="75" t="s">
        <v>25</v>
      </c>
      <c r="QEP91" s="76">
        <f>IFERROR(VLOOKUP(QEO91,'[1]List KPI'!$A$103:$F$118,6,0),"")</f>
        <v>1.0416666666666666E-2</v>
      </c>
      <c r="QEQ91" s="76">
        <v>0.86944444444444446</v>
      </c>
      <c r="QER91" s="76">
        <v>0.86944444444444446</v>
      </c>
      <c r="QES91" s="77" t="str">
        <f t="shared" si="353"/>
        <v>O</v>
      </c>
      <c r="QET91" s="74" t="s">
        <v>28</v>
      </c>
      <c r="QEU91" s="75" t="s">
        <v>23</v>
      </c>
      <c r="QEV91" s="78">
        <f>IFERROR(VLOOKUP(QEU91,'[1]List KPI'!$M$3:$N$8,2,0),"")</f>
        <v>2.0833333333333332E-2</v>
      </c>
      <c r="QEW91" s="76">
        <v>0.89444444444444449</v>
      </c>
      <c r="QEX91" s="77" t="str">
        <f t="shared" si="354"/>
        <v>O</v>
      </c>
      <c r="QEY91" s="79">
        <v>5</v>
      </c>
      <c r="QEZ91" s="75">
        <v>1276006</v>
      </c>
      <c r="QFA91" s="80"/>
      <c r="QFB91" s="81">
        <v>0.86944444444444446</v>
      </c>
      <c r="QFC91" s="74" t="s">
        <v>27</v>
      </c>
      <c r="QFD91" s="74" t="s">
        <v>24</v>
      </c>
      <c r="QFE91" s="75" t="s">
        <v>25</v>
      </c>
      <c r="QFF91" s="76">
        <f>IFERROR(VLOOKUP(QFE91,'[1]List KPI'!$A$103:$F$118,6,0),"")</f>
        <v>1.0416666666666666E-2</v>
      </c>
      <c r="QFG91" s="76">
        <v>0.86944444444444446</v>
      </c>
      <c r="QFH91" s="76">
        <v>0.86944444444444446</v>
      </c>
      <c r="QFI91" s="77" t="str">
        <f t="shared" ref="QFI91:QHE91" si="355">IF(QFH91="","",IF(QFH91&gt;QFQ91,"O","P"))</f>
        <v>O</v>
      </c>
      <c r="QFJ91" s="74" t="s">
        <v>28</v>
      </c>
      <c r="QFK91" s="75" t="s">
        <v>23</v>
      </c>
      <c r="QFL91" s="78">
        <f>IFERROR(VLOOKUP(QFK91,'[1]List KPI'!$M$3:$N$8,2,0),"")</f>
        <v>2.0833333333333332E-2</v>
      </c>
      <c r="QFM91" s="76">
        <v>0.89444444444444449</v>
      </c>
      <c r="QFN91" s="77" t="str">
        <f t="shared" ref="QFN91:QHJ91" si="356">IF(QFM91="","",IF(QFM91&gt;QFR91,"O","P"))</f>
        <v>O</v>
      </c>
      <c r="QFO91" s="79">
        <v>5</v>
      </c>
      <c r="QFP91" s="75">
        <v>1276006</v>
      </c>
      <c r="QFQ91" s="80"/>
      <c r="QFR91" s="81">
        <v>0.86944444444444446</v>
      </c>
      <c r="QFS91" s="74" t="s">
        <v>27</v>
      </c>
      <c r="QFT91" s="74" t="s">
        <v>24</v>
      </c>
      <c r="QFU91" s="75" t="s">
        <v>25</v>
      </c>
      <c r="QFV91" s="76">
        <f>IFERROR(VLOOKUP(QFU91,'[1]List KPI'!$A$103:$F$118,6,0),"")</f>
        <v>1.0416666666666666E-2</v>
      </c>
      <c r="QFW91" s="76">
        <v>0.86944444444444446</v>
      </c>
      <c r="QFX91" s="76">
        <v>0.86944444444444446</v>
      </c>
      <c r="QFY91" s="77" t="str">
        <f t="shared" si="355"/>
        <v>O</v>
      </c>
      <c r="QFZ91" s="74" t="s">
        <v>28</v>
      </c>
      <c r="QGA91" s="75" t="s">
        <v>23</v>
      </c>
      <c r="QGB91" s="78">
        <f>IFERROR(VLOOKUP(QGA91,'[1]List KPI'!$M$3:$N$8,2,0),"")</f>
        <v>2.0833333333333332E-2</v>
      </c>
      <c r="QGC91" s="76">
        <v>0.89444444444444449</v>
      </c>
      <c r="QGD91" s="77" t="str">
        <f t="shared" si="356"/>
        <v>O</v>
      </c>
      <c r="QGE91" s="79">
        <v>5</v>
      </c>
      <c r="QGF91" s="75">
        <v>1276006</v>
      </c>
      <c r="QGG91" s="80"/>
      <c r="QGH91" s="81">
        <v>0.86944444444444446</v>
      </c>
      <c r="QGI91" s="74" t="s">
        <v>27</v>
      </c>
      <c r="QGJ91" s="74" t="s">
        <v>24</v>
      </c>
      <c r="QGK91" s="75" t="s">
        <v>25</v>
      </c>
      <c r="QGL91" s="76">
        <f>IFERROR(VLOOKUP(QGK91,'[1]List KPI'!$A$103:$F$118,6,0),"")</f>
        <v>1.0416666666666666E-2</v>
      </c>
      <c r="QGM91" s="76">
        <v>0.86944444444444446</v>
      </c>
      <c r="QGN91" s="76">
        <v>0.86944444444444446</v>
      </c>
      <c r="QGO91" s="77" t="str">
        <f t="shared" si="355"/>
        <v>O</v>
      </c>
      <c r="QGP91" s="74" t="s">
        <v>28</v>
      </c>
      <c r="QGQ91" s="75" t="s">
        <v>23</v>
      </c>
      <c r="QGR91" s="78">
        <f>IFERROR(VLOOKUP(QGQ91,'[1]List KPI'!$M$3:$N$8,2,0),"")</f>
        <v>2.0833333333333332E-2</v>
      </c>
      <c r="QGS91" s="76">
        <v>0.89444444444444449</v>
      </c>
      <c r="QGT91" s="77" t="str">
        <f t="shared" si="356"/>
        <v>O</v>
      </c>
      <c r="QGU91" s="79">
        <v>5</v>
      </c>
      <c r="QGV91" s="75">
        <v>1276006</v>
      </c>
      <c r="QGW91" s="80"/>
      <c r="QGX91" s="81">
        <v>0.86944444444444446</v>
      </c>
      <c r="QGY91" s="74" t="s">
        <v>27</v>
      </c>
      <c r="QGZ91" s="74" t="s">
        <v>24</v>
      </c>
      <c r="QHA91" s="75" t="s">
        <v>25</v>
      </c>
      <c r="QHB91" s="76">
        <f>IFERROR(VLOOKUP(QHA91,'[1]List KPI'!$A$103:$F$118,6,0),"")</f>
        <v>1.0416666666666666E-2</v>
      </c>
      <c r="QHC91" s="76">
        <v>0.86944444444444446</v>
      </c>
      <c r="QHD91" s="76">
        <v>0.86944444444444446</v>
      </c>
      <c r="QHE91" s="77" t="str">
        <f t="shared" si="355"/>
        <v>O</v>
      </c>
      <c r="QHF91" s="74" t="s">
        <v>28</v>
      </c>
      <c r="QHG91" s="75" t="s">
        <v>23</v>
      </c>
      <c r="QHH91" s="78">
        <f>IFERROR(VLOOKUP(QHG91,'[1]List KPI'!$M$3:$N$8,2,0),"")</f>
        <v>2.0833333333333332E-2</v>
      </c>
      <c r="QHI91" s="76">
        <v>0.89444444444444449</v>
      </c>
      <c r="QHJ91" s="77" t="str">
        <f t="shared" si="356"/>
        <v>O</v>
      </c>
      <c r="QHK91" s="79">
        <v>5</v>
      </c>
      <c r="QHL91" s="75">
        <v>1276006</v>
      </c>
      <c r="QHM91" s="80"/>
      <c r="QHN91" s="81">
        <v>0.86944444444444446</v>
      </c>
      <c r="QHO91" s="74" t="s">
        <v>27</v>
      </c>
      <c r="QHP91" s="74" t="s">
        <v>24</v>
      </c>
      <c r="QHQ91" s="75" t="s">
        <v>25</v>
      </c>
      <c r="QHR91" s="76">
        <f>IFERROR(VLOOKUP(QHQ91,'[1]List KPI'!$A$103:$F$118,6,0),"")</f>
        <v>1.0416666666666666E-2</v>
      </c>
      <c r="QHS91" s="76">
        <v>0.86944444444444446</v>
      </c>
      <c r="QHT91" s="76">
        <v>0.86944444444444446</v>
      </c>
      <c r="QHU91" s="77" t="str">
        <f t="shared" ref="QHU91:QJQ91" si="357">IF(QHT91="","",IF(QHT91&gt;QIC91,"O","P"))</f>
        <v>O</v>
      </c>
      <c r="QHV91" s="74" t="s">
        <v>28</v>
      </c>
      <c r="QHW91" s="75" t="s">
        <v>23</v>
      </c>
      <c r="QHX91" s="78">
        <f>IFERROR(VLOOKUP(QHW91,'[1]List KPI'!$M$3:$N$8,2,0),"")</f>
        <v>2.0833333333333332E-2</v>
      </c>
      <c r="QHY91" s="76">
        <v>0.89444444444444449</v>
      </c>
      <c r="QHZ91" s="77" t="str">
        <f t="shared" ref="QHZ91:QJV91" si="358">IF(QHY91="","",IF(QHY91&gt;QID91,"O","P"))</f>
        <v>O</v>
      </c>
      <c r="QIA91" s="79">
        <v>5</v>
      </c>
      <c r="QIB91" s="75">
        <v>1276006</v>
      </c>
      <c r="QIC91" s="80"/>
      <c r="QID91" s="81">
        <v>0.86944444444444446</v>
      </c>
      <c r="QIE91" s="74" t="s">
        <v>27</v>
      </c>
      <c r="QIF91" s="74" t="s">
        <v>24</v>
      </c>
      <c r="QIG91" s="75" t="s">
        <v>25</v>
      </c>
      <c r="QIH91" s="76">
        <f>IFERROR(VLOOKUP(QIG91,'[1]List KPI'!$A$103:$F$118,6,0),"")</f>
        <v>1.0416666666666666E-2</v>
      </c>
      <c r="QII91" s="76">
        <v>0.86944444444444446</v>
      </c>
      <c r="QIJ91" s="76">
        <v>0.86944444444444446</v>
      </c>
      <c r="QIK91" s="77" t="str">
        <f t="shared" si="357"/>
        <v>O</v>
      </c>
      <c r="QIL91" s="74" t="s">
        <v>28</v>
      </c>
      <c r="QIM91" s="75" t="s">
        <v>23</v>
      </c>
      <c r="QIN91" s="78">
        <f>IFERROR(VLOOKUP(QIM91,'[1]List KPI'!$M$3:$N$8,2,0),"")</f>
        <v>2.0833333333333332E-2</v>
      </c>
      <c r="QIO91" s="76">
        <v>0.89444444444444449</v>
      </c>
      <c r="QIP91" s="77" t="str">
        <f t="shared" si="358"/>
        <v>O</v>
      </c>
      <c r="QIQ91" s="79">
        <v>5</v>
      </c>
      <c r="QIR91" s="75">
        <v>1276006</v>
      </c>
      <c r="QIS91" s="80"/>
      <c r="QIT91" s="81">
        <v>0.86944444444444446</v>
      </c>
      <c r="QIU91" s="74" t="s">
        <v>27</v>
      </c>
      <c r="QIV91" s="74" t="s">
        <v>24</v>
      </c>
      <c r="QIW91" s="75" t="s">
        <v>25</v>
      </c>
      <c r="QIX91" s="76">
        <f>IFERROR(VLOOKUP(QIW91,'[1]List KPI'!$A$103:$F$118,6,0),"")</f>
        <v>1.0416666666666666E-2</v>
      </c>
      <c r="QIY91" s="76">
        <v>0.86944444444444446</v>
      </c>
      <c r="QIZ91" s="76">
        <v>0.86944444444444446</v>
      </c>
      <c r="QJA91" s="77" t="str">
        <f t="shared" si="357"/>
        <v>O</v>
      </c>
      <c r="QJB91" s="74" t="s">
        <v>28</v>
      </c>
      <c r="QJC91" s="75" t="s">
        <v>23</v>
      </c>
      <c r="QJD91" s="78">
        <f>IFERROR(VLOOKUP(QJC91,'[1]List KPI'!$M$3:$N$8,2,0),"")</f>
        <v>2.0833333333333332E-2</v>
      </c>
      <c r="QJE91" s="76">
        <v>0.89444444444444449</v>
      </c>
      <c r="QJF91" s="77" t="str">
        <f t="shared" si="358"/>
        <v>O</v>
      </c>
      <c r="QJG91" s="79">
        <v>5</v>
      </c>
      <c r="QJH91" s="75">
        <v>1276006</v>
      </c>
      <c r="QJI91" s="80"/>
      <c r="QJJ91" s="81">
        <v>0.86944444444444446</v>
      </c>
      <c r="QJK91" s="74" t="s">
        <v>27</v>
      </c>
      <c r="QJL91" s="74" t="s">
        <v>24</v>
      </c>
      <c r="QJM91" s="75" t="s">
        <v>25</v>
      </c>
      <c r="QJN91" s="76">
        <f>IFERROR(VLOOKUP(QJM91,'[1]List KPI'!$A$103:$F$118,6,0),"")</f>
        <v>1.0416666666666666E-2</v>
      </c>
      <c r="QJO91" s="76">
        <v>0.86944444444444446</v>
      </c>
      <c r="QJP91" s="76">
        <v>0.86944444444444446</v>
      </c>
      <c r="QJQ91" s="77" t="str">
        <f t="shared" si="357"/>
        <v>O</v>
      </c>
      <c r="QJR91" s="74" t="s">
        <v>28</v>
      </c>
      <c r="QJS91" s="75" t="s">
        <v>23</v>
      </c>
      <c r="QJT91" s="78">
        <f>IFERROR(VLOOKUP(QJS91,'[1]List KPI'!$M$3:$N$8,2,0),"")</f>
        <v>2.0833333333333332E-2</v>
      </c>
      <c r="QJU91" s="76">
        <v>0.89444444444444449</v>
      </c>
      <c r="QJV91" s="77" t="str">
        <f t="shared" si="358"/>
        <v>O</v>
      </c>
      <c r="QJW91" s="79">
        <v>5</v>
      </c>
      <c r="QJX91" s="75">
        <v>1276006</v>
      </c>
      <c r="QJY91" s="80"/>
      <c r="QJZ91" s="81">
        <v>0.86944444444444446</v>
      </c>
      <c r="QKA91" s="74" t="s">
        <v>27</v>
      </c>
      <c r="QKB91" s="74" t="s">
        <v>24</v>
      </c>
      <c r="QKC91" s="75" t="s">
        <v>25</v>
      </c>
      <c r="QKD91" s="76">
        <f>IFERROR(VLOOKUP(QKC91,'[1]List KPI'!$A$103:$F$118,6,0),"")</f>
        <v>1.0416666666666666E-2</v>
      </c>
      <c r="QKE91" s="76">
        <v>0.86944444444444446</v>
      </c>
      <c r="QKF91" s="76">
        <v>0.86944444444444446</v>
      </c>
      <c r="QKG91" s="77" t="str">
        <f t="shared" ref="QKG91:QMC91" si="359">IF(QKF91="","",IF(QKF91&gt;QKO91,"O","P"))</f>
        <v>O</v>
      </c>
      <c r="QKH91" s="74" t="s">
        <v>28</v>
      </c>
      <c r="QKI91" s="75" t="s">
        <v>23</v>
      </c>
      <c r="QKJ91" s="78">
        <f>IFERROR(VLOOKUP(QKI91,'[1]List KPI'!$M$3:$N$8,2,0),"")</f>
        <v>2.0833333333333332E-2</v>
      </c>
      <c r="QKK91" s="76">
        <v>0.89444444444444449</v>
      </c>
      <c r="QKL91" s="77" t="str">
        <f t="shared" ref="QKL91:QMH91" si="360">IF(QKK91="","",IF(QKK91&gt;QKP91,"O","P"))</f>
        <v>O</v>
      </c>
      <c r="QKM91" s="79">
        <v>5</v>
      </c>
      <c r="QKN91" s="75">
        <v>1276006</v>
      </c>
      <c r="QKO91" s="80"/>
      <c r="QKP91" s="81">
        <v>0.86944444444444446</v>
      </c>
      <c r="QKQ91" s="74" t="s">
        <v>27</v>
      </c>
      <c r="QKR91" s="74" t="s">
        <v>24</v>
      </c>
      <c r="QKS91" s="75" t="s">
        <v>25</v>
      </c>
      <c r="QKT91" s="76">
        <f>IFERROR(VLOOKUP(QKS91,'[1]List KPI'!$A$103:$F$118,6,0),"")</f>
        <v>1.0416666666666666E-2</v>
      </c>
      <c r="QKU91" s="76">
        <v>0.86944444444444446</v>
      </c>
      <c r="QKV91" s="76">
        <v>0.86944444444444446</v>
      </c>
      <c r="QKW91" s="77" t="str">
        <f t="shared" si="359"/>
        <v>O</v>
      </c>
      <c r="QKX91" s="74" t="s">
        <v>28</v>
      </c>
      <c r="QKY91" s="75" t="s">
        <v>23</v>
      </c>
      <c r="QKZ91" s="78">
        <f>IFERROR(VLOOKUP(QKY91,'[1]List KPI'!$M$3:$N$8,2,0),"")</f>
        <v>2.0833333333333332E-2</v>
      </c>
      <c r="QLA91" s="76">
        <v>0.89444444444444449</v>
      </c>
      <c r="QLB91" s="77" t="str">
        <f t="shared" si="360"/>
        <v>O</v>
      </c>
      <c r="QLC91" s="79">
        <v>5</v>
      </c>
      <c r="QLD91" s="75">
        <v>1276006</v>
      </c>
      <c r="QLE91" s="80"/>
      <c r="QLF91" s="81">
        <v>0.86944444444444446</v>
      </c>
      <c r="QLG91" s="74" t="s">
        <v>27</v>
      </c>
      <c r="QLH91" s="74" t="s">
        <v>24</v>
      </c>
      <c r="QLI91" s="75" t="s">
        <v>25</v>
      </c>
      <c r="QLJ91" s="76">
        <f>IFERROR(VLOOKUP(QLI91,'[1]List KPI'!$A$103:$F$118,6,0),"")</f>
        <v>1.0416666666666666E-2</v>
      </c>
      <c r="QLK91" s="76">
        <v>0.86944444444444446</v>
      </c>
      <c r="QLL91" s="76">
        <v>0.86944444444444446</v>
      </c>
      <c r="QLM91" s="77" t="str">
        <f t="shared" si="359"/>
        <v>O</v>
      </c>
      <c r="QLN91" s="74" t="s">
        <v>28</v>
      </c>
      <c r="QLO91" s="75" t="s">
        <v>23</v>
      </c>
      <c r="QLP91" s="78">
        <f>IFERROR(VLOOKUP(QLO91,'[1]List KPI'!$M$3:$N$8,2,0),"")</f>
        <v>2.0833333333333332E-2</v>
      </c>
      <c r="QLQ91" s="76">
        <v>0.89444444444444449</v>
      </c>
      <c r="QLR91" s="77" t="str">
        <f t="shared" si="360"/>
        <v>O</v>
      </c>
      <c r="QLS91" s="79">
        <v>5</v>
      </c>
      <c r="QLT91" s="75">
        <v>1276006</v>
      </c>
      <c r="QLU91" s="80"/>
      <c r="QLV91" s="81">
        <v>0.86944444444444446</v>
      </c>
      <c r="QLW91" s="74" t="s">
        <v>27</v>
      </c>
      <c r="QLX91" s="74" t="s">
        <v>24</v>
      </c>
      <c r="QLY91" s="75" t="s">
        <v>25</v>
      </c>
      <c r="QLZ91" s="76">
        <f>IFERROR(VLOOKUP(QLY91,'[1]List KPI'!$A$103:$F$118,6,0),"")</f>
        <v>1.0416666666666666E-2</v>
      </c>
      <c r="QMA91" s="76">
        <v>0.86944444444444446</v>
      </c>
      <c r="QMB91" s="76">
        <v>0.86944444444444446</v>
      </c>
      <c r="QMC91" s="77" t="str">
        <f t="shared" si="359"/>
        <v>O</v>
      </c>
      <c r="QMD91" s="74" t="s">
        <v>28</v>
      </c>
      <c r="QME91" s="75" t="s">
        <v>23</v>
      </c>
      <c r="QMF91" s="78">
        <f>IFERROR(VLOOKUP(QME91,'[1]List KPI'!$M$3:$N$8,2,0),"")</f>
        <v>2.0833333333333332E-2</v>
      </c>
      <c r="QMG91" s="76">
        <v>0.89444444444444449</v>
      </c>
      <c r="QMH91" s="77" t="str">
        <f t="shared" si="360"/>
        <v>O</v>
      </c>
      <c r="QMI91" s="79">
        <v>5</v>
      </c>
      <c r="QMJ91" s="75">
        <v>1276006</v>
      </c>
      <c r="QMK91" s="80"/>
      <c r="QML91" s="81">
        <v>0.86944444444444446</v>
      </c>
      <c r="QMM91" s="74" t="s">
        <v>27</v>
      </c>
      <c r="QMN91" s="74" t="s">
        <v>24</v>
      </c>
      <c r="QMO91" s="75" t="s">
        <v>25</v>
      </c>
      <c r="QMP91" s="76">
        <f>IFERROR(VLOOKUP(QMO91,'[1]List KPI'!$A$103:$F$118,6,0),"")</f>
        <v>1.0416666666666666E-2</v>
      </c>
      <c r="QMQ91" s="76">
        <v>0.86944444444444446</v>
      </c>
      <c r="QMR91" s="76">
        <v>0.86944444444444446</v>
      </c>
      <c r="QMS91" s="77" t="str">
        <f t="shared" ref="QMS91:QOO91" si="361">IF(QMR91="","",IF(QMR91&gt;QNA91,"O","P"))</f>
        <v>O</v>
      </c>
      <c r="QMT91" s="74" t="s">
        <v>28</v>
      </c>
      <c r="QMU91" s="75" t="s">
        <v>23</v>
      </c>
      <c r="QMV91" s="78">
        <f>IFERROR(VLOOKUP(QMU91,'[1]List KPI'!$M$3:$N$8,2,0),"")</f>
        <v>2.0833333333333332E-2</v>
      </c>
      <c r="QMW91" s="76">
        <v>0.89444444444444449</v>
      </c>
      <c r="QMX91" s="77" t="str">
        <f t="shared" ref="QMX91:QOT91" si="362">IF(QMW91="","",IF(QMW91&gt;QNB91,"O","P"))</f>
        <v>O</v>
      </c>
      <c r="QMY91" s="79">
        <v>5</v>
      </c>
      <c r="QMZ91" s="75">
        <v>1276006</v>
      </c>
      <c r="QNA91" s="80"/>
      <c r="QNB91" s="81">
        <v>0.86944444444444446</v>
      </c>
      <c r="QNC91" s="74" t="s">
        <v>27</v>
      </c>
      <c r="QND91" s="74" t="s">
        <v>24</v>
      </c>
      <c r="QNE91" s="75" t="s">
        <v>25</v>
      </c>
      <c r="QNF91" s="76">
        <f>IFERROR(VLOOKUP(QNE91,'[1]List KPI'!$A$103:$F$118,6,0),"")</f>
        <v>1.0416666666666666E-2</v>
      </c>
      <c r="QNG91" s="76">
        <v>0.86944444444444446</v>
      </c>
      <c r="QNH91" s="76">
        <v>0.86944444444444446</v>
      </c>
      <c r="QNI91" s="77" t="str">
        <f t="shared" si="361"/>
        <v>O</v>
      </c>
      <c r="QNJ91" s="74" t="s">
        <v>28</v>
      </c>
      <c r="QNK91" s="75" t="s">
        <v>23</v>
      </c>
      <c r="QNL91" s="78">
        <f>IFERROR(VLOOKUP(QNK91,'[1]List KPI'!$M$3:$N$8,2,0),"")</f>
        <v>2.0833333333333332E-2</v>
      </c>
      <c r="QNM91" s="76">
        <v>0.89444444444444449</v>
      </c>
      <c r="QNN91" s="77" t="str">
        <f t="shared" si="362"/>
        <v>O</v>
      </c>
      <c r="QNO91" s="79">
        <v>5</v>
      </c>
      <c r="QNP91" s="75">
        <v>1276006</v>
      </c>
      <c r="QNQ91" s="80"/>
      <c r="QNR91" s="81">
        <v>0.86944444444444446</v>
      </c>
      <c r="QNS91" s="74" t="s">
        <v>27</v>
      </c>
      <c r="QNT91" s="74" t="s">
        <v>24</v>
      </c>
      <c r="QNU91" s="75" t="s">
        <v>25</v>
      </c>
      <c r="QNV91" s="76">
        <f>IFERROR(VLOOKUP(QNU91,'[1]List KPI'!$A$103:$F$118,6,0),"")</f>
        <v>1.0416666666666666E-2</v>
      </c>
      <c r="QNW91" s="76">
        <v>0.86944444444444446</v>
      </c>
      <c r="QNX91" s="76">
        <v>0.86944444444444446</v>
      </c>
      <c r="QNY91" s="77" t="str">
        <f t="shared" si="361"/>
        <v>O</v>
      </c>
      <c r="QNZ91" s="74" t="s">
        <v>28</v>
      </c>
      <c r="QOA91" s="75" t="s">
        <v>23</v>
      </c>
      <c r="QOB91" s="78">
        <f>IFERROR(VLOOKUP(QOA91,'[1]List KPI'!$M$3:$N$8,2,0),"")</f>
        <v>2.0833333333333332E-2</v>
      </c>
      <c r="QOC91" s="76">
        <v>0.89444444444444449</v>
      </c>
      <c r="QOD91" s="77" t="str">
        <f t="shared" si="362"/>
        <v>O</v>
      </c>
      <c r="QOE91" s="79">
        <v>5</v>
      </c>
      <c r="QOF91" s="75">
        <v>1276006</v>
      </c>
      <c r="QOG91" s="80"/>
      <c r="QOH91" s="81">
        <v>0.86944444444444446</v>
      </c>
      <c r="QOI91" s="74" t="s">
        <v>27</v>
      </c>
      <c r="QOJ91" s="74" t="s">
        <v>24</v>
      </c>
      <c r="QOK91" s="75" t="s">
        <v>25</v>
      </c>
      <c r="QOL91" s="76">
        <f>IFERROR(VLOOKUP(QOK91,'[1]List KPI'!$A$103:$F$118,6,0),"")</f>
        <v>1.0416666666666666E-2</v>
      </c>
      <c r="QOM91" s="76">
        <v>0.86944444444444446</v>
      </c>
      <c r="QON91" s="76">
        <v>0.86944444444444446</v>
      </c>
      <c r="QOO91" s="77" t="str">
        <f t="shared" si="361"/>
        <v>O</v>
      </c>
      <c r="QOP91" s="74" t="s">
        <v>28</v>
      </c>
      <c r="QOQ91" s="75" t="s">
        <v>23</v>
      </c>
      <c r="QOR91" s="78">
        <f>IFERROR(VLOOKUP(QOQ91,'[1]List KPI'!$M$3:$N$8,2,0),"")</f>
        <v>2.0833333333333332E-2</v>
      </c>
      <c r="QOS91" s="76">
        <v>0.89444444444444449</v>
      </c>
      <c r="QOT91" s="77" t="str">
        <f t="shared" si="362"/>
        <v>O</v>
      </c>
      <c r="QOU91" s="79">
        <v>5</v>
      </c>
      <c r="QOV91" s="75">
        <v>1276006</v>
      </c>
      <c r="QOW91" s="80"/>
      <c r="QOX91" s="81">
        <v>0.86944444444444446</v>
      </c>
      <c r="QOY91" s="74" t="s">
        <v>27</v>
      </c>
      <c r="QOZ91" s="74" t="s">
        <v>24</v>
      </c>
      <c r="QPA91" s="75" t="s">
        <v>25</v>
      </c>
      <c r="QPB91" s="76">
        <f>IFERROR(VLOOKUP(QPA91,'[1]List KPI'!$A$103:$F$118,6,0),"")</f>
        <v>1.0416666666666666E-2</v>
      </c>
      <c r="QPC91" s="76">
        <v>0.86944444444444446</v>
      </c>
      <c r="QPD91" s="76">
        <v>0.86944444444444446</v>
      </c>
      <c r="QPE91" s="77" t="str">
        <f t="shared" ref="QPE91:QRA91" si="363">IF(QPD91="","",IF(QPD91&gt;QPM91,"O","P"))</f>
        <v>O</v>
      </c>
      <c r="QPF91" s="74" t="s">
        <v>28</v>
      </c>
      <c r="QPG91" s="75" t="s">
        <v>23</v>
      </c>
      <c r="QPH91" s="78">
        <f>IFERROR(VLOOKUP(QPG91,'[1]List KPI'!$M$3:$N$8,2,0),"")</f>
        <v>2.0833333333333332E-2</v>
      </c>
      <c r="QPI91" s="76">
        <v>0.89444444444444449</v>
      </c>
      <c r="QPJ91" s="77" t="str">
        <f t="shared" ref="QPJ91:QRF91" si="364">IF(QPI91="","",IF(QPI91&gt;QPN91,"O","P"))</f>
        <v>O</v>
      </c>
      <c r="QPK91" s="79">
        <v>5</v>
      </c>
      <c r="QPL91" s="75">
        <v>1276006</v>
      </c>
      <c r="QPM91" s="80"/>
      <c r="QPN91" s="81">
        <v>0.86944444444444446</v>
      </c>
      <c r="QPO91" s="74" t="s">
        <v>27</v>
      </c>
      <c r="QPP91" s="74" t="s">
        <v>24</v>
      </c>
      <c r="QPQ91" s="75" t="s">
        <v>25</v>
      </c>
      <c r="QPR91" s="76">
        <f>IFERROR(VLOOKUP(QPQ91,'[1]List KPI'!$A$103:$F$118,6,0),"")</f>
        <v>1.0416666666666666E-2</v>
      </c>
      <c r="QPS91" s="76">
        <v>0.86944444444444446</v>
      </c>
      <c r="QPT91" s="76">
        <v>0.86944444444444446</v>
      </c>
      <c r="QPU91" s="77" t="str">
        <f t="shared" si="363"/>
        <v>O</v>
      </c>
      <c r="QPV91" s="74" t="s">
        <v>28</v>
      </c>
      <c r="QPW91" s="75" t="s">
        <v>23</v>
      </c>
      <c r="QPX91" s="78">
        <f>IFERROR(VLOOKUP(QPW91,'[1]List KPI'!$M$3:$N$8,2,0),"")</f>
        <v>2.0833333333333332E-2</v>
      </c>
      <c r="QPY91" s="76">
        <v>0.89444444444444449</v>
      </c>
      <c r="QPZ91" s="77" t="str">
        <f t="shared" si="364"/>
        <v>O</v>
      </c>
      <c r="QQA91" s="79">
        <v>5</v>
      </c>
      <c r="QQB91" s="75">
        <v>1276006</v>
      </c>
      <c r="QQC91" s="80"/>
      <c r="QQD91" s="81">
        <v>0.86944444444444446</v>
      </c>
      <c r="QQE91" s="74" t="s">
        <v>27</v>
      </c>
      <c r="QQF91" s="74" t="s">
        <v>24</v>
      </c>
      <c r="QQG91" s="75" t="s">
        <v>25</v>
      </c>
      <c r="QQH91" s="76">
        <f>IFERROR(VLOOKUP(QQG91,'[1]List KPI'!$A$103:$F$118,6,0),"")</f>
        <v>1.0416666666666666E-2</v>
      </c>
      <c r="QQI91" s="76">
        <v>0.86944444444444446</v>
      </c>
      <c r="QQJ91" s="76">
        <v>0.86944444444444446</v>
      </c>
      <c r="QQK91" s="77" t="str">
        <f t="shared" si="363"/>
        <v>O</v>
      </c>
      <c r="QQL91" s="74" t="s">
        <v>28</v>
      </c>
      <c r="QQM91" s="75" t="s">
        <v>23</v>
      </c>
      <c r="QQN91" s="78">
        <f>IFERROR(VLOOKUP(QQM91,'[1]List KPI'!$M$3:$N$8,2,0),"")</f>
        <v>2.0833333333333332E-2</v>
      </c>
      <c r="QQO91" s="76">
        <v>0.89444444444444449</v>
      </c>
      <c r="QQP91" s="77" t="str">
        <f t="shared" si="364"/>
        <v>O</v>
      </c>
      <c r="QQQ91" s="79">
        <v>5</v>
      </c>
      <c r="QQR91" s="75">
        <v>1276006</v>
      </c>
      <c r="QQS91" s="80"/>
      <c r="QQT91" s="81">
        <v>0.86944444444444446</v>
      </c>
      <c r="QQU91" s="74" t="s">
        <v>27</v>
      </c>
      <c r="QQV91" s="74" t="s">
        <v>24</v>
      </c>
      <c r="QQW91" s="75" t="s">
        <v>25</v>
      </c>
      <c r="QQX91" s="76">
        <f>IFERROR(VLOOKUP(QQW91,'[1]List KPI'!$A$103:$F$118,6,0),"")</f>
        <v>1.0416666666666666E-2</v>
      </c>
      <c r="QQY91" s="76">
        <v>0.86944444444444446</v>
      </c>
      <c r="QQZ91" s="76">
        <v>0.86944444444444446</v>
      </c>
      <c r="QRA91" s="77" t="str">
        <f t="shared" si="363"/>
        <v>O</v>
      </c>
      <c r="QRB91" s="74" t="s">
        <v>28</v>
      </c>
      <c r="QRC91" s="75" t="s">
        <v>23</v>
      </c>
      <c r="QRD91" s="78">
        <f>IFERROR(VLOOKUP(QRC91,'[1]List KPI'!$M$3:$N$8,2,0),"")</f>
        <v>2.0833333333333332E-2</v>
      </c>
      <c r="QRE91" s="76">
        <v>0.89444444444444449</v>
      </c>
      <c r="QRF91" s="77" t="str">
        <f t="shared" si="364"/>
        <v>O</v>
      </c>
      <c r="QRG91" s="79">
        <v>5</v>
      </c>
      <c r="QRH91" s="75">
        <v>1276006</v>
      </c>
      <c r="QRI91" s="80"/>
      <c r="QRJ91" s="81">
        <v>0.86944444444444446</v>
      </c>
      <c r="QRK91" s="74" t="s">
        <v>27</v>
      </c>
      <c r="QRL91" s="74" t="s">
        <v>24</v>
      </c>
      <c r="QRM91" s="75" t="s">
        <v>25</v>
      </c>
      <c r="QRN91" s="76">
        <f>IFERROR(VLOOKUP(QRM91,'[1]List KPI'!$A$103:$F$118,6,0),"")</f>
        <v>1.0416666666666666E-2</v>
      </c>
      <c r="QRO91" s="76">
        <v>0.86944444444444446</v>
      </c>
      <c r="QRP91" s="76">
        <v>0.86944444444444446</v>
      </c>
      <c r="QRQ91" s="77" t="str">
        <f t="shared" ref="QRQ91:QTM91" si="365">IF(QRP91="","",IF(QRP91&gt;QRY91,"O","P"))</f>
        <v>O</v>
      </c>
      <c r="QRR91" s="74" t="s">
        <v>28</v>
      </c>
      <c r="QRS91" s="75" t="s">
        <v>23</v>
      </c>
      <c r="QRT91" s="78">
        <f>IFERROR(VLOOKUP(QRS91,'[1]List KPI'!$M$3:$N$8,2,0),"")</f>
        <v>2.0833333333333332E-2</v>
      </c>
      <c r="QRU91" s="76">
        <v>0.89444444444444449</v>
      </c>
      <c r="QRV91" s="77" t="str">
        <f t="shared" ref="QRV91:QTR91" si="366">IF(QRU91="","",IF(QRU91&gt;QRZ91,"O","P"))</f>
        <v>O</v>
      </c>
      <c r="QRW91" s="79">
        <v>5</v>
      </c>
      <c r="QRX91" s="75">
        <v>1276006</v>
      </c>
      <c r="QRY91" s="80"/>
      <c r="QRZ91" s="81">
        <v>0.86944444444444446</v>
      </c>
      <c r="QSA91" s="74" t="s">
        <v>27</v>
      </c>
      <c r="QSB91" s="74" t="s">
        <v>24</v>
      </c>
      <c r="QSC91" s="75" t="s">
        <v>25</v>
      </c>
      <c r="QSD91" s="76">
        <f>IFERROR(VLOOKUP(QSC91,'[1]List KPI'!$A$103:$F$118,6,0),"")</f>
        <v>1.0416666666666666E-2</v>
      </c>
      <c r="QSE91" s="76">
        <v>0.86944444444444446</v>
      </c>
      <c r="QSF91" s="76">
        <v>0.86944444444444446</v>
      </c>
      <c r="QSG91" s="77" t="str">
        <f t="shared" si="365"/>
        <v>O</v>
      </c>
      <c r="QSH91" s="74" t="s">
        <v>28</v>
      </c>
      <c r="QSI91" s="75" t="s">
        <v>23</v>
      </c>
      <c r="QSJ91" s="78">
        <f>IFERROR(VLOOKUP(QSI91,'[1]List KPI'!$M$3:$N$8,2,0),"")</f>
        <v>2.0833333333333332E-2</v>
      </c>
      <c r="QSK91" s="76">
        <v>0.89444444444444449</v>
      </c>
      <c r="QSL91" s="77" t="str">
        <f t="shared" si="366"/>
        <v>O</v>
      </c>
      <c r="QSM91" s="79">
        <v>5</v>
      </c>
      <c r="QSN91" s="75">
        <v>1276006</v>
      </c>
      <c r="QSO91" s="80"/>
      <c r="QSP91" s="81">
        <v>0.86944444444444446</v>
      </c>
      <c r="QSQ91" s="74" t="s">
        <v>27</v>
      </c>
      <c r="QSR91" s="74" t="s">
        <v>24</v>
      </c>
      <c r="QSS91" s="75" t="s">
        <v>25</v>
      </c>
      <c r="QST91" s="76">
        <f>IFERROR(VLOOKUP(QSS91,'[1]List KPI'!$A$103:$F$118,6,0),"")</f>
        <v>1.0416666666666666E-2</v>
      </c>
      <c r="QSU91" s="76">
        <v>0.86944444444444446</v>
      </c>
      <c r="QSV91" s="76">
        <v>0.86944444444444446</v>
      </c>
      <c r="QSW91" s="77" t="str">
        <f t="shared" si="365"/>
        <v>O</v>
      </c>
      <c r="QSX91" s="74" t="s">
        <v>28</v>
      </c>
      <c r="QSY91" s="75" t="s">
        <v>23</v>
      </c>
      <c r="QSZ91" s="78">
        <f>IFERROR(VLOOKUP(QSY91,'[1]List KPI'!$M$3:$N$8,2,0),"")</f>
        <v>2.0833333333333332E-2</v>
      </c>
      <c r="QTA91" s="76">
        <v>0.89444444444444449</v>
      </c>
      <c r="QTB91" s="77" t="str">
        <f t="shared" si="366"/>
        <v>O</v>
      </c>
      <c r="QTC91" s="79">
        <v>5</v>
      </c>
      <c r="QTD91" s="75">
        <v>1276006</v>
      </c>
      <c r="QTE91" s="80"/>
      <c r="QTF91" s="81">
        <v>0.86944444444444446</v>
      </c>
      <c r="QTG91" s="74" t="s">
        <v>27</v>
      </c>
      <c r="QTH91" s="74" t="s">
        <v>24</v>
      </c>
      <c r="QTI91" s="75" t="s">
        <v>25</v>
      </c>
      <c r="QTJ91" s="76">
        <f>IFERROR(VLOOKUP(QTI91,'[1]List KPI'!$A$103:$F$118,6,0),"")</f>
        <v>1.0416666666666666E-2</v>
      </c>
      <c r="QTK91" s="76">
        <v>0.86944444444444446</v>
      </c>
      <c r="QTL91" s="76">
        <v>0.86944444444444446</v>
      </c>
      <c r="QTM91" s="77" t="str">
        <f t="shared" si="365"/>
        <v>O</v>
      </c>
      <c r="QTN91" s="74" t="s">
        <v>28</v>
      </c>
      <c r="QTO91" s="75" t="s">
        <v>23</v>
      </c>
      <c r="QTP91" s="78">
        <f>IFERROR(VLOOKUP(QTO91,'[1]List KPI'!$M$3:$N$8,2,0),"")</f>
        <v>2.0833333333333332E-2</v>
      </c>
      <c r="QTQ91" s="76">
        <v>0.89444444444444449</v>
      </c>
      <c r="QTR91" s="77" t="str">
        <f t="shared" si="366"/>
        <v>O</v>
      </c>
      <c r="QTS91" s="79">
        <v>5</v>
      </c>
      <c r="QTT91" s="75">
        <v>1276006</v>
      </c>
      <c r="QTU91" s="80"/>
      <c r="QTV91" s="81">
        <v>0.86944444444444446</v>
      </c>
      <c r="QTW91" s="74" t="s">
        <v>27</v>
      </c>
      <c r="QTX91" s="74" t="s">
        <v>24</v>
      </c>
      <c r="QTY91" s="75" t="s">
        <v>25</v>
      </c>
      <c r="QTZ91" s="76">
        <f>IFERROR(VLOOKUP(QTY91,'[1]List KPI'!$A$103:$F$118,6,0),"")</f>
        <v>1.0416666666666666E-2</v>
      </c>
      <c r="QUA91" s="76">
        <v>0.86944444444444446</v>
      </c>
      <c r="QUB91" s="76">
        <v>0.86944444444444446</v>
      </c>
      <c r="QUC91" s="77" t="str">
        <f t="shared" ref="QUC91:QVY91" si="367">IF(QUB91="","",IF(QUB91&gt;QUK91,"O","P"))</f>
        <v>O</v>
      </c>
      <c r="QUD91" s="74" t="s">
        <v>28</v>
      </c>
      <c r="QUE91" s="75" t="s">
        <v>23</v>
      </c>
      <c r="QUF91" s="78">
        <f>IFERROR(VLOOKUP(QUE91,'[1]List KPI'!$M$3:$N$8,2,0),"")</f>
        <v>2.0833333333333332E-2</v>
      </c>
      <c r="QUG91" s="76">
        <v>0.89444444444444449</v>
      </c>
      <c r="QUH91" s="77" t="str">
        <f t="shared" ref="QUH91:QWD91" si="368">IF(QUG91="","",IF(QUG91&gt;QUL91,"O","P"))</f>
        <v>O</v>
      </c>
      <c r="QUI91" s="79">
        <v>5</v>
      </c>
      <c r="QUJ91" s="75">
        <v>1276006</v>
      </c>
      <c r="QUK91" s="80"/>
      <c r="QUL91" s="81">
        <v>0.86944444444444446</v>
      </c>
      <c r="QUM91" s="74" t="s">
        <v>27</v>
      </c>
      <c r="QUN91" s="74" t="s">
        <v>24</v>
      </c>
      <c r="QUO91" s="75" t="s">
        <v>25</v>
      </c>
      <c r="QUP91" s="76">
        <f>IFERROR(VLOOKUP(QUO91,'[1]List KPI'!$A$103:$F$118,6,0),"")</f>
        <v>1.0416666666666666E-2</v>
      </c>
      <c r="QUQ91" s="76">
        <v>0.86944444444444446</v>
      </c>
      <c r="QUR91" s="76">
        <v>0.86944444444444446</v>
      </c>
      <c r="QUS91" s="77" t="str">
        <f t="shared" si="367"/>
        <v>O</v>
      </c>
      <c r="QUT91" s="74" t="s">
        <v>28</v>
      </c>
      <c r="QUU91" s="75" t="s">
        <v>23</v>
      </c>
      <c r="QUV91" s="78">
        <f>IFERROR(VLOOKUP(QUU91,'[1]List KPI'!$M$3:$N$8,2,0),"")</f>
        <v>2.0833333333333332E-2</v>
      </c>
      <c r="QUW91" s="76">
        <v>0.89444444444444449</v>
      </c>
      <c r="QUX91" s="77" t="str">
        <f t="shared" si="368"/>
        <v>O</v>
      </c>
      <c r="QUY91" s="79">
        <v>5</v>
      </c>
      <c r="QUZ91" s="75">
        <v>1276006</v>
      </c>
      <c r="QVA91" s="80"/>
      <c r="QVB91" s="81">
        <v>0.86944444444444446</v>
      </c>
      <c r="QVC91" s="74" t="s">
        <v>27</v>
      </c>
      <c r="QVD91" s="74" t="s">
        <v>24</v>
      </c>
      <c r="QVE91" s="75" t="s">
        <v>25</v>
      </c>
      <c r="QVF91" s="76">
        <f>IFERROR(VLOOKUP(QVE91,'[1]List KPI'!$A$103:$F$118,6,0),"")</f>
        <v>1.0416666666666666E-2</v>
      </c>
      <c r="QVG91" s="76">
        <v>0.86944444444444446</v>
      </c>
      <c r="QVH91" s="76">
        <v>0.86944444444444446</v>
      </c>
      <c r="QVI91" s="77" t="str">
        <f t="shared" si="367"/>
        <v>O</v>
      </c>
      <c r="QVJ91" s="74" t="s">
        <v>28</v>
      </c>
      <c r="QVK91" s="75" t="s">
        <v>23</v>
      </c>
      <c r="QVL91" s="78">
        <f>IFERROR(VLOOKUP(QVK91,'[1]List KPI'!$M$3:$N$8,2,0),"")</f>
        <v>2.0833333333333332E-2</v>
      </c>
      <c r="QVM91" s="76">
        <v>0.89444444444444449</v>
      </c>
      <c r="QVN91" s="77" t="str">
        <f t="shared" si="368"/>
        <v>O</v>
      </c>
      <c r="QVO91" s="79">
        <v>5</v>
      </c>
      <c r="QVP91" s="75">
        <v>1276006</v>
      </c>
      <c r="QVQ91" s="80"/>
      <c r="QVR91" s="81">
        <v>0.86944444444444446</v>
      </c>
      <c r="QVS91" s="74" t="s">
        <v>27</v>
      </c>
      <c r="QVT91" s="74" t="s">
        <v>24</v>
      </c>
      <c r="QVU91" s="75" t="s">
        <v>25</v>
      </c>
      <c r="QVV91" s="76">
        <f>IFERROR(VLOOKUP(QVU91,'[1]List KPI'!$A$103:$F$118,6,0),"")</f>
        <v>1.0416666666666666E-2</v>
      </c>
      <c r="QVW91" s="76">
        <v>0.86944444444444446</v>
      </c>
      <c r="QVX91" s="76">
        <v>0.86944444444444446</v>
      </c>
      <c r="QVY91" s="77" t="str">
        <f t="shared" si="367"/>
        <v>O</v>
      </c>
      <c r="QVZ91" s="74" t="s">
        <v>28</v>
      </c>
      <c r="QWA91" s="75" t="s">
        <v>23</v>
      </c>
      <c r="QWB91" s="78">
        <f>IFERROR(VLOOKUP(QWA91,'[1]List KPI'!$M$3:$N$8,2,0),"")</f>
        <v>2.0833333333333332E-2</v>
      </c>
      <c r="QWC91" s="76">
        <v>0.89444444444444449</v>
      </c>
      <c r="QWD91" s="77" t="str">
        <f t="shared" si="368"/>
        <v>O</v>
      </c>
      <c r="QWE91" s="79">
        <v>5</v>
      </c>
      <c r="QWF91" s="75">
        <v>1276006</v>
      </c>
      <c r="QWG91" s="80"/>
      <c r="QWH91" s="81">
        <v>0.86944444444444446</v>
      </c>
      <c r="QWI91" s="74" t="s">
        <v>27</v>
      </c>
      <c r="QWJ91" s="74" t="s">
        <v>24</v>
      </c>
      <c r="QWK91" s="75" t="s">
        <v>25</v>
      </c>
      <c r="QWL91" s="76">
        <f>IFERROR(VLOOKUP(QWK91,'[1]List KPI'!$A$103:$F$118,6,0),"")</f>
        <v>1.0416666666666666E-2</v>
      </c>
      <c r="QWM91" s="76">
        <v>0.86944444444444446</v>
      </c>
      <c r="QWN91" s="76">
        <v>0.86944444444444446</v>
      </c>
      <c r="QWO91" s="77" t="str">
        <f t="shared" ref="QWO91:QYK91" si="369">IF(QWN91="","",IF(QWN91&gt;QWW91,"O","P"))</f>
        <v>O</v>
      </c>
      <c r="QWP91" s="74" t="s">
        <v>28</v>
      </c>
      <c r="QWQ91" s="75" t="s">
        <v>23</v>
      </c>
      <c r="QWR91" s="78">
        <f>IFERROR(VLOOKUP(QWQ91,'[1]List KPI'!$M$3:$N$8,2,0),"")</f>
        <v>2.0833333333333332E-2</v>
      </c>
      <c r="QWS91" s="76">
        <v>0.89444444444444449</v>
      </c>
      <c r="QWT91" s="77" t="str">
        <f t="shared" ref="QWT91:QYP91" si="370">IF(QWS91="","",IF(QWS91&gt;QWX91,"O","P"))</f>
        <v>O</v>
      </c>
      <c r="QWU91" s="79">
        <v>5</v>
      </c>
      <c r="QWV91" s="75">
        <v>1276006</v>
      </c>
      <c r="QWW91" s="80"/>
      <c r="QWX91" s="81">
        <v>0.86944444444444446</v>
      </c>
      <c r="QWY91" s="74" t="s">
        <v>27</v>
      </c>
      <c r="QWZ91" s="74" t="s">
        <v>24</v>
      </c>
      <c r="QXA91" s="75" t="s">
        <v>25</v>
      </c>
      <c r="QXB91" s="76">
        <f>IFERROR(VLOOKUP(QXA91,'[1]List KPI'!$A$103:$F$118,6,0),"")</f>
        <v>1.0416666666666666E-2</v>
      </c>
      <c r="QXC91" s="76">
        <v>0.86944444444444446</v>
      </c>
      <c r="QXD91" s="76">
        <v>0.86944444444444446</v>
      </c>
      <c r="QXE91" s="77" t="str">
        <f t="shared" si="369"/>
        <v>O</v>
      </c>
      <c r="QXF91" s="74" t="s">
        <v>28</v>
      </c>
      <c r="QXG91" s="75" t="s">
        <v>23</v>
      </c>
      <c r="QXH91" s="78">
        <f>IFERROR(VLOOKUP(QXG91,'[1]List KPI'!$M$3:$N$8,2,0),"")</f>
        <v>2.0833333333333332E-2</v>
      </c>
      <c r="QXI91" s="76">
        <v>0.89444444444444449</v>
      </c>
      <c r="QXJ91" s="77" t="str">
        <f t="shared" si="370"/>
        <v>O</v>
      </c>
      <c r="QXK91" s="79">
        <v>5</v>
      </c>
      <c r="QXL91" s="75">
        <v>1276006</v>
      </c>
      <c r="QXM91" s="80"/>
      <c r="QXN91" s="81">
        <v>0.86944444444444446</v>
      </c>
      <c r="QXO91" s="74" t="s">
        <v>27</v>
      </c>
      <c r="QXP91" s="74" t="s">
        <v>24</v>
      </c>
      <c r="QXQ91" s="75" t="s">
        <v>25</v>
      </c>
      <c r="QXR91" s="76">
        <f>IFERROR(VLOOKUP(QXQ91,'[1]List KPI'!$A$103:$F$118,6,0),"")</f>
        <v>1.0416666666666666E-2</v>
      </c>
      <c r="QXS91" s="76">
        <v>0.86944444444444446</v>
      </c>
      <c r="QXT91" s="76">
        <v>0.86944444444444446</v>
      </c>
      <c r="QXU91" s="77" t="str">
        <f t="shared" si="369"/>
        <v>O</v>
      </c>
      <c r="QXV91" s="74" t="s">
        <v>28</v>
      </c>
      <c r="QXW91" s="75" t="s">
        <v>23</v>
      </c>
      <c r="QXX91" s="78">
        <f>IFERROR(VLOOKUP(QXW91,'[1]List KPI'!$M$3:$N$8,2,0),"")</f>
        <v>2.0833333333333332E-2</v>
      </c>
      <c r="QXY91" s="76">
        <v>0.89444444444444449</v>
      </c>
      <c r="QXZ91" s="77" t="str">
        <f t="shared" si="370"/>
        <v>O</v>
      </c>
      <c r="QYA91" s="79">
        <v>5</v>
      </c>
      <c r="QYB91" s="75">
        <v>1276006</v>
      </c>
      <c r="QYC91" s="80"/>
      <c r="QYD91" s="81">
        <v>0.86944444444444446</v>
      </c>
      <c r="QYE91" s="74" t="s">
        <v>27</v>
      </c>
      <c r="QYF91" s="74" t="s">
        <v>24</v>
      </c>
      <c r="QYG91" s="75" t="s">
        <v>25</v>
      </c>
      <c r="QYH91" s="76">
        <f>IFERROR(VLOOKUP(QYG91,'[1]List KPI'!$A$103:$F$118,6,0),"")</f>
        <v>1.0416666666666666E-2</v>
      </c>
      <c r="QYI91" s="76">
        <v>0.86944444444444446</v>
      </c>
      <c r="QYJ91" s="76">
        <v>0.86944444444444446</v>
      </c>
      <c r="QYK91" s="77" t="str">
        <f t="shared" si="369"/>
        <v>O</v>
      </c>
      <c r="QYL91" s="74" t="s">
        <v>28</v>
      </c>
      <c r="QYM91" s="75" t="s">
        <v>23</v>
      </c>
      <c r="QYN91" s="78">
        <f>IFERROR(VLOOKUP(QYM91,'[1]List KPI'!$M$3:$N$8,2,0),"")</f>
        <v>2.0833333333333332E-2</v>
      </c>
      <c r="QYO91" s="76">
        <v>0.89444444444444449</v>
      </c>
      <c r="QYP91" s="77" t="str">
        <f t="shared" si="370"/>
        <v>O</v>
      </c>
      <c r="QYQ91" s="79">
        <v>5</v>
      </c>
      <c r="QYR91" s="75">
        <v>1276006</v>
      </c>
      <c r="QYS91" s="80"/>
      <c r="QYT91" s="81">
        <v>0.86944444444444446</v>
      </c>
      <c r="QYU91" s="74" t="s">
        <v>27</v>
      </c>
      <c r="QYV91" s="74" t="s">
        <v>24</v>
      </c>
      <c r="QYW91" s="75" t="s">
        <v>25</v>
      </c>
      <c r="QYX91" s="76">
        <f>IFERROR(VLOOKUP(QYW91,'[1]List KPI'!$A$103:$F$118,6,0),"")</f>
        <v>1.0416666666666666E-2</v>
      </c>
      <c r="QYY91" s="76">
        <v>0.86944444444444446</v>
      </c>
      <c r="QYZ91" s="76">
        <v>0.86944444444444446</v>
      </c>
      <c r="QZA91" s="77" t="str">
        <f t="shared" ref="QZA91:RAW91" si="371">IF(QYZ91="","",IF(QYZ91&gt;QZI91,"O","P"))</f>
        <v>O</v>
      </c>
      <c r="QZB91" s="74" t="s">
        <v>28</v>
      </c>
      <c r="QZC91" s="75" t="s">
        <v>23</v>
      </c>
      <c r="QZD91" s="78">
        <f>IFERROR(VLOOKUP(QZC91,'[1]List KPI'!$M$3:$N$8,2,0),"")</f>
        <v>2.0833333333333332E-2</v>
      </c>
      <c r="QZE91" s="76">
        <v>0.89444444444444449</v>
      </c>
      <c r="QZF91" s="77" t="str">
        <f t="shared" ref="QZF91:RBB91" si="372">IF(QZE91="","",IF(QZE91&gt;QZJ91,"O","P"))</f>
        <v>O</v>
      </c>
      <c r="QZG91" s="79">
        <v>5</v>
      </c>
      <c r="QZH91" s="75">
        <v>1276006</v>
      </c>
      <c r="QZI91" s="80"/>
      <c r="QZJ91" s="81">
        <v>0.86944444444444446</v>
      </c>
      <c r="QZK91" s="74" t="s">
        <v>27</v>
      </c>
      <c r="QZL91" s="74" t="s">
        <v>24</v>
      </c>
      <c r="QZM91" s="75" t="s">
        <v>25</v>
      </c>
      <c r="QZN91" s="76">
        <f>IFERROR(VLOOKUP(QZM91,'[1]List KPI'!$A$103:$F$118,6,0),"")</f>
        <v>1.0416666666666666E-2</v>
      </c>
      <c r="QZO91" s="76">
        <v>0.86944444444444446</v>
      </c>
      <c r="QZP91" s="76">
        <v>0.86944444444444446</v>
      </c>
      <c r="QZQ91" s="77" t="str">
        <f t="shared" si="371"/>
        <v>O</v>
      </c>
      <c r="QZR91" s="74" t="s">
        <v>28</v>
      </c>
      <c r="QZS91" s="75" t="s">
        <v>23</v>
      </c>
      <c r="QZT91" s="78">
        <f>IFERROR(VLOOKUP(QZS91,'[1]List KPI'!$M$3:$N$8,2,0),"")</f>
        <v>2.0833333333333332E-2</v>
      </c>
      <c r="QZU91" s="76">
        <v>0.89444444444444449</v>
      </c>
      <c r="QZV91" s="77" t="str">
        <f t="shared" si="372"/>
        <v>O</v>
      </c>
      <c r="QZW91" s="79">
        <v>5</v>
      </c>
      <c r="QZX91" s="75">
        <v>1276006</v>
      </c>
      <c r="QZY91" s="80"/>
      <c r="QZZ91" s="81">
        <v>0.86944444444444446</v>
      </c>
      <c r="RAA91" s="74" t="s">
        <v>27</v>
      </c>
      <c r="RAB91" s="74" t="s">
        <v>24</v>
      </c>
      <c r="RAC91" s="75" t="s">
        <v>25</v>
      </c>
      <c r="RAD91" s="76">
        <f>IFERROR(VLOOKUP(RAC91,'[1]List KPI'!$A$103:$F$118,6,0),"")</f>
        <v>1.0416666666666666E-2</v>
      </c>
      <c r="RAE91" s="76">
        <v>0.86944444444444446</v>
      </c>
      <c r="RAF91" s="76">
        <v>0.86944444444444446</v>
      </c>
      <c r="RAG91" s="77" t="str">
        <f t="shared" si="371"/>
        <v>O</v>
      </c>
      <c r="RAH91" s="74" t="s">
        <v>28</v>
      </c>
      <c r="RAI91" s="75" t="s">
        <v>23</v>
      </c>
      <c r="RAJ91" s="78">
        <f>IFERROR(VLOOKUP(RAI91,'[1]List KPI'!$M$3:$N$8,2,0),"")</f>
        <v>2.0833333333333332E-2</v>
      </c>
      <c r="RAK91" s="76">
        <v>0.89444444444444449</v>
      </c>
      <c r="RAL91" s="77" t="str">
        <f t="shared" si="372"/>
        <v>O</v>
      </c>
      <c r="RAM91" s="79">
        <v>5</v>
      </c>
      <c r="RAN91" s="75">
        <v>1276006</v>
      </c>
      <c r="RAO91" s="80"/>
      <c r="RAP91" s="81">
        <v>0.86944444444444446</v>
      </c>
      <c r="RAQ91" s="74" t="s">
        <v>27</v>
      </c>
      <c r="RAR91" s="74" t="s">
        <v>24</v>
      </c>
      <c r="RAS91" s="75" t="s">
        <v>25</v>
      </c>
      <c r="RAT91" s="76">
        <f>IFERROR(VLOOKUP(RAS91,'[1]List KPI'!$A$103:$F$118,6,0),"")</f>
        <v>1.0416666666666666E-2</v>
      </c>
      <c r="RAU91" s="76">
        <v>0.86944444444444446</v>
      </c>
      <c r="RAV91" s="76">
        <v>0.86944444444444446</v>
      </c>
      <c r="RAW91" s="77" t="str">
        <f t="shared" si="371"/>
        <v>O</v>
      </c>
      <c r="RAX91" s="74" t="s">
        <v>28</v>
      </c>
      <c r="RAY91" s="75" t="s">
        <v>23</v>
      </c>
      <c r="RAZ91" s="78">
        <f>IFERROR(VLOOKUP(RAY91,'[1]List KPI'!$M$3:$N$8,2,0),"")</f>
        <v>2.0833333333333332E-2</v>
      </c>
      <c r="RBA91" s="76">
        <v>0.89444444444444449</v>
      </c>
      <c r="RBB91" s="77" t="str">
        <f t="shared" si="372"/>
        <v>O</v>
      </c>
      <c r="RBC91" s="79">
        <v>5</v>
      </c>
      <c r="RBD91" s="75">
        <v>1276006</v>
      </c>
      <c r="RBE91" s="80"/>
      <c r="RBF91" s="81">
        <v>0.86944444444444446</v>
      </c>
      <c r="RBG91" s="74" t="s">
        <v>27</v>
      </c>
      <c r="RBH91" s="74" t="s">
        <v>24</v>
      </c>
      <c r="RBI91" s="75" t="s">
        <v>25</v>
      </c>
      <c r="RBJ91" s="76">
        <f>IFERROR(VLOOKUP(RBI91,'[1]List KPI'!$A$103:$F$118,6,0),"")</f>
        <v>1.0416666666666666E-2</v>
      </c>
      <c r="RBK91" s="76">
        <v>0.86944444444444446</v>
      </c>
      <c r="RBL91" s="76">
        <v>0.86944444444444446</v>
      </c>
      <c r="RBM91" s="77" t="str">
        <f t="shared" ref="RBM91:RDI91" si="373">IF(RBL91="","",IF(RBL91&gt;RBU91,"O","P"))</f>
        <v>O</v>
      </c>
      <c r="RBN91" s="74" t="s">
        <v>28</v>
      </c>
      <c r="RBO91" s="75" t="s">
        <v>23</v>
      </c>
      <c r="RBP91" s="78">
        <f>IFERROR(VLOOKUP(RBO91,'[1]List KPI'!$M$3:$N$8,2,0),"")</f>
        <v>2.0833333333333332E-2</v>
      </c>
      <c r="RBQ91" s="76">
        <v>0.89444444444444449</v>
      </c>
      <c r="RBR91" s="77" t="str">
        <f t="shared" ref="RBR91:RDN91" si="374">IF(RBQ91="","",IF(RBQ91&gt;RBV91,"O","P"))</f>
        <v>O</v>
      </c>
      <c r="RBS91" s="79">
        <v>5</v>
      </c>
      <c r="RBT91" s="75">
        <v>1276006</v>
      </c>
      <c r="RBU91" s="80"/>
      <c r="RBV91" s="81">
        <v>0.86944444444444446</v>
      </c>
      <c r="RBW91" s="74" t="s">
        <v>27</v>
      </c>
      <c r="RBX91" s="74" t="s">
        <v>24</v>
      </c>
      <c r="RBY91" s="75" t="s">
        <v>25</v>
      </c>
      <c r="RBZ91" s="76">
        <f>IFERROR(VLOOKUP(RBY91,'[1]List KPI'!$A$103:$F$118,6,0),"")</f>
        <v>1.0416666666666666E-2</v>
      </c>
      <c r="RCA91" s="76">
        <v>0.86944444444444446</v>
      </c>
      <c r="RCB91" s="76">
        <v>0.86944444444444446</v>
      </c>
      <c r="RCC91" s="77" t="str">
        <f t="shared" si="373"/>
        <v>O</v>
      </c>
      <c r="RCD91" s="74" t="s">
        <v>28</v>
      </c>
      <c r="RCE91" s="75" t="s">
        <v>23</v>
      </c>
      <c r="RCF91" s="78">
        <f>IFERROR(VLOOKUP(RCE91,'[1]List KPI'!$M$3:$N$8,2,0),"")</f>
        <v>2.0833333333333332E-2</v>
      </c>
      <c r="RCG91" s="76">
        <v>0.89444444444444449</v>
      </c>
      <c r="RCH91" s="77" t="str">
        <f t="shared" si="374"/>
        <v>O</v>
      </c>
      <c r="RCI91" s="79">
        <v>5</v>
      </c>
      <c r="RCJ91" s="75">
        <v>1276006</v>
      </c>
      <c r="RCK91" s="80"/>
      <c r="RCL91" s="81">
        <v>0.86944444444444446</v>
      </c>
      <c r="RCM91" s="74" t="s">
        <v>27</v>
      </c>
      <c r="RCN91" s="74" t="s">
        <v>24</v>
      </c>
      <c r="RCO91" s="75" t="s">
        <v>25</v>
      </c>
      <c r="RCP91" s="76">
        <f>IFERROR(VLOOKUP(RCO91,'[1]List KPI'!$A$103:$F$118,6,0),"")</f>
        <v>1.0416666666666666E-2</v>
      </c>
      <c r="RCQ91" s="76">
        <v>0.86944444444444446</v>
      </c>
      <c r="RCR91" s="76">
        <v>0.86944444444444446</v>
      </c>
      <c r="RCS91" s="77" t="str">
        <f t="shared" si="373"/>
        <v>O</v>
      </c>
      <c r="RCT91" s="74" t="s">
        <v>28</v>
      </c>
      <c r="RCU91" s="75" t="s">
        <v>23</v>
      </c>
      <c r="RCV91" s="78">
        <f>IFERROR(VLOOKUP(RCU91,'[1]List KPI'!$M$3:$N$8,2,0),"")</f>
        <v>2.0833333333333332E-2</v>
      </c>
      <c r="RCW91" s="76">
        <v>0.89444444444444449</v>
      </c>
      <c r="RCX91" s="77" t="str">
        <f t="shared" si="374"/>
        <v>O</v>
      </c>
      <c r="RCY91" s="79">
        <v>5</v>
      </c>
      <c r="RCZ91" s="75">
        <v>1276006</v>
      </c>
      <c r="RDA91" s="80"/>
      <c r="RDB91" s="81">
        <v>0.86944444444444446</v>
      </c>
      <c r="RDC91" s="74" t="s">
        <v>27</v>
      </c>
      <c r="RDD91" s="74" t="s">
        <v>24</v>
      </c>
      <c r="RDE91" s="75" t="s">
        <v>25</v>
      </c>
      <c r="RDF91" s="76">
        <f>IFERROR(VLOOKUP(RDE91,'[1]List KPI'!$A$103:$F$118,6,0),"")</f>
        <v>1.0416666666666666E-2</v>
      </c>
      <c r="RDG91" s="76">
        <v>0.86944444444444446</v>
      </c>
      <c r="RDH91" s="76">
        <v>0.86944444444444446</v>
      </c>
      <c r="RDI91" s="77" t="str">
        <f t="shared" si="373"/>
        <v>O</v>
      </c>
      <c r="RDJ91" s="74" t="s">
        <v>28</v>
      </c>
      <c r="RDK91" s="75" t="s">
        <v>23</v>
      </c>
      <c r="RDL91" s="78">
        <f>IFERROR(VLOOKUP(RDK91,'[1]List KPI'!$M$3:$N$8,2,0),"")</f>
        <v>2.0833333333333332E-2</v>
      </c>
      <c r="RDM91" s="76">
        <v>0.89444444444444449</v>
      </c>
      <c r="RDN91" s="77" t="str">
        <f t="shared" si="374"/>
        <v>O</v>
      </c>
      <c r="RDO91" s="79">
        <v>5</v>
      </c>
      <c r="RDP91" s="75">
        <v>1276006</v>
      </c>
      <c r="RDQ91" s="80"/>
      <c r="RDR91" s="81">
        <v>0.86944444444444446</v>
      </c>
      <c r="RDS91" s="74" t="s">
        <v>27</v>
      </c>
      <c r="RDT91" s="74" t="s">
        <v>24</v>
      </c>
      <c r="RDU91" s="75" t="s">
        <v>25</v>
      </c>
      <c r="RDV91" s="76">
        <f>IFERROR(VLOOKUP(RDU91,'[1]List KPI'!$A$103:$F$118,6,0),"")</f>
        <v>1.0416666666666666E-2</v>
      </c>
      <c r="RDW91" s="76">
        <v>0.86944444444444446</v>
      </c>
      <c r="RDX91" s="76">
        <v>0.86944444444444446</v>
      </c>
      <c r="RDY91" s="77" t="str">
        <f t="shared" ref="RDY91:RFU91" si="375">IF(RDX91="","",IF(RDX91&gt;REG91,"O","P"))</f>
        <v>O</v>
      </c>
      <c r="RDZ91" s="74" t="s">
        <v>28</v>
      </c>
      <c r="REA91" s="75" t="s">
        <v>23</v>
      </c>
      <c r="REB91" s="78">
        <f>IFERROR(VLOOKUP(REA91,'[1]List KPI'!$M$3:$N$8,2,0),"")</f>
        <v>2.0833333333333332E-2</v>
      </c>
      <c r="REC91" s="76">
        <v>0.89444444444444449</v>
      </c>
      <c r="RED91" s="77" t="str">
        <f t="shared" ref="RED91:RFZ91" si="376">IF(REC91="","",IF(REC91&gt;REH91,"O","P"))</f>
        <v>O</v>
      </c>
      <c r="REE91" s="79">
        <v>5</v>
      </c>
      <c r="REF91" s="75">
        <v>1276006</v>
      </c>
      <c r="REG91" s="80"/>
      <c r="REH91" s="81">
        <v>0.86944444444444446</v>
      </c>
      <c r="REI91" s="74" t="s">
        <v>27</v>
      </c>
      <c r="REJ91" s="74" t="s">
        <v>24</v>
      </c>
      <c r="REK91" s="75" t="s">
        <v>25</v>
      </c>
      <c r="REL91" s="76">
        <f>IFERROR(VLOOKUP(REK91,'[1]List KPI'!$A$103:$F$118,6,0),"")</f>
        <v>1.0416666666666666E-2</v>
      </c>
      <c r="REM91" s="76">
        <v>0.86944444444444446</v>
      </c>
      <c r="REN91" s="76">
        <v>0.86944444444444446</v>
      </c>
      <c r="REO91" s="77" t="str">
        <f t="shared" si="375"/>
        <v>O</v>
      </c>
      <c r="REP91" s="74" t="s">
        <v>28</v>
      </c>
      <c r="REQ91" s="75" t="s">
        <v>23</v>
      </c>
      <c r="RER91" s="78">
        <f>IFERROR(VLOOKUP(REQ91,'[1]List KPI'!$M$3:$N$8,2,0),"")</f>
        <v>2.0833333333333332E-2</v>
      </c>
      <c r="RES91" s="76">
        <v>0.89444444444444449</v>
      </c>
      <c r="RET91" s="77" t="str">
        <f t="shared" si="376"/>
        <v>O</v>
      </c>
      <c r="REU91" s="79">
        <v>5</v>
      </c>
      <c r="REV91" s="75">
        <v>1276006</v>
      </c>
      <c r="REW91" s="80"/>
      <c r="REX91" s="81">
        <v>0.86944444444444446</v>
      </c>
      <c r="REY91" s="74" t="s">
        <v>27</v>
      </c>
      <c r="REZ91" s="74" t="s">
        <v>24</v>
      </c>
      <c r="RFA91" s="75" t="s">
        <v>25</v>
      </c>
      <c r="RFB91" s="76">
        <f>IFERROR(VLOOKUP(RFA91,'[1]List KPI'!$A$103:$F$118,6,0),"")</f>
        <v>1.0416666666666666E-2</v>
      </c>
      <c r="RFC91" s="76">
        <v>0.86944444444444446</v>
      </c>
      <c r="RFD91" s="76">
        <v>0.86944444444444446</v>
      </c>
      <c r="RFE91" s="77" t="str">
        <f t="shared" si="375"/>
        <v>O</v>
      </c>
      <c r="RFF91" s="74" t="s">
        <v>28</v>
      </c>
      <c r="RFG91" s="75" t="s">
        <v>23</v>
      </c>
      <c r="RFH91" s="78">
        <f>IFERROR(VLOOKUP(RFG91,'[1]List KPI'!$M$3:$N$8,2,0),"")</f>
        <v>2.0833333333333332E-2</v>
      </c>
      <c r="RFI91" s="76">
        <v>0.89444444444444449</v>
      </c>
      <c r="RFJ91" s="77" t="str">
        <f t="shared" si="376"/>
        <v>O</v>
      </c>
      <c r="RFK91" s="79">
        <v>5</v>
      </c>
      <c r="RFL91" s="75">
        <v>1276006</v>
      </c>
      <c r="RFM91" s="80"/>
      <c r="RFN91" s="81">
        <v>0.86944444444444446</v>
      </c>
      <c r="RFO91" s="74" t="s">
        <v>27</v>
      </c>
      <c r="RFP91" s="74" t="s">
        <v>24</v>
      </c>
      <c r="RFQ91" s="75" t="s">
        <v>25</v>
      </c>
      <c r="RFR91" s="76">
        <f>IFERROR(VLOOKUP(RFQ91,'[1]List KPI'!$A$103:$F$118,6,0),"")</f>
        <v>1.0416666666666666E-2</v>
      </c>
      <c r="RFS91" s="76">
        <v>0.86944444444444446</v>
      </c>
      <c r="RFT91" s="76">
        <v>0.86944444444444446</v>
      </c>
      <c r="RFU91" s="77" t="str">
        <f t="shared" si="375"/>
        <v>O</v>
      </c>
      <c r="RFV91" s="74" t="s">
        <v>28</v>
      </c>
      <c r="RFW91" s="75" t="s">
        <v>23</v>
      </c>
      <c r="RFX91" s="78">
        <f>IFERROR(VLOOKUP(RFW91,'[1]List KPI'!$M$3:$N$8,2,0),"")</f>
        <v>2.0833333333333332E-2</v>
      </c>
      <c r="RFY91" s="76">
        <v>0.89444444444444449</v>
      </c>
      <c r="RFZ91" s="77" t="str">
        <f t="shared" si="376"/>
        <v>O</v>
      </c>
      <c r="RGA91" s="79">
        <v>5</v>
      </c>
      <c r="RGB91" s="75">
        <v>1276006</v>
      </c>
      <c r="RGC91" s="80"/>
      <c r="RGD91" s="81">
        <v>0.86944444444444446</v>
      </c>
      <c r="RGE91" s="74" t="s">
        <v>27</v>
      </c>
      <c r="RGF91" s="74" t="s">
        <v>24</v>
      </c>
      <c r="RGG91" s="75" t="s">
        <v>25</v>
      </c>
      <c r="RGH91" s="76">
        <f>IFERROR(VLOOKUP(RGG91,'[1]List KPI'!$A$103:$F$118,6,0),"")</f>
        <v>1.0416666666666666E-2</v>
      </c>
      <c r="RGI91" s="76">
        <v>0.86944444444444446</v>
      </c>
      <c r="RGJ91" s="76">
        <v>0.86944444444444446</v>
      </c>
      <c r="RGK91" s="77" t="str">
        <f t="shared" ref="RGK91:RIG91" si="377">IF(RGJ91="","",IF(RGJ91&gt;RGS91,"O","P"))</f>
        <v>O</v>
      </c>
      <c r="RGL91" s="74" t="s">
        <v>28</v>
      </c>
      <c r="RGM91" s="75" t="s">
        <v>23</v>
      </c>
      <c r="RGN91" s="78">
        <f>IFERROR(VLOOKUP(RGM91,'[1]List KPI'!$M$3:$N$8,2,0),"")</f>
        <v>2.0833333333333332E-2</v>
      </c>
      <c r="RGO91" s="76">
        <v>0.89444444444444449</v>
      </c>
      <c r="RGP91" s="77" t="str">
        <f t="shared" ref="RGP91:RIL91" si="378">IF(RGO91="","",IF(RGO91&gt;RGT91,"O","P"))</f>
        <v>O</v>
      </c>
      <c r="RGQ91" s="79">
        <v>5</v>
      </c>
      <c r="RGR91" s="75">
        <v>1276006</v>
      </c>
      <c r="RGS91" s="80"/>
      <c r="RGT91" s="81">
        <v>0.86944444444444446</v>
      </c>
      <c r="RGU91" s="74" t="s">
        <v>27</v>
      </c>
      <c r="RGV91" s="74" t="s">
        <v>24</v>
      </c>
      <c r="RGW91" s="75" t="s">
        <v>25</v>
      </c>
      <c r="RGX91" s="76">
        <f>IFERROR(VLOOKUP(RGW91,'[1]List KPI'!$A$103:$F$118,6,0),"")</f>
        <v>1.0416666666666666E-2</v>
      </c>
      <c r="RGY91" s="76">
        <v>0.86944444444444446</v>
      </c>
      <c r="RGZ91" s="76">
        <v>0.86944444444444446</v>
      </c>
      <c r="RHA91" s="77" t="str">
        <f t="shared" si="377"/>
        <v>O</v>
      </c>
      <c r="RHB91" s="74" t="s">
        <v>28</v>
      </c>
      <c r="RHC91" s="75" t="s">
        <v>23</v>
      </c>
      <c r="RHD91" s="78">
        <f>IFERROR(VLOOKUP(RHC91,'[1]List KPI'!$M$3:$N$8,2,0),"")</f>
        <v>2.0833333333333332E-2</v>
      </c>
      <c r="RHE91" s="76">
        <v>0.89444444444444449</v>
      </c>
      <c r="RHF91" s="77" t="str">
        <f t="shared" si="378"/>
        <v>O</v>
      </c>
      <c r="RHG91" s="79">
        <v>5</v>
      </c>
      <c r="RHH91" s="75">
        <v>1276006</v>
      </c>
      <c r="RHI91" s="80"/>
      <c r="RHJ91" s="81">
        <v>0.86944444444444446</v>
      </c>
      <c r="RHK91" s="74" t="s">
        <v>27</v>
      </c>
      <c r="RHL91" s="74" t="s">
        <v>24</v>
      </c>
      <c r="RHM91" s="75" t="s">
        <v>25</v>
      </c>
      <c r="RHN91" s="76">
        <f>IFERROR(VLOOKUP(RHM91,'[1]List KPI'!$A$103:$F$118,6,0),"")</f>
        <v>1.0416666666666666E-2</v>
      </c>
      <c r="RHO91" s="76">
        <v>0.86944444444444446</v>
      </c>
      <c r="RHP91" s="76">
        <v>0.86944444444444446</v>
      </c>
      <c r="RHQ91" s="77" t="str">
        <f t="shared" si="377"/>
        <v>O</v>
      </c>
      <c r="RHR91" s="74" t="s">
        <v>28</v>
      </c>
      <c r="RHS91" s="75" t="s">
        <v>23</v>
      </c>
      <c r="RHT91" s="78">
        <f>IFERROR(VLOOKUP(RHS91,'[1]List KPI'!$M$3:$N$8,2,0),"")</f>
        <v>2.0833333333333332E-2</v>
      </c>
      <c r="RHU91" s="76">
        <v>0.89444444444444449</v>
      </c>
      <c r="RHV91" s="77" t="str">
        <f t="shared" si="378"/>
        <v>O</v>
      </c>
      <c r="RHW91" s="79">
        <v>5</v>
      </c>
      <c r="RHX91" s="75">
        <v>1276006</v>
      </c>
      <c r="RHY91" s="80"/>
      <c r="RHZ91" s="81">
        <v>0.86944444444444446</v>
      </c>
      <c r="RIA91" s="74" t="s">
        <v>27</v>
      </c>
      <c r="RIB91" s="74" t="s">
        <v>24</v>
      </c>
      <c r="RIC91" s="75" t="s">
        <v>25</v>
      </c>
      <c r="RID91" s="76">
        <f>IFERROR(VLOOKUP(RIC91,'[1]List KPI'!$A$103:$F$118,6,0),"")</f>
        <v>1.0416666666666666E-2</v>
      </c>
      <c r="RIE91" s="76">
        <v>0.86944444444444446</v>
      </c>
      <c r="RIF91" s="76">
        <v>0.86944444444444446</v>
      </c>
      <c r="RIG91" s="77" t="str">
        <f t="shared" si="377"/>
        <v>O</v>
      </c>
      <c r="RIH91" s="74" t="s">
        <v>28</v>
      </c>
      <c r="RII91" s="75" t="s">
        <v>23</v>
      </c>
      <c r="RIJ91" s="78">
        <f>IFERROR(VLOOKUP(RII91,'[1]List KPI'!$M$3:$N$8,2,0),"")</f>
        <v>2.0833333333333332E-2</v>
      </c>
      <c r="RIK91" s="76">
        <v>0.89444444444444449</v>
      </c>
      <c r="RIL91" s="77" t="str">
        <f t="shared" si="378"/>
        <v>O</v>
      </c>
      <c r="RIM91" s="79">
        <v>5</v>
      </c>
      <c r="RIN91" s="75">
        <v>1276006</v>
      </c>
      <c r="RIO91" s="80"/>
      <c r="RIP91" s="81">
        <v>0.86944444444444446</v>
      </c>
      <c r="RIQ91" s="74" t="s">
        <v>27</v>
      </c>
      <c r="RIR91" s="74" t="s">
        <v>24</v>
      </c>
      <c r="RIS91" s="75" t="s">
        <v>25</v>
      </c>
      <c r="RIT91" s="76">
        <f>IFERROR(VLOOKUP(RIS91,'[1]List KPI'!$A$103:$F$118,6,0),"")</f>
        <v>1.0416666666666666E-2</v>
      </c>
      <c r="RIU91" s="76">
        <v>0.86944444444444446</v>
      </c>
      <c r="RIV91" s="76">
        <v>0.86944444444444446</v>
      </c>
      <c r="RIW91" s="77" t="str">
        <f t="shared" ref="RIW91:RKS91" si="379">IF(RIV91="","",IF(RIV91&gt;RJE91,"O","P"))</f>
        <v>O</v>
      </c>
      <c r="RIX91" s="74" t="s">
        <v>28</v>
      </c>
      <c r="RIY91" s="75" t="s">
        <v>23</v>
      </c>
      <c r="RIZ91" s="78">
        <f>IFERROR(VLOOKUP(RIY91,'[1]List KPI'!$M$3:$N$8,2,0),"")</f>
        <v>2.0833333333333332E-2</v>
      </c>
      <c r="RJA91" s="76">
        <v>0.89444444444444449</v>
      </c>
      <c r="RJB91" s="77" t="str">
        <f t="shared" ref="RJB91:RKX91" si="380">IF(RJA91="","",IF(RJA91&gt;RJF91,"O","P"))</f>
        <v>O</v>
      </c>
      <c r="RJC91" s="79">
        <v>5</v>
      </c>
      <c r="RJD91" s="75">
        <v>1276006</v>
      </c>
      <c r="RJE91" s="80"/>
      <c r="RJF91" s="81">
        <v>0.86944444444444446</v>
      </c>
      <c r="RJG91" s="74" t="s">
        <v>27</v>
      </c>
      <c r="RJH91" s="74" t="s">
        <v>24</v>
      </c>
      <c r="RJI91" s="75" t="s">
        <v>25</v>
      </c>
      <c r="RJJ91" s="76">
        <f>IFERROR(VLOOKUP(RJI91,'[1]List KPI'!$A$103:$F$118,6,0),"")</f>
        <v>1.0416666666666666E-2</v>
      </c>
      <c r="RJK91" s="76">
        <v>0.86944444444444446</v>
      </c>
      <c r="RJL91" s="76">
        <v>0.86944444444444446</v>
      </c>
      <c r="RJM91" s="77" t="str">
        <f t="shared" si="379"/>
        <v>O</v>
      </c>
      <c r="RJN91" s="74" t="s">
        <v>28</v>
      </c>
      <c r="RJO91" s="75" t="s">
        <v>23</v>
      </c>
      <c r="RJP91" s="78">
        <f>IFERROR(VLOOKUP(RJO91,'[1]List KPI'!$M$3:$N$8,2,0),"")</f>
        <v>2.0833333333333332E-2</v>
      </c>
      <c r="RJQ91" s="76">
        <v>0.89444444444444449</v>
      </c>
      <c r="RJR91" s="77" t="str">
        <f t="shared" si="380"/>
        <v>O</v>
      </c>
      <c r="RJS91" s="79">
        <v>5</v>
      </c>
      <c r="RJT91" s="75">
        <v>1276006</v>
      </c>
      <c r="RJU91" s="80"/>
      <c r="RJV91" s="81">
        <v>0.86944444444444446</v>
      </c>
      <c r="RJW91" s="74" t="s">
        <v>27</v>
      </c>
      <c r="RJX91" s="74" t="s">
        <v>24</v>
      </c>
      <c r="RJY91" s="75" t="s">
        <v>25</v>
      </c>
      <c r="RJZ91" s="76">
        <f>IFERROR(VLOOKUP(RJY91,'[1]List KPI'!$A$103:$F$118,6,0),"")</f>
        <v>1.0416666666666666E-2</v>
      </c>
      <c r="RKA91" s="76">
        <v>0.86944444444444446</v>
      </c>
      <c r="RKB91" s="76">
        <v>0.86944444444444446</v>
      </c>
      <c r="RKC91" s="77" t="str">
        <f t="shared" si="379"/>
        <v>O</v>
      </c>
      <c r="RKD91" s="74" t="s">
        <v>28</v>
      </c>
      <c r="RKE91" s="75" t="s">
        <v>23</v>
      </c>
      <c r="RKF91" s="78">
        <f>IFERROR(VLOOKUP(RKE91,'[1]List KPI'!$M$3:$N$8,2,0),"")</f>
        <v>2.0833333333333332E-2</v>
      </c>
      <c r="RKG91" s="76">
        <v>0.89444444444444449</v>
      </c>
      <c r="RKH91" s="77" t="str">
        <f t="shared" si="380"/>
        <v>O</v>
      </c>
      <c r="RKI91" s="79">
        <v>5</v>
      </c>
      <c r="RKJ91" s="75">
        <v>1276006</v>
      </c>
      <c r="RKK91" s="80"/>
      <c r="RKL91" s="81">
        <v>0.86944444444444446</v>
      </c>
      <c r="RKM91" s="74" t="s">
        <v>27</v>
      </c>
      <c r="RKN91" s="74" t="s">
        <v>24</v>
      </c>
      <c r="RKO91" s="75" t="s">
        <v>25</v>
      </c>
      <c r="RKP91" s="76">
        <f>IFERROR(VLOOKUP(RKO91,'[1]List KPI'!$A$103:$F$118,6,0),"")</f>
        <v>1.0416666666666666E-2</v>
      </c>
      <c r="RKQ91" s="76">
        <v>0.86944444444444446</v>
      </c>
      <c r="RKR91" s="76">
        <v>0.86944444444444446</v>
      </c>
      <c r="RKS91" s="77" t="str">
        <f t="shared" si="379"/>
        <v>O</v>
      </c>
      <c r="RKT91" s="74" t="s">
        <v>28</v>
      </c>
      <c r="RKU91" s="75" t="s">
        <v>23</v>
      </c>
      <c r="RKV91" s="78">
        <f>IFERROR(VLOOKUP(RKU91,'[1]List KPI'!$M$3:$N$8,2,0),"")</f>
        <v>2.0833333333333332E-2</v>
      </c>
      <c r="RKW91" s="76">
        <v>0.89444444444444449</v>
      </c>
      <c r="RKX91" s="77" t="str">
        <f t="shared" si="380"/>
        <v>O</v>
      </c>
      <c r="RKY91" s="79">
        <v>5</v>
      </c>
      <c r="RKZ91" s="75">
        <v>1276006</v>
      </c>
      <c r="RLA91" s="80"/>
      <c r="RLB91" s="81">
        <v>0.86944444444444446</v>
      </c>
      <c r="RLC91" s="74" t="s">
        <v>27</v>
      </c>
      <c r="RLD91" s="74" t="s">
        <v>24</v>
      </c>
      <c r="RLE91" s="75" t="s">
        <v>25</v>
      </c>
      <c r="RLF91" s="76">
        <f>IFERROR(VLOOKUP(RLE91,'[1]List KPI'!$A$103:$F$118,6,0),"")</f>
        <v>1.0416666666666666E-2</v>
      </c>
      <c r="RLG91" s="76">
        <v>0.86944444444444446</v>
      </c>
      <c r="RLH91" s="76">
        <v>0.86944444444444446</v>
      </c>
      <c r="RLI91" s="77" t="str">
        <f t="shared" ref="RLI91:RNE91" si="381">IF(RLH91="","",IF(RLH91&gt;RLQ91,"O","P"))</f>
        <v>O</v>
      </c>
      <c r="RLJ91" s="74" t="s">
        <v>28</v>
      </c>
      <c r="RLK91" s="75" t="s">
        <v>23</v>
      </c>
      <c r="RLL91" s="78">
        <f>IFERROR(VLOOKUP(RLK91,'[1]List KPI'!$M$3:$N$8,2,0),"")</f>
        <v>2.0833333333333332E-2</v>
      </c>
      <c r="RLM91" s="76">
        <v>0.89444444444444449</v>
      </c>
      <c r="RLN91" s="77" t="str">
        <f t="shared" ref="RLN91:RNJ91" si="382">IF(RLM91="","",IF(RLM91&gt;RLR91,"O","P"))</f>
        <v>O</v>
      </c>
      <c r="RLO91" s="79">
        <v>5</v>
      </c>
      <c r="RLP91" s="75">
        <v>1276006</v>
      </c>
      <c r="RLQ91" s="80"/>
      <c r="RLR91" s="81">
        <v>0.86944444444444446</v>
      </c>
      <c r="RLS91" s="74" t="s">
        <v>27</v>
      </c>
      <c r="RLT91" s="74" t="s">
        <v>24</v>
      </c>
      <c r="RLU91" s="75" t="s">
        <v>25</v>
      </c>
      <c r="RLV91" s="76">
        <f>IFERROR(VLOOKUP(RLU91,'[1]List KPI'!$A$103:$F$118,6,0),"")</f>
        <v>1.0416666666666666E-2</v>
      </c>
      <c r="RLW91" s="76">
        <v>0.86944444444444446</v>
      </c>
      <c r="RLX91" s="76">
        <v>0.86944444444444446</v>
      </c>
      <c r="RLY91" s="77" t="str">
        <f t="shared" si="381"/>
        <v>O</v>
      </c>
      <c r="RLZ91" s="74" t="s">
        <v>28</v>
      </c>
      <c r="RMA91" s="75" t="s">
        <v>23</v>
      </c>
      <c r="RMB91" s="78">
        <f>IFERROR(VLOOKUP(RMA91,'[1]List KPI'!$M$3:$N$8,2,0),"")</f>
        <v>2.0833333333333332E-2</v>
      </c>
      <c r="RMC91" s="76">
        <v>0.89444444444444449</v>
      </c>
      <c r="RMD91" s="77" t="str">
        <f t="shared" si="382"/>
        <v>O</v>
      </c>
      <c r="RME91" s="79">
        <v>5</v>
      </c>
      <c r="RMF91" s="75">
        <v>1276006</v>
      </c>
      <c r="RMG91" s="80"/>
      <c r="RMH91" s="81">
        <v>0.86944444444444446</v>
      </c>
      <c r="RMI91" s="74" t="s">
        <v>27</v>
      </c>
      <c r="RMJ91" s="74" t="s">
        <v>24</v>
      </c>
      <c r="RMK91" s="75" t="s">
        <v>25</v>
      </c>
      <c r="RML91" s="76">
        <f>IFERROR(VLOOKUP(RMK91,'[1]List KPI'!$A$103:$F$118,6,0),"")</f>
        <v>1.0416666666666666E-2</v>
      </c>
      <c r="RMM91" s="76">
        <v>0.86944444444444446</v>
      </c>
      <c r="RMN91" s="76">
        <v>0.86944444444444446</v>
      </c>
      <c r="RMO91" s="77" t="str">
        <f t="shared" si="381"/>
        <v>O</v>
      </c>
      <c r="RMP91" s="74" t="s">
        <v>28</v>
      </c>
      <c r="RMQ91" s="75" t="s">
        <v>23</v>
      </c>
      <c r="RMR91" s="78">
        <f>IFERROR(VLOOKUP(RMQ91,'[1]List KPI'!$M$3:$N$8,2,0),"")</f>
        <v>2.0833333333333332E-2</v>
      </c>
      <c r="RMS91" s="76">
        <v>0.89444444444444449</v>
      </c>
      <c r="RMT91" s="77" t="str">
        <f t="shared" si="382"/>
        <v>O</v>
      </c>
      <c r="RMU91" s="79">
        <v>5</v>
      </c>
      <c r="RMV91" s="75">
        <v>1276006</v>
      </c>
      <c r="RMW91" s="80"/>
      <c r="RMX91" s="81">
        <v>0.86944444444444446</v>
      </c>
      <c r="RMY91" s="74" t="s">
        <v>27</v>
      </c>
      <c r="RMZ91" s="74" t="s">
        <v>24</v>
      </c>
      <c r="RNA91" s="75" t="s">
        <v>25</v>
      </c>
      <c r="RNB91" s="76">
        <f>IFERROR(VLOOKUP(RNA91,'[1]List KPI'!$A$103:$F$118,6,0),"")</f>
        <v>1.0416666666666666E-2</v>
      </c>
      <c r="RNC91" s="76">
        <v>0.86944444444444446</v>
      </c>
      <c r="RND91" s="76">
        <v>0.86944444444444446</v>
      </c>
      <c r="RNE91" s="77" t="str">
        <f t="shared" si="381"/>
        <v>O</v>
      </c>
      <c r="RNF91" s="74" t="s">
        <v>28</v>
      </c>
      <c r="RNG91" s="75" t="s">
        <v>23</v>
      </c>
      <c r="RNH91" s="78">
        <f>IFERROR(VLOOKUP(RNG91,'[1]List KPI'!$M$3:$N$8,2,0),"")</f>
        <v>2.0833333333333332E-2</v>
      </c>
      <c r="RNI91" s="76">
        <v>0.89444444444444449</v>
      </c>
      <c r="RNJ91" s="77" t="str">
        <f t="shared" si="382"/>
        <v>O</v>
      </c>
      <c r="RNK91" s="79">
        <v>5</v>
      </c>
      <c r="RNL91" s="75">
        <v>1276006</v>
      </c>
      <c r="RNM91" s="80"/>
      <c r="RNN91" s="81">
        <v>0.86944444444444446</v>
      </c>
      <c r="RNO91" s="74" t="s">
        <v>27</v>
      </c>
      <c r="RNP91" s="74" t="s">
        <v>24</v>
      </c>
      <c r="RNQ91" s="75" t="s">
        <v>25</v>
      </c>
      <c r="RNR91" s="76">
        <f>IFERROR(VLOOKUP(RNQ91,'[1]List KPI'!$A$103:$F$118,6,0),"")</f>
        <v>1.0416666666666666E-2</v>
      </c>
      <c r="RNS91" s="76">
        <v>0.86944444444444446</v>
      </c>
      <c r="RNT91" s="76">
        <v>0.86944444444444446</v>
      </c>
      <c r="RNU91" s="77" t="str">
        <f t="shared" ref="RNU91:RPQ91" si="383">IF(RNT91="","",IF(RNT91&gt;ROC91,"O","P"))</f>
        <v>O</v>
      </c>
      <c r="RNV91" s="74" t="s">
        <v>28</v>
      </c>
      <c r="RNW91" s="75" t="s">
        <v>23</v>
      </c>
      <c r="RNX91" s="78">
        <f>IFERROR(VLOOKUP(RNW91,'[1]List KPI'!$M$3:$N$8,2,0),"")</f>
        <v>2.0833333333333332E-2</v>
      </c>
      <c r="RNY91" s="76">
        <v>0.89444444444444449</v>
      </c>
      <c r="RNZ91" s="77" t="str">
        <f t="shared" ref="RNZ91:RPV91" si="384">IF(RNY91="","",IF(RNY91&gt;ROD91,"O","P"))</f>
        <v>O</v>
      </c>
      <c r="ROA91" s="79">
        <v>5</v>
      </c>
      <c r="ROB91" s="75">
        <v>1276006</v>
      </c>
      <c r="ROC91" s="80"/>
      <c r="ROD91" s="81">
        <v>0.86944444444444446</v>
      </c>
      <c r="ROE91" s="74" t="s">
        <v>27</v>
      </c>
      <c r="ROF91" s="74" t="s">
        <v>24</v>
      </c>
      <c r="ROG91" s="75" t="s">
        <v>25</v>
      </c>
      <c r="ROH91" s="76">
        <f>IFERROR(VLOOKUP(ROG91,'[1]List KPI'!$A$103:$F$118,6,0),"")</f>
        <v>1.0416666666666666E-2</v>
      </c>
      <c r="ROI91" s="76">
        <v>0.86944444444444446</v>
      </c>
      <c r="ROJ91" s="76">
        <v>0.86944444444444446</v>
      </c>
      <c r="ROK91" s="77" t="str">
        <f t="shared" si="383"/>
        <v>O</v>
      </c>
      <c r="ROL91" s="74" t="s">
        <v>28</v>
      </c>
      <c r="ROM91" s="75" t="s">
        <v>23</v>
      </c>
      <c r="RON91" s="78">
        <f>IFERROR(VLOOKUP(ROM91,'[1]List KPI'!$M$3:$N$8,2,0),"")</f>
        <v>2.0833333333333332E-2</v>
      </c>
      <c r="ROO91" s="76">
        <v>0.89444444444444449</v>
      </c>
      <c r="ROP91" s="77" t="str">
        <f t="shared" si="384"/>
        <v>O</v>
      </c>
      <c r="ROQ91" s="79">
        <v>5</v>
      </c>
      <c r="ROR91" s="75">
        <v>1276006</v>
      </c>
      <c r="ROS91" s="80"/>
      <c r="ROT91" s="81">
        <v>0.86944444444444446</v>
      </c>
      <c r="ROU91" s="74" t="s">
        <v>27</v>
      </c>
      <c r="ROV91" s="74" t="s">
        <v>24</v>
      </c>
      <c r="ROW91" s="75" t="s">
        <v>25</v>
      </c>
      <c r="ROX91" s="76">
        <f>IFERROR(VLOOKUP(ROW91,'[1]List KPI'!$A$103:$F$118,6,0),"")</f>
        <v>1.0416666666666666E-2</v>
      </c>
      <c r="ROY91" s="76">
        <v>0.86944444444444446</v>
      </c>
      <c r="ROZ91" s="76">
        <v>0.86944444444444446</v>
      </c>
      <c r="RPA91" s="77" t="str">
        <f t="shared" si="383"/>
        <v>O</v>
      </c>
      <c r="RPB91" s="74" t="s">
        <v>28</v>
      </c>
      <c r="RPC91" s="75" t="s">
        <v>23</v>
      </c>
      <c r="RPD91" s="78">
        <f>IFERROR(VLOOKUP(RPC91,'[1]List KPI'!$M$3:$N$8,2,0),"")</f>
        <v>2.0833333333333332E-2</v>
      </c>
      <c r="RPE91" s="76">
        <v>0.89444444444444449</v>
      </c>
      <c r="RPF91" s="77" t="str">
        <f t="shared" si="384"/>
        <v>O</v>
      </c>
      <c r="RPG91" s="79">
        <v>5</v>
      </c>
      <c r="RPH91" s="75">
        <v>1276006</v>
      </c>
      <c r="RPI91" s="80"/>
      <c r="RPJ91" s="81">
        <v>0.86944444444444446</v>
      </c>
      <c r="RPK91" s="74" t="s">
        <v>27</v>
      </c>
      <c r="RPL91" s="74" t="s">
        <v>24</v>
      </c>
      <c r="RPM91" s="75" t="s">
        <v>25</v>
      </c>
      <c r="RPN91" s="76">
        <f>IFERROR(VLOOKUP(RPM91,'[1]List KPI'!$A$103:$F$118,6,0),"")</f>
        <v>1.0416666666666666E-2</v>
      </c>
      <c r="RPO91" s="76">
        <v>0.86944444444444446</v>
      </c>
      <c r="RPP91" s="76">
        <v>0.86944444444444446</v>
      </c>
      <c r="RPQ91" s="77" t="str">
        <f t="shared" si="383"/>
        <v>O</v>
      </c>
      <c r="RPR91" s="74" t="s">
        <v>28</v>
      </c>
      <c r="RPS91" s="75" t="s">
        <v>23</v>
      </c>
      <c r="RPT91" s="78">
        <f>IFERROR(VLOOKUP(RPS91,'[1]List KPI'!$M$3:$N$8,2,0),"")</f>
        <v>2.0833333333333332E-2</v>
      </c>
      <c r="RPU91" s="76">
        <v>0.89444444444444449</v>
      </c>
      <c r="RPV91" s="77" t="str">
        <f t="shared" si="384"/>
        <v>O</v>
      </c>
      <c r="RPW91" s="79">
        <v>5</v>
      </c>
      <c r="RPX91" s="75">
        <v>1276006</v>
      </c>
      <c r="RPY91" s="80"/>
      <c r="RPZ91" s="81">
        <v>0.86944444444444446</v>
      </c>
      <c r="RQA91" s="74" t="s">
        <v>27</v>
      </c>
      <c r="RQB91" s="74" t="s">
        <v>24</v>
      </c>
      <c r="RQC91" s="75" t="s">
        <v>25</v>
      </c>
      <c r="RQD91" s="76">
        <f>IFERROR(VLOOKUP(RQC91,'[1]List KPI'!$A$103:$F$118,6,0),"")</f>
        <v>1.0416666666666666E-2</v>
      </c>
      <c r="RQE91" s="76">
        <v>0.86944444444444446</v>
      </c>
      <c r="RQF91" s="76">
        <v>0.86944444444444446</v>
      </c>
      <c r="RQG91" s="77" t="str">
        <f t="shared" ref="RQG91:RSC91" si="385">IF(RQF91="","",IF(RQF91&gt;RQO91,"O","P"))</f>
        <v>O</v>
      </c>
      <c r="RQH91" s="74" t="s">
        <v>28</v>
      </c>
      <c r="RQI91" s="75" t="s">
        <v>23</v>
      </c>
      <c r="RQJ91" s="78">
        <f>IFERROR(VLOOKUP(RQI91,'[1]List KPI'!$M$3:$N$8,2,0),"")</f>
        <v>2.0833333333333332E-2</v>
      </c>
      <c r="RQK91" s="76">
        <v>0.89444444444444449</v>
      </c>
      <c r="RQL91" s="77" t="str">
        <f t="shared" ref="RQL91:RSH91" si="386">IF(RQK91="","",IF(RQK91&gt;RQP91,"O","P"))</f>
        <v>O</v>
      </c>
      <c r="RQM91" s="79">
        <v>5</v>
      </c>
      <c r="RQN91" s="75">
        <v>1276006</v>
      </c>
      <c r="RQO91" s="80"/>
      <c r="RQP91" s="81">
        <v>0.86944444444444446</v>
      </c>
      <c r="RQQ91" s="74" t="s">
        <v>27</v>
      </c>
      <c r="RQR91" s="74" t="s">
        <v>24</v>
      </c>
      <c r="RQS91" s="75" t="s">
        <v>25</v>
      </c>
      <c r="RQT91" s="76">
        <f>IFERROR(VLOOKUP(RQS91,'[1]List KPI'!$A$103:$F$118,6,0),"")</f>
        <v>1.0416666666666666E-2</v>
      </c>
      <c r="RQU91" s="76">
        <v>0.86944444444444446</v>
      </c>
      <c r="RQV91" s="76">
        <v>0.86944444444444446</v>
      </c>
      <c r="RQW91" s="77" t="str">
        <f t="shared" si="385"/>
        <v>O</v>
      </c>
      <c r="RQX91" s="74" t="s">
        <v>28</v>
      </c>
      <c r="RQY91" s="75" t="s">
        <v>23</v>
      </c>
      <c r="RQZ91" s="78">
        <f>IFERROR(VLOOKUP(RQY91,'[1]List KPI'!$M$3:$N$8,2,0),"")</f>
        <v>2.0833333333333332E-2</v>
      </c>
      <c r="RRA91" s="76">
        <v>0.89444444444444449</v>
      </c>
      <c r="RRB91" s="77" t="str">
        <f t="shared" si="386"/>
        <v>O</v>
      </c>
      <c r="RRC91" s="79">
        <v>5</v>
      </c>
      <c r="RRD91" s="75">
        <v>1276006</v>
      </c>
      <c r="RRE91" s="80"/>
      <c r="RRF91" s="81">
        <v>0.86944444444444446</v>
      </c>
      <c r="RRG91" s="74" t="s">
        <v>27</v>
      </c>
      <c r="RRH91" s="74" t="s">
        <v>24</v>
      </c>
      <c r="RRI91" s="75" t="s">
        <v>25</v>
      </c>
      <c r="RRJ91" s="76">
        <f>IFERROR(VLOOKUP(RRI91,'[1]List KPI'!$A$103:$F$118,6,0),"")</f>
        <v>1.0416666666666666E-2</v>
      </c>
      <c r="RRK91" s="76">
        <v>0.86944444444444446</v>
      </c>
      <c r="RRL91" s="76">
        <v>0.86944444444444446</v>
      </c>
      <c r="RRM91" s="77" t="str">
        <f t="shared" si="385"/>
        <v>O</v>
      </c>
      <c r="RRN91" s="74" t="s">
        <v>28</v>
      </c>
      <c r="RRO91" s="75" t="s">
        <v>23</v>
      </c>
      <c r="RRP91" s="78">
        <f>IFERROR(VLOOKUP(RRO91,'[1]List KPI'!$M$3:$N$8,2,0),"")</f>
        <v>2.0833333333333332E-2</v>
      </c>
      <c r="RRQ91" s="76">
        <v>0.89444444444444449</v>
      </c>
      <c r="RRR91" s="77" t="str">
        <f t="shared" si="386"/>
        <v>O</v>
      </c>
      <c r="RRS91" s="79">
        <v>5</v>
      </c>
      <c r="RRT91" s="75">
        <v>1276006</v>
      </c>
      <c r="RRU91" s="80"/>
      <c r="RRV91" s="81">
        <v>0.86944444444444446</v>
      </c>
      <c r="RRW91" s="74" t="s">
        <v>27</v>
      </c>
      <c r="RRX91" s="74" t="s">
        <v>24</v>
      </c>
      <c r="RRY91" s="75" t="s">
        <v>25</v>
      </c>
      <c r="RRZ91" s="76">
        <f>IFERROR(VLOOKUP(RRY91,'[1]List KPI'!$A$103:$F$118,6,0),"")</f>
        <v>1.0416666666666666E-2</v>
      </c>
      <c r="RSA91" s="76">
        <v>0.86944444444444446</v>
      </c>
      <c r="RSB91" s="76">
        <v>0.86944444444444446</v>
      </c>
      <c r="RSC91" s="77" t="str">
        <f t="shared" si="385"/>
        <v>O</v>
      </c>
      <c r="RSD91" s="74" t="s">
        <v>28</v>
      </c>
      <c r="RSE91" s="75" t="s">
        <v>23</v>
      </c>
      <c r="RSF91" s="78">
        <f>IFERROR(VLOOKUP(RSE91,'[1]List KPI'!$M$3:$N$8,2,0),"")</f>
        <v>2.0833333333333332E-2</v>
      </c>
      <c r="RSG91" s="76">
        <v>0.89444444444444449</v>
      </c>
      <c r="RSH91" s="77" t="str">
        <f t="shared" si="386"/>
        <v>O</v>
      </c>
      <c r="RSI91" s="79">
        <v>5</v>
      </c>
      <c r="RSJ91" s="75">
        <v>1276006</v>
      </c>
      <c r="RSK91" s="80"/>
      <c r="RSL91" s="81">
        <v>0.86944444444444446</v>
      </c>
      <c r="RSM91" s="74" t="s">
        <v>27</v>
      </c>
      <c r="RSN91" s="74" t="s">
        <v>24</v>
      </c>
      <c r="RSO91" s="75" t="s">
        <v>25</v>
      </c>
      <c r="RSP91" s="76">
        <f>IFERROR(VLOOKUP(RSO91,'[1]List KPI'!$A$103:$F$118,6,0),"")</f>
        <v>1.0416666666666666E-2</v>
      </c>
      <c r="RSQ91" s="76">
        <v>0.86944444444444446</v>
      </c>
      <c r="RSR91" s="76">
        <v>0.86944444444444446</v>
      </c>
      <c r="RSS91" s="77" t="str">
        <f t="shared" ref="RSS91:RUO91" si="387">IF(RSR91="","",IF(RSR91&gt;RTA91,"O","P"))</f>
        <v>O</v>
      </c>
      <c r="RST91" s="74" t="s">
        <v>28</v>
      </c>
      <c r="RSU91" s="75" t="s">
        <v>23</v>
      </c>
      <c r="RSV91" s="78">
        <f>IFERROR(VLOOKUP(RSU91,'[1]List KPI'!$M$3:$N$8,2,0),"")</f>
        <v>2.0833333333333332E-2</v>
      </c>
      <c r="RSW91" s="76">
        <v>0.89444444444444449</v>
      </c>
      <c r="RSX91" s="77" t="str">
        <f t="shared" ref="RSX91:RUT91" si="388">IF(RSW91="","",IF(RSW91&gt;RTB91,"O","P"))</f>
        <v>O</v>
      </c>
      <c r="RSY91" s="79">
        <v>5</v>
      </c>
      <c r="RSZ91" s="75">
        <v>1276006</v>
      </c>
      <c r="RTA91" s="80"/>
      <c r="RTB91" s="81">
        <v>0.86944444444444446</v>
      </c>
      <c r="RTC91" s="74" t="s">
        <v>27</v>
      </c>
      <c r="RTD91" s="74" t="s">
        <v>24</v>
      </c>
      <c r="RTE91" s="75" t="s">
        <v>25</v>
      </c>
      <c r="RTF91" s="76">
        <f>IFERROR(VLOOKUP(RTE91,'[1]List KPI'!$A$103:$F$118,6,0),"")</f>
        <v>1.0416666666666666E-2</v>
      </c>
      <c r="RTG91" s="76">
        <v>0.86944444444444446</v>
      </c>
      <c r="RTH91" s="76">
        <v>0.86944444444444446</v>
      </c>
      <c r="RTI91" s="77" t="str">
        <f t="shared" si="387"/>
        <v>O</v>
      </c>
      <c r="RTJ91" s="74" t="s">
        <v>28</v>
      </c>
      <c r="RTK91" s="75" t="s">
        <v>23</v>
      </c>
      <c r="RTL91" s="78">
        <f>IFERROR(VLOOKUP(RTK91,'[1]List KPI'!$M$3:$N$8,2,0),"")</f>
        <v>2.0833333333333332E-2</v>
      </c>
      <c r="RTM91" s="76">
        <v>0.89444444444444449</v>
      </c>
      <c r="RTN91" s="77" t="str">
        <f t="shared" si="388"/>
        <v>O</v>
      </c>
      <c r="RTO91" s="79">
        <v>5</v>
      </c>
      <c r="RTP91" s="75">
        <v>1276006</v>
      </c>
      <c r="RTQ91" s="80"/>
      <c r="RTR91" s="81">
        <v>0.86944444444444446</v>
      </c>
      <c r="RTS91" s="74" t="s">
        <v>27</v>
      </c>
      <c r="RTT91" s="74" t="s">
        <v>24</v>
      </c>
      <c r="RTU91" s="75" t="s">
        <v>25</v>
      </c>
      <c r="RTV91" s="76">
        <f>IFERROR(VLOOKUP(RTU91,'[1]List KPI'!$A$103:$F$118,6,0),"")</f>
        <v>1.0416666666666666E-2</v>
      </c>
      <c r="RTW91" s="76">
        <v>0.86944444444444446</v>
      </c>
      <c r="RTX91" s="76">
        <v>0.86944444444444446</v>
      </c>
      <c r="RTY91" s="77" t="str">
        <f t="shared" si="387"/>
        <v>O</v>
      </c>
      <c r="RTZ91" s="74" t="s">
        <v>28</v>
      </c>
      <c r="RUA91" s="75" t="s">
        <v>23</v>
      </c>
      <c r="RUB91" s="78">
        <f>IFERROR(VLOOKUP(RUA91,'[1]List KPI'!$M$3:$N$8,2,0),"")</f>
        <v>2.0833333333333332E-2</v>
      </c>
      <c r="RUC91" s="76">
        <v>0.89444444444444449</v>
      </c>
      <c r="RUD91" s="77" t="str">
        <f t="shared" si="388"/>
        <v>O</v>
      </c>
      <c r="RUE91" s="79">
        <v>5</v>
      </c>
      <c r="RUF91" s="75">
        <v>1276006</v>
      </c>
      <c r="RUG91" s="80"/>
      <c r="RUH91" s="81">
        <v>0.86944444444444446</v>
      </c>
      <c r="RUI91" s="74" t="s">
        <v>27</v>
      </c>
      <c r="RUJ91" s="74" t="s">
        <v>24</v>
      </c>
      <c r="RUK91" s="75" t="s">
        <v>25</v>
      </c>
      <c r="RUL91" s="76">
        <f>IFERROR(VLOOKUP(RUK91,'[1]List KPI'!$A$103:$F$118,6,0),"")</f>
        <v>1.0416666666666666E-2</v>
      </c>
      <c r="RUM91" s="76">
        <v>0.86944444444444446</v>
      </c>
      <c r="RUN91" s="76">
        <v>0.86944444444444446</v>
      </c>
      <c r="RUO91" s="77" t="str">
        <f t="shared" si="387"/>
        <v>O</v>
      </c>
      <c r="RUP91" s="74" t="s">
        <v>28</v>
      </c>
      <c r="RUQ91" s="75" t="s">
        <v>23</v>
      </c>
      <c r="RUR91" s="78">
        <f>IFERROR(VLOOKUP(RUQ91,'[1]List KPI'!$M$3:$N$8,2,0),"")</f>
        <v>2.0833333333333332E-2</v>
      </c>
      <c r="RUS91" s="76">
        <v>0.89444444444444449</v>
      </c>
      <c r="RUT91" s="77" t="str">
        <f t="shared" si="388"/>
        <v>O</v>
      </c>
      <c r="RUU91" s="79">
        <v>5</v>
      </c>
      <c r="RUV91" s="75">
        <v>1276006</v>
      </c>
      <c r="RUW91" s="80"/>
      <c r="RUX91" s="81">
        <v>0.86944444444444446</v>
      </c>
      <c r="RUY91" s="74" t="s">
        <v>27</v>
      </c>
      <c r="RUZ91" s="74" t="s">
        <v>24</v>
      </c>
      <c r="RVA91" s="75" t="s">
        <v>25</v>
      </c>
      <c r="RVB91" s="76">
        <f>IFERROR(VLOOKUP(RVA91,'[1]List KPI'!$A$103:$F$118,6,0),"")</f>
        <v>1.0416666666666666E-2</v>
      </c>
      <c r="RVC91" s="76">
        <v>0.86944444444444446</v>
      </c>
      <c r="RVD91" s="76">
        <v>0.86944444444444446</v>
      </c>
      <c r="RVE91" s="77" t="str">
        <f t="shared" ref="RVE91:RXA91" si="389">IF(RVD91="","",IF(RVD91&gt;RVM91,"O","P"))</f>
        <v>O</v>
      </c>
      <c r="RVF91" s="74" t="s">
        <v>28</v>
      </c>
      <c r="RVG91" s="75" t="s">
        <v>23</v>
      </c>
      <c r="RVH91" s="78">
        <f>IFERROR(VLOOKUP(RVG91,'[1]List KPI'!$M$3:$N$8,2,0),"")</f>
        <v>2.0833333333333332E-2</v>
      </c>
      <c r="RVI91" s="76">
        <v>0.89444444444444449</v>
      </c>
      <c r="RVJ91" s="77" t="str">
        <f t="shared" ref="RVJ91:RXF91" si="390">IF(RVI91="","",IF(RVI91&gt;RVN91,"O","P"))</f>
        <v>O</v>
      </c>
      <c r="RVK91" s="79">
        <v>5</v>
      </c>
      <c r="RVL91" s="75">
        <v>1276006</v>
      </c>
      <c r="RVM91" s="80"/>
      <c r="RVN91" s="81">
        <v>0.86944444444444446</v>
      </c>
      <c r="RVO91" s="74" t="s">
        <v>27</v>
      </c>
      <c r="RVP91" s="74" t="s">
        <v>24</v>
      </c>
      <c r="RVQ91" s="75" t="s">
        <v>25</v>
      </c>
      <c r="RVR91" s="76">
        <f>IFERROR(VLOOKUP(RVQ91,'[1]List KPI'!$A$103:$F$118,6,0),"")</f>
        <v>1.0416666666666666E-2</v>
      </c>
      <c r="RVS91" s="76">
        <v>0.86944444444444446</v>
      </c>
      <c r="RVT91" s="76">
        <v>0.86944444444444446</v>
      </c>
      <c r="RVU91" s="77" t="str">
        <f t="shared" si="389"/>
        <v>O</v>
      </c>
      <c r="RVV91" s="74" t="s">
        <v>28</v>
      </c>
      <c r="RVW91" s="75" t="s">
        <v>23</v>
      </c>
      <c r="RVX91" s="78">
        <f>IFERROR(VLOOKUP(RVW91,'[1]List KPI'!$M$3:$N$8,2,0),"")</f>
        <v>2.0833333333333332E-2</v>
      </c>
      <c r="RVY91" s="76">
        <v>0.89444444444444449</v>
      </c>
      <c r="RVZ91" s="77" t="str">
        <f t="shared" si="390"/>
        <v>O</v>
      </c>
      <c r="RWA91" s="79">
        <v>5</v>
      </c>
      <c r="RWB91" s="75">
        <v>1276006</v>
      </c>
      <c r="RWC91" s="80"/>
      <c r="RWD91" s="81">
        <v>0.86944444444444446</v>
      </c>
      <c r="RWE91" s="74" t="s">
        <v>27</v>
      </c>
      <c r="RWF91" s="74" t="s">
        <v>24</v>
      </c>
      <c r="RWG91" s="75" t="s">
        <v>25</v>
      </c>
      <c r="RWH91" s="76">
        <f>IFERROR(VLOOKUP(RWG91,'[1]List KPI'!$A$103:$F$118,6,0),"")</f>
        <v>1.0416666666666666E-2</v>
      </c>
      <c r="RWI91" s="76">
        <v>0.86944444444444446</v>
      </c>
      <c r="RWJ91" s="76">
        <v>0.86944444444444446</v>
      </c>
      <c r="RWK91" s="77" t="str">
        <f t="shared" si="389"/>
        <v>O</v>
      </c>
      <c r="RWL91" s="74" t="s">
        <v>28</v>
      </c>
      <c r="RWM91" s="75" t="s">
        <v>23</v>
      </c>
      <c r="RWN91" s="78">
        <f>IFERROR(VLOOKUP(RWM91,'[1]List KPI'!$M$3:$N$8,2,0),"")</f>
        <v>2.0833333333333332E-2</v>
      </c>
      <c r="RWO91" s="76">
        <v>0.89444444444444449</v>
      </c>
      <c r="RWP91" s="77" t="str">
        <f t="shared" si="390"/>
        <v>O</v>
      </c>
      <c r="RWQ91" s="79">
        <v>5</v>
      </c>
      <c r="RWR91" s="75">
        <v>1276006</v>
      </c>
      <c r="RWS91" s="80"/>
      <c r="RWT91" s="81">
        <v>0.86944444444444446</v>
      </c>
      <c r="RWU91" s="74" t="s">
        <v>27</v>
      </c>
      <c r="RWV91" s="74" t="s">
        <v>24</v>
      </c>
      <c r="RWW91" s="75" t="s">
        <v>25</v>
      </c>
      <c r="RWX91" s="76">
        <f>IFERROR(VLOOKUP(RWW91,'[1]List KPI'!$A$103:$F$118,6,0),"")</f>
        <v>1.0416666666666666E-2</v>
      </c>
      <c r="RWY91" s="76">
        <v>0.86944444444444446</v>
      </c>
      <c r="RWZ91" s="76">
        <v>0.86944444444444446</v>
      </c>
      <c r="RXA91" s="77" t="str">
        <f t="shared" si="389"/>
        <v>O</v>
      </c>
      <c r="RXB91" s="74" t="s">
        <v>28</v>
      </c>
      <c r="RXC91" s="75" t="s">
        <v>23</v>
      </c>
      <c r="RXD91" s="78">
        <f>IFERROR(VLOOKUP(RXC91,'[1]List KPI'!$M$3:$N$8,2,0),"")</f>
        <v>2.0833333333333332E-2</v>
      </c>
      <c r="RXE91" s="76">
        <v>0.89444444444444449</v>
      </c>
      <c r="RXF91" s="77" t="str">
        <f t="shared" si="390"/>
        <v>O</v>
      </c>
      <c r="RXG91" s="79">
        <v>5</v>
      </c>
      <c r="RXH91" s="75">
        <v>1276006</v>
      </c>
      <c r="RXI91" s="80"/>
      <c r="RXJ91" s="81">
        <v>0.86944444444444446</v>
      </c>
      <c r="RXK91" s="74" t="s">
        <v>27</v>
      </c>
      <c r="RXL91" s="74" t="s">
        <v>24</v>
      </c>
      <c r="RXM91" s="75" t="s">
        <v>25</v>
      </c>
      <c r="RXN91" s="76">
        <f>IFERROR(VLOOKUP(RXM91,'[1]List KPI'!$A$103:$F$118,6,0),"")</f>
        <v>1.0416666666666666E-2</v>
      </c>
      <c r="RXO91" s="76">
        <v>0.86944444444444446</v>
      </c>
      <c r="RXP91" s="76">
        <v>0.86944444444444446</v>
      </c>
      <c r="RXQ91" s="77" t="str">
        <f t="shared" ref="RXQ91:RZM91" si="391">IF(RXP91="","",IF(RXP91&gt;RXY91,"O","P"))</f>
        <v>O</v>
      </c>
      <c r="RXR91" s="74" t="s">
        <v>28</v>
      </c>
      <c r="RXS91" s="75" t="s">
        <v>23</v>
      </c>
      <c r="RXT91" s="78">
        <f>IFERROR(VLOOKUP(RXS91,'[1]List KPI'!$M$3:$N$8,2,0),"")</f>
        <v>2.0833333333333332E-2</v>
      </c>
      <c r="RXU91" s="76">
        <v>0.89444444444444449</v>
      </c>
      <c r="RXV91" s="77" t="str">
        <f t="shared" ref="RXV91:RZR91" si="392">IF(RXU91="","",IF(RXU91&gt;RXZ91,"O","P"))</f>
        <v>O</v>
      </c>
      <c r="RXW91" s="79">
        <v>5</v>
      </c>
      <c r="RXX91" s="75">
        <v>1276006</v>
      </c>
      <c r="RXY91" s="80"/>
      <c r="RXZ91" s="81">
        <v>0.86944444444444446</v>
      </c>
      <c r="RYA91" s="74" t="s">
        <v>27</v>
      </c>
      <c r="RYB91" s="74" t="s">
        <v>24</v>
      </c>
      <c r="RYC91" s="75" t="s">
        <v>25</v>
      </c>
      <c r="RYD91" s="76">
        <f>IFERROR(VLOOKUP(RYC91,'[1]List KPI'!$A$103:$F$118,6,0),"")</f>
        <v>1.0416666666666666E-2</v>
      </c>
      <c r="RYE91" s="76">
        <v>0.86944444444444446</v>
      </c>
      <c r="RYF91" s="76">
        <v>0.86944444444444446</v>
      </c>
      <c r="RYG91" s="77" t="str">
        <f t="shared" si="391"/>
        <v>O</v>
      </c>
      <c r="RYH91" s="74" t="s">
        <v>28</v>
      </c>
      <c r="RYI91" s="75" t="s">
        <v>23</v>
      </c>
      <c r="RYJ91" s="78">
        <f>IFERROR(VLOOKUP(RYI91,'[1]List KPI'!$M$3:$N$8,2,0),"")</f>
        <v>2.0833333333333332E-2</v>
      </c>
      <c r="RYK91" s="76">
        <v>0.89444444444444449</v>
      </c>
      <c r="RYL91" s="77" t="str">
        <f t="shared" si="392"/>
        <v>O</v>
      </c>
      <c r="RYM91" s="79">
        <v>5</v>
      </c>
      <c r="RYN91" s="75">
        <v>1276006</v>
      </c>
      <c r="RYO91" s="80"/>
      <c r="RYP91" s="81">
        <v>0.86944444444444446</v>
      </c>
      <c r="RYQ91" s="74" t="s">
        <v>27</v>
      </c>
      <c r="RYR91" s="74" t="s">
        <v>24</v>
      </c>
      <c r="RYS91" s="75" t="s">
        <v>25</v>
      </c>
      <c r="RYT91" s="76">
        <f>IFERROR(VLOOKUP(RYS91,'[1]List KPI'!$A$103:$F$118,6,0),"")</f>
        <v>1.0416666666666666E-2</v>
      </c>
      <c r="RYU91" s="76">
        <v>0.86944444444444446</v>
      </c>
      <c r="RYV91" s="76">
        <v>0.86944444444444446</v>
      </c>
      <c r="RYW91" s="77" t="str">
        <f t="shared" si="391"/>
        <v>O</v>
      </c>
      <c r="RYX91" s="74" t="s">
        <v>28</v>
      </c>
      <c r="RYY91" s="75" t="s">
        <v>23</v>
      </c>
      <c r="RYZ91" s="78">
        <f>IFERROR(VLOOKUP(RYY91,'[1]List KPI'!$M$3:$N$8,2,0),"")</f>
        <v>2.0833333333333332E-2</v>
      </c>
      <c r="RZA91" s="76">
        <v>0.89444444444444449</v>
      </c>
      <c r="RZB91" s="77" t="str">
        <f t="shared" si="392"/>
        <v>O</v>
      </c>
      <c r="RZC91" s="79">
        <v>5</v>
      </c>
      <c r="RZD91" s="75">
        <v>1276006</v>
      </c>
      <c r="RZE91" s="80"/>
      <c r="RZF91" s="81">
        <v>0.86944444444444446</v>
      </c>
      <c r="RZG91" s="74" t="s">
        <v>27</v>
      </c>
      <c r="RZH91" s="74" t="s">
        <v>24</v>
      </c>
      <c r="RZI91" s="75" t="s">
        <v>25</v>
      </c>
      <c r="RZJ91" s="76">
        <f>IFERROR(VLOOKUP(RZI91,'[1]List KPI'!$A$103:$F$118,6,0),"")</f>
        <v>1.0416666666666666E-2</v>
      </c>
      <c r="RZK91" s="76">
        <v>0.86944444444444446</v>
      </c>
      <c r="RZL91" s="76">
        <v>0.86944444444444446</v>
      </c>
      <c r="RZM91" s="77" t="str">
        <f t="shared" si="391"/>
        <v>O</v>
      </c>
      <c r="RZN91" s="74" t="s">
        <v>28</v>
      </c>
      <c r="RZO91" s="75" t="s">
        <v>23</v>
      </c>
      <c r="RZP91" s="78">
        <f>IFERROR(VLOOKUP(RZO91,'[1]List KPI'!$M$3:$N$8,2,0),"")</f>
        <v>2.0833333333333332E-2</v>
      </c>
      <c r="RZQ91" s="76">
        <v>0.89444444444444449</v>
      </c>
      <c r="RZR91" s="77" t="str">
        <f t="shared" si="392"/>
        <v>O</v>
      </c>
      <c r="RZS91" s="79">
        <v>5</v>
      </c>
      <c r="RZT91" s="75">
        <v>1276006</v>
      </c>
      <c r="RZU91" s="80"/>
      <c r="RZV91" s="81">
        <v>0.86944444444444446</v>
      </c>
      <c r="RZW91" s="74" t="s">
        <v>27</v>
      </c>
      <c r="RZX91" s="74" t="s">
        <v>24</v>
      </c>
      <c r="RZY91" s="75" t="s">
        <v>25</v>
      </c>
      <c r="RZZ91" s="76">
        <f>IFERROR(VLOOKUP(RZY91,'[1]List KPI'!$A$103:$F$118,6,0),"")</f>
        <v>1.0416666666666666E-2</v>
      </c>
      <c r="SAA91" s="76">
        <v>0.86944444444444446</v>
      </c>
      <c r="SAB91" s="76">
        <v>0.86944444444444446</v>
      </c>
      <c r="SAC91" s="77" t="str">
        <f t="shared" ref="SAC91:SBY91" si="393">IF(SAB91="","",IF(SAB91&gt;SAK91,"O","P"))</f>
        <v>O</v>
      </c>
      <c r="SAD91" s="74" t="s">
        <v>28</v>
      </c>
      <c r="SAE91" s="75" t="s">
        <v>23</v>
      </c>
      <c r="SAF91" s="78">
        <f>IFERROR(VLOOKUP(SAE91,'[1]List KPI'!$M$3:$N$8,2,0),"")</f>
        <v>2.0833333333333332E-2</v>
      </c>
      <c r="SAG91" s="76">
        <v>0.89444444444444449</v>
      </c>
      <c r="SAH91" s="77" t="str">
        <f t="shared" ref="SAH91:SCD91" si="394">IF(SAG91="","",IF(SAG91&gt;SAL91,"O","P"))</f>
        <v>O</v>
      </c>
      <c r="SAI91" s="79">
        <v>5</v>
      </c>
      <c r="SAJ91" s="75">
        <v>1276006</v>
      </c>
      <c r="SAK91" s="80"/>
      <c r="SAL91" s="81">
        <v>0.86944444444444446</v>
      </c>
      <c r="SAM91" s="74" t="s">
        <v>27</v>
      </c>
      <c r="SAN91" s="74" t="s">
        <v>24</v>
      </c>
      <c r="SAO91" s="75" t="s">
        <v>25</v>
      </c>
      <c r="SAP91" s="76">
        <f>IFERROR(VLOOKUP(SAO91,'[1]List KPI'!$A$103:$F$118,6,0),"")</f>
        <v>1.0416666666666666E-2</v>
      </c>
      <c r="SAQ91" s="76">
        <v>0.86944444444444446</v>
      </c>
      <c r="SAR91" s="76">
        <v>0.86944444444444446</v>
      </c>
      <c r="SAS91" s="77" t="str">
        <f t="shared" si="393"/>
        <v>O</v>
      </c>
      <c r="SAT91" s="74" t="s">
        <v>28</v>
      </c>
      <c r="SAU91" s="75" t="s">
        <v>23</v>
      </c>
      <c r="SAV91" s="78">
        <f>IFERROR(VLOOKUP(SAU91,'[1]List KPI'!$M$3:$N$8,2,0),"")</f>
        <v>2.0833333333333332E-2</v>
      </c>
      <c r="SAW91" s="76">
        <v>0.89444444444444449</v>
      </c>
      <c r="SAX91" s="77" t="str">
        <f t="shared" si="394"/>
        <v>O</v>
      </c>
      <c r="SAY91" s="79">
        <v>5</v>
      </c>
      <c r="SAZ91" s="75">
        <v>1276006</v>
      </c>
      <c r="SBA91" s="80"/>
      <c r="SBB91" s="81">
        <v>0.86944444444444446</v>
      </c>
      <c r="SBC91" s="74" t="s">
        <v>27</v>
      </c>
      <c r="SBD91" s="74" t="s">
        <v>24</v>
      </c>
      <c r="SBE91" s="75" t="s">
        <v>25</v>
      </c>
      <c r="SBF91" s="76">
        <f>IFERROR(VLOOKUP(SBE91,'[1]List KPI'!$A$103:$F$118,6,0),"")</f>
        <v>1.0416666666666666E-2</v>
      </c>
      <c r="SBG91" s="76">
        <v>0.86944444444444446</v>
      </c>
      <c r="SBH91" s="76">
        <v>0.86944444444444446</v>
      </c>
      <c r="SBI91" s="77" t="str">
        <f t="shared" si="393"/>
        <v>O</v>
      </c>
      <c r="SBJ91" s="74" t="s">
        <v>28</v>
      </c>
      <c r="SBK91" s="75" t="s">
        <v>23</v>
      </c>
      <c r="SBL91" s="78">
        <f>IFERROR(VLOOKUP(SBK91,'[1]List KPI'!$M$3:$N$8,2,0),"")</f>
        <v>2.0833333333333332E-2</v>
      </c>
      <c r="SBM91" s="76">
        <v>0.89444444444444449</v>
      </c>
      <c r="SBN91" s="77" t="str">
        <f t="shared" si="394"/>
        <v>O</v>
      </c>
      <c r="SBO91" s="79">
        <v>5</v>
      </c>
      <c r="SBP91" s="75">
        <v>1276006</v>
      </c>
      <c r="SBQ91" s="80"/>
      <c r="SBR91" s="81">
        <v>0.86944444444444446</v>
      </c>
      <c r="SBS91" s="74" t="s">
        <v>27</v>
      </c>
      <c r="SBT91" s="74" t="s">
        <v>24</v>
      </c>
      <c r="SBU91" s="75" t="s">
        <v>25</v>
      </c>
      <c r="SBV91" s="76">
        <f>IFERROR(VLOOKUP(SBU91,'[1]List KPI'!$A$103:$F$118,6,0),"")</f>
        <v>1.0416666666666666E-2</v>
      </c>
      <c r="SBW91" s="76">
        <v>0.86944444444444446</v>
      </c>
      <c r="SBX91" s="76">
        <v>0.86944444444444446</v>
      </c>
      <c r="SBY91" s="77" t="str">
        <f t="shared" si="393"/>
        <v>O</v>
      </c>
      <c r="SBZ91" s="74" t="s">
        <v>28</v>
      </c>
      <c r="SCA91" s="75" t="s">
        <v>23</v>
      </c>
      <c r="SCB91" s="78">
        <f>IFERROR(VLOOKUP(SCA91,'[1]List KPI'!$M$3:$N$8,2,0),"")</f>
        <v>2.0833333333333332E-2</v>
      </c>
      <c r="SCC91" s="76">
        <v>0.89444444444444449</v>
      </c>
      <c r="SCD91" s="77" t="str">
        <f t="shared" si="394"/>
        <v>O</v>
      </c>
      <c r="SCE91" s="79">
        <v>5</v>
      </c>
      <c r="SCF91" s="75">
        <v>1276006</v>
      </c>
      <c r="SCG91" s="80"/>
      <c r="SCH91" s="81">
        <v>0.86944444444444446</v>
      </c>
      <c r="SCI91" s="74" t="s">
        <v>27</v>
      </c>
      <c r="SCJ91" s="74" t="s">
        <v>24</v>
      </c>
      <c r="SCK91" s="75" t="s">
        <v>25</v>
      </c>
      <c r="SCL91" s="76">
        <f>IFERROR(VLOOKUP(SCK91,'[1]List KPI'!$A$103:$F$118,6,0),"")</f>
        <v>1.0416666666666666E-2</v>
      </c>
      <c r="SCM91" s="76">
        <v>0.86944444444444446</v>
      </c>
      <c r="SCN91" s="76">
        <v>0.86944444444444446</v>
      </c>
      <c r="SCO91" s="77" t="str">
        <f t="shared" ref="SCO91:SEK91" si="395">IF(SCN91="","",IF(SCN91&gt;SCW91,"O","P"))</f>
        <v>O</v>
      </c>
      <c r="SCP91" s="74" t="s">
        <v>28</v>
      </c>
      <c r="SCQ91" s="75" t="s">
        <v>23</v>
      </c>
      <c r="SCR91" s="78">
        <f>IFERROR(VLOOKUP(SCQ91,'[1]List KPI'!$M$3:$N$8,2,0),"")</f>
        <v>2.0833333333333332E-2</v>
      </c>
      <c r="SCS91" s="76">
        <v>0.89444444444444449</v>
      </c>
      <c r="SCT91" s="77" t="str">
        <f t="shared" ref="SCT91:SEP91" si="396">IF(SCS91="","",IF(SCS91&gt;SCX91,"O","P"))</f>
        <v>O</v>
      </c>
      <c r="SCU91" s="79">
        <v>5</v>
      </c>
      <c r="SCV91" s="75">
        <v>1276006</v>
      </c>
      <c r="SCW91" s="80"/>
      <c r="SCX91" s="81">
        <v>0.86944444444444446</v>
      </c>
      <c r="SCY91" s="74" t="s">
        <v>27</v>
      </c>
      <c r="SCZ91" s="74" t="s">
        <v>24</v>
      </c>
      <c r="SDA91" s="75" t="s">
        <v>25</v>
      </c>
      <c r="SDB91" s="76">
        <f>IFERROR(VLOOKUP(SDA91,'[1]List KPI'!$A$103:$F$118,6,0),"")</f>
        <v>1.0416666666666666E-2</v>
      </c>
      <c r="SDC91" s="76">
        <v>0.86944444444444446</v>
      </c>
      <c r="SDD91" s="76">
        <v>0.86944444444444446</v>
      </c>
      <c r="SDE91" s="77" t="str">
        <f t="shared" si="395"/>
        <v>O</v>
      </c>
      <c r="SDF91" s="74" t="s">
        <v>28</v>
      </c>
      <c r="SDG91" s="75" t="s">
        <v>23</v>
      </c>
      <c r="SDH91" s="78">
        <f>IFERROR(VLOOKUP(SDG91,'[1]List KPI'!$M$3:$N$8,2,0),"")</f>
        <v>2.0833333333333332E-2</v>
      </c>
      <c r="SDI91" s="76">
        <v>0.89444444444444449</v>
      </c>
      <c r="SDJ91" s="77" t="str">
        <f t="shared" si="396"/>
        <v>O</v>
      </c>
      <c r="SDK91" s="79">
        <v>5</v>
      </c>
      <c r="SDL91" s="75">
        <v>1276006</v>
      </c>
      <c r="SDM91" s="80"/>
      <c r="SDN91" s="81">
        <v>0.86944444444444446</v>
      </c>
      <c r="SDO91" s="74" t="s">
        <v>27</v>
      </c>
      <c r="SDP91" s="74" t="s">
        <v>24</v>
      </c>
      <c r="SDQ91" s="75" t="s">
        <v>25</v>
      </c>
      <c r="SDR91" s="76">
        <f>IFERROR(VLOOKUP(SDQ91,'[1]List KPI'!$A$103:$F$118,6,0),"")</f>
        <v>1.0416666666666666E-2</v>
      </c>
      <c r="SDS91" s="76">
        <v>0.86944444444444446</v>
      </c>
      <c r="SDT91" s="76">
        <v>0.86944444444444446</v>
      </c>
      <c r="SDU91" s="77" t="str">
        <f t="shared" si="395"/>
        <v>O</v>
      </c>
      <c r="SDV91" s="74" t="s">
        <v>28</v>
      </c>
      <c r="SDW91" s="75" t="s">
        <v>23</v>
      </c>
      <c r="SDX91" s="78">
        <f>IFERROR(VLOOKUP(SDW91,'[1]List KPI'!$M$3:$N$8,2,0),"")</f>
        <v>2.0833333333333332E-2</v>
      </c>
      <c r="SDY91" s="76">
        <v>0.89444444444444449</v>
      </c>
      <c r="SDZ91" s="77" t="str">
        <f t="shared" si="396"/>
        <v>O</v>
      </c>
      <c r="SEA91" s="79">
        <v>5</v>
      </c>
      <c r="SEB91" s="75">
        <v>1276006</v>
      </c>
      <c r="SEC91" s="80"/>
      <c r="SED91" s="81">
        <v>0.86944444444444446</v>
      </c>
      <c r="SEE91" s="74" t="s">
        <v>27</v>
      </c>
      <c r="SEF91" s="74" t="s">
        <v>24</v>
      </c>
      <c r="SEG91" s="75" t="s">
        <v>25</v>
      </c>
      <c r="SEH91" s="76">
        <f>IFERROR(VLOOKUP(SEG91,'[1]List KPI'!$A$103:$F$118,6,0),"")</f>
        <v>1.0416666666666666E-2</v>
      </c>
      <c r="SEI91" s="76">
        <v>0.86944444444444446</v>
      </c>
      <c r="SEJ91" s="76">
        <v>0.86944444444444446</v>
      </c>
      <c r="SEK91" s="77" t="str">
        <f t="shared" si="395"/>
        <v>O</v>
      </c>
      <c r="SEL91" s="74" t="s">
        <v>28</v>
      </c>
      <c r="SEM91" s="75" t="s">
        <v>23</v>
      </c>
      <c r="SEN91" s="78">
        <f>IFERROR(VLOOKUP(SEM91,'[1]List KPI'!$M$3:$N$8,2,0),"")</f>
        <v>2.0833333333333332E-2</v>
      </c>
      <c r="SEO91" s="76">
        <v>0.89444444444444449</v>
      </c>
      <c r="SEP91" s="77" t="str">
        <f t="shared" si="396"/>
        <v>O</v>
      </c>
      <c r="SEQ91" s="79">
        <v>5</v>
      </c>
      <c r="SER91" s="75">
        <v>1276006</v>
      </c>
      <c r="SES91" s="80"/>
      <c r="SET91" s="81">
        <v>0.86944444444444446</v>
      </c>
      <c r="SEU91" s="74" t="s">
        <v>27</v>
      </c>
      <c r="SEV91" s="74" t="s">
        <v>24</v>
      </c>
      <c r="SEW91" s="75" t="s">
        <v>25</v>
      </c>
      <c r="SEX91" s="76">
        <f>IFERROR(VLOOKUP(SEW91,'[1]List KPI'!$A$103:$F$118,6,0),"")</f>
        <v>1.0416666666666666E-2</v>
      </c>
      <c r="SEY91" s="76">
        <v>0.86944444444444446</v>
      </c>
      <c r="SEZ91" s="76">
        <v>0.86944444444444446</v>
      </c>
      <c r="SFA91" s="77" t="str">
        <f t="shared" ref="SFA91:SGW91" si="397">IF(SEZ91="","",IF(SEZ91&gt;SFI91,"O","P"))</f>
        <v>O</v>
      </c>
      <c r="SFB91" s="74" t="s">
        <v>28</v>
      </c>
      <c r="SFC91" s="75" t="s">
        <v>23</v>
      </c>
      <c r="SFD91" s="78">
        <f>IFERROR(VLOOKUP(SFC91,'[1]List KPI'!$M$3:$N$8,2,0),"")</f>
        <v>2.0833333333333332E-2</v>
      </c>
      <c r="SFE91" s="76">
        <v>0.89444444444444449</v>
      </c>
      <c r="SFF91" s="77" t="str">
        <f t="shared" ref="SFF91:SHB91" si="398">IF(SFE91="","",IF(SFE91&gt;SFJ91,"O","P"))</f>
        <v>O</v>
      </c>
      <c r="SFG91" s="79">
        <v>5</v>
      </c>
      <c r="SFH91" s="75">
        <v>1276006</v>
      </c>
      <c r="SFI91" s="80"/>
      <c r="SFJ91" s="81">
        <v>0.86944444444444446</v>
      </c>
      <c r="SFK91" s="74" t="s">
        <v>27</v>
      </c>
      <c r="SFL91" s="74" t="s">
        <v>24</v>
      </c>
      <c r="SFM91" s="75" t="s">
        <v>25</v>
      </c>
      <c r="SFN91" s="76">
        <f>IFERROR(VLOOKUP(SFM91,'[1]List KPI'!$A$103:$F$118,6,0),"")</f>
        <v>1.0416666666666666E-2</v>
      </c>
      <c r="SFO91" s="76">
        <v>0.86944444444444446</v>
      </c>
      <c r="SFP91" s="76">
        <v>0.86944444444444446</v>
      </c>
      <c r="SFQ91" s="77" t="str">
        <f t="shared" si="397"/>
        <v>O</v>
      </c>
      <c r="SFR91" s="74" t="s">
        <v>28</v>
      </c>
      <c r="SFS91" s="75" t="s">
        <v>23</v>
      </c>
      <c r="SFT91" s="78">
        <f>IFERROR(VLOOKUP(SFS91,'[1]List KPI'!$M$3:$N$8,2,0),"")</f>
        <v>2.0833333333333332E-2</v>
      </c>
      <c r="SFU91" s="76">
        <v>0.89444444444444449</v>
      </c>
      <c r="SFV91" s="77" t="str">
        <f t="shared" si="398"/>
        <v>O</v>
      </c>
      <c r="SFW91" s="79">
        <v>5</v>
      </c>
      <c r="SFX91" s="75">
        <v>1276006</v>
      </c>
      <c r="SFY91" s="80"/>
      <c r="SFZ91" s="81">
        <v>0.86944444444444446</v>
      </c>
      <c r="SGA91" s="74" t="s">
        <v>27</v>
      </c>
      <c r="SGB91" s="74" t="s">
        <v>24</v>
      </c>
      <c r="SGC91" s="75" t="s">
        <v>25</v>
      </c>
      <c r="SGD91" s="76">
        <f>IFERROR(VLOOKUP(SGC91,'[1]List KPI'!$A$103:$F$118,6,0),"")</f>
        <v>1.0416666666666666E-2</v>
      </c>
      <c r="SGE91" s="76">
        <v>0.86944444444444446</v>
      </c>
      <c r="SGF91" s="76">
        <v>0.86944444444444446</v>
      </c>
      <c r="SGG91" s="77" t="str">
        <f t="shared" si="397"/>
        <v>O</v>
      </c>
      <c r="SGH91" s="74" t="s">
        <v>28</v>
      </c>
      <c r="SGI91" s="75" t="s">
        <v>23</v>
      </c>
      <c r="SGJ91" s="78">
        <f>IFERROR(VLOOKUP(SGI91,'[1]List KPI'!$M$3:$N$8,2,0),"")</f>
        <v>2.0833333333333332E-2</v>
      </c>
      <c r="SGK91" s="76">
        <v>0.89444444444444449</v>
      </c>
      <c r="SGL91" s="77" t="str">
        <f t="shared" si="398"/>
        <v>O</v>
      </c>
      <c r="SGM91" s="79">
        <v>5</v>
      </c>
      <c r="SGN91" s="75">
        <v>1276006</v>
      </c>
      <c r="SGO91" s="80"/>
      <c r="SGP91" s="81">
        <v>0.86944444444444446</v>
      </c>
      <c r="SGQ91" s="74" t="s">
        <v>27</v>
      </c>
      <c r="SGR91" s="74" t="s">
        <v>24</v>
      </c>
      <c r="SGS91" s="75" t="s">
        <v>25</v>
      </c>
      <c r="SGT91" s="76">
        <f>IFERROR(VLOOKUP(SGS91,'[1]List KPI'!$A$103:$F$118,6,0),"")</f>
        <v>1.0416666666666666E-2</v>
      </c>
      <c r="SGU91" s="76">
        <v>0.86944444444444446</v>
      </c>
      <c r="SGV91" s="76">
        <v>0.86944444444444446</v>
      </c>
      <c r="SGW91" s="77" t="str">
        <f t="shared" si="397"/>
        <v>O</v>
      </c>
      <c r="SGX91" s="74" t="s">
        <v>28</v>
      </c>
      <c r="SGY91" s="75" t="s">
        <v>23</v>
      </c>
      <c r="SGZ91" s="78">
        <f>IFERROR(VLOOKUP(SGY91,'[1]List KPI'!$M$3:$N$8,2,0),"")</f>
        <v>2.0833333333333332E-2</v>
      </c>
      <c r="SHA91" s="76">
        <v>0.89444444444444449</v>
      </c>
      <c r="SHB91" s="77" t="str">
        <f t="shared" si="398"/>
        <v>O</v>
      </c>
      <c r="SHC91" s="79">
        <v>5</v>
      </c>
      <c r="SHD91" s="75">
        <v>1276006</v>
      </c>
      <c r="SHE91" s="80"/>
      <c r="SHF91" s="81">
        <v>0.86944444444444446</v>
      </c>
      <c r="SHG91" s="74" t="s">
        <v>27</v>
      </c>
      <c r="SHH91" s="74" t="s">
        <v>24</v>
      </c>
      <c r="SHI91" s="75" t="s">
        <v>25</v>
      </c>
      <c r="SHJ91" s="76">
        <f>IFERROR(VLOOKUP(SHI91,'[1]List KPI'!$A$103:$F$118,6,0),"")</f>
        <v>1.0416666666666666E-2</v>
      </c>
      <c r="SHK91" s="76">
        <v>0.86944444444444446</v>
      </c>
      <c r="SHL91" s="76">
        <v>0.86944444444444446</v>
      </c>
      <c r="SHM91" s="77" t="str">
        <f t="shared" ref="SHM91:SJI91" si="399">IF(SHL91="","",IF(SHL91&gt;SHU91,"O","P"))</f>
        <v>O</v>
      </c>
      <c r="SHN91" s="74" t="s">
        <v>28</v>
      </c>
      <c r="SHO91" s="75" t="s">
        <v>23</v>
      </c>
      <c r="SHP91" s="78">
        <f>IFERROR(VLOOKUP(SHO91,'[1]List KPI'!$M$3:$N$8,2,0),"")</f>
        <v>2.0833333333333332E-2</v>
      </c>
      <c r="SHQ91" s="76">
        <v>0.89444444444444449</v>
      </c>
      <c r="SHR91" s="77" t="str">
        <f t="shared" ref="SHR91:SJN91" si="400">IF(SHQ91="","",IF(SHQ91&gt;SHV91,"O","P"))</f>
        <v>O</v>
      </c>
      <c r="SHS91" s="79">
        <v>5</v>
      </c>
      <c r="SHT91" s="75">
        <v>1276006</v>
      </c>
      <c r="SHU91" s="80"/>
      <c r="SHV91" s="81">
        <v>0.86944444444444446</v>
      </c>
      <c r="SHW91" s="74" t="s">
        <v>27</v>
      </c>
      <c r="SHX91" s="74" t="s">
        <v>24</v>
      </c>
      <c r="SHY91" s="75" t="s">
        <v>25</v>
      </c>
      <c r="SHZ91" s="76">
        <f>IFERROR(VLOOKUP(SHY91,'[1]List KPI'!$A$103:$F$118,6,0),"")</f>
        <v>1.0416666666666666E-2</v>
      </c>
      <c r="SIA91" s="76">
        <v>0.86944444444444446</v>
      </c>
      <c r="SIB91" s="76">
        <v>0.86944444444444446</v>
      </c>
      <c r="SIC91" s="77" t="str">
        <f t="shared" si="399"/>
        <v>O</v>
      </c>
      <c r="SID91" s="74" t="s">
        <v>28</v>
      </c>
      <c r="SIE91" s="75" t="s">
        <v>23</v>
      </c>
      <c r="SIF91" s="78">
        <f>IFERROR(VLOOKUP(SIE91,'[1]List KPI'!$M$3:$N$8,2,0),"")</f>
        <v>2.0833333333333332E-2</v>
      </c>
      <c r="SIG91" s="76">
        <v>0.89444444444444449</v>
      </c>
      <c r="SIH91" s="77" t="str">
        <f t="shared" si="400"/>
        <v>O</v>
      </c>
      <c r="SII91" s="79">
        <v>5</v>
      </c>
      <c r="SIJ91" s="75">
        <v>1276006</v>
      </c>
      <c r="SIK91" s="80"/>
      <c r="SIL91" s="81">
        <v>0.86944444444444446</v>
      </c>
      <c r="SIM91" s="74" t="s">
        <v>27</v>
      </c>
      <c r="SIN91" s="74" t="s">
        <v>24</v>
      </c>
      <c r="SIO91" s="75" t="s">
        <v>25</v>
      </c>
      <c r="SIP91" s="76">
        <f>IFERROR(VLOOKUP(SIO91,'[1]List KPI'!$A$103:$F$118,6,0),"")</f>
        <v>1.0416666666666666E-2</v>
      </c>
      <c r="SIQ91" s="76">
        <v>0.86944444444444446</v>
      </c>
      <c r="SIR91" s="76">
        <v>0.86944444444444446</v>
      </c>
      <c r="SIS91" s="77" t="str">
        <f t="shared" si="399"/>
        <v>O</v>
      </c>
      <c r="SIT91" s="74" t="s">
        <v>28</v>
      </c>
      <c r="SIU91" s="75" t="s">
        <v>23</v>
      </c>
      <c r="SIV91" s="78">
        <f>IFERROR(VLOOKUP(SIU91,'[1]List KPI'!$M$3:$N$8,2,0),"")</f>
        <v>2.0833333333333332E-2</v>
      </c>
      <c r="SIW91" s="76">
        <v>0.89444444444444449</v>
      </c>
      <c r="SIX91" s="77" t="str">
        <f t="shared" si="400"/>
        <v>O</v>
      </c>
      <c r="SIY91" s="79">
        <v>5</v>
      </c>
      <c r="SIZ91" s="75">
        <v>1276006</v>
      </c>
      <c r="SJA91" s="80"/>
      <c r="SJB91" s="81">
        <v>0.86944444444444446</v>
      </c>
      <c r="SJC91" s="74" t="s">
        <v>27</v>
      </c>
      <c r="SJD91" s="74" t="s">
        <v>24</v>
      </c>
      <c r="SJE91" s="75" t="s">
        <v>25</v>
      </c>
      <c r="SJF91" s="76">
        <f>IFERROR(VLOOKUP(SJE91,'[1]List KPI'!$A$103:$F$118,6,0),"")</f>
        <v>1.0416666666666666E-2</v>
      </c>
      <c r="SJG91" s="76">
        <v>0.86944444444444446</v>
      </c>
      <c r="SJH91" s="76">
        <v>0.86944444444444446</v>
      </c>
      <c r="SJI91" s="77" t="str">
        <f t="shared" si="399"/>
        <v>O</v>
      </c>
      <c r="SJJ91" s="74" t="s">
        <v>28</v>
      </c>
      <c r="SJK91" s="75" t="s">
        <v>23</v>
      </c>
      <c r="SJL91" s="78">
        <f>IFERROR(VLOOKUP(SJK91,'[1]List KPI'!$M$3:$N$8,2,0),"")</f>
        <v>2.0833333333333332E-2</v>
      </c>
      <c r="SJM91" s="76">
        <v>0.89444444444444449</v>
      </c>
      <c r="SJN91" s="77" t="str">
        <f t="shared" si="400"/>
        <v>O</v>
      </c>
      <c r="SJO91" s="79">
        <v>5</v>
      </c>
      <c r="SJP91" s="75">
        <v>1276006</v>
      </c>
      <c r="SJQ91" s="80"/>
      <c r="SJR91" s="81">
        <v>0.86944444444444446</v>
      </c>
      <c r="SJS91" s="74" t="s">
        <v>27</v>
      </c>
      <c r="SJT91" s="74" t="s">
        <v>24</v>
      </c>
      <c r="SJU91" s="75" t="s">
        <v>25</v>
      </c>
      <c r="SJV91" s="76">
        <f>IFERROR(VLOOKUP(SJU91,'[1]List KPI'!$A$103:$F$118,6,0),"")</f>
        <v>1.0416666666666666E-2</v>
      </c>
      <c r="SJW91" s="76">
        <v>0.86944444444444446</v>
      </c>
      <c r="SJX91" s="76">
        <v>0.86944444444444446</v>
      </c>
      <c r="SJY91" s="77" t="str">
        <f t="shared" ref="SJY91:SLU91" si="401">IF(SJX91="","",IF(SJX91&gt;SKG91,"O","P"))</f>
        <v>O</v>
      </c>
      <c r="SJZ91" s="74" t="s">
        <v>28</v>
      </c>
      <c r="SKA91" s="75" t="s">
        <v>23</v>
      </c>
      <c r="SKB91" s="78">
        <f>IFERROR(VLOOKUP(SKA91,'[1]List KPI'!$M$3:$N$8,2,0),"")</f>
        <v>2.0833333333333332E-2</v>
      </c>
      <c r="SKC91" s="76">
        <v>0.89444444444444449</v>
      </c>
      <c r="SKD91" s="77" t="str">
        <f t="shared" ref="SKD91:SLZ91" si="402">IF(SKC91="","",IF(SKC91&gt;SKH91,"O","P"))</f>
        <v>O</v>
      </c>
      <c r="SKE91" s="79">
        <v>5</v>
      </c>
      <c r="SKF91" s="75">
        <v>1276006</v>
      </c>
      <c r="SKG91" s="80"/>
      <c r="SKH91" s="81">
        <v>0.86944444444444446</v>
      </c>
      <c r="SKI91" s="74" t="s">
        <v>27</v>
      </c>
      <c r="SKJ91" s="74" t="s">
        <v>24</v>
      </c>
      <c r="SKK91" s="75" t="s">
        <v>25</v>
      </c>
      <c r="SKL91" s="76">
        <f>IFERROR(VLOOKUP(SKK91,'[1]List KPI'!$A$103:$F$118,6,0),"")</f>
        <v>1.0416666666666666E-2</v>
      </c>
      <c r="SKM91" s="76">
        <v>0.86944444444444446</v>
      </c>
      <c r="SKN91" s="76">
        <v>0.86944444444444446</v>
      </c>
      <c r="SKO91" s="77" t="str">
        <f t="shared" si="401"/>
        <v>O</v>
      </c>
      <c r="SKP91" s="74" t="s">
        <v>28</v>
      </c>
      <c r="SKQ91" s="75" t="s">
        <v>23</v>
      </c>
      <c r="SKR91" s="78">
        <f>IFERROR(VLOOKUP(SKQ91,'[1]List KPI'!$M$3:$N$8,2,0),"")</f>
        <v>2.0833333333333332E-2</v>
      </c>
      <c r="SKS91" s="76">
        <v>0.89444444444444449</v>
      </c>
      <c r="SKT91" s="77" t="str">
        <f t="shared" si="402"/>
        <v>O</v>
      </c>
      <c r="SKU91" s="79">
        <v>5</v>
      </c>
      <c r="SKV91" s="75">
        <v>1276006</v>
      </c>
      <c r="SKW91" s="80"/>
      <c r="SKX91" s="81">
        <v>0.86944444444444446</v>
      </c>
      <c r="SKY91" s="74" t="s">
        <v>27</v>
      </c>
      <c r="SKZ91" s="74" t="s">
        <v>24</v>
      </c>
      <c r="SLA91" s="75" t="s">
        <v>25</v>
      </c>
      <c r="SLB91" s="76">
        <f>IFERROR(VLOOKUP(SLA91,'[1]List KPI'!$A$103:$F$118,6,0),"")</f>
        <v>1.0416666666666666E-2</v>
      </c>
      <c r="SLC91" s="76">
        <v>0.86944444444444446</v>
      </c>
      <c r="SLD91" s="76">
        <v>0.86944444444444446</v>
      </c>
      <c r="SLE91" s="77" t="str">
        <f t="shared" si="401"/>
        <v>O</v>
      </c>
      <c r="SLF91" s="74" t="s">
        <v>28</v>
      </c>
      <c r="SLG91" s="75" t="s">
        <v>23</v>
      </c>
      <c r="SLH91" s="78">
        <f>IFERROR(VLOOKUP(SLG91,'[1]List KPI'!$M$3:$N$8,2,0),"")</f>
        <v>2.0833333333333332E-2</v>
      </c>
      <c r="SLI91" s="76">
        <v>0.89444444444444449</v>
      </c>
      <c r="SLJ91" s="77" t="str">
        <f t="shared" si="402"/>
        <v>O</v>
      </c>
      <c r="SLK91" s="79">
        <v>5</v>
      </c>
      <c r="SLL91" s="75">
        <v>1276006</v>
      </c>
      <c r="SLM91" s="80"/>
      <c r="SLN91" s="81">
        <v>0.86944444444444446</v>
      </c>
      <c r="SLO91" s="74" t="s">
        <v>27</v>
      </c>
      <c r="SLP91" s="74" t="s">
        <v>24</v>
      </c>
      <c r="SLQ91" s="75" t="s">
        <v>25</v>
      </c>
      <c r="SLR91" s="76">
        <f>IFERROR(VLOOKUP(SLQ91,'[1]List KPI'!$A$103:$F$118,6,0),"")</f>
        <v>1.0416666666666666E-2</v>
      </c>
      <c r="SLS91" s="76">
        <v>0.86944444444444446</v>
      </c>
      <c r="SLT91" s="76">
        <v>0.86944444444444446</v>
      </c>
      <c r="SLU91" s="77" t="str">
        <f t="shared" si="401"/>
        <v>O</v>
      </c>
      <c r="SLV91" s="74" t="s">
        <v>28</v>
      </c>
      <c r="SLW91" s="75" t="s">
        <v>23</v>
      </c>
      <c r="SLX91" s="78">
        <f>IFERROR(VLOOKUP(SLW91,'[1]List KPI'!$M$3:$N$8,2,0),"")</f>
        <v>2.0833333333333332E-2</v>
      </c>
      <c r="SLY91" s="76">
        <v>0.89444444444444449</v>
      </c>
      <c r="SLZ91" s="77" t="str">
        <f t="shared" si="402"/>
        <v>O</v>
      </c>
      <c r="SMA91" s="79">
        <v>5</v>
      </c>
      <c r="SMB91" s="75">
        <v>1276006</v>
      </c>
      <c r="SMC91" s="80"/>
      <c r="SMD91" s="81">
        <v>0.86944444444444446</v>
      </c>
      <c r="SME91" s="74" t="s">
        <v>27</v>
      </c>
      <c r="SMF91" s="74" t="s">
        <v>24</v>
      </c>
      <c r="SMG91" s="75" t="s">
        <v>25</v>
      </c>
      <c r="SMH91" s="76">
        <f>IFERROR(VLOOKUP(SMG91,'[1]List KPI'!$A$103:$F$118,6,0),"")</f>
        <v>1.0416666666666666E-2</v>
      </c>
      <c r="SMI91" s="76">
        <v>0.86944444444444446</v>
      </c>
      <c r="SMJ91" s="76">
        <v>0.86944444444444446</v>
      </c>
      <c r="SMK91" s="77" t="str">
        <f t="shared" ref="SMK91:SOG91" si="403">IF(SMJ91="","",IF(SMJ91&gt;SMS91,"O","P"))</f>
        <v>O</v>
      </c>
      <c r="SML91" s="74" t="s">
        <v>28</v>
      </c>
      <c r="SMM91" s="75" t="s">
        <v>23</v>
      </c>
      <c r="SMN91" s="78">
        <f>IFERROR(VLOOKUP(SMM91,'[1]List KPI'!$M$3:$N$8,2,0),"")</f>
        <v>2.0833333333333332E-2</v>
      </c>
      <c r="SMO91" s="76">
        <v>0.89444444444444449</v>
      </c>
      <c r="SMP91" s="77" t="str">
        <f t="shared" ref="SMP91:SOL91" si="404">IF(SMO91="","",IF(SMO91&gt;SMT91,"O","P"))</f>
        <v>O</v>
      </c>
      <c r="SMQ91" s="79">
        <v>5</v>
      </c>
      <c r="SMR91" s="75">
        <v>1276006</v>
      </c>
      <c r="SMS91" s="80"/>
      <c r="SMT91" s="81">
        <v>0.86944444444444446</v>
      </c>
      <c r="SMU91" s="74" t="s">
        <v>27</v>
      </c>
      <c r="SMV91" s="74" t="s">
        <v>24</v>
      </c>
      <c r="SMW91" s="75" t="s">
        <v>25</v>
      </c>
      <c r="SMX91" s="76">
        <f>IFERROR(VLOOKUP(SMW91,'[1]List KPI'!$A$103:$F$118,6,0),"")</f>
        <v>1.0416666666666666E-2</v>
      </c>
      <c r="SMY91" s="76">
        <v>0.86944444444444446</v>
      </c>
      <c r="SMZ91" s="76">
        <v>0.86944444444444446</v>
      </c>
      <c r="SNA91" s="77" t="str">
        <f t="shared" si="403"/>
        <v>O</v>
      </c>
      <c r="SNB91" s="74" t="s">
        <v>28</v>
      </c>
      <c r="SNC91" s="75" t="s">
        <v>23</v>
      </c>
      <c r="SND91" s="78">
        <f>IFERROR(VLOOKUP(SNC91,'[1]List KPI'!$M$3:$N$8,2,0),"")</f>
        <v>2.0833333333333332E-2</v>
      </c>
      <c r="SNE91" s="76">
        <v>0.89444444444444449</v>
      </c>
      <c r="SNF91" s="77" t="str">
        <f t="shared" si="404"/>
        <v>O</v>
      </c>
      <c r="SNG91" s="79">
        <v>5</v>
      </c>
      <c r="SNH91" s="75">
        <v>1276006</v>
      </c>
      <c r="SNI91" s="80"/>
      <c r="SNJ91" s="81">
        <v>0.86944444444444446</v>
      </c>
      <c r="SNK91" s="74" t="s">
        <v>27</v>
      </c>
      <c r="SNL91" s="74" t="s">
        <v>24</v>
      </c>
      <c r="SNM91" s="75" t="s">
        <v>25</v>
      </c>
      <c r="SNN91" s="76">
        <f>IFERROR(VLOOKUP(SNM91,'[1]List KPI'!$A$103:$F$118,6,0),"")</f>
        <v>1.0416666666666666E-2</v>
      </c>
      <c r="SNO91" s="76">
        <v>0.86944444444444446</v>
      </c>
      <c r="SNP91" s="76">
        <v>0.86944444444444446</v>
      </c>
      <c r="SNQ91" s="77" t="str">
        <f t="shared" si="403"/>
        <v>O</v>
      </c>
      <c r="SNR91" s="74" t="s">
        <v>28</v>
      </c>
      <c r="SNS91" s="75" t="s">
        <v>23</v>
      </c>
      <c r="SNT91" s="78">
        <f>IFERROR(VLOOKUP(SNS91,'[1]List KPI'!$M$3:$N$8,2,0),"")</f>
        <v>2.0833333333333332E-2</v>
      </c>
      <c r="SNU91" s="76">
        <v>0.89444444444444449</v>
      </c>
      <c r="SNV91" s="77" t="str">
        <f t="shared" si="404"/>
        <v>O</v>
      </c>
      <c r="SNW91" s="79">
        <v>5</v>
      </c>
      <c r="SNX91" s="75">
        <v>1276006</v>
      </c>
      <c r="SNY91" s="80"/>
      <c r="SNZ91" s="81">
        <v>0.86944444444444446</v>
      </c>
      <c r="SOA91" s="74" t="s">
        <v>27</v>
      </c>
      <c r="SOB91" s="74" t="s">
        <v>24</v>
      </c>
      <c r="SOC91" s="75" t="s">
        <v>25</v>
      </c>
      <c r="SOD91" s="76">
        <f>IFERROR(VLOOKUP(SOC91,'[1]List KPI'!$A$103:$F$118,6,0),"")</f>
        <v>1.0416666666666666E-2</v>
      </c>
      <c r="SOE91" s="76">
        <v>0.86944444444444446</v>
      </c>
      <c r="SOF91" s="76">
        <v>0.86944444444444446</v>
      </c>
      <c r="SOG91" s="77" t="str">
        <f t="shared" si="403"/>
        <v>O</v>
      </c>
      <c r="SOH91" s="74" t="s">
        <v>28</v>
      </c>
      <c r="SOI91" s="75" t="s">
        <v>23</v>
      </c>
      <c r="SOJ91" s="78">
        <f>IFERROR(VLOOKUP(SOI91,'[1]List KPI'!$M$3:$N$8,2,0),"")</f>
        <v>2.0833333333333332E-2</v>
      </c>
      <c r="SOK91" s="76">
        <v>0.89444444444444449</v>
      </c>
      <c r="SOL91" s="77" t="str">
        <f t="shared" si="404"/>
        <v>O</v>
      </c>
      <c r="SOM91" s="79">
        <v>5</v>
      </c>
      <c r="SON91" s="75">
        <v>1276006</v>
      </c>
      <c r="SOO91" s="80"/>
      <c r="SOP91" s="81">
        <v>0.86944444444444446</v>
      </c>
      <c r="SOQ91" s="74" t="s">
        <v>27</v>
      </c>
      <c r="SOR91" s="74" t="s">
        <v>24</v>
      </c>
      <c r="SOS91" s="75" t="s">
        <v>25</v>
      </c>
      <c r="SOT91" s="76">
        <f>IFERROR(VLOOKUP(SOS91,'[1]List KPI'!$A$103:$F$118,6,0),"")</f>
        <v>1.0416666666666666E-2</v>
      </c>
      <c r="SOU91" s="76">
        <v>0.86944444444444446</v>
      </c>
      <c r="SOV91" s="76">
        <v>0.86944444444444446</v>
      </c>
      <c r="SOW91" s="77" t="str">
        <f t="shared" ref="SOW91:SQS91" si="405">IF(SOV91="","",IF(SOV91&gt;SPE91,"O","P"))</f>
        <v>O</v>
      </c>
      <c r="SOX91" s="74" t="s">
        <v>28</v>
      </c>
      <c r="SOY91" s="75" t="s">
        <v>23</v>
      </c>
      <c r="SOZ91" s="78">
        <f>IFERROR(VLOOKUP(SOY91,'[1]List KPI'!$M$3:$N$8,2,0),"")</f>
        <v>2.0833333333333332E-2</v>
      </c>
      <c r="SPA91" s="76">
        <v>0.89444444444444449</v>
      </c>
      <c r="SPB91" s="77" t="str">
        <f t="shared" ref="SPB91:SQX91" si="406">IF(SPA91="","",IF(SPA91&gt;SPF91,"O","P"))</f>
        <v>O</v>
      </c>
      <c r="SPC91" s="79">
        <v>5</v>
      </c>
      <c r="SPD91" s="75">
        <v>1276006</v>
      </c>
      <c r="SPE91" s="80"/>
      <c r="SPF91" s="81">
        <v>0.86944444444444446</v>
      </c>
      <c r="SPG91" s="74" t="s">
        <v>27</v>
      </c>
      <c r="SPH91" s="74" t="s">
        <v>24</v>
      </c>
      <c r="SPI91" s="75" t="s">
        <v>25</v>
      </c>
      <c r="SPJ91" s="76">
        <f>IFERROR(VLOOKUP(SPI91,'[1]List KPI'!$A$103:$F$118,6,0),"")</f>
        <v>1.0416666666666666E-2</v>
      </c>
      <c r="SPK91" s="76">
        <v>0.86944444444444446</v>
      </c>
      <c r="SPL91" s="76">
        <v>0.86944444444444446</v>
      </c>
      <c r="SPM91" s="77" t="str">
        <f t="shared" si="405"/>
        <v>O</v>
      </c>
      <c r="SPN91" s="74" t="s">
        <v>28</v>
      </c>
      <c r="SPO91" s="75" t="s">
        <v>23</v>
      </c>
      <c r="SPP91" s="78">
        <f>IFERROR(VLOOKUP(SPO91,'[1]List KPI'!$M$3:$N$8,2,0),"")</f>
        <v>2.0833333333333332E-2</v>
      </c>
      <c r="SPQ91" s="76">
        <v>0.89444444444444449</v>
      </c>
      <c r="SPR91" s="77" t="str">
        <f t="shared" si="406"/>
        <v>O</v>
      </c>
      <c r="SPS91" s="79">
        <v>5</v>
      </c>
      <c r="SPT91" s="75">
        <v>1276006</v>
      </c>
      <c r="SPU91" s="80"/>
      <c r="SPV91" s="81">
        <v>0.86944444444444446</v>
      </c>
      <c r="SPW91" s="74" t="s">
        <v>27</v>
      </c>
      <c r="SPX91" s="74" t="s">
        <v>24</v>
      </c>
      <c r="SPY91" s="75" t="s">
        <v>25</v>
      </c>
      <c r="SPZ91" s="76">
        <f>IFERROR(VLOOKUP(SPY91,'[1]List KPI'!$A$103:$F$118,6,0),"")</f>
        <v>1.0416666666666666E-2</v>
      </c>
      <c r="SQA91" s="76">
        <v>0.86944444444444446</v>
      </c>
      <c r="SQB91" s="76">
        <v>0.86944444444444446</v>
      </c>
      <c r="SQC91" s="77" t="str">
        <f t="shared" si="405"/>
        <v>O</v>
      </c>
      <c r="SQD91" s="74" t="s">
        <v>28</v>
      </c>
      <c r="SQE91" s="75" t="s">
        <v>23</v>
      </c>
      <c r="SQF91" s="78">
        <f>IFERROR(VLOOKUP(SQE91,'[1]List KPI'!$M$3:$N$8,2,0),"")</f>
        <v>2.0833333333333332E-2</v>
      </c>
      <c r="SQG91" s="76">
        <v>0.89444444444444449</v>
      </c>
      <c r="SQH91" s="77" t="str">
        <f t="shared" si="406"/>
        <v>O</v>
      </c>
      <c r="SQI91" s="79">
        <v>5</v>
      </c>
      <c r="SQJ91" s="75">
        <v>1276006</v>
      </c>
      <c r="SQK91" s="80"/>
      <c r="SQL91" s="81">
        <v>0.86944444444444446</v>
      </c>
      <c r="SQM91" s="74" t="s">
        <v>27</v>
      </c>
      <c r="SQN91" s="74" t="s">
        <v>24</v>
      </c>
      <c r="SQO91" s="75" t="s">
        <v>25</v>
      </c>
      <c r="SQP91" s="76">
        <f>IFERROR(VLOOKUP(SQO91,'[1]List KPI'!$A$103:$F$118,6,0),"")</f>
        <v>1.0416666666666666E-2</v>
      </c>
      <c r="SQQ91" s="76">
        <v>0.86944444444444446</v>
      </c>
      <c r="SQR91" s="76">
        <v>0.86944444444444446</v>
      </c>
      <c r="SQS91" s="77" t="str">
        <f t="shared" si="405"/>
        <v>O</v>
      </c>
      <c r="SQT91" s="74" t="s">
        <v>28</v>
      </c>
      <c r="SQU91" s="75" t="s">
        <v>23</v>
      </c>
      <c r="SQV91" s="78">
        <f>IFERROR(VLOOKUP(SQU91,'[1]List KPI'!$M$3:$N$8,2,0),"")</f>
        <v>2.0833333333333332E-2</v>
      </c>
      <c r="SQW91" s="76">
        <v>0.89444444444444449</v>
      </c>
      <c r="SQX91" s="77" t="str">
        <f t="shared" si="406"/>
        <v>O</v>
      </c>
      <c r="SQY91" s="79">
        <v>5</v>
      </c>
      <c r="SQZ91" s="75">
        <v>1276006</v>
      </c>
      <c r="SRA91" s="80"/>
      <c r="SRB91" s="81">
        <v>0.86944444444444446</v>
      </c>
      <c r="SRC91" s="74" t="s">
        <v>27</v>
      </c>
      <c r="SRD91" s="74" t="s">
        <v>24</v>
      </c>
      <c r="SRE91" s="75" t="s">
        <v>25</v>
      </c>
      <c r="SRF91" s="76">
        <f>IFERROR(VLOOKUP(SRE91,'[1]List KPI'!$A$103:$F$118,6,0),"")</f>
        <v>1.0416666666666666E-2</v>
      </c>
      <c r="SRG91" s="76">
        <v>0.86944444444444446</v>
      </c>
      <c r="SRH91" s="76">
        <v>0.86944444444444446</v>
      </c>
      <c r="SRI91" s="77" t="str">
        <f t="shared" ref="SRI91:STE91" si="407">IF(SRH91="","",IF(SRH91&gt;SRQ91,"O","P"))</f>
        <v>O</v>
      </c>
      <c r="SRJ91" s="74" t="s">
        <v>28</v>
      </c>
      <c r="SRK91" s="75" t="s">
        <v>23</v>
      </c>
      <c r="SRL91" s="78">
        <f>IFERROR(VLOOKUP(SRK91,'[1]List KPI'!$M$3:$N$8,2,0),"")</f>
        <v>2.0833333333333332E-2</v>
      </c>
      <c r="SRM91" s="76">
        <v>0.89444444444444449</v>
      </c>
      <c r="SRN91" s="77" t="str">
        <f t="shared" ref="SRN91:STJ91" si="408">IF(SRM91="","",IF(SRM91&gt;SRR91,"O","P"))</f>
        <v>O</v>
      </c>
      <c r="SRO91" s="79">
        <v>5</v>
      </c>
      <c r="SRP91" s="75">
        <v>1276006</v>
      </c>
      <c r="SRQ91" s="80"/>
      <c r="SRR91" s="81">
        <v>0.86944444444444446</v>
      </c>
      <c r="SRS91" s="74" t="s">
        <v>27</v>
      </c>
      <c r="SRT91" s="74" t="s">
        <v>24</v>
      </c>
      <c r="SRU91" s="75" t="s">
        <v>25</v>
      </c>
      <c r="SRV91" s="76">
        <f>IFERROR(VLOOKUP(SRU91,'[1]List KPI'!$A$103:$F$118,6,0),"")</f>
        <v>1.0416666666666666E-2</v>
      </c>
      <c r="SRW91" s="76">
        <v>0.86944444444444446</v>
      </c>
      <c r="SRX91" s="76">
        <v>0.86944444444444446</v>
      </c>
      <c r="SRY91" s="77" t="str">
        <f t="shared" si="407"/>
        <v>O</v>
      </c>
      <c r="SRZ91" s="74" t="s">
        <v>28</v>
      </c>
      <c r="SSA91" s="75" t="s">
        <v>23</v>
      </c>
      <c r="SSB91" s="78">
        <f>IFERROR(VLOOKUP(SSA91,'[1]List KPI'!$M$3:$N$8,2,0),"")</f>
        <v>2.0833333333333332E-2</v>
      </c>
      <c r="SSC91" s="76">
        <v>0.89444444444444449</v>
      </c>
      <c r="SSD91" s="77" t="str">
        <f t="shared" si="408"/>
        <v>O</v>
      </c>
      <c r="SSE91" s="79">
        <v>5</v>
      </c>
      <c r="SSF91" s="75">
        <v>1276006</v>
      </c>
      <c r="SSG91" s="80"/>
      <c r="SSH91" s="81">
        <v>0.86944444444444446</v>
      </c>
      <c r="SSI91" s="74" t="s">
        <v>27</v>
      </c>
      <c r="SSJ91" s="74" t="s">
        <v>24</v>
      </c>
      <c r="SSK91" s="75" t="s">
        <v>25</v>
      </c>
      <c r="SSL91" s="76">
        <f>IFERROR(VLOOKUP(SSK91,'[1]List KPI'!$A$103:$F$118,6,0),"")</f>
        <v>1.0416666666666666E-2</v>
      </c>
      <c r="SSM91" s="76">
        <v>0.86944444444444446</v>
      </c>
      <c r="SSN91" s="76">
        <v>0.86944444444444446</v>
      </c>
      <c r="SSO91" s="77" t="str">
        <f t="shared" si="407"/>
        <v>O</v>
      </c>
      <c r="SSP91" s="74" t="s">
        <v>28</v>
      </c>
      <c r="SSQ91" s="75" t="s">
        <v>23</v>
      </c>
      <c r="SSR91" s="78">
        <f>IFERROR(VLOOKUP(SSQ91,'[1]List KPI'!$M$3:$N$8,2,0),"")</f>
        <v>2.0833333333333332E-2</v>
      </c>
      <c r="SSS91" s="76">
        <v>0.89444444444444449</v>
      </c>
      <c r="SST91" s="77" t="str">
        <f t="shared" si="408"/>
        <v>O</v>
      </c>
      <c r="SSU91" s="79">
        <v>5</v>
      </c>
      <c r="SSV91" s="75">
        <v>1276006</v>
      </c>
      <c r="SSW91" s="80"/>
      <c r="SSX91" s="81">
        <v>0.86944444444444446</v>
      </c>
      <c r="SSY91" s="74" t="s">
        <v>27</v>
      </c>
      <c r="SSZ91" s="74" t="s">
        <v>24</v>
      </c>
      <c r="STA91" s="75" t="s">
        <v>25</v>
      </c>
      <c r="STB91" s="76">
        <f>IFERROR(VLOOKUP(STA91,'[1]List KPI'!$A$103:$F$118,6,0),"")</f>
        <v>1.0416666666666666E-2</v>
      </c>
      <c r="STC91" s="76">
        <v>0.86944444444444446</v>
      </c>
      <c r="STD91" s="76">
        <v>0.86944444444444446</v>
      </c>
      <c r="STE91" s="77" t="str">
        <f t="shared" si="407"/>
        <v>O</v>
      </c>
      <c r="STF91" s="74" t="s">
        <v>28</v>
      </c>
      <c r="STG91" s="75" t="s">
        <v>23</v>
      </c>
      <c r="STH91" s="78">
        <f>IFERROR(VLOOKUP(STG91,'[1]List KPI'!$M$3:$N$8,2,0),"")</f>
        <v>2.0833333333333332E-2</v>
      </c>
      <c r="STI91" s="76">
        <v>0.89444444444444449</v>
      </c>
      <c r="STJ91" s="77" t="str">
        <f t="shared" si="408"/>
        <v>O</v>
      </c>
      <c r="STK91" s="79">
        <v>5</v>
      </c>
      <c r="STL91" s="75">
        <v>1276006</v>
      </c>
      <c r="STM91" s="80"/>
      <c r="STN91" s="81">
        <v>0.86944444444444446</v>
      </c>
      <c r="STO91" s="74" t="s">
        <v>27</v>
      </c>
      <c r="STP91" s="74" t="s">
        <v>24</v>
      </c>
      <c r="STQ91" s="75" t="s">
        <v>25</v>
      </c>
      <c r="STR91" s="76">
        <f>IFERROR(VLOOKUP(STQ91,'[1]List KPI'!$A$103:$F$118,6,0),"")</f>
        <v>1.0416666666666666E-2</v>
      </c>
      <c r="STS91" s="76">
        <v>0.86944444444444446</v>
      </c>
      <c r="STT91" s="76">
        <v>0.86944444444444446</v>
      </c>
      <c r="STU91" s="77" t="str">
        <f t="shared" ref="STU91:SVQ91" si="409">IF(STT91="","",IF(STT91&gt;SUC91,"O","P"))</f>
        <v>O</v>
      </c>
      <c r="STV91" s="74" t="s">
        <v>28</v>
      </c>
      <c r="STW91" s="75" t="s">
        <v>23</v>
      </c>
      <c r="STX91" s="78">
        <f>IFERROR(VLOOKUP(STW91,'[1]List KPI'!$M$3:$N$8,2,0),"")</f>
        <v>2.0833333333333332E-2</v>
      </c>
      <c r="STY91" s="76">
        <v>0.89444444444444449</v>
      </c>
      <c r="STZ91" s="77" t="str">
        <f t="shared" ref="STZ91:SVV91" si="410">IF(STY91="","",IF(STY91&gt;SUD91,"O","P"))</f>
        <v>O</v>
      </c>
      <c r="SUA91" s="79">
        <v>5</v>
      </c>
      <c r="SUB91" s="75">
        <v>1276006</v>
      </c>
      <c r="SUC91" s="80"/>
      <c r="SUD91" s="81">
        <v>0.86944444444444446</v>
      </c>
      <c r="SUE91" s="74" t="s">
        <v>27</v>
      </c>
      <c r="SUF91" s="74" t="s">
        <v>24</v>
      </c>
      <c r="SUG91" s="75" t="s">
        <v>25</v>
      </c>
      <c r="SUH91" s="76">
        <f>IFERROR(VLOOKUP(SUG91,'[1]List KPI'!$A$103:$F$118,6,0),"")</f>
        <v>1.0416666666666666E-2</v>
      </c>
      <c r="SUI91" s="76">
        <v>0.86944444444444446</v>
      </c>
      <c r="SUJ91" s="76">
        <v>0.86944444444444446</v>
      </c>
      <c r="SUK91" s="77" t="str">
        <f t="shared" si="409"/>
        <v>O</v>
      </c>
      <c r="SUL91" s="74" t="s">
        <v>28</v>
      </c>
      <c r="SUM91" s="75" t="s">
        <v>23</v>
      </c>
      <c r="SUN91" s="78">
        <f>IFERROR(VLOOKUP(SUM91,'[1]List KPI'!$M$3:$N$8,2,0),"")</f>
        <v>2.0833333333333332E-2</v>
      </c>
      <c r="SUO91" s="76">
        <v>0.89444444444444449</v>
      </c>
      <c r="SUP91" s="77" t="str">
        <f t="shared" si="410"/>
        <v>O</v>
      </c>
      <c r="SUQ91" s="79">
        <v>5</v>
      </c>
      <c r="SUR91" s="75">
        <v>1276006</v>
      </c>
      <c r="SUS91" s="80"/>
      <c r="SUT91" s="81">
        <v>0.86944444444444446</v>
      </c>
      <c r="SUU91" s="74" t="s">
        <v>27</v>
      </c>
      <c r="SUV91" s="74" t="s">
        <v>24</v>
      </c>
      <c r="SUW91" s="75" t="s">
        <v>25</v>
      </c>
      <c r="SUX91" s="76">
        <f>IFERROR(VLOOKUP(SUW91,'[1]List KPI'!$A$103:$F$118,6,0),"")</f>
        <v>1.0416666666666666E-2</v>
      </c>
      <c r="SUY91" s="76">
        <v>0.86944444444444446</v>
      </c>
      <c r="SUZ91" s="76">
        <v>0.86944444444444446</v>
      </c>
      <c r="SVA91" s="77" t="str">
        <f t="shared" si="409"/>
        <v>O</v>
      </c>
      <c r="SVB91" s="74" t="s">
        <v>28</v>
      </c>
      <c r="SVC91" s="75" t="s">
        <v>23</v>
      </c>
      <c r="SVD91" s="78">
        <f>IFERROR(VLOOKUP(SVC91,'[1]List KPI'!$M$3:$N$8,2,0),"")</f>
        <v>2.0833333333333332E-2</v>
      </c>
      <c r="SVE91" s="76">
        <v>0.89444444444444449</v>
      </c>
      <c r="SVF91" s="77" t="str">
        <f t="shared" si="410"/>
        <v>O</v>
      </c>
      <c r="SVG91" s="79">
        <v>5</v>
      </c>
      <c r="SVH91" s="75">
        <v>1276006</v>
      </c>
      <c r="SVI91" s="80"/>
      <c r="SVJ91" s="81">
        <v>0.86944444444444446</v>
      </c>
      <c r="SVK91" s="74" t="s">
        <v>27</v>
      </c>
      <c r="SVL91" s="74" t="s">
        <v>24</v>
      </c>
      <c r="SVM91" s="75" t="s">
        <v>25</v>
      </c>
      <c r="SVN91" s="76">
        <f>IFERROR(VLOOKUP(SVM91,'[1]List KPI'!$A$103:$F$118,6,0),"")</f>
        <v>1.0416666666666666E-2</v>
      </c>
      <c r="SVO91" s="76">
        <v>0.86944444444444446</v>
      </c>
      <c r="SVP91" s="76">
        <v>0.86944444444444446</v>
      </c>
      <c r="SVQ91" s="77" t="str">
        <f t="shared" si="409"/>
        <v>O</v>
      </c>
      <c r="SVR91" s="74" t="s">
        <v>28</v>
      </c>
      <c r="SVS91" s="75" t="s">
        <v>23</v>
      </c>
      <c r="SVT91" s="78">
        <f>IFERROR(VLOOKUP(SVS91,'[1]List KPI'!$M$3:$N$8,2,0),"")</f>
        <v>2.0833333333333332E-2</v>
      </c>
      <c r="SVU91" s="76">
        <v>0.89444444444444449</v>
      </c>
      <c r="SVV91" s="77" t="str">
        <f t="shared" si="410"/>
        <v>O</v>
      </c>
      <c r="SVW91" s="79">
        <v>5</v>
      </c>
      <c r="SVX91" s="75">
        <v>1276006</v>
      </c>
      <c r="SVY91" s="80"/>
      <c r="SVZ91" s="81">
        <v>0.86944444444444446</v>
      </c>
      <c r="SWA91" s="74" t="s">
        <v>27</v>
      </c>
      <c r="SWB91" s="74" t="s">
        <v>24</v>
      </c>
      <c r="SWC91" s="75" t="s">
        <v>25</v>
      </c>
      <c r="SWD91" s="76">
        <f>IFERROR(VLOOKUP(SWC91,'[1]List KPI'!$A$103:$F$118,6,0),"")</f>
        <v>1.0416666666666666E-2</v>
      </c>
      <c r="SWE91" s="76">
        <v>0.86944444444444446</v>
      </c>
      <c r="SWF91" s="76">
        <v>0.86944444444444446</v>
      </c>
      <c r="SWG91" s="77" t="str">
        <f t="shared" ref="SWG91:SYC91" si="411">IF(SWF91="","",IF(SWF91&gt;SWO91,"O","P"))</f>
        <v>O</v>
      </c>
      <c r="SWH91" s="74" t="s">
        <v>28</v>
      </c>
      <c r="SWI91" s="75" t="s">
        <v>23</v>
      </c>
      <c r="SWJ91" s="78">
        <f>IFERROR(VLOOKUP(SWI91,'[1]List KPI'!$M$3:$N$8,2,0),"")</f>
        <v>2.0833333333333332E-2</v>
      </c>
      <c r="SWK91" s="76">
        <v>0.89444444444444449</v>
      </c>
      <c r="SWL91" s="77" t="str">
        <f t="shared" ref="SWL91:SYH91" si="412">IF(SWK91="","",IF(SWK91&gt;SWP91,"O","P"))</f>
        <v>O</v>
      </c>
      <c r="SWM91" s="79">
        <v>5</v>
      </c>
      <c r="SWN91" s="75">
        <v>1276006</v>
      </c>
      <c r="SWO91" s="80"/>
      <c r="SWP91" s="81">
        <v>0.86944444444444446</v>
      </c>
      <c r="SWQ91" s="74" t="s">
        <v>27</v>
      </c>
      <c r="SWR91" s="74" t="s">
        <v>24</v>
      </c>
      <c r="SWS91" s="75" t="s">
        <v>25</v>
      </c>
      <c r="SWT91" s="76">
        <f>IFERROR(VLOOKUP(SWS91,'[1]List KPI'!$A$103:$F$118,6,0),"")</f>
        <v>1.0416666666666666E-2</v>
      </c>
      <c r="SWU91" s="76">
        <v>0.86944444444444446</v>
      </c>
      <c r="SWV91" s="76">
        <v>0.86944444444444446</v>
      </c>
      <c r="SWW91" s="77" t="str">
        <f t="shared" si="411"/>
        <v>O</v>
      </c>
      <c r="SWX91" s="74" t="s">
        <v>28</v>
      </c>
      <c r="SWY91" s="75" t="s">
        <v>23</v>
      </c>
      <c r="SWZ91" s="78">
        <f>IFERROR(VLOOKUP(SWY91,'[1]List KPI'!$M$3:$N$8,2,0),"")</f>
        <v>2.0833333333333332E-2</v>
      </c>
      <c r="SXA91" s="76">
        <v>0.89444444444444449</v>
      </c>
      <c r="SXB91" s="77" t="str">
        <f t="shared" si="412"/>
        <v>O</v>
      </c>
      <c r="SXC91" s="79">
        <v>5</v>
      </c>
      <c r="SXD91" s="75">
        <v>1276006</v>
      </c>
      <c r="SXE91" s="80"/>
      <c r="SXF91" s="81">
        <v>0.86944444444444446</v>
      </c>
      <c r="SXG91" s="74" t="s">
        <v>27</v>
      </c>
      <c r="SXH91" s="74" t="s">
        <v>24</v>
      </c>
      <c r="SXI91" s="75" t="s">
        <v>25</v>
      </c>
      <c r="SXJ91" s="76">
        <f>IFERROR(VLOOKUP(SXI91,'[1]List KPI'!$A$103:$F$118,6,0),"")</f>
        <v>1.0416666666666666E-2</v>
      </c>
      <c r="SXK91" s="76">
        <v>0.86944444444444446</v>
      </c>
      <c r="SXL91" s="76">
        <v>0.86944444444444446</v>
      </c>
      <c r="SXM91" s="77" t="str">
        <f t="shared" si="411"/>
        <v>O</v>
      </c>
      <c r="SXN91" s="74" t="s">
        <v>28</v>
      </c>
      <c r="SXO91" s="75" t="s">
        <v>23</v>
      </c>
      <c r="SXP91" s="78">
        <f>IFERROR(VLOOKUP(SXO91,'[1]List KPI'!$M$3:$N$8,2,0),"")</f>
        <v>2.0833333333333332E-2</v>
      </c>
      <c r="SXQ91" s="76">
        <v>0.89444444444444449</v>
      </c>
      <c r="SXR91" s="77" t="str">
        <f t="shared" si="412"/>
        <v>O</v>
      </c>
      <c r="SXS91" s="79">
        <v>5</v>
      </c>
      <c r="SXT91" s="75">
        <v>1276006</v>
      </c>
      <c r="SXU91" s="80"/>
      <c r="SXV91" s="81">
        <v>0.86944444444444446</v>
      </c>
      <c r="SXW91" s="74" t="s">
        <v>27</v>
      </c>
      <c r="SXX91" s="74" t="s">
        <v>24</v>
      </c>
      <c r="SXY91" s="75" t="s">
        <v>25</v>
      </c>
      <c r="SXZ91" s="76">
        <f>IFERROR(VLOOKUP(SXY91,'[1]List KPI'!$A$103:$F$118,6,0),"")</f>
        <v>1.0416666666666666E-2</v>
      </c>
      <c r="SYA91" s="76">
        <v>0.86944444444444446</v>
      </c>
      <c r="SYB91" s="76">
        <v>0.86944444444444446</v>
      </c>
      <c r="SYC91" s="77" t="str">
        <f t="shared" si="411"/>
        <v>O</v>
      </c>
      <c r="SYD91" s="74" t="s">
        <v>28</v>
      </c>
      <c r="SYE91" s="75" t="s">
        <v>23</v>
      </c>
      <c r="SYF91" s="78">
        <f>IFERROR(VLOOKUP(SYE91,'[1]List KPI'!$M$3:$N$8,2,0),"")</f>
        <v>2.0833333333333332E-2</v>
      </c>
      <c r="SYG91" s="76">
        <v>0.89444444444444449</v>
      </c>
      <c r="SYH91" s="77" t="str">
        <f t="shared" si="412"/>
        <v>O</v>
      </c>
      <c r="SYI91" s="79">
        <v>5</v>
      </c>
      <c r="SYJ91" s="75">
        <v>1276006</v>
      </c>
      <c r="SYK91" s="80"/>
      <c r="SYL91" s="81">
        <v>0.86944444444444446</v>
      </c>
      <c r="SYM91" s="74" t="s">
        <v>27</v>
      </c>
      <c r="SYN91" s="74" t="s">
        <v>24</v>
      </c>
      <c r="SYO91" s="75" t="s">
        <v>25</v>
      </c>
      <c r="SYP91" s="76">
        <f>IFERROR(VLOOKUP(SYO91,'[1]List KPI'!$A$103:$F$118,6,0),"")</f>
        <v>1.0416666666666666E-2</v>
      </c>
      <c r="SYQ91" s="76">
        <v>0.86944444444444446</v>
      </c>
      <c r="SYR91" s="76">
        <v>0.86944444444444446</v>
      </c>
      <c r="SYS91" s="77" t="str">
        <f t="shared" ref="SYS91:TAO91" si="413">IF(SYR91="","",IF(SYR91&gt;SZA91,"O","P"))</f>
        <v>O</v>
      </c>
      <c r="SYT91" s="74" t="s">
        <v>28</v>
      </c>
      <c r="SYU91" s="75" t="s">
        <v>23</v>
      </c>
      <c r="SYV91" s="78">
        <f>IFERROR(VLOOKUP(SYU91,'[1]List KPI'!$M$3:$N$8,2,0),"")</f>
        <v>2.0833333333333332E-2</v>
      </c>
      <c r="SYW91" s="76">
        <v>0.89444444444444449</v>
      </c>
      <c r="SYX91" s="77" t="str">
        <f t="shared" ref="SYX91:TAT91" si="414">IF(SYW91="","",IF(SYW91&gt;SZB91,"O","P"))</f>
        <v>O</v>
      </c>
      <c r="SYY91" s="79">
        <v>5</v>
      </c>
      <c r="SYZ91" s="75">
        <v>1276006</v>
      </c>
      <c r="SZA91" s="80"/>
      <c r="SZB91" s="81">
        <v>0.86944444444444446</v>
      </c>
      <c r="SZC91" s="74" t="s">
        <v>27</v>
      </c>
      <c r="SZD91" s="74" t="s">
        <v>24</v>
      </c>
      <c r="SZE91" s="75" t="s">
        <v>25</v>
      </c>
      <c r="SZF91" s="76">
        <f>IFERROR(VLOOKUP(SZE91,'[1]List KPI'!$A$103:$F$118,6,0),"")</f>
        <v>1.0416666666666666E-2</v>
      </c>
      <c r="SZG91" s="76">
        <v>0.86944444444444446</v>
      </c>
      <c r="SZH91" s="76">
        <v>0.86944444444444446</v>
      </c>
      <c r="SZI91" s="77" t="str">
        <f t="shared" si="413"/>
        <v>O</v>
      </c>
      <c r="SZJ91" s="74" t="s">
        <v>28</v>
      </c>
      <c r="SZK91" s="75" t="s">
        <v>23</v>
      </c>
      <c r="SZL91" s="78">
        <f>IFERROR(VLOOKUP(SZK91,'[1]List KPI'!$M$3:$N$8,2,0),"")</f>
        <v>2.0833333333333332E-2</v>
      </c>
      <c r="SZM91" s="76">
        <v>0.89444444444444449</v>
      </c>
      <c r="SZN91" s="77" t="str">
        <f t="shared" si="414"/>
        <v>O</v>
      </c>
      <c r="SZO91" s="79">
        <v>5</v>
      </c>
      <c r="SZP91" s="75">
        <v>1276006</v>
      </c>
      <c r="SZQ91" s="80"/>
      <c r="SZR91" s="81">
        <v>0.86944444444444446</v>
      </c>
      <c r="SZS91" s="74" t="s">
        <v>27</v>
      </c>
      <c r="SZT91" s="74" t="s">
        <v>24</v>
      </c>
      <c r="SZU91" s="75" t="s">
        <v>25</v>
      </c>
      <c r="SZV91" s="76">
        <f>IFERROR(VLOOKUP(SZU91,'[1]List KPI'!$A$103:$F$118,6,0),"")</f>
        <v>1.0416666666666666E-2</v>
      </c>
      <c r="SZW91" s="76">
        <v>0.86944444444444446</v>
      </c>
      <c r="SZX91" s="76">
        <v>0.86944444444444446</v>
      </c>
      <c r="SZY91" s="77" t="str">
        <f t="shared" si="413"/>
        <v>O</v>
      </c>
      <c r="SZZ91" s="74" t="s">
        <v>28</v>
      </c>
      <c r="TAA91" s="75" t="s">
        <v>23</v>
      </c>
      <c r="TAB91" s="78">
        <f>IFERROR(VLOOKUP(TAA91,'[1]List KPI'!$M$3:$N$8,2,0),"")</f>
        <v>2.0833333333333332E-2</v>
      </c>
      <c r="TAC91" s="76">
        <v>0.89444444444444449</v>
      </c>
      <c r="TAD91" s="77" t="str">
        <f t="shared" si="414"/>
        <v>O</v>
      </c>
      <c r="TAE91" s="79">
        <v>5</v>
      </c>
      <c r="TAF91" s="75">
        <v>1276006</v>
      </c>
      <c r="TAG91" s="80"/>
      <c r="TAH91" s="81">
        <v>0.86944444444444446</v>
      </c>
      <c r="TAI91" s="74" t="s">
        <v>27</v>
      </c>
      <c r="TAJ91" s="74" t="s">
        <v>24</v>
      </c>
      <c r="TAK91" s="75" t="s">
        <v>25</v>
      </c>
      <c r="TAL91" s="76">
        <f>IFERROR(VLOOKUP(TAK91,'[1]List KPI'!$A$103:$F$118,6,0),"")</f>
        <v>1.0416666666666666E-2</v>
      </c>
      <c r="TAM91" s="76">
        <v>0.86944444444444446</v>
      </c>
      <c r="TAN91" s="76">
        <v>0.86944444444444446</v>
      </c>
      <c r="TAO91" s="77" t="str">
        <f t="shared" si="413"/>
        <v>O</v>
      </c>
      <c r="TAP91" s="74" t="s">
        <v>28</v>
      </c>
      <c r="TAQ91" s="75" t="s">
        <v>23</v>
      </c>
      <c r="TAR91" s="78">
        <f>IFERROR(VLOOKUP(TAQ91,'[1]List KPI'!$M$3:$N$8,2,0),"")</f>
        <v>2.0833333333333332E-2</v>
      </c>
      <c r="TAS91" s="76">
        <v>0.89444444444444449</v>
      </c>
      <c r="TAT91" s="77" t="str">
        <f t="shared" si="414"/>
        <v>O</v>
      </c>
      <c r="TAU91" s="79">
        <v>5</v>
      </c>
      <c r="TAV91" s="75">
        <v>1276006</v>
      </c>
      <c r="TAW91" s="80"/>
      <c r="TAX91" s="81">
        <v>0.86944444444444446</v>
      </c>
      <c r="TAY91" s="74" t="s">
        <v>27</v>
      </c>
      <c r="TAZ91" s="74" t="s">
        <v>24</v>
      </c>
      <c r="TBA91" s="75" t="s">
        <v>25</v>
      </c>
      <c r="TBB91" s="76">
        <f>IFERROR(VLOOKUP(TBA91,'[1]List KPI'!$A$103:$F$118,6,0),"")</f>
        <v>1.0416666666666666E-2</v>
      </c>
      <c r="TBC91" s="76">
        <v>0.86944444444444446</v>
      </c>
      <c r="TBD91" s="76">
        <v>0.86944444444444446</v>
      </c>
      <c r="TBE91" s="77" t="str">
        <f t="shared" ref="TBE91:TDA91" si="415">IF(TBD91="","",IF(TBD91&gt;TBM91,"O","P"))</f>
        <v>O</v>
      </c>
      <c r="TBF91" s="74" t="s">
        <v>28</v>
      </c>
      <c r="TBG91" s="75" t="s">
        <v>23</v>
      </c>
      <c r="TBH91" s="78">
        <f>IFERROR(VLOOKUP(TBG91,'[1]List KPI'!$M$3:$N$8,2,0),"")</f>
        <v>2.0833333333333332E-2</v>
      </c>
      <c r="TBI91" s="76">
        <v>0.89444444444444449</v>
      </c>
      <c r="TBJ91" s="77" t="str">
        <f t="shared" ref="TBJ91:TDF91" si="416">IF(TBI91="","",IF(TBI91&gt;TBN91,"O","P"))</f>
        <v>O</v>
      </c>
      <c r="TBK91" s="79">
        <v>5</v>
      </c>
      <c r="TBL91" s="75">
        <v>1276006</v>
      </c>
      <c r="TBM91" s="80"/>
      <c r="TBN91" s="81">
        <v>0.86944444444444446</v>
      </c>
      <c r="TBO91" s="74" t="s">
        <v>27</v>
      </c>
      <c r="TBP91" s="74" t="s">
        <v>24</v>
      </c>
      <c r="TBQ91" s="75" t="s">
        <v>25</v>
      </c>
      <c r="TBR91" s="76">
        <f>IFERROR(VLOOKUP(TBQ91,'[1]List KPI'!$A$103:$F$118,6,0),"")</f>
        <v>1.0416666666666666E-2</v>
      </c>
      <c r="TBS91" s="76">
        <v>0.86944444444444446</v>
      </c>
      <c r="TBT91" s="76">
        <v>0.86944444444444446</v>
      </c>
      <c r="TBU91" s="77" t="str">
        <f t="shared" si="415"/>
        <v>O</v>
      </c>
      <c r="TBV91" s="74" t="s">
        <v>28</v>
      </c>
      <c r="TBW91" s="75" t="s">
        <v>23</v>
      </c>
      <c r="TBX91" s="78">
        <f>IFERROR(VLOOKUP(TBW91,'[1]List KPI'!$M$3:$N$8,2,0),"")</f>
        <v>2.0833333333333332E-2</v>
      </c>
      <c r="TBY91" s="76">
        <v>0.89444444444444449</v>
      </c>
      <c r="TBZ91" s="77" t="str">
        <f t="shared" si="416"/>
        <v>O</v>
      </c>
      <c r="TCA91" s="79">
        <v>5</v>
      </c>
      <c r="TCB91" s="75">
        <v>1276006</v>
      </c>
      <c r="TCC91" s="80"/>
      <c r="TCD91" s="81">
        <v>0.86944444444444446</v>
      </c>
      <c r="TCE91" s="74" t="s">
        <v>27</v>
      </c>
      <c r="TCF91" s="74" t="s">
        <v>24</v>
      </c>
      <c r="TCG91" s="75" t="s">
        <v>25</v>
      </c>
      <c r="TCH91" s="76">
        <f>IFERROR(VLOOKUP(TCG91,'[1]List KPI'!$A$103:$F$118,6,0),"")</f>
        <v>1.0416666666666666E-2</v>
      </c>
      <c r="TCI91" s="76">
        <v>0.86944444444444446</v>
      </c>
      <c r="TCJ91" s="76">
        <v>0.86944444444444446</v>
      </c>
      <c r="TCK91" s="77" t="str">
        <f t="shared" si="415"/>
        <v>O</v>
      </c>
      <c r="TCL91" s="74" t="s">
        <v>28</v>
      </c>
      <c r="TCM91" s="75" t="s">
        <v>23</v>
      </c>
      <c r="TCN91" s="78">
        <f>IFERROR(VLOOKUP(TCM91,'[1]List KPI'!$M$3:$N$8,2,0),"")</f>
        <v>2.0833333333333332E-2</v>
      </c>
      <c r="TCO91" s="76">
        <v>0.89444444444444449</v>
      </c>
      <c r="TCP91" s="77" t="str">
        <f t="shared" si="416"/>
        <v>O</v>
      </c>
      <c r="TCQ91" s="79">
        <v>5</v>
      </c>
      <c r="TCR91" s="75">
        <v>1276006</v>
      </c>
      <c r="TCS91" s="80"/>
      <c r="TCT91" s="81">
        <v>0.86944444444444446</v>
      </c>
      <c r="TCU91" s="74" t="s">
        <v>27</v>
      </c>
      <c r="TCV91" s="74" t="s">
        <v>24</v>
      </c>
      <c r="TCW91" s="75" t="s">
        <v>25</v>
      </c>
      <c r="TCX91" s="76">
        <f>IFERROR(VLOOKUP(TCW91,'[1]List KPI'!$A$103:$F$118,6,0),"")</f>
        <v>1.0416666666666666E-2</v>
      </c>
      <c r="TCY91" s="76">
        <v>0.86944444444444446</v>
      </c>
      <c r="TCZ91" s="76">
        <v>0.86944444444444446</v>
      </c>
      <c r="TDA91" s="77" t="str">
        <f t="shared" si="415"/>
        <v>O</v>
      </c>
      <c r="TDB91" s="74" t="s">
        <v>28</v>
      </c>
      <c r="TDC91" s="75" t="s">
        <v>23</v>
      </c>
      <c r="TDD91" s="78">
        <f>IFERROR(VLOOKUP(TDC91,'[1]List KPI'!$M$3:$N$8,2,0),"")</f>
        <v>2.0833333333333332E-2</v>
      </c>
      <c r="TDE91" s="76">
        <v>0.89444444444444449</v>
      </c>
      <c r="TDF91" s="77" t="str">
        <f t="shared" si="416"/>
        <v>O</v>
      </c>
      <c r="TDG91" s="79">
        <v>5</v>
      </c>
      <c r="TDH91" s="75">
        <v>1276006</v>
      </c>
      <c r="TDI91" s="80"/>
      <c r="TDJ91" s="81">
        <v>0.86944444444444446</v>
      </c>
      <c r="TDK91" s="74" t="s">
        <v>27</v>
      </c>
      <c r="TDL91" s="74" t="s">
        <v>24</v>
      </c>
      <c r="TDM91" s="75" t="s">
        <v>25</v>
      </c>
      <c r="TDN91" s="76">
        <f>IFERROR(VLOOKUP(TDM91,'[1]List KPI'!$A$103:$F$118,6,0),"")</f>
        <v>1.0416666666666666E-2</v>
      </c>
      <c r="TDO91" s="76">
        <v>0.86944444444444446</v>
      </c>
      <c r="TDP91" s="76">
        <v>0.86944444444444446</v>
      </c>
      <c r="TDQ91" s="77" t="str">
        <f t="shared" ref="TDQ91:TFM91" si="417">IF(TDP91="","",IF(TDP91&gt;TDY91,"O","P"))</f>
        <v>O</v>
      </c>
      <c r="TDR91" s="74" t="s">
        <v>28</v>
      </c>
      <c r="TDS91" s="75" t="s">
        <v>23</v>
      </c>
      <c r="TDT91" s="78">
        <f>IFERROR(VLOOKUP(TDS91,'[1]List KPI'!$M$3:$N$8,2,0),"")</f>
        <v>2.0833333333333332E-2</v>
      </c>
      <c r="TDU91" s="76">
        <v>0.89444444444444449</v>
      </c>
      <c r="TDV91" s="77" t="str">
        <f t="shared" ref="TDV91:TFR91" si="418">IF(TDU91="","",IF(TDU91&gt;TDZ91,"O","P"))</f>
        <v>O</v>
      </c>
      <c r="TDW91" s="79">
        <v>5</v>
      </c>
      <c r="TDX91" s="75">
        <v>1276006</v>
      </c>
      <c r="TDY91" s="80"/>
      <c r="TDZ91" s="81">
        <v>0.86944444444444446</v>
      </c>
      <c r="TEA91" s="74" t="s">
        <v>27</v>
      </c>
      <c r="TEB91" s="74" t="s">
        <v>24</v>
      </c>
      <c r="TEC91" s="75" t="s">
        <v>25</v>
      </c>
      <c r="TED91" s="76">
        <f>IFERROR(VLOOKUP(TEC91,'[1]List KPI'!$A$103:$F$118,6,0),"")</f>
        <v>1.0416666666666666E-2</v>
      </c>
      <c r="TEE91" s="76">
        <v>0.86944444444444446</v>
      </c>
      <c r="TEF91" s="76">
        <v>0.86944444444444446</v>
      </c>
      <c r="TEG91" s="77" t="str">
        <f t="shared" si="417"/>
        <v>O</v>
      </c>
      <c r="TEH91" s="74" t="s">
        <v>28</v>
      </c>
      <c r="TEI91" s="75" t="s">
        <v>23</v>
      </c>
      <c r="TEJ91" s="78">
        <f>IFERROR(VLOOKUP(TEI91,'[1]List KPI'!$M$3:$N$8,2,0),"")</f>
        <v>2.0833333333333332E-2</v>
      </c>
      <c r="TEK91" s="76">
        <v>0.89444444444444449</v>
      </c>
      <c r="TEL91" s="77" t="str">
        <f t="shared" si="418"/>
        <v>O</v>
      </c>
      <c r="TEM91" s="79">
        <v>5</v>
      </c>
      <c r="TEN91" s="75">
        <v>1276006</v>
      </c>
      <c r="TEO91" s="80"/>
      <c r="TEP91" s="81">
        <v>0.86944444444444446</v>
      </c>
      <c r="TEQ91" s="74" t="s">
        <v>27</v>
      </c>
      <c r="TER91" s="74" t="s">
        <v>24</v>
      </c>
      <c r="TES91" s="75" t="s">
        <v>25</v>
      </c>
      <c r="TET91" s="76">
        <f>IFERROR(VLOOKUP(TES91,'[1]List KPI'!$A$103:$F$118,6,0),"")</f>
        <v>1.0416666666666666E-2</v>
      </c>
      <c r="TEU91" s="76">
        <v>0.86944444444444446</v>
      </c>
      <c r="TEV91" s="76">
        <v>0.86944444444444446</v>
      </c>
      <c r="TEW91" s="77" t="str">
        <f t="shared" si="417"/>
        <v>O</v>
      </c>
      <c r="TEX91" s="74" t="s">
        <v>28</v>
      </c>
      <c r="TEY91" s="75" t="s">
        <v>23</v>
      </c>
      <c r="TEZ91" s="78">
        <f>IFERROR(VLOOKUP(TEY91,'[1]List KPI'!$M$3:$N$8,2,0),"")</f>
        <v>2.0833333333333332E-2</v>
      </c>
      <c r="TFA91" s="76">
        <v>0.89444444444444449</v>
      </c>
      <c r="TFB91" s="77" t="str">
        <f t="shared" si="418"/>
        <v>O</v>
      </c>
      <c r="TFC91" s="79">
        <v>5</v>
      </c>
      <c r="TFD91" s="75">
        <v>1276006</v>
      </c>
      <c r="TFE91" s="80"/>
      <c r="TFF91" s="81">
        <v>0.86944444444444446</v>
      </c>
      <c r="TFG91" s="74" t="s">
        <v>27</v>
      </c>
      <c r="TFH91" s="74" t="s">
        <v>24</v>
      </c>
      <c r="TFI91" s="75" t="s">
        <v>25</v>
      </c>
      <c r="TFJ91" s="76">
        <f>IFERROR(VLOOKUP(TFI91,'[1]List KPI'!$A$103:$F$118,6,0),"")</f>
        <v>1.0416666666666666E-2</v>
      </c>
      <c r="TFK91" s="76">
        <v>0.86944444444444446</v>
      </c>
      <c r="TFL91" s="76">
        <v>0.86944444444444446</v>
      </c>
      <c r="TFM91" s="77" t="str">
        <f t="shared" si="417"/>
        <v>O</v>
      </c>
      <c r="TFN91" s="74" t="s">
        <v>28</v>
      </c>
      <c r="TFO91" s="75" t="s">
        <v>23</v>
      </c>
      <c r="TFP91" s="78">
        <f>IFERROR(VLOOKUP(TFO91,'[1]List KPI'!$M$3:$N$8,2,0),"")</f>
        <v>2.0833333333333332E-2</v>
      </c>
      <c r="TFQ91" s="76">
        <v>0.89444444444444449</v>
      </c>
      <c r="TFR91" s="77" t="str">
        <f t="shared" si="418"/>
        <v>O</v>
      </c>
      <c r="TFS91" s="79">
        <v>5</v>
      </c>
      <c r="TFT91" s="75">
        <v>1276006</v>
      </c>
      <c r="TFU91" s="80"/>
      <c r="TFV91" s="81">
        <v>0.86944444444444446</v>
      </c>
      <c r="TFW91" s="74" t="s">
        <v>27</v>
      </c>
      <c r="TFX91" s="74" t="s">
        <v>24</v>
      </c>
      <c r="TFY91" s="75" t="s">
        <v>25</v>
      </c>
      <c r="TFZ91" s="76">
        <f>IFERROR(VLOOKUP(TFY91,'[1]List KPI'!$A$103:$F$118,6,0),"")</f>
        <v>1.0416666666666666E-2</v>
      </c>
      <c r="TGA91" s="76">
        <v>0.86944444444444446</v>
      </c>
      <c r="TGB91" s="76">
        <v>0.86944444444444446</v>
      </c>
      <c r="TGC91" s="77" t="str">
        <f t="shared" ref="TGC91:THY91" si="419">IF(TGB91="","",IF(TGB91&gt;TGK91,"O","P"))</f>
        <v>O</v>
      </c>
      <c r="TGD91" s="74" t="s">
        <v>28</v>
      </c>
      <c r="TGE91" s="75" t="s">
        <v>23</v>
      </c>
      <c r="TGF91" s="78">
        <f>IFERROR(VLOOKUP(TGE91,'[1]List KPI'!$M$3:$N$8,2,0),"")</f>
        <v>2.0833333333333332E-2</v>
      </c>
      <c r="TGG91" s="76">
        <v>0.89444444444444449</v>
      </c>
      <c r="TGH91" s="77" t="str">
        <f t="shared" ref="TGH91:TID91" si="420">IF(TGG91="","",IF(TGG91&gt;TGL91,"O","P"))</f>
        <v>O</v>
      </c>
      <c r="TGI91" s="79">
        <v>5</v>
      </c>
      <c r="TGJ91" s="75">
        <v>1276006</v>
      </c>
      <c r="TGK91" s="80"/>
      <c r="TGL91" s="81">
        <v>0.86944444444444446</v>
      </c>
      <c r="TGM91" s="74" t="s">
        <v>27</v>
      </c>
      <c r="TGN91" s="74" t="s">
        <v>24</v>
      </c>
      <c r="TGO91" s="75" t="s">
        <v>25</v>
      </c>
      <c r="TGP91" s="76">
        <f>IFERROR(VLOOKUP(TGO91,'[1]List KPI'!$A$103:$F$118,6,0),"")</f>
        <v>1.0416666666666666E-2</v>
      </c>
      <c r="TGQ91" s="76">
        <v>0.86944444444444446</v>
      </c>
      <c r="TGR91" s="76">
        <v>0.86944444444444446</v>
      </c>
      <c r="TGS91" s="77" t="str">
        <f t="shared" si="419"/>
        <v>O</v>
      </c>
      <c r="TGT91" s="74" t="s">
        <v>28</v>
      </c>
      <c r="TGU91" s="75" t="s">
        <v>23</v>
      </c>
      <c r="TGV91" s="78">
        <f>IFERROR(VLOOKUP(TGU91,'[1]List KPI'!$M$3:$N$8,2,0),"")</f>
        <v>2.0833333333333332E-2</v>
      </c>
      <c r="TGW91" s="76">
        <v>0.89444444444444449</v>
      </c>
      <c r="TGX91" s="77" t="str">
        <f t="shared" si="420"/>
        <v>O</v>
      </c>
      <c r="TGY91" s="79">
        <v>5</v>
      </c>
      <c r="TGZ91" s="75">
        <v>1276006</v>
      </c>
      <c r="THA91" s="80"/>
      <c r="THB91" s="81">
        <v>0.86944444444444446</v>
      </c>
      <c r="THC91" s="74" t="s">
        <v>27</v>
      </c>
      <c r="THD91" s="74" t="s">
        <v>24</v>
      </c>
      <c r="THE91" s="75" t="s">
        <v>25</v>
      </c>
      <c r="THF91" s="76">
        <f>IFERROR(VLOOKUP(THE91,'[1]List KPI'!$A$103:$F$118,6,0),"")</f>
        <v>1.0416666666666666E-2</v>
      </c>
      <c r="THG91" s="76">
        <v>0.86944444444444446</v>
      </c>
      <c r="THH91" s="76">
        <v>0.86944444444444446</v>
      </c>
      <c r="THI91" s="77" t="str">
        <f t="shared" si="419"/>
        <v>O</v>
      </c>
      <c r="THJ91" s="74" t="s">
        <v>28</v>
      </c>
      <c r="THK91" s="75" t="s">
        <v>23</v>
      </c>
      <c r="THL91" s="78">
        <f>IFERROR(VLOOKUP(THK91,'[1]List KPI'!$M$3:$N$8,2,0),"")</f>
        <v>2.0833333333333332E-2</v>
      </c>
      <c r="THM91" s="76">
        <v>0.89444444444444449</v>
      </c>
      <c r="THN91" s="77" t="str">
        <f t="shared" si="420"/>
        <v>O</v>
      </c>
      <c r="THO91" s="79">
        <v>5</v>
      </c>
      <c r="THP91" s="75">
        <v>1276006</v>
      </c>
      <c r="THQ91" s="80"/>
      <c r="THR91" s="81">
        <v>0.86944444444444446</v>
      </c>
      <c r="THS91" s="74" t="s">
        <v>27</v>
      </c>
      <c r="THT91" s="74" t="s">
        <v>24</v>
      </c>
      <c r="THU91" s="75" t="s">
        <v>25</v>
      </c>
      <c r="THV91" s="76">
        <f>IFERROR(VLOOKUP(THU91,'[1]List KPI'!$A$103:$F$118,6,0),"")</f>
        <v>1.0416666666666666E-2</v>
      </c>
      <c r="THW91" s="76">
        <v>0.86944444444444446</v>
      </c>
      <c r="THX91" s="76">
        <v>0.86944444444444446</v>
      </c>
      <c r="THY91" s="77" t="str">
        <f t="shared" si="419"/>
        <v>O</v>
      </c>
      <c r="THZ91" s="74" t="s">
        <v>28</v>
      </c>
      <c r="TIA91" s="75" t="s">
        <v>23</v>
      </c>
      <c r="TIB91" s="78">
        <f>IFERROR(VLOOKUP(TIA91,'[1]List KPI'!$M$3:$N$8,2,0),"")</f>
        <v>2.0833333333333332E-2</v>
      </c>
      <c r="TIC91" s="76">
        <v>0.89444444444444449</v>
      </c>
      <c r="TID91" s="77" t="str">
        <f t="shared" si="420"/>
        <v>O</v>
      </c>
      <c r="TIE91" s="79">
        <v>5</v>
      </c>
      <c r="TIF91" s="75">
        <v>1276006</v>
      </c>
      <c r="TIG91" s="80"/>
      <c r="TIH91" s="81">
        <v>0.86944444444444446</v>
      </c>
      <c r="TII91" s="74" t="s">
        <v>27</v>
      </c>
      <c r="TIJ91" s="74" t="s">
        <v>24</v>
      </c>
      <c r="TIK91" s="75" t="s">
        <v>25</v>
      </c>
      <c r="TIL91" s="76">
        <f>IFERROR(VLOOKUP(TIK91,'[1]List KPI'!$A$103:$F$118,6,0),"")</f>
        <v>1.0416666666666666E-2</v>
      </c>
      <c r="TIM91" s="76">
        <v>0.86944444444444446</v>
      </c>
      <c r="TIN91" s="76">
        <v>0.86944444444444446</v>
      </c>
      <c r="TIO91" s="77" t="str">
        <f t="shared" ref="TIO91:TKK91" si="421">IF(TIN91="","",IF(TIN91&gt;TIW91,"O","P"))</f>
        <v>O</v>
      </c>
      <c r="TIP91" s="74" t="s">
        <v>28</v>
      </c>
      <c r="TIQ91" s="75" t="s">
        <v>23</v>
      </c>
      <c r="TIR91" s="78">
        <f>IFERROR(VLOOKUP(TIQ91,'[1]List KPI'!$M$3:$N$8,2,0),"")</f>
        <v>2.0833333333333332E-2</v>
      </c>
      <c r="TIS91" s="76">
        <v>0.89444444444444449</v>
      </c>
      <c r="TIT91" s="77" t="str">
        <f t="shared" ref="TIT91:TKP91" si="422">IF(TIS91="","",IF(TIS91&gt;TIX91,"O","P"))</f>
        <v>O</v>
      </c>
      <c r="TIU91" s="79">
        <v>5</v>
      </c>
      <c r="TIV91" s="75">
        <v>1276006</v>
      </c>
      <c r="TIW91" s="80"/>
      <c r="TIX91" s="81">
        <v>0.86944444444444446</v>
      </c>
      <c r="TIY91" s="74" t="s">
        <v>27</v>
      </c>
      <c r="TIZ91" s="74" t="s">
        <v>24</v>
      </c>
      <c r="TJA91" s="75" t="s">
        <v>25</v>
      </c>
      <c r="TJB91" s="76">
        <f>IFERROR(VLOOKUP(TJA91,'[1]List KPI'!$A$103:$F$118,6,0),"")</f>
        <v>1.0416666666666666E-2</v>
      </c>
      <c r="TJC91" s="76">
        <v>0.86944444444444446</v>
      </c>
      <c r="TJD91" s="76">
        <v>0.86944444444444446</v>
      </c>
      <c r="TJE91" s="77" t="str">
        <f t="shared" si="421"/>
        <v>O</v>
      </c>
      <c r="TJF91" s="74" t="s">
        <v>28</v>
      </c>
      <c r="TJG91" s="75" t="s">
        <v>23</v>
      </c>
      <c r="TJH91" s="78">
        <f>IFERROR(VLOOKUP(TJG91,'[1]List KPI'!$M$3:$N$8,2,0),"")</f>
        <v>2.0833333333333332E-2</v>
      </c>
      <c r="TJI91" s="76">
        <v>0.89444444444444449</v>
      </c>
      <c r="TJJ91" s="77" t="str">
        <f t="shared" si="422"/>
        <v>O</v>
      </c>
      <c r="TJK91" s="79">
        <v>5</v>
      </c>
      <c r="TJL91" s="75">
        <v>1276006</v>
      </c>
      <c r="TJM91" s="80"/>
      <c r="TJN91" s="81">
        <v>0.86944444444444446</v>
      </c>
      <c r="TJO91" s="74" t="s">
        <v>27</v>
      </c>
      <c r="TJP91" s="74" t="s">
        <v>24</v>
      </c>
      <c r="TJQ91" s="75" t="s">
        <v>25</v>
      </c>
      <c r="TJR91" s="76">
        <f>IFERROR(VLOOKUP(TJQ91,'[1]List KPI'!$A$103:$F$118,6,0),"")</f>
        <v>1.0416666666666666E-2</v>
      </c>
      <c r="TJS91" s="76">
        <v>0.86944444444444446</v>
      </c>
      <c r="TJT91" s="76">
        <v>0.86944444444444446</v>
      </c>
      <c r="TJU91" s="77" t="str">
        <f t="shared" si="421"/>
        <v>O</v>
      </c>
      <c r="TJV91" s="74" t="s">
        <v>28</v>
      </c>
      <c r="TJW91" s="75" t="s">
        <v>23</v>
      </c>
      <c r="TJX91" s="78">
        <f>IFERROR(VLOOKUP(TJW91,'[1]List KPI'!$M$3:$N$8,2,0),"")</f>
        <v>2.0833333333333332E-2</v>
      </c>
      <c r="TJY91" s="76">
        <v>0.89444444444444449</v>
      </c>
      <c r="TJZ91" s="77" t="str">
        <f t="shared" si="422"/>
        <v>O</v>
      </c>
      <c r="TKA91" s="79">
        <v>5</v>
      </c>
      <c r="TKB91" s="75">
        <v>1276006</v>
      </c>
      <c r="TKC91" s="80"/>
      <c r="TKD91" s="81">
        <v>0.86944444444444446</v>
      </c>
      <c r="TKE91" s="74" t="s">
        <v>27</v>
      </c>
      <c r="TKF91" s="74" t="s">
        <v>24</v>
      </c>
      <c r="TKG91" s="75" t="s">
        <v>25</v>
      </c>
      <c r="TKH91" s="76">
        <f>IFERROR(VLOOKUP(TKG91,'[1]List KPI'!$A$103:$F$118,6,0),"")</f>
        <v>1.0416666666666666E-2</v>
      </c>
      <c r="TKI91" s="76">
        <v>0.86944444444444446</v>
      </c>
      <c r="TKJ91" s="76">
        <v>0.86944444444444446</v>
      </c>
      <c r="TKK91" s="77" t="str">
        <f t="shared" si="421"/>
        <v>O</v>
      </c>
      <c r="TKL91" s="74" t="s">
        <v>28</v>
      </c>
      <c r="TKM91" s="75" t="s">
        <v>23</v>
      </c>
      <c r="TKN91" s="78">
        <f>IFERROR(VLOOKUP(TKM91,'[1]List KPI'!$M$3:$N$8,2,0),"")</f>
        <v>2.0833333333333332E-2</v>
      </c>
      <c r="TKO91" s="76">
        <v>0.89444444444444449</v>
      </c>
      <c r="TKP91" s="77" t="str">
        <f t="shared" si="422"/>
        <v>O</v>
      </c>
      <c r="TKQ91" s="79">
        <v>5</v>
      </c>
      <c r="TKR91" s="75">
        <v>1276006</v>
      </c>
      <c r="TKS91" s="80"/>
      <c r="TKT91" s="81">
        <v>0.86944444444444446</v>
      </c>
      <c r="TKU91" s="74" t="s">
        <v>27</v>
      </c>
      <c r="TKV91" s="74" t="s">
        <v>24</v>
      </c>
      <c r="TKW91" s="75" t="s">
        <v>25</v>
      </c>
      <c r="TKX91" s="76">
        <f>IFERROR(VLOOKUP(TKW91,'[1]List KPI'!$A$103:$F$118,6,0),"")</f>
        <v>1.0416666666666666E-2</v>
      </c>
      <c r="TKY91" s="76">
        <v>0.86944444444444446</v>
      </c>
      <c r="TKZ91" s="76">
        <v>0.86944444444444446</v>
      </c>
      <c r="TLA91" s="77" t="str">
        <f t="shared" ref="TLA91:TMW91" si="423">IF(TKZ91="","",IF(TKZ91&gt;TLI91,"O","P"))</f>
        <v>O</v>
      </c>
      <c r="TLB91" s="74" t="s">
        <v>28</v>
      </c>
      <c r="TLC91" s="75" t="s">
        <v>23</v>
      </c>
      <c r="TLD91" s="78">
        <f>IFERROR(VLOOKUP(TLC91,'[1]List KPI'!$M$3:$N$8,2,0),"")</f>
        <v>2.0833333333333332E-2</v>
      </c>
      <c r="TLE91" s="76">
        <v>0.89444444444444449</v>
      </c>
      <c r="TLF91" s="77" t="str">
        <f t="shared" ref="TLF91:TNB91" si="424">IF(TLE91="","",IF(TLE91&gt;TLJ91,"O","P"))</f>
        <v>O</v>
      </c>
      <c r="TLG91" s="79">
        <v>5</v>
      </c>
      <c r="TLH91" s="75">
        <v>1276006</v>
      </c>
      <c r="TLI91" s="80"/>
      <c r="TLJ91" s="81">
        <v>0.86944444444444446</v>
      </c>
      <c r="TLK91" s="74" t="s">
        <v>27</v>
      </c>
      <c r="TLL91" s="74" t="s">
        <v>24</v>
      </c>
      <c r="TLM91" s="75" t="s">
        <v>25</v>
      </c>
      <c r="TLN91" s="76">
        <f>IFERROR(VLOOKUP(TLM91,'[1]List KPI'!$A$103:$F$118,6,0),"")</f>
        <v>1.0416666666666666E-2</v>
      </c>
      <c r="TLO91" s="76">
        <v>0.86944444444444446</v>
      </c>
      <c r="TLP91" s="76">
        <v>0.86944444444444446</v>
      </c>
      <c r="TLQ91" s="77" t="str">
        <f t="shared" si="423"/>
        <v>O</v>
      </c>
      <c r="TLR91" s="74" t="s">
        <v>28</v>
      </c>
      <c r="TLS91" s="75" t="s">
        <v>23</v>
      </c>
      <c r="TLT91" s="78">
        <f>IFERROR(VLOOKUP(TLS91,'[1]List KPI'!$M$3:$N$8,2,0),"")</f>
        <v>2.0833333333333332E-2</v>
      </c>
      <c r="TLU91" s="76">
        <v>0.89444444444444449</v>
      </c>
      <c r="TLV91" s="77" t="str">
        <f t="shared" si="424"/>
        <v>O</v>
      </c>
      <c r="TLW91" s="79">
        <v>5</v>
      </c>
      <c r="TLX91" s="75">
        <v>1276006</v>
      </c>
      <c r="TLY91" s="80"/>
      <c r="TLZ91" s="81">
        <v>0.86944444444444446</v>
      </c>
      <c r="TMA91" s="74" t="s">
        <v>27</v>
      </c>
      <c r="TMB91" s="74" t="s">
        <v>24</v>
      </c>
      <c r="TMC91" s="75" t="s">
        <v>25</v>
      </c>
      <c r="TMD91" s="76">
        <f>IFERROR(VLOOKUP(TMC91,'[1]List KPI'!$A$103:$F$118,6,0),"")</f>
        <v>1.0416666666666666E-2</v>
      </c>
      <c r="TME91" s="76">
        <v>0.86944444444444446</v>
      </c>
      <c r="TMF91" s="76">
        <v>0.86944444444444446</v>
      </c>
      <c r="TMG91" s="77" t="str">
        <f t="shared" si="423"/>
        <v>O</v>
      </c>
      <c r="TMH91" s="74" t="s">
        <v>28</v>
      </c>
      <c r="TMI91" s="75" t="s">
        <v>23</v>
      </c>
      <c r="TMJ91" s="78">
        <f>IFERROR(VLOOKUP(TMI91,'[1]List KPI'!$M$3:$N$8,2,0),"")</f>
        <v>2.0833333333333332E-2</v>
      </c>
      <c r="TMK91" s="76">
        <v>0.89444444444444449</v>
      </c>
      <c r="TML91" s="77" t="str">
        <f t="shared" si="424"/>
        <v>O</v>
      </c>
      <c r="TMM91" s="79">
        <v>5</v>
      </c>
      <c r="TMN91" s="75">
        <v>1276006</v>
      </c>
      <c r="TMO91" s="80"/>
      <c r="TMP91" s="81">
        <v>0.86944444444444446</v>
      </c>
      <c r="TMQ91" s="74" t="s">
        <v>27</v>
      </c>
      <c r="TMR91" s="74" t="s">
        <v>24</v>
      </c>
      <c r="TMS91" s="75" t="s">
        <v>25</v>
      </c>
      <c r="TMT91" s="76">
        <f>IFERROR(VLOOKUP(TMS91,'[1]List KPI'!$A$103:$F$118,6,0),"")</f>
        <v>1.0416666666666666E-2</v>
      </c>
      <c r="TMU91" s="76">
        <v>0.86944444444444446</v>
      </c>
      <c r="TMV91" s="76">
        <v>0.86944444444444446</v>
      </c>
      <c r="TMW91" s="77" t="str">
        <f t="shared" si="423"/>
        <v>O</v>
      </c>
      <c r="TMX91" s="74" t="s">
        <v>28</v>
      </c>
      <c r="TMY91" s="75" t="s">
        <v>23</v>
      </c>
      <c r="TMZ91" s="78">
        <f>IFERROR(VLOOKUP(TMY91,'[1]List KPI'!$M$3:$N$8,2,0),"")</f>
        <v>2.0833333333333332E-2</v>
      </c>
      <c r="TNA91" s="76">
        <v>0.89444444444444449</v>
      </c>
      <c r="TNB91" s="77" t="str">
        <f t="shared" si="424"/>
        <v>O</v>
      </c>
      <c r="TNC91" s="79">
        <v>5</v>
      </c>
      <c r="TND91" s="75">
        <v>1276006</v>
      </c>
      <c r="TNE91" s="80"/>
      <c r="TNF91" s="81">
        <v>0.86944444444444446</v>
      </c>
      <c r="TNG91" s="74" t="s">
        <v>27</v>
      </c>
      <c r="TNH91" s="74" t="s">
        <v>24</v>
      </c>
      <c r="TNI91" s="75" t="s">
        <v>25</v>
      </c>
      <c r="TNJ91" s="76">
        <f>IFERROR(VLOOKUP(TNI91,'[1]List KPI'!$A$103:$F$118,6,0),"")</f>
        <v>1.0416666666666666E-2</v>
      </c>
      <c r="TNK91" s="76">
        <v>0.86944444444444446</v>
      </c>
      <c r="TNL91" s="76">
        <v>0.86944444444444446</v>
      </c>
      <c r="TNM91" s="77" t="str">
        <f t="shared" ref="TNM91:TPI91" si="425">IF(TNL91="","",IF(TNL91&gt;TNU91,"O","P"))</f>
        <v>O</v>
      </c>
      <c r="TNN91" s="74" t="s">
        <v>28</v>
      </c>
      <c r="TNO91" s="75" t="s">
        <v>23</v>
      </c>
      <c r="TNP91" s="78">
        <f>IFERROR(VLOOKUP(TNO91,'[1]List KPI'!$M$3:$N$8,2,0),"")</f>
        <v>2.0833333333333332E-2</v>
      </c>
      <c r="TNQ91" s="76">
        <v>0.89444444444444449</v>
      </c>
      <c r="TNR91" s="77" t="str">
        <f t="shared" ref="TNR91:TPN91" si="426">IF(TNQ91="","",IF(TNQ91&gt;TNV91,"O","P"))</f>
        <v>O</v>
      </c>
      <c r="TNS91" s="79">
        <v>5</v>
      </c>
      <c r="TNT91" s="75">
        <v>1276006</v>
      </c>
      <c r="TNU91" s="80"/>
      <c r="TNV91" s="81">
        <v>0.86944444444444446</v>
      </c>
      <c r="TNW91" s="74" t="s">
        <v>27</v>
      </c>
      <c r="TNX91" s="74" t="s">
        <v>24</v>
      </c>
      <c r="TNY91" s="75" t="s">
        <v>25</v>
      </c>
      <c r="TNZ91" s="76">
        <f>IFERROR(VLOOKUP(TNY91,'[1]List KPI'!$A$103:$F$118,6,0),"")</f>
        <v>1.0416666666666666E-2</v>
      </c>
      <c r="TOA91" s="76">
        <v>0.86944444444444446</v>
      </c>
      <c r="TOB91" s="76">
        <v>0.86944444444444446</v>
      </c>
      <c r="TOC91" s="77" t="str">
        <f t="shared" si="425"/>
        <v>O</v>
      </c>
      <c r="TOD91" s="74" t="s">
        <v>28</v>
      </c>
      <c r="TOE91" s="75" t="s">
        <v>23</v>
      </c>
      <c r="TOF91" s="78">
        <f>IFERROR(VLOOKUP(TOE91,'[1]List KPI'!$M$3:$N$8,2,0),"")</f>
        <v>2.0833333333333332E-2</v>
      </c>
      <c r="TOG91" s="76">
        <v>0.89444444444444449</v>
      </c>
      <c r="TOH91" s="77" t="str">
        <f t="shared" si="426"/>
        <v>O</v>
      </c>
      <c r="TOI91" s="79">
        <v>5</v>
      </c>
      <c r="TOJ91" s="75">
        <v>1276006</v>
      </c>
      <c r="TOK91" s="80"/>
      <c r="TOL91" s="81">
        <v>0.86944444444444446</v>
      </c>
      <c r="TOM91" s="74" t="s">
        <v>27</v>
      </c>
      <c r="TON91" s="74" t="s">
        <v>24</v>
      </c>
      <c r="TOO91" s="75" t="s">
        <v>25</v>
      </c>
      <c r="TOP91" s="76">
        <f>IFERROR(VLOOKUP(TOO91,'[1]List KPI'!$A$103:$F$118,6,0),"")</f>
        <v>1.0416666666666666E-2</v>
      </c>
      <c r="TOQ91" s="76">
        <v>0.86944444444444446</v>
      </c>
      <c r="TOR91" s="76">
        <v>0.86944444444444446</v>
      </c>
      <c r="TOS91" s="77" t="str">
        <f t="shared" si="425"/>
        <v>O</v>
      </c>
      <c r="TOT91" s="74" t="s">
        <v>28</v>
      </c>
      <c r="TOU91" s="75" t="s">
        <v>23</v>
      </c>
      <c r="TOV91" s="78">
        <f>IFERROR(VLOOKUP(TOU91,'[1]List KPI'!$M$3:$N$8,2,0),"")</f>
        <v>2.0833333333333332E-2</v>
      </c>
      <c r="TOW91" s="76">
        <v>0.89444444444444449</v>
      </c>
      <c r="TOX91" s="77" t="str">
        <f t="shared" si="426"/>
        <v>O</v>
      </c>
      <c r="TOY91" s="79">
        <v>5</v>
      </c>
      <c r="TOZ91" s="75">
        <v>1276006</v>
      </c>
      <c r="TPA91" s="80"/>
      <c r="TPB91" s="81">
        <v>0.86944444444444446</v>
      </c>
      <c r="TPC91" s="74" t="s">
        <v>27</v>
      </c>
      <c r="TPD91" s="74" t="s">
        <v>24</v>
      </c>
      <c r="TPE91" s="75" t="s">
        <v>25</v>
      </c>
      <c r="TPF91" s="76">
        <f>IFERROR(VLOOKUP(TPE91,'[1]List KPI'!$A$103:$F$118,6,0),"")</f>
        <v>1.0416666666666666E-2</v>
      </c>
      <c r="TPG91" s="76">
        <v>0.86944444444444446</v>
      </c>
      <c r="TPH91" s="76">
        <v>0.86944444444444446</v>
      </c>
      <c r="TPI91" s="77" t="str">
        <f t="shared" si="425"/>
        <v>O</v>
      </c>
      <c r="TPJ91" s="74" t="s">
        <v>28</v>
      </c>
      <c r="TPK91" s="75" t="s">
        <v>23</v>
      </c>
      <c r="TPL91" s="78">
        <f>IFERROR(VLOOKUP(TPK91,'[1]List KPI'!$M$3:$N$8,2,0),"")</f>
        <v>2.0833333333333332E-2</v>
      </c>
      <c r="TPM91" s="76">
        <v>0.89444444444444449</v>
      </c>
      <c r="TPN91" s="77" t="str">
        <f t="shared" si="426"/>
        <v>O</v>
      </c>
      <c r="TPO91" s="79">
        <v>5</v>
      </c>
      <c r="TPP91" s="75">
        <v>1276006</v>
      </c>
      <c r="TPQ91" s="80"/>
      <c r="TPR91" s="81">
        <v>0.86944444444444446</v>
      </c>
      <c r="TPS91" s="74" t="s">
        <v>27</v>
      </c>
      <c r="TPT91" s="74" t="s">
        <v>24</v>
      </c>
      <c r="TPU91" s="75" t="s">
        <v>25</v>
      </c>
      <c r="TPV91" s="76">
        <f>IFERROR(VLOOKUP(TPU91,'[1]List KPI'!$A$103:$F$118,6,0),"")</f>
        <v>1.0416666666666666E-2</v>
      </c>
      <c r="TPW91" s="76">
        <v>0.86944444444444446</v>
      </c>
      <c r="TPX91" s="76">
        <v>0.86944444444444446</v>
      </c>
      <c r="TPY91" s="77" t="str">
        <f t="shared" ref="TPY91:TRU91" si="427">IF(TPX91="","",IF(TPX91&gt;TQG91,"O","P"))</f>
        <v>O</v>
      </c>
      <c r="TPZ91" s="74" t="s">
        <v>28</v>
      </c>
      <c r="TQA91" s="75" t="s">
        <v>23</v>
      </c>
      <c r="TQB91" s="78">
        <f>IFERROR(VLOOKUP(TQA91,'[1]List KPI'!$M$3:$N$8,2,0),"")</f>
        <v>2.0833333333333332E-2</v>
      </c>
      <c r="TQC91" s="76">
        <v>0.89444444444444449</v>
      </c>
      <c r="TQD91" s="77" t="str">
        <f t="shared" ref="TQD91:TRZ91" si="428">IF(TQC91="","",IF(TQC91&gt;TQH91,"O","P"))</f>
        <v>O</v>
      </c>
      <c r="TQE91" s="79">
        <v>5</v>
      </c>
      <c r="TQF91" s="75">
        <v>1276006</v>
      </c>
      <c r="TQG91" s="80"/>
      <c r="TQH91" s="81">
        <v>0.86944444444444446</v>
      </c>
      <c r="TQI91" s="74" t="s">
        <v>27</v>
      </c>
      <c r="TQJ91" s="74" t="s">
        <v>24</v>
      </c>
      <c r="TQK91" s="75" t="s">
        <v>25</v>
      </c>
      <c r="TQL91" s="76">
        <f>IFERROR(VLOOKUP(TQK91,'[1]List KPI'!$A$103:$F$118,6,0),"")</f>
        <v>1.0416666666666666E-2</v>
      </c>
      <c r="TQM91" s="76">
        <v>0.86944444444444446</v>
      </c>
      <c r="TQN91" s="76">
        <v>0.86944444444444446</v>
      </c>
      <c r="TQO91" s="77" t="str">
        <f t="shared" si="427"/>
        <v>O</v>
      </c>
      <c r="TQP91" s="74" t="s">
        <v>28</v>
      </c>
      <c r="TQQ91" s="75" t="s">
        <v>23</v>
      </c>
      <c r="TQR91" s="78">
        <f>IFERROR(VLOOKUP(TQQ91,'[1]List KPI'!$M$3:$N$8,2,0),"")</f>
        <v>2.0833333333333332E-2</v>
      </c>
      <c r="TQS91" s="76">
        <v>0.89444444444444449</v>
      </c>
      <c r="TQT91" s="77" t="str">
        <f t="shared" si="428"/>
        <v>O</v>
      </c>
      <c r="TQU91" s="79">
        <v>5</v>
      </c>
      <c r="TQV91" s="75">
        <v>1276006</v>
      </c>
      <c r="TQW91" s="80"/>
      <c r="TQX91" s="81">
        <v>0.86944444444444446</v>
      </c>
      <c r="TQY91" s="74" t="s">
        <v>27</v>
      </c>
      <c r="TQZ91" s="74" t="s">
        <v>24</v>
      </c>
      <c r="TRA91" s="75" t="s">
        <v>25</v>
      </c>
      <c r="TRB91" s="76">
        <f>IFERROR(VLOOKUP(TRA91,'[1]List KPI'!$A$103:$F$118,6,0),"")</f>
        <v>1.0416666666666666E-2</v>
      </c>
      <c r="TRC91" s="76">
        <v>0.86944444444444446</v>
      </c>
      <c r="TRD91" s="76">
        <v>0.86944444444444446</v>
      </c>
      <c r="TRE91" s="77" t="str">
        <f t="shared" si="427"/>
        <v>O</v>
      </c>
      <c r="TRF91" s="74" t="s">
        <v>28</v>
      </c>
      <c r="TRG91" s="75" t="s">
        <v>23</v>
      </c>
      <c r="TRH91" s="78">
        <f>IFERROR(VLOOKUP(TRG91,'[1]List KPI'!$M$3:$N$8,2,0),"")</f>
        <v>2.0833333333333332E-2</v>
      </c>
      <c r="TRI91" s="76">
        <v>0.89444444444444449</v>
      </c>
      <c r="TRJ91" s="77" t="str">
        <f t="shared" si="428"/>
        <v>O</v>
      </c>
      <c r="TRK91" s="79">
        <v>5</v>
      </c>
      <c r="TRL91" s="75">
        <v>1276006</v>
      </c>
      <c r="TRM91" s="80"/>
      <c r="TRN91" s="81">
        <v>0.86944444444444446</v>
      </c>
      <c r="TRO91" s="74" t="s">
        <v>27</v>
      </c>
      <c r="TRP91" s="74" t="s">
        <v>24</v>
      </c>
      <c r="TRQ91" s="75" t="s">
        <v>25</v>
      </c>
      <c r="TRR91" s="76">
        <f>IFERROR(VLOOKUP(TRQ91,'[1]List KPI'!$A$103:$F$118,6,0),"")</f>
        <v>1.0416666666666666E-2</v>
      </c>
      <c r="TRS91" s="76">
        <v>0.86944444444444446</v>
      </c>
      <c r="TRT91" s="76">
        <v>0.86944444444444446</v>
      </c>
      <c r="TRU91" s="77" t="str">
        <f t="shared" si="427"/>
        <v>O</v>
      </c>
      <c r="TRV91" s="74" t="s">
        <v>28</v>
      </c>
      <c r="TRW91" s="75" t="s">
        <v>23</v>
      </c>
      <c r="TRX91" s="78">
        <f>IFERROR(VLOOKUP(TRW91,'[1]List KPI'!$M$3:$N$8,2,0),"")</f>
        <v>2.0833333333333332E-2</v>
      </c>
      <c r="TRY91" s="76">
        <v>0.89444444444444449</v>
      </c>
      <c r="TRZ91" s="77" t="str">
        <f t="shared" si="428"/>
        <v>O</v>
      </c>
      <c r="TSA91" s="79">
        <v>5</v>
      </c>
      <c r="TSB91" s="75">
        <v>1276006</v>
      </c>
      <c r="TSC91" s="80"/>
      <c r="TSD91" s="81">
        <v>0.86944444444444446</v>
      </c>
      <c r="TSE91" s="74" t="s">
        <v>27</v>
      </c>
      <c r="TSF91" s="74" t="s">
        <v>24</v>
      </c>
      <c r="TSG91" s="75" t="s">
        <v>25</v>
      </c>
      <c r="TSH91" s="76">
        <f>IFERROR(VLOOKUP(TSG91,'[1]List KPI'!$A$103:$F$118,6,0),"")</f>
        <v>1.0416666666666666E-2</v>
      </c>
      <c r="TSI91" s="76">
        <v>0.86944444444444446</v>
      </c>
      <c r="TSJ91" s="76">
        <v>0.86944444444444446</v>
      </c>
      <c r="TSK91" s="77" t="str">
        <f t="shared" ref="TSK91:TUG91" si="429">IF(TSJ91="","",IF(TSJ91&gt;TSS91,"O","P"))</f>
        <v>O</v>
      </c>
      <c r="TSL91" s="74" t="s">
        <v>28</v>
      </c>
      <c r="TSM91" s="75" t="s">
        <v>23</v>
      </c>
      <c r="TSN91" s="78">
        <f>IFERROR(VLOOKUP(TSM91,'[1]List KPI'!$M$3:$N$8,2,0),"")</f>
        <v>2.0833333333333332E-2</v>
      </c>
      <c r="TSO91" s="76">
        <v>0.89444444444444449</v>
      </c>
      <c r="TSP91" s="77" t="str">
        <f t="shared" ref="TSP91:TUL91" si="430">IF(TSO91="","",IF(TSO91&gt;TST91,"O","P"))</f>
        <v>O</v>
      </c>
      <c r="TSQ91" s="79">
        <v>5</v>
      </c>
      <c r="TSR91" s="75">
        <v>1276006</v>
      </c>
      <c r="TSS91" s="80"/>
      <c r="TST91" s="81">
        <v>0.86944444444444446</v>
      </c>
      <c r="TSU91" s="74" t="s">
        <v>27</v>
      </c>
      <c r="TSV91" s="74" t="s">
        <v>24</v>
      </c>
      <c r="TSW91" s="75" t="s">
        <v>25</v>
      </c>
      <c r="TSX91" s="76">
        <f>IFERROR(VLOOKUP(TSW91,'[1]List KPI'!$A$103:$F$118,6,0),"")</f>
        <v>1.0416666666666666E-2</v>
      </c>
      <c r="TSY91" s="76">
        <v>0.86944444444444446</v>
      </c>
      <c r="TSZ91" s="76">
        <v>0.86944444444444446</v>
      </c>
      <c r="TTA91" s="77" t="str">
        <f t="shared" si="429"/>
        <v>O</v>
      </c>
      <c r="TTB91" s="74" t="s">
        <v>28</v>
      </c>
      <c r="TTC91" s="75" t="s">
        <v>23</v>
      </c>
      <c r="TTD91" s="78">
        <f>IFERROR(VLOOKUP(TTC91,'[1]List KPI'!$M$3:$N$8,2,0),"")</f>
        <v>2.0833333333333332E-2</v>
      </c>
      <c r="TTE91" s="76">
        <v>0.89444444444444449</v>
      </c>
      <c r="TTF91" s="77" t="str">
        <f t="shared" si="430"/>
        <v>O</v>
      </c>
      <c r="TTG91" s="79">
        <v>5</v>
      </c>
      <c r="TTH91" s="75">
        <v>1276006</v>
      </c>
      <c r="TTI91" s="80"/>
      <c r="TTJ91" s="81">
        <v>0.86944444444444446</v>
      </c>
      <c r="TTK91" s="74" t="s">
        <v>27</v>
      </c>
      <c r="TTL91" s="74" t="s">
        <v>24</v>
      </c>
      <c r="TTM91" s="75" t="s">
        <v>25</v>
      </c>
      <c r="TTN91" s="76">
        <f>IFERROR(VLOOKUP(TTM91,'[1]List KPI'!$A$103:$F$118,6,0),"")</f>
        <v>1.0416666666666666E-2</v>
      </c>
      <c r="TTO91" s="76">
        <v>0.86944444444444446</v>
      </c>
      <c r="TTP91" s="76">
        <v>0.86944444444444446</v>
      </c>
      <c r="TTQ91" s="77" t="str">
        <f t="shared" si="429"/>
        <v>O</v>
      </c>
      <c r="TTR91" s="74" t="s">
        <v>28</v>
      </c>
      <c r="TTS91" s="75" t="s">
        <v>23</v>
      </c>
      <c r="TTT91" s="78">
        <f>IFERROR(VLOOKUP(TTS91,'[1]List KPI'!$M$3:$N$8,2,0),"")</f>
        <v>2.0833333333333332E-2</v>
      </c>
      <c r="TTU91" s="76">
        <v>0.89444444444444449</v>
      </c>
      <c r="TTV91" s="77" t="str">
        <f t="shared" si="430"/>
        <v>O</v>
      </c>
      <c r="TTW91" s="79">
        <v>5</v>
      </c>
      <c r="TTX91" s="75">
        <v>1276006</v>
      </c>
      <c r="TTY91" s="80"/>
      <c r="TTZ91" s="81">
        <v>0.86944444444444446</v>
      </c>
      <c r="TUA91" s="74" t="s">
        <v>27</v>
      </c>
      <c r="TUB91" s="74" t="s">
        <v>24</v>
      </c>
      <c r="TUC91" s="75" t="s">
        <v>25</v>
      </c>
      <c r="TUD91" s="76">
        <f>IFERROR(VLOOKUP(TUC91,'[1]List KPI'!$A$103:$F$118,6,0),"")</f>
        <v>1.0416666666666666E-2</v>
      </c>
      <c r="TUE91" s="76">
        <v>0.86944444444444446</v>
      </c>
      <c r="TUF91" s="76">
        <v>0.86944444444444446</v>
      </c>
      <c r="TUG91" s="77" t="str">
        <f t="shared" si="429"/>
        <v>O</v>
      </c>
      <c r="TUH91" s="74" t="s">
        <v>28</v>
      </c>
      <c r="TUI91" s="75" t="s">
        <v>23</v>
      </c>
      <c r="TUJ91" s="78">
        <f>IFERROR(VLOOKUP(TUI91,'[1]List KPI'!$M$3:$N$8,2,0),"")</f>
        <v>2.0833333333333332E-2</v>
      </c>
      <c r="TUK91" s="76">
        <v>0.89444444444444449</v>
      </c>
      <c r="TUL91" s="77" t="str">
        <f t="shared" si="430"/>
        <v>O</v>
      </c>
      <c r="TUM91" s="79">
        <v>5</v>
      </c>
      <c r="TUN91" s="75">
        <v>1276006</v>
      </c>
      <c r="TUO91" s="80"/>
      <c r="TUP91" s="81">
        <v>0.86944444444444446</v>
      </c>
      <c r="TUQ91" s="74" t="s">
        <v>27</v>
      </c>
      <c r="TUR91" s="74" t="s">
        <v>24</v>
      </c>
      <c r="TUS91" s="75" t="s">
        <v>25</v>
      </c>
      <c r="TUT91" s="76">
        <f>IFERROR(VLOOKUP(TUS91,'[1]List KPI'!$A$103:$F$118,6,0),"")</f>
        <v>1.0416666666666666E-2</v>
      </c>
      <c r="TUU91" s="76">
        <v>0.86944444444444446</v>
      </c>
      <c r="TUV91" s="76">
        <v>0.86944444444444446</v>
      </c>
      <c r="TUW91" s="77" t="str">
        <f t="shared" ref="TUW91:TWS91" si="431">IF(TUV91="","",IF(TUV91&gt;TVE91,"O","P"))</f>
        <v>O</v>
      </c>
      <c r="TUX91" s="74" t="s">
        <v>28</v>
      </c>
      <c r="TUY91" s="75" t="s">
        <v>23</v>
      </c>
      <c r="TUZ91" s="78">
        <f>IFERROR(VLOOKUP(TUY91,'[1]List KPI'!$M$3:$N$8,2,0),"")</f>
        <v>2.0833333333333332E-2</v>
      </c>
      <c r="TVA91" s="76">
        <v>0.89444444444444449</v>
      </c>
      <c r="TVB91" s="77" t="str">
        <f t="shared" ref="TVB91:TWX91" si="432">IF(TVA91="","",IF(TVA91&gt;TVF91,"O","P"))</f>
        <v>O</v>
      </c>
      <c r="TVC91" s="79">
        <v>5</v>
      </c>
      <c r="TVD91" s="75">
        <v>1276006</v>
      </c>
      <c r="TVE91" s="80"/>
      <c r="TVF91" s="81">
        <v>0.86944444444444446</v>
      </c>
      <c r="TVG91" s="74" t="s">
        <v>27</v>
      </c>
      <c r="TVH91" s="74" t="s">
        <v>24</v>
      </c>
      <c r="TVI91" s="75" t="s">
        <v>25</v>
      </c>
      <c r="TVJ91" s="76">
        <f>IFERROR(VLOOKUP(TVI91,'[1]List KPI'!$A$103:$F$118,6,0),"")</f>
        <v>1.0416666666666666E-2</v>
      </c>
      <c r="TVK91" s="76">
        <v>0.86944444444444446</v>
      </c>
      <c r="TVL91" s="76">
        <v>0.86944444444444446</v>
      </c>
      <c r="TVM91" s="77" t="str">
        <f t="shared" si="431"/>
        <v>O</v>
      </c>
      <c r="TVN91" s="74" t="s">
        <v>28</v>
      </c>
      <c r="TVO91" s="75" t="s">
        <v>23</v>
      </c>
      <c r="TVP91" s="78">
        <f>IFERROR(VLOOKUP(TVO91,'[1]List KPI'!$M$3:$N$8,2,0),"")</f>
        <v>2.0833333333333332E-2</v>
      </c>
      <c r="TVQ91" s="76">
        <v>0.89444444444444449</v>
      </c>
      <c r="TVR91" s="77" t="str">
        <f t="shared" si="432"/>
        <v>O</v>
      </c>
      <c r="TVS91" s="79">
        <v>5</v>
      </c>
      <c r="TVT91" s="75">
        <v>1276006</v>
      </c>
      <c r="TVU91" s="80"/>
      <c r="TVV91" s="81">
        <v>0.86944444444444446</v>
      </c>
      <c r="TVW91" s="74" t="s">
        <v>27</v>
      </c>
      <c r="TVX91" s="74" t="s">
        <v>24</v>
      </c>
      <c r="TVY91" s="75" t="s">
        <v>25</v>
      </c>
      <c r="TVZ91" s="76">
        <f>IFERROR(VLOOKUP(TVY91,'[1]List KPI'!$A$103:$F$118,6,0),"")</f>
        <v>1.0416666666666666E-2</v>
      </c>
      <c r="TWA91" s="76">
        <v>0.86944444444444446</v>
      </c>
      <c r="TWB91" s="76">
        <v>0.86944444444444446</v>
      </c>
      <c r="TWC91" s="77" t="str">
        <f t="shared" si="431"/>
        <v>O</v>
      </c>
      <c r="TWD91" s="74" t="s">
        <v>28</v>
      </c>
      <c r="TWE91" s="75" t="s">
        <v>23</v>
      </c>
      <c r="TWF91" s="78">
        <f>IFERROR(VLOOKUP(TWE91,'[1]List KPI'!$M$3:$N$8,2,0),"")</f>
        <v>2.0833333333333332E-2</v>
      </c>
      <c r="TWG91" s="76">
        <v>0.89444444444444449</v>
      </c>
      <c r="TWH91" s="77" t="str">
        <f t="shared" si="432"/>
        <v>O</v>
      </c>
      <c r="TWI91" s="79">
        <v>5</v>
      </c>
      <c r="TWJ91" s="75">
        <v>1276006</v>
      </c>
      <c r="TWK91" s="80"/>
      <c r="TWL91" s="81">
        <v>0.86944444444444446</v>
      </c>
      <c r="TWM91" s="74" t="s">
        <v>27</v>
      </c>
      <c r="TWN91" s="74" t="s">
        <v>24</v>
      </c>
      <c r="TWO91" s="75" t="s">
        <v>25</v>
      </c>
      <c r="TWP91" s="76">
        <f>IFERROR(VLOOKUP(TWO91,'[1]List KPI'!$A$103:$F$118,6,0),"")</f>
        <v>1.0416666666666666E-2</v>
      </c>
      <c r="TWQ91" s="76">
        <v>0.86944444444444446</v>
      </c>
      <c r="TWR91" s="76">
        <v>0.86944444444444446</v>
      </c>
      <c r="TWS91" s="77" t="str">
        <f t="shared" si="431"/>
        <v>O</v>
      </c>
      <c r="TWT91" s="74" t="s">
        <v>28</v>
      </c>
      <c r="TWU91" s="75" t="s">
        <v>23</v>
      </c>
      <c r="TWV91" s="78">
        <f>IFERROR(VLOOKUP(TWU91,'[1]List KPI'!$M$3:$N$8,2,0),"")</f>
        <v>2.0833333333333332E-2</v>
      </c>
      <c r="TWW91" s="76">
        <v>0.89444444444444449</v>
      </c>
      <c r="TWX91" s="77" t="str">
        <f t="shared" si="432"/>
        <v>O</v>
      </c>
      <c r="TWY91" s="79">
        <v>5</v>
      </c>
      <c r="TWZ91" s="75">
        <v>1276006</v>
      </c>
      <c r="TXA91" s="80"/>
      <c r="TXB91" s="81">
        <v>0.86944444444444446</v>
      </c>
      <c r="TXC91" s="74" t="s">
        <v>27</v>
      </c>
      <c r="TXD91" s="74" t="s">
        <v>24</v>
      </c>
      <c r="TXE91" s="75" t="s">
        <v>25</v>
      </c>
      <c r="TXF91" s="76">
        <f>IFERROR(VLOOKUP(TXE91,'[1]List KPI'!$A$103:$F$118,6,0),"")</f>
        <v>1.0416666666666666E-2</v>
      </c>
      <c r="TXG91" s="76">
        <v>0.86944444444444446</v>
      </c>
      <c r="TXH91" s="76">
        <v>0.86944444444444446</v>
      </c>
      <c r="TXI91" s="77" t="str">
        <f t="shared" ref="TXI91:TZE91" si="433">IF(TXH91="","",IF(TXH91&gt;TXQ91,"O","P"))</f>
        <v>O</v>
      </c>
      <c r="TXJ91" s="74" t="s">
        <v>28</v>
      </c>
      <c r="TXK91" s="75" t="s">
        <v>23</v>
      </c>
      <c r="TXL91" s="78">
        <f>IFERROR(VLOOKUP(TXK91,'[1]List KPI'!$M$3:$N$8,2,0),"")</f>
        <v>2.0833333333333332E-2</v>
      </c>
      <c r="TXM91" s="76">
        <v>0.89444444444444449</v>
      </c>
      <c r="TXN91" s="77" t="str">
        <f t="shared" ref="TXN91:TZJ91" si="434">IF(TXM91="","",IF(TXM91&gt;TXR91,"O","P"))</f>
        <v>O</v>
      </c>
      <c r="TXO91" s="79">
        <v>5</v>
      </c>
      <c r="TXP91" s="75">
        <v>1276006</v>
      </c>
      <c r="TXQ91" s="80"/>
      <c r="TXR91" s="81">
        <v>0.86944444444444446</v>
      </c>
      <c r="TXS91" s="74" t="s">
        <v>27</v>
      </c>
      <c r="TXT91" s="74" t="s">
        <v>24</v>
      </c>
      <c r="TXU91" s="75" t="s">
        <v>25</v>
      </c>
      <c r="TXV91" s="76">
        <f>IFERROR(VLOOKUP(TXU91,'[1]List KPI'!$A$103:$F$118,6,0),"")</f>
        <v>1.0416666666666666E-2</v>
      </c>
      <c r="TXW91" s="76">
        <v>0.86944444444444446</v>
      </c>
      <c r="TXX91" s="76">
        <v>0.86944444444444446</v>
      </c>
      <c r="TXY91" s="77" t="str">
        <f t="shared" si="433"/>
        <v>O</v>
      </c>
      <c r="TXZ91" s="74" t="s">
        <v>28</v>
      </c>
      <c r="TYA91" s="75" t="s">
        <v>23</v>
      </c>
      <c r="TYB91" s="78">
        <f>IFERROR(VLOOKUP(TYA91,'[1]List KPI'!$M$3:$N$8,2,0),"")</f>
        <v>2.0833333333333332E-2</v>
      </c>
      <c r="TYC91" s="76">
        <v>0.89444444444444449</v>
      </c>
      <c r="TYD91" s="77" t="str">
        <f t="shared" si="434"/>
        <v>O</v>
      </c>
      <c r="TYE91" s="79">
        <v>5</v>
      </c>
      <c r="TYF91" s="75">
        <v>1276006</v>
      </c>
      <c r="TYG91" s="80"/>
      <c r="TYH91" s="81">
        <v>0.86944444444444446</v>
      </c>
      <c r="TYI91" s="74" t="s">
        <v>27</v>
      </c>
      <c r="TYJ91" s="74" t="s">
        <v>24</v>
      </c>
      <c r="TYK91" s="75" t="s">
        <v>25</v>
      </c>
      <c r="TYL91" s="76">
        <f>IFERROR(VLOOKUP(TYK91,'[1]List KPI'!$A$103:$F$118,6,0),"")</f>
        <v>1.0416666666666666E-2</v>
      </c>
      <c r="TYM91" s="76">
        <v>0.86944444444444446</v>
      </c>
      <c r="TYN91" s="76">
        <v>0.86944444444444446</v>
      </c>
      <c r="TYO91" s="77" t="str">
        <f t="shared" si="433"/>
        <v>O</v>
      </c>
      <c r="TYP91" s="74" t="s">
        <v>28</v>
      </c>
      <c r="TYQ91" s="75" t="s">
        <v>23</v>
      </c>
      <c r="TYR91" s="78">
        <f>IFERROR(VLOOKUP(TYQ91,'[1]List KPI'!$M$3:$N$8,2,0),"")</f>
        <v>2.0833333333333332E-2</v>
      </c>
      <c r="TYS91" s="76">
        <v>0.89444444444444449</v>
      </c>
      <c r="TYT91" s="77" t="str">
        <f t="shared" si="434"/>
        <v>O</v>
      </c>
      <c r="TYU91" s="79">
        <v>5</v>
      </c>
      <c r="TYV91" s="75">
        <v>1276006</v>
      </c>
      <c r="TYW91" s="80"/>
      <c r="TYX91" s="81">
        <v>0.86944444444444446</v>
      </c>
      <c r="TYY91" s="74" t="s">
        <v>27</v>
      </c>
      <c r="TYZ91" s="74" t="s">
        <v>24</v>
      </c>
      <c r="TZA91" s="75" t="s">
        <v>25</v>
      </c>
      <c r="TZB91" s="76">
        <f>IFERROR(VLOOKUP(TZA91,'[1]List KPI'!$A$103:$F$118,6,0),"")</f>
        <v>1.0416666666666666E-2</v>
      </c>
      <c r="TZC91" s="76">
        <v>0.86944444444444446</v>
      </c>
      <c r="TZD91" s="76">
        <v>0.86944444444444446</v>
      </c>
      <c r="TZE91" s="77" t="str">
        <f t="shared" si="433"/>
        <v>O</v>
      </c>
      <c r="TZF91" s="74" t="s">
        <v>28</v>
      </c>
      <c r="TZG91" s="75" t="s">
        <v>23</v>
      </c>
      <c r="TZH91" s="78">
        <f>IFERROR(VLOOKUP(TZG91,'[1]List KPI'!$M$3:$N$8,2,0),"")</f>
        <v>2.0833333333333332E-2</v>
      </c>
      <c r="TZI91" s="76">
        <v>0.89444444444444449</v>
      </c>
      <c r="TZJ91" s="77" t="str">
        <f t="shared" si="434"/>
        <v>O</v>
      </c>
      <c r="TZK91" s="79">
        <v>5</v>
      </c>
      <c r="TZL91" s="75">
        <v>1276006</v>
      </c>
      <c r="TZM91" s="80"/>
      <c r="TZN91" s="81">
        <v>0.86944444444444446</v>
      </c>
      <c r="TZO91" s="74" t="s">
        <v>27</v>
      </c>
      <c r="TZP91" s="74" t="s">
        <v>24</v>
      </c>
      <c r="TZQ91" s="75" t="s">
        <v>25</v>
      </c>
      <c r="TZR91" s="76">
        <f>IFERROR(VLOOKUP(TZQ91,'[1]List KPI'!$A$103:$F$118,6,0),"")</f>
        <v>1.0416666666666666E-2</v>
      </c>
      <c r="TZS91" s="76">
        <v>0.86944444444444446</v>
      </c>
      <c r="TZT91" s="76">
        <v>0.86944444444444446</v>
      </c>
      <c r="TZU91" s="77" t="str">
        <f t="shared" ref="TZU91:UBQ91" si="435">IF(TZT91="","",IF(TZT91&gt;UAC91,"O","P"))</f>
        <v>O</v>
      </c>
      <c r="TZV91" s="74" t="s">
        <v>28</v>
      </c>
      <c r="TZW91" s="75" t="s">
        <v>23</v>
      </c>
      <c r="TZX91" s="78">
        <f>IFERROR(VLOOKUP(TZW91,'[1]List KPI'!$M$3:$N$8,2,0),"")</f>
        <v>2.0833333333333332E-2</v>
      </c>
      <c r="TZY91" s="76">
        <v>0.89444444444444449</v>
      </c>
      <c r="TZZ91" s="77" t="str">
        <f t="shared" ref="TZZ91:UBV91" si="436">IF(TZY91="","",IF(TZY91&gt;UAD91,"O","P"))</f>
        <v>O</v>
      </c>
      <c r="UAA91" s="79">
        <v>5</v>
      </c>
      <c r="UAB91" s="75">
        <v>1276006</v>
      </c>
      <c r="UAC91" s="80"/>
      <c r="UAD91" s="81">
        <v>0.86944444444444446</v>
      </c>
      <c r="UAE91" s="74" t="s">
        <v>27</v>
      </c>
      <c r="UAF91" s="74" t="s">
        <v>24</v>
      </c>
      <c r="UAG91" s="75" t="s">
        <v>25</v>
      </c>
      <c r="UAH91" s="76">
        <f>IFERROR(VLOOKUP(UAG91,'[1]List KPI'!$A$103:$F$118,6,0),"")</f>
        <v>1.0416666666666666E-2</v>
      </c>
      <c r="UAI91" s="76">
        <v>0.86944444444444446</v>
      </c>
      <c r="UAJ91" s="76">
        <v>0.86944444444444446</v>
      </c>
      <c r="UAK91" s="77" t="str">
        <f t="shared" si="435"/>
        <v>O</v>
      </c>
      <c r="UAL91" s="74" t="s">
        <v>28</v>
      </c>
      <c r="UAM91" s="75" t="s">
        <v>23</v>
      </c>
      <c r="UAN91" s="78">
        <f>IFERROR(VLOOKUP(UAM91,'[1]List KPI'!$M$3:$N$8,2,0),"")</f>
        <v>2.0833333333333332E-2</v>
      </c>
      <c r="UAO91" s="76">
        <v>0.89444444444444449</v>
      </c>
      <c r="UAP91" s="77" t="str">
        <f t="shared" si="436"/>
        <v>O</v>
      </c>
      <c r="UAQ91" s="79">
        <v>5</v>
      </c>
      <c r="UAR91" s="75">
        <v>1276006</v>
      </c>
      <c r="UAS91" s="80"/>
      <c r="UAT91" s="81">
        <v>0.86944444444444446</v>
      </c>
      <c r="UAU91" s="74" t="s">
        <v>27</v>
      </c>
      <c r="UAV91" s="74" t="s">
        <v>24</v>
      </c>
      <c r="UAW91" s="75" t="s">
        <v>25</v>
      </c>
      <c r="UAX91" s="76">
        <f>IFERROR(VLOOKUP(UAW91,'[1]List KPI'!$A$103:$F$118,6,0),"")</f>
        <v>1.0416666666666666E-2</v>
      </c>
      <c r="UAY91" s="76">
        <v>0.86944444444444446</v>
      </c>
      <c r="UAZ91" s="76">
        <v>0.86944444444444446</v>
      </c>
      <c r="UBA91" s="77" t="str">
        <f t="shared" si="435"/>
        <v>O</v>
      </c>
      <c r="UBB91" s="74" t="s">
        <v>28</v>
      </c>
      <c r="UBC91" s="75" t="s">
        <v>23</v>
      </c>
      <c r="UBD91" s="78">
        <f>IFERROR(VLOOKUP(UBC91,'[1]List KPI'!$M$3:$N$8,2,0),"")</f>
        <v>2.0833333333333332E-2</v>
      </c>
      <c r="UBE91" s="76">
        <v>0.89444444444444449</v>
      </c>
      <c r="UBF91" s="77" t="str">
        <f t="shared" si="436"/>
        <v>O</v>
      </c>
      <c r="UBG91" s="79">
        <v>5</v>
      </c>
      <c r="UBH91" s="75">
        <v>1276006</v>
      </c>
      <c r="UBI91" s="80"/>
      <c r="UBJ91" s="81">
        <v>0.86944444444444446</v>
      </c>
      <c r="UBK91" s="74" t="s">
        <v>27</v>
      </c>
      <c r="UBL91" s="74" t="s">
        <v>24</v>
      </c>
      <c r="UBM91" s="75" t="s">
        <v>25</v>
      </c>
      <c r="UBN91" s="76">
        <f>IFERROR(VLOOKUP(UBM91,'[1]List KPI'!$A$103:$F$118,6,0),"")</f>
        <v>1.0416666666666666E-2</v>
      </c>
      <c r="UBO91" s="76">
        <v>0.86944444444444446</v>
      </c>
      <c r="UBP91" s="76">
        <v>0.86944444444444446</v>
      </c>
      <c r="UBQ91" s="77" t="str">
        <f t="shared" si="435"/>
        <v>O</v>
      </c>
      <c r="UBR91" s="74" t="s">
        <v>28</v>
      </c>
      <c r="UBS91" s="75" t="s">
        <v>23</v>
      </c>
      <c r="UBT91" s="78">
        <f>IFERROR(VLOOKUP(UBS91,'[1]List KPI'!$M$3:$N$8,2,0),"")</f>
        <v>2.0833333333333332E-2</v>
      </c>
      <c r="UBU91" s="76">
        <v>0.89444444444444449</v>
      </c>
      <c r="UBV91" s="77" t="str">
        <f t="shared" si="436"/>
        <v>O</v>
      </c>
      <c r="UBW91" s="79">
        <v>5</v>
      </c>
      <c r="UBX91" s="75">
        <v>1276006</v>
      </c>
      <c r="UBY91" s="80"/>
      <c r="UBZ91" s="81">
        <v>0.86944444444444446</v>
      </c>
      <c r="UCA91" s="74" t="s">
        <v>27</v>
      </c>
      <c r="UCB91" s="74" t="s">
        <v>24</v>
      </c>
      <c r="UCC91" s="75" t="s">
        <v>25</v>
      </c>
      <c r="UCD91" s="76">
        <f>IFERROR(VLOOKUP(UCC91,'[1]List KPI'!$A$103:$F$118,6,0),"")</f>
        <v>1.0416666666666666E-2</v>
      </c>
      <c r="UCE91" s="76">
        <v>0.86944444444444446</v>
      </c>
      <c r="UCF91" s="76">
        <v>0.86944444444444446</v>
      </c>
      <c r="UCG91" s="77" t="str">
        <f t="shared" ref="UCG91:UEC91" si="437">IF(UCF91="","",IF(UCF91&gt;UCO91,"O","P"))</f>
        <v>O</v>
      </c>
      <c r="UCH91" s="74" t="s">
        <v>28</v>
      </c>
      <c r="UCI91" s="75" t="s">
        <v>23</v>
      </c>
      <c r="UCJ91" s="78">
        <f>IFERROR(VLOOKUP(UCI91,'[1]List KPI'!$M$3:$N$8,2,0),"")</f>
        <v>2.0833333333333332E-2</v>
      </c>
      <c r="UCK91" s="76">
        <v>0.89444444444444449</v>
      </c>
      <c r="UCL91" s="77" t="str">
        <f t="shared" ref="UCL91:UEH91" si="438">IF(UCK91="","",IF(UCK91&gt;UCP91,"O","P"))</f>
        <v>O</v>
      </c>
      <c r="UCM91" s="79">
        <v>5</v>
      </c>
      <c r="UCN91" s="75">
        <v>1276006</v>
      </c>
      <c r="UCO91" s="80"/>
      <c r="UCP91" s="81">
        <v>0.86944444444444446</v>
      </c>
      <c r="UCQ91" s="74" t="s">
        <v>27</v>
      </c>
      <c r="UCR91" s="74" t="s">
        <v>24</v>
      </c>
      <c r="UCS91" s="75" t="s">
        <v>25</v>
      </c>
      <c r="UCT91" s="76">
        <f>IFERROR(VLOOKUP(UCS91,'[1]List KPI'!$A$103:$F$118,6,0),"")</f>
        <v>1.0416666666666666E-2</v>
      </c>
      <c r="UCU91" s="76">
        <v>0.86944444444444446</v>
      </c>
      <c r="UCV91" s="76">
        <v>0.86944444444444446</v>
      </c>
      <c r="UCW91" s="77" t="str">
        <f t="shared" si="437"/>
        <v>O</v>
      </c>
      <c r="UCX91" s="74" t="s">
        <v>28</v>
      </c>
      <c r="UCY91" s="75" t="s">
        <v>23</v>
      </c>
      <c r="UCZ91" s="78">
        <f>IFERROR(VLOOKUP(UCY91,'[1]List KPI'!$M$3:$N$8,2,0),"")</f>
        <v>2.0833333333333332E-2</v>
      </c>
      <c r="UDA91" s="76">
        <v>0.89444444444444449</v>
      </c>
      <c r="UDB91" s="77" t="str">
        <f t="shared" si="438"/>
        <v>O</v>
      </c>
      <c r="UDC91" s="79">
        <v>5</v>
      </c>
      <c r="UDD91" s="75">
        <v>1276006</v>
      </c>
      <c r="UDE91" s="80"/>
      <c r="UDF91" s="81">
        <v>0.86944444444444446</v>
      </c>
      <c r="UDG91" s="74" t="s">
        <v>27</v>
      </c>
      <c r="UDH91" s="74" t="s">
        <v>24</v>
      </c>
      <c r="UDI91" s="75" t="s">
        <v>25</v>
      </c>
      <c r="UDJ91" s="76">
        <f>IFERROR(VLOOKUP(UDI91,'[1]List KPI'!$A$103:$F$118,6,0),"")</f>
        <v>1.0416666666666666E-2</v>
      </c>
      <c r="UDK91" s="76">
        <v>0.86944444444444446</v>
      </c>
      <c r="UDL91" s="76">
        <v>0.86944444444444446</v>
      </c>
      <c r="UDM91" s="77" t="str">
        <f t="shared" si="437"/>
        <v>O</v>
      </c>
      <c r="UDN91" s="74" t="s">
        <v>28</v>
      </c>
      <c r="UDO91" s="75" t="s">
        <v>23</v>
      </c>
      <c r="UDP91" s="78">
        <f>IFERROR(VLOOKUP(UDO91,'[1]List KPI'!$M$3:$N$8,2,0),"")</f>
        <v>2.0833333333333332E-2</v>
      </c>
      <c r="UDQ91" s="76">
        <v>0.89444444444444449</v>
      </c>
      <c r="UDR91" s="77" t="str">
        <f t="shared" si="438"/>
        <v>O</v>
      </c>
      <c r="UDS91" s="79">
        <v>5</v>
      </c>
      <c r="UDT91" s="75">
        <v>1276006</v>
      </c>
      <c r="UDU91" s="80"/>
      <c r="UDV91" s="81">
        <v>0.86944444444444446</v>
      </c>
      <c r="UDW91" s="74" t="s">
        <v>27</v>
      </c>
      <c r="UDX91" s="74" t="s">
        <v>24</v>
      </c>
      <c r="UDY91" s="75" t="s">
        <v>25</v>
      </c>
      <c r="UDZ91" s="76">
        <f>IFERROR(VLOOKUP(UDY91,'[1]List KPI'!$A$103:$F$118,6,0),"")</f>
        <v>1.0416666666666666E-2</v>
      </c>
      <c r="UEA91" s="76">
        <v>0.86944444444444446</v>
      </c>
      <c r="UEB91" s="76">
        <v>0.86944444444444446</v>
      </c>
      <c r="UEC91" s="77" t="str">
        <f t="shared" si="437"/>
        <v>O</v>
      </c>
      <c r="UED91" s="74" t="s">
        <v>28</v>
      </c>
      <c r="UEE91" s="75" t="s">
        <v>23</v>
      </c>
      <c r="UEF91" s="78">
        <f>IFERROR(VLOOKUP(UEE91,'[1]List KPI'!$M$3:$N$8,2,0),"")</f>
        <v>2.0833333333333332E-2</v>
      </c>
      <c r="UEG91" s="76">
        <v>0.89444444444444449</v>
      </c>
      <c r="UEH91" s="77" t="str">
        <f t="shared" si="438"/>
        <v>O</v>
      </c>
      <c r="UEI91" s="79">
        <v>5</v>
      </c>
      <c r="UEJ91" s="75">
        <v>1276006</v>
      </c>
      <c r="UEK91" s="80"/>
      <c r="UEL91" s="81">
        <v>0.86944444444444446</v>
      </c>
      <c r="UEM91" s="74" t="s">
        <v>27</v>
      </c>
      <c r="UEN91" s="74" t="s">
        <v>24</v>
      </c>
      <c r="UEO91" s="75" t="s">
        <v>25</v>
      </c>
      <c r="UEP91" s="76">
        <f>IFERROR(VLOOKUP(UEO91,'[1]List KPI'!$A$103:$F$118,6,0),"")</f>
        <v>1.0416666666666666E-2</v>
      </c>
      <c r="UEQ91" s="76">
        <v>0.86944444444444446</v>
      </c>
      <c r="UER91" s="76">
        <v>0.86944444444444446</v>
      </c>
      <c r="UES91" s="77" t="str">
        <f t="shared" ref="UES91:UGO91" si="439">IF(UER91="","",IF(UER91&gt;UFA91,"O","P"))</f>
        <v>O</v>
      </c>
      <c r="UET91" s="74" t="s">
        <v>28</v>
      </c>
      <c r="UEU91" s="75" t="s">
        <v>23</v>
      </c>
      <c r="UEV91" s="78">
        <f>IFERROR(VLOOKUP(UEU91,'[1]List KPI'!$M$3:$N$8,2,0),"")</f>
        <v>2.0833333333333332E-2</v>
      </c>
      <c r="UEW91" s="76">
        <v>0.89444444444444449</v>
      </c>
      <c r="UEX91" s="77" t="str">
        <f t="shared" ref="UEX91:UGT91" si="440">IF(UEW91="","",IF(UEW91&gt;UFB91,"O","P"))</f>
        <v>O</v>
      </c>
      <c r="UEY91" s="79">
        <v>5</v>
      </c>
      <c r="UEZ91" s="75">
        <v>1276006</v>
      </c>
      <c r="UFA91" s="80"/>
      <c r="UFB91" s="81">
        <v>0.86944444444444446</v>
      </c>
      <c r="UFC91" s="74" t="s">
        <v>27</v>
      </c>
      <c r="UFD91" s="74" t="s">
        <v>24</v>
      </c>
      <c r="UFE91" s="75" t="s">
        <v>25</v>
      </c>
      <c r="UFF91" s="76">
        <f>IFERROR(VLOOKUP(UFE91,'[1]List KPI'!$A$103:$F$118,6,0),"")</f>
        <v>1.0416666666666666E-2</v>
      </c>
      <c r="UFG91" s="76">
        <v>0.86944444444444446</v>
      </c>
      <c r="UFH91" s="76">
        <v>0.86944444444444446</v>
      </c>
      <c r="UFI91" s="77" t="str">
        <f t="shared" si="439"/>
        <v>O</v>
      </c>
      <c r="UFJ91" s="74" t="s">
        <v>28</v>
      </c>
      <c r="UFK91" s="75" t="s">
        <v>23</v>
      </c>
      <c r="UFL91" s="78">
        <f>IFERROR(VLOOKUP(UFK91,'[1]List KPI'!$M$3:$N$8,2,0),"")</f>
        <v>2.0833333333333332E-2</v>
      </c>
      <c r="UFM91" s="76">
        <v>0.89444444444444449</v>
      </c>
      <c r="UFN91" s="77" t="str">
        <f t="shared" si="440"/>
        <v>O</v>
      </c>
      <c r="UFO91" s="79">
        <v>5</v>
      </c>
      <c r="UFP91" s="75">
        <v>1276006</v>
      </c>
      <c r="UFQ91" s="80"/>
      <c r="UFR91" s="81">
        <v>0.86944444444444446</v>
      </c>
      <c r="UFS91" s="74" t="s">
        <v>27</v>
      </c>
      <c r="UFT91" s="74" t="s">
        <v>24</v>
      </c>
      <c r="UFU91" s="75" t="s">
        <v>25</v>
      </c>
      <c r="UFV91" s="76">
        <f>IFERROR(VLOOKUP(UFU91,'[1]List KPI'!$A$103:$F$118,6,0),"")</f>
        <v>1.0416666666666666E-2</v>
      </c>
      <c r="UFW91" s="76">
        <v>0.86944444444444446</v>
      </c>
      <c r="UFX91" s="76">
        <v>0.86944444444444446</v>
      </c>
      <c r="UFY91" s="77" t="str">
        <f t="shared" si="439"/>
        <v>O</v>
      </c>
      <c r="UFZ91" s="74" t="s">
        <v>28</v>
      </c>
      <c r="UGA91" s="75" t="s">
        <v>23</v>
      </c>
      <c r="UGB91" s="78">
        <f>IFERROR(VLOOKUP(UGA91,'[1]List KPI'!$M$3:$N$8,2,0),"")</f>
        <v>2.0833333333333332E-2</v>
      </c>
      <c r="UGC91" s="76">
        <v>0.89444444444444449</v>
      </c>
      <c r="UGD91" s="77" t="str">
        <f t="shared" si="440"/>
        <v>O</v>
      </c>
      <c r="UGE91" s="79">
        <v>5</v>
      </c>
      <c r="UGF91" s="75">
        <v>1276006</v>
      </c>
      <c r="UGG91" s="80"/>
      <c r="UGH91" s="81">
        <v>0.86944444444444446</v>
      </c>
      <c r="UGI91" s="74" t="s">
        <v>27</v>
      </c>
      <c r="UGJ91" s="74" t="s">
        <v>24</v>
      </c>
      <c r="UGK91" s="75" t="s">
        <v>25</v>
      </c>
      <c r="UGL91" s="76">
        <f>IFERROR(VLOOKUP(UGK91,'[1]List KPI'!$A$103:$F$118,6,0),"")</f>
        <v>1.0416666666666666E-2</v>
      </c>
      <c r="UGM91" s="76">
        <v>0.86944444444444446</v>
      </c>
      <c r="UGN91" s="76">
        <v>0.86944444444444446</v>
      </c>
      <c r="UGO91" s="77" t="str">
        <f t="shared" si="439"/>
        <v>O</v>
      </c>
      <c r="UGP91" s="74" t="s">
        <v>28</v>
      </c>
      <c r="UGQ91" s="75" t="s">
        <v>23</v>
      </c>
      <c r="UGR91" s="78">
        <f>IFERROR(VLOOKUP(UGQ91,'[1]List KPI'!$M$3:$N$8,2,0),"")</f>
        <v>2.0833333333333332E-2</v>
      </c>
      <c r="UGS91" s="76">
        <v>0.89444444444444449</v>
      </c>
      <c r="UGT91" s="77" t="str">
        <f t="shared" si="440"/>
        <v>O</v>
      </c>
      <c r="UGU91" s="79">
        <v>5</v>
      </c>
      <c r="UGV91" s="75">
        <v>1276006</v>
      </c>
      <c r="UGW91" s="80"/>
      <c r="UGX91" s="81">
        <v>0.86944444444444446</v>
      </c>
      <c r="UGY91" s="74" t="s">
        <v>27</v>
      </c>
      <c r="UGZ91" s="74" t="s">
        <v>24</v>
      </c>
      <c r="UHA91" s="75" t="s">
        <v>25</v>
      </c>
      <c r="UHB91" s="76">
        <f>IFERROR(VLOOKUP(UHA91,'[1]List KPI'!$A$103:$F$118,6,0),"")</f>
        <v>1.0416666666666666E-2</v>
      </c>
      <c r="UHC91" s="76">
        <v>0.86944444444444446</v>
      </c>
      <c r="UHD91" s="76">
        <v>0.86944444444444446</v>
      </c>
      <c r="UHE91" s="77" t="str">
        <f t="shared" ref="UHE91:UJA91" si="441">IF(UHD91="","",IF(UHD91&gt;UHM91,"O","P"))</f>
        <v>O</v>
      </c>
      <c r="UHF91" s="74" t="s">
        <v>28</v>
      </c>
      <c r="UHG91" s="75" t="s">
        <v>23</v>
      </c>
      <c r="UHH91" s="78">
        <f>IFERROR(VLOOKUP(UHG91,'[1]List KPI'!$M$3:$N$8,2,0),"")</f>
        <v>2.0833333333333332E-2</v>
      </c>
      <c r="UHI91" s="76">
        <v>0.89444444444444449</v>
      </c>
      <c r="UHJ91" s="77" t="str">
        <f t="shared" ref="UHJ91:UJF91" si="442">IF(UHI91="","",IF(UHI91&gt;UHN91,"O","P"))</f>
        <v>O</v>
      </c>
      <c r="UHK91" s="79">
        <v>5</v>
      </c>
      <c r="UHL91" s="75">
        <v>1276006</v>
      </c>
      <c r="UHM91" s="80"/>
      <c r="UHN91" s="81">
        <v>0.86944444444444446</v>
      </c>
      <c r="UHO91" s="74" t="s">
        <v>27</v>
      </c>
      <c r="UHP91" s="74" t="s">
        <v>24</v>
      </c>
      <c r="UHQ91" s="75" t="s">
        <v>25</v>
      </c>
      <c r="UHR91" s="76">
        <f>IFERROR(VLOOKUP(UHQ91,'[1]List KPI'!$A$103:$F$118,6,0),"")</f>
        <v>1.0416666666666666E-2</v>
      </c>
      <c r="UHS91" s="76">
        <v>0.86944444444444446</v>
      </c>
      <c r="UHT91" s="76">
        <v>0.86944444444444446</v>
      </c>
      <c r="UHU91" s="77" t="str">
        <f t="shared" si="441"/>
        <v>O</v>
      </c>
      <c r="UHV91" s="74" t="s">
        <v>28</v>
      </c>
      <c r="UHW91" s="75" t="s">
        <v>23</v>
      </c>
      <c r="UHX91" s="78">
        <f>IFERROR(VLOOKUP(UHW91,'[1]List KPI'!$M$3:$N$8,2,0),"")</f>
        <v>2.0833333333333332E-2</v>
      </c>
      <c r="UHY91" s="76">
        <v>0.89444444444444449</v>
      </c>
      <c r="UHZ91" s="77" t="str">
        <f t="shared" si="442"/>
        <v>O</v>
      </c>
      <c r="UIA91" s="79">
        <v>5</v>
      </c>
      <c r="UIB91" s="75">
        <v>1276006</v>
      </c>
      <c r="UIC91" s="80"/>
      <c r="UID91" s="81">
        <v>0.86944444444444446</v>
      </c>
      <c r="UIE91" s="74" t="s">
        <v>27</v>
      </c>
      <c r="UIF91" s="74" t="s">
        <v>24</v>
      </c>
      <c r="UIG91" s="75" t="s">
        <v>25</v>
      </c>
      <c r="UIH91" s="76">
        <f>IFERROR(VLOOKUP(UIG91,'[1]List KPI'!$A$103:$F$118,6,0),"")</f>
        <v>1.0416666666666666E-2</v>
      </c>
      <c r="UII91" s="76">
        <v>0.86944444444444446</v>
      </c>
      <c r="UIJ91" s="76">
        <v>0.86944444444444446</v>
      </c>
      <c r="UIK91" s="77" t="str">
        <f t="shared" si="441"/>
        <v>O</v>
      </c>
      <c r="UIL91" s="74" t="s">
        <v>28</v>
      </c>
      <c r="UIM91" s="75" t="s">
        <v>23</v>
      </c>
      <c r="UIN91" s="78">
        <f>IFERROR(VLOOKUP(UIM91,'[1]List KPI'!$M$3:$N$8,2,0),"")</f>
        <v>2.0833333333333332E-2</v>
      </c>
      <c r="UIO91" s="76">
        <v>0.89444444444444449</v>
      </c>
      <c r="UIP91" s="77" t="str">
        <f t="shared" si="442"/>
        <v>O</v>
      </c>
      <c r="UIQ91" s="79">
        <v>5</v>
      </c>
      <c r="UIR91" s="75">
        <v>1276006</v>
      </c>
      <c r="UIS91" s="80"/>
      <c r="UIT91" s="81">
        <v>0.86944444444444446</v>
      </c>
      <c r="UIU91" s="74" t="s">
        <v>27</v>
      </c>
      <c r="UIV91" s="74" t="s">
        <v>24</v>
      </c>
      <c r="UIW91" s="75" t="s">
        <v>25</v>
      </c>
      <c r="UIX91" s="76">
        <f>IFERROR(VLOOKUP(UIW91,'[1]List KPI'!$A$103:$F$118,6,0),"")</f>
        <v>1.0416666666666666E-2</v>
      </c>
      <c r="UIY91" s="76">
        <v>0.86944444444444446</v>
      </c>
      <c r="UIZ91" s="76">
        <v>0.86944444444444446</v>
      </c>
      <c r="UJA91" s="77" t="str">
        <f t="shared" si="441"/>
        <v>O</v>
      </c>
      <c r="UJB91" s="74" t="s">
        <v>28</v>
      </c>
      <c r="UJC91" s="75" t="s">
        <v>23</v>
      </c>
      <c r="UJD91" s="78">
        <f>IFERROR(VLOOKUP(UJC91,'[1]List KPI'!$M$3:$N$8,2,0),"")</f>
        <v>2.0833333333333332E-2</v>
      </c>
      <c r="UJE91" s="76">
        <v>0.89444444444444449</v>
      </c>
      <c r="UJF91" s="77" t="str">
        <f t="shared" si="442"/>
        <v>O</v>
      </c>
      <c r="UJG91" s="79">
        <v>5</v>
      </c>
      <c r="UJH91" s="75">
        <v>1276006</v>
      </c>
      <c r="UJI91" s="80"/>
      <c r="UJJ91" s="81">
        <v>0.86944444444444446</v>
      </c>
      <c r="UJK91" s="74" t="s">
        <v>27</v>
      </c>
      <c r="UJL91" s="74" t="s">
        <v>24</v>
      </c>
      <c r="UJM91" s="75" t="s">
        <v>25</v>
      </c>
      <c r="UJN91" s="76">
        <f>IFERROR(VLOOKUP(UJM91,'[1]List KPI'!$A$103:$F$118,6,0),"")</f>
        <v>1.0416666666666666E-2</v>
      </c>
      <c r="UJO91" s="76">
        <v>0.86944444444444446</v>
      </c>
      <c r="UJP91" s="76">
        <v>0.86944444444444446</v>
      </c>
      <c r="UJQ91" s="77" t="str">
        <f t="shared" ref="UJQ91:ULM91" si="443">IF(UJP91="","",IF(UJP91&gt;UJY91,"O","P"))</f>
        <v>O</v>
      </c>
      <c r="UJR91" s="74" t="s">
        <v>28</v>
      </c>
      <c r="UJS91" s="75" t="s">
        <v>23</v>
      </c>
      <c r="UJT91" s="78">
        <f>IFERROR(VLOOKUP(UJS91,'[1]List KPI'!$M$3:$N$8,2,0),"")</f>
        <v>2.0833333333333332E-2</v>
      </c>
      <c r="UJU91" s="76">
        <v>0.89444444444444449</v>
      </c>
      <c r="UJV91" s="77" t="str">
        <f t="shared" ref="UJV91:ULR91" si="444">IF(UJU91="","",IF(UJU91&gt;UJZ91,"O","P"))</f>
        <v>O</v>
      </c>
      <c r="UJW91" s="79">
        <v>5</v>
      </c>
      <c r="UJX91" s="75">
        <v>1276006</v>
      </c>
      <c r="UJY91" s="80"/>
      <c r="UJZ91" s="81">
        <v>0.86944444444444446</v>
      </c>
      <c r="UKA91" s="74" t="s">
        <v>27</v>
      </c>
      <c r="UKB91" s="74" t="s">
        <v>24</v>
      </c>
      <c r="UKC91" s="75" t="s">
        <v>25</v>
      </c>
      <c r="UKD91" s="76">
        <f>IFERROR(VLOOKUP(UKC91,'[1]List KPI'!$A$103:$F$118,6,0),"")</f>
        <v>1.0416666666666666E-2</v>
      </c>
      <c r="UKE91" s="76">
        <v>0.86944444444444446</v>
      </c>
      <c r="UKF91" s="76">
        <v>0.86944444444444446</v>
      </c>
      <c r="UKG91" s="77" t="str">
        <f t="shared" si="443"/>
        <v>O</v>
      </c>
      <c r="UKH91" s="74" t="s">
        <v>28</v>
      </c>
      <c r="UKI91" s="75" t="s">
        <v>23</v>
      </c>
      <c r="UKJ91" s="78">
        <f>IFERROR(VLOOKUP(UKI91,'[1]List KPI'!$M$3:$N$8,2,0),"")</f>
        <v>2.0833333333333332E-2</v>
      </c>
      <c r="UKK91" s="76">
        <v>0.89444444444444449</v>
      </c>
      <c r="UKL91" s="77" t="str">
        <f t="shared" si="444"/>
        <v>O</v>
      </c>
      <c r="UKM91" s="79">
        <v>5</v>
      </c>
      <c r="UKN91" s="75">
        <v>1276006</v>
      </c>
      <c r="UKO91" s="80"/>
      <c r="UKP91" s="81">
        <v>0.86944444444444446</v>
      </c>
      <c r="UKQ91" s="74" t="s">
        <v>27</v>
      </c>
      <c r="UKR91" s="74" t="s">
        <v>24</v>
      </c>
      <c r="UKS91" s="75" t="s">
        <v>25</v>
      </c>
      <c r="UKT91" s="76">
        <f>IFERROR(VLOOKUP(UKS91,'[1]List KPI'!$A$103:$F$118,6,0),"")</f>
        <v>1.0416666666666666E-2</v>
      </c>
      <c r="UKU91" s="76">
        <v>0.86944444444444446</v>
      </c>
      <c r="UKV91" s="76">
        <v>0.86944444444444446</v>
      </c>
      <c r="UKW91" s="77" t="str">
        <f t="shared" si="443"/>
        <v>O</v>
      </c>
      <c r="UKX91" s="74" t="s">
        <v>28</v>
      </c>
      <c r="UKY91" s="75" t="s">
        <v>23</v>
      </c>
      <c r="UKZ91" s="78">
        <f>IFERROR(VLOOKUP(UKY91,'[1]List KPI'!$M$3:$N$8,2,0),"")</f>
        <v>2.0833333333333332E-2</v>
      </c>
      <c r="ULA91" s="76">
        <v>0.89444444444444449</v>
      </c>
      <c r="ULB91" s="77" t="str">
        <f t="shared" si="444"/>
        <v>O</v>
      </c>
      <c r="ULC91" s="79">
        <v>5</v>
      </c>
      <c r="ULD91" s="75">
        <v>1276006</v>
      </c>
      <c r="ULE91" s="80"/>
      <c r="ULF91" s="81">
        <v>0.86944444444444446</v>
      </c>
      <c r="ULG91" s="74" t="s">
        <v>27</v>
      </c>
      <c r="ULH91" s="74" t="s">
        <v>24</v>
      </c>
      <c r="ULI91" s="75" t="s">
        <v>25</v>
      </c>
      <c r="ULJ91" s="76">
        <f>IFERROR(VLOOKUP(ULI91,'[1]List KPI'!$A$103:$F$118,6,0),"")</f>
        <v>1.0416666666666666E-2</v>
      </c>
      <c r="ULK91" s="76">
        <v>0.86944444444444446</v>
      </c>
      <c r="ULL91" s="76">
        <v>0.86944444444444446</v>
      </c>
      <c r="ULM91" s="77" t="str">
        <f t="shared" si="443"/>
        <v>O</v>
      </c>
      <c r="ULN91" s="74" t="s">
        <v>28</v>
      </c>
      <c r="ULO91" s="75" t="s">
        <v>23</v>
      </c>
      <c r="ULP91" s="78">
        <f>IFERROR(VLOOKUP(ULO91,'[1]List KPI'!$M$3:$N$8,2,0),"")</f>
        <v>2.0833333333333332E-2</v>
      </c>
      <c r="ULQ91" s="76">
        <v>0.89444444444444449</v>
      </c>
      <c r="ULR91" s="77" t="str">
        <f t="shared" si="444"/>
        <v>O</v>
      </c>
      <c r="ULS91" s="79">
        <v>5</v>
      </c>
      <c r="ULT91" s="75">
        <v>1276006</v>
      </c>
      <c r="ULU91" s="80"/>
      <c r="ULV91" s="81">
        <v>0.86944444444444446</v>
      </c>
      <c r="ULW91" s="74" t="s">
        <v>27</v>
      </c>
      <c r="ULX91" s="74" t="s">
        <v>24</v>
      </c>
      <c r="ULY91" s="75" t="s">
        <v>25</v>
      </c>
      <c r="ULZ91" s="76">
        <f>IFERROR(VLOOKUP(ULY91,'[1]List KPI'!$A$103:$F$118,6,0),"")</f>
        <v>1.0416666666666666E-2</v>
      </c>
      <c r="UMA91" s="76">
        <v>0.86944444444444446</v>
      </c>
      <c r="UMB91" s="76">
        <v>0.86944444444444446</v>
      </c>
      <c r="UMC91" s="77" t="str">
        <f t="shared" ref="UMC91:UNY91" si="445">IF(UMB91="","",IF(UMB91&gt;UMK91,"O","P"))</f>
        <v>O</v>
      </c>
      <c r="UMD91" s="74" t="s">
        <v>28</v>
      </c>
      <c r="UME91" s="75" t="s">
        <v>23</v>
      </c>
      <c r="UMF91" s="78">
        <f>IFERROR(VLOOKUP(UME91,'[1]List KPI'!$M$3:$N$8,2,0),"")</f>
        <v>2.0833333333333332E-2</v>
      </c>
      <c r="UMG91" s="76">
        <v>0.89444444444444449</v>
      </c>
      <c r="UMH91" s="77" t="str">
        <f t="shared" ref="UMH91:UOD91" si="446">IF(UMG91="","",IF(UMG91&gt;UML91,"O","P"))</f>
        <v>O</v>
      </c>
      <c r="UMI91" s="79">
        <v>5</v>
      </c>
      <c r="UMJ91" s="75">
        <v>1276006</v>
      </c>
      <c r="UMK91" s="80"/>
      <c r="UML91" s="81">
        <v>0.86944444444444446</v>
      </c>
      <c r="UMM91" s="74" t="s">
        <v>27</v>
      </c>
      <c r="UMN91" s="74" t="s">
        <v>24</v>
      </c>
      <c r="UMO91" s="75" t="s">
        <v>25</v>
      </c>
      <c r="UMP91" s="76">
        <f>IFERROR(VLOOKUP(UMO91,'[1]List KPI'!$A$103:$F$118,6,0),"")</f>
        <v>1.0416666666666666E-2</v>
      </c>
      <c r="UMQ91" s="76">
        <v>0.86944444444444446</v>
      </c>
      <c r="UMR91" s="76">
        <v>0.86944444444444446</v>
      </c>
      <c r="UMS91" s="77" t="str">
        <f t="shared" si="445"/>
        <v>O</v>
      </c>
      <c r="UMT91" s="74" t="s">
        <v>28</v>
      </c>
      <c r="UMU91" s="75" t="s">
        <v>23</v>
      </c>
      <c r="UMV91" s="78">
        <f>IFERROR(VLOOKUP(UMU91,'[1]List KPI'!$M$3:$N$8,2,0),"")</f>
        <v>2.0833333333333332E-2</v>
      </c>
      <c r="UMW91" s="76">
        <v>0.89444444444444449</v>
      </c>
      <c r="UMX91" s="77" t="str">
        <f t="shared" si="446"/>
        <v>O</v>
      </c>
      <c r="UMY91" s="79">
        <v>5</v>
      </c>
      <c r="UMZ91" s="75">
        <v>1276006</v>
      </c>
      <c r="UNA91" s="80"/>
      <c r="UNB91" s="81">
        <v>0.86944444444444446</v>
      </c>
      <c r="UNC91" s="74" t="s">
        <v>27</v>
      </c>
      <c r="UND91" s="74" t="s">
        <v>24</v>
      </c>
      <c r="UNE91" s="75" t="s">
        <v>25</v>
      </c>
      <c r="UNF91" s="76">
        <f>IFERROR(VLOOKUP(UNE91,'[1]List KPI'!$A$103:$F$118,6,0),"")</f>
        <v>1.0416666666666666E-2</v>
      </c>
      <c r="UNG91" s="76">
        <v>0.86944444444444446</v>
      </c>
      <c r="UNH91" s="76">
        <v>0.86944444444444446</v>
      </c>
      <c r="UNI91" s="77" t="str">
        <f t="shared" si="445"/>
        <v>O</v>
      </c>
      <c r="UNJ91" s="74" t="s">
        <v>28</v>
      </c>
      <c r="UNK91" s="75" t="s">
        <v>23</v>
      </c>
      <c r="UNL91" s="78">
        <f>IFERROR(VLOOKUP(UNK91,'[1]List KPI'!$M$3:$N$8,2,0),"")</f>
        <v>2.0833333333333332E-2</v>
      </c>
      <c r="UNM91" s="76">
        <v>0.89444444444444449</v>
      </c>
      <c r="UNN91" s="77" t="str">
        <f t="shared" si="446"/>
        <v>O</v>
      </c>
      <c r="UNO91" s="79">
        <v>5</v>
      </c>
      <c r="UNP91" s="75">
        <v>1276006</v>
      </c>
      <c r="UNQ91" s="80"/>
      <c r="UNR91" s="81">
        <v>0.86944444444444446</v>
      </c>
      <c r="UNS91" s="74" t="s">
        <v>27</v>
      </c>
      <c r="UNT91" s="74" t="s">
        <v>24</v>
      </c>
      <c r="UNU91" s="75" t="s">
        <v>25</v>
      </c>
      <c r="UNV91" s="76">
        <f>IFERROR(VLOOKUP(UNU91,'[1]List KPI'!$A$103:$F$118,6,0),"")</f>
        <v>1.0416666666666666E-2</v>
      </c>
      <c r="UNW91" s="76">
        <v>0.86944444444444446</v>
      </c>
      <c r="UNX91" s="76">
        <v>0.86944444444444446</v>
      </c>
      <c r="UNY91" s="77" t="str">
        <f t="shared" si="445"/>
        <v>O</v>
      </c>
      <c r="UNZ91" s="74" t="s">
        <v>28</v>
      </c>
      <c r="UOA91" s="75" t="s">
        <v>23</v>
      </c>
      <c r="UOB91" s="78">
        <f>IFERROR(VLOOKUP(UOA91,'[1]List KPI'!$M$3:$N$8,2,0),"")</f>
        <v>2.0833333333333332E-2</v>
      </c>
      <c r="UOC91" s="76">
        <v>0.89444444444444449</v>
      </c>
      <c r="UOD91" s="77" t="str">
        <f t="shared" si="446"/>
        <v>O</v>
      </c>
      <c r="UOE91" s="79">
        <v>5</v>
      </c>
      <c r="UOF91" s="75">
        <v>1276006</v>
      </c>
      <c r="UOG91" s="80"/>
      <c r="UOH91" s="81">
        <v>0.86944444444444446</v>
      </c>
      <c r="UOI91" s="74" t="s">
        <v>27</v>
      </c>
      <c r="UOJ91" s="74" t="s">
        <v>24</v>
      </c>
      <c r="UOK91" s="75" t="s">
        <v>25</v>
      </c>
      <c r="UOL91" s="76">
        <f>IFERROR(VLOOKUP(UOK91,'[1]List KPI'!$A$103:$F$118,6,0),"")</f>
        <v>1.0416666666666666E-2</v>
      </c>
      <c r="UOM91" s="76">
        <v>0.86944444444444446</v>
      </c>
      <c r="UON91" s="76">
        <v>0.86944444444444446</v>
      </c>
      <c r="UOO91" s="77" t="str">
        <f t="shared" ref="UOO91:UQK91" si="447">IF(UON91="","",IF(UON91&gt;UOW91,"O","P"))</f>
        <v>O</v>
      </c>
      <c r="UOP91" s="74" t="s">
        <v>28</v>
      </c>
      <c r="UOQ91" s="75" t="s">
        <v>23</v>
      </c>
      <c r="UOR91" s="78">
        <f>IFERROR(VLOOKUP(UOQ91,'[1]List KPI'!$M$3:$N$8,2,0),"")</f>
        <v>2.0833333333333332E-2</v>
      </c>
      <c r="UOS91" s="76">
        <v>0.89444444444444449</v>
      </c>
      <c r="UOT91" s="77" t="str">
        <f t="shared" ref="UOT91:UQP91" si="448">IF(UOS91="","",IF(UOS91&gt;UOX91,"O","P"))</f>
        <v>O</v>
      </c>
      <c r="UOU91" s="79">
        <v>5</v>
      </c>
      <c r="UOV91" s="75">
        <v>1276006</v>
      </c>
      <c r="UOW91" s="80"/>
      <c r="UOX91" s="81">
        <v>0.86944444444444446</v>
      </c>
      <c r="UOY91" s="74" t="s">
        <v>27</v>
      </c>
      <c r="UOZ91" s="74" t="s">
        <v>24</v>
      </c>
      <c r="UPA91" s="75" t="s">
        <v>25</v>
      </c>
      <c r="UPB91" s="76">
        <f>IFERROR(VLOOKUP(UPA91,'[1]List KPI'!$A$103:$F$118,6,0),"")</f>
        <v>1.0416666666666666E-2</v>
      </c>
      <c r="UPC91" s="76">
        <v>0.86944444444444446</v>
      </c>
      <c r="UPD91" s="76">
        <v>0.86944444444444446</v>
      </c>
      <c r="UPE91" s="77" t="str">
        <f t="shared" si="447"/>
        <v>O</v>
      </c>
      <c r="UPF91" s="74" t="s">
        <v>28</v>
      </c>
      <c r="UPG91" s="75" t="s">
        <v>23</v>
      </c>
      <c r="UPH91" s="78">
        <f>IFERROR(VLOOKUP(UPG91,'[1]List KPI'!$M$3:$N$8,2,0),"")</f>
        <v>2.0833333333333332E-2</v>
      </c>
      <c r="UPI91" s="76">
        <v>0.89444444444444449</v>
      </c>
      <c r="UPJ91" s="77" t="str">
        <f t="shared" si="448"/>
        <v>O</v>
      </c>
      <c r="UPK91" s="79">
        <v>5</v>
      </c>
      <c r="UPL91" s="75">
        <v>1276006</v>
      </c>
      <c r="UPM91" s="80"/>
      <c r="UPN91" s="81">
        <v>0.86944444444444446</v>
      </c>
      <c r="UPO91" s="74" t="s">
        <v>27</v>
      </c>
      <c r="UPP91" s="74" t="s">
        <v>24</v>
      </c>
      <c r="UPQ91" s="75" t="s">
        <v>25</v>
      </c>
      <c r="UPR91" s="76">
        <f>IFERROR(VLOOKUP(UPQ91,'[1]List KPI'!$A$103:$F$118,6,0),"")</f>
        <v>1.0416666666666666E-2</v>
      </c>
      <c r="UPS91" s="76">
        <v>0.86944444444444446</v>
      </c>
      <c r="UPT91" s="76">
        <v>0.86944444444444446</v>
      </c>
      <c r="UPU91" s="77" t="str">
        <f t="shared" si="447"/>
        <v>O</v>
      </c>
      <c r="UPV91" s="74" t="s">
        <v>28</v>
      </c>
      <c r="UPW91" s="75" t="s">
        <v>23</v>
      </c>
      <c r="UPX91" s="78">
        <f>IFERROR(VLOOKUP(UPW91,'[1]List KPI'!$M$3:$N$8,2,0),"")</f>
        <v>2.0833333333333332E-2</v>
      </c>
      <c r="UPY91" s="76">
        <v>0.89444444444444449</v>
      </c>
      <c r="UPZ91" s="77" t="str">
        <f t="shared" si="448"/>
        <v>O</v>
      </c>
      <c r="UQA91" s="79">
        <v>5</v>
      </c>
      <c r="UQB91" s="75">
        <v>1276006</v>
      </c>
      <c r="UQC91" s="80"/>
      <c r="UQD91" s="81">
        <v>0.86944444444444446</v>
      </c>
      <c r="UQE91" s="74" t="s">
        <v>27</v>
      </c>
      <c r="UQF91" s="74" t="s">
        <v>24</v>
      </c>
      <c r="UQG91" s="75" t="s">
        <v>25</v>
      </c>
      <c r="UQH91" s="76">
        <f>IFERROR(VLOOKUP(UQG91,'[1]List KPI'!$A$103:$F$118,6,0),"")</f>
        <v>1.0416666666666666E-2</v>
      </c>
      <c r="UQI91" s="76">
        <v>0.86944444444444446</v>
      </c>
      <c r="UQJ91" s="76">
        <v>0.86944444444444446</v>
      </c>
      <c r="UQK91" s="77" t="str">
        <f t="shared" si="447"/>
        <v>O</v>
      </c>
      <c r="UQL91" s="74" t="s">
        <v>28</v>
      </c>
      <c r="UQM91" s="75" t="s">
        <v>23</v>
      </c>
      <c r="UQN91" s="78">
        <f>IFERROR(VLOOKUP(UQM91,'[1]List KPI'!$M$3:$N$8,2,0),"")</f>
        <v>2.0833333333333332E-2</v>
      </c>
      <c r="UQO91" s="76">
        <v>0.89444444444444449</v>
      </c>
      <c r="UQP91" s="77" t="str">
        <f t="shared" si="448"/>
        <v>O</v>
      </c>
      <c r="UQQ91" s="79">
        <v>5</v>
      </c>
      <c r="UQR91" s="75">
        <v>1276006</v>
      </c>
      <c r="UQS91" s="80"/>
      <c r="UQT91" s="81">
        <v>0.86944444444444446</v>
      </c>
      <c r="UQU91" s="74" t="s">
        <v>27</v>
      </c>
      <c r="UQV91" s="74" t="s">
        <v>24</v>
      </c>
      <c r="UQW91" s="75" t="s">
        <v>25</v>
      </c>
      <c r="UQX91" s="76">
        <f>IFERROR(VLOOKUP(UQW91,'[1]List KPI'!$A$103:$F$118,6,0),"")</f>
        <v>1.0416666666666666E-2</v>
      </c>
      <c r="UQY91" s="76">
        <v>0.86944444444444446</v>
      </c>
      <c r="UQZ91" s="76">
        <v>0.86944444444444446</v>
      </c>
      <c r="URA91" s="77" t="str">
        <f t="shared" ref="URA91:USW91" si="449">IF(UQZ91="","",IF(UQZ91&gt;URI91,"O","P"))</f>
        <v>O</v>
      </c>
      <c r="URB91" s="74" t="s">
        <v>28</v>
      </c>
      <c r="URC91" s="75" t="s">
        <v>23</v>
      </c>
      <c r="URD91" s="78">
        <f>IFERROR(VLOOKUP(URC91,'[1]List KPI'!$M$3:$N$8,2,0),"")</f>
        <v>2.0833333333333332E-2</v>
      </c>
      <c r="URE91" s="76">
        <v>0.89444444444444449</v>
      </c>
      <c r="URF91" s="77" t="str">
        <f t="shared" ref="URF91:UTB91" si="450">IF(URE91="","",IF(URE91&gt;URJ91,"O","P"))</f>
        <v>O</v>
      </c>
      <c r="URG91" s="79">
        <v>5</v>
      </c>
      <c r="URH91" s="75">
        <v>1276006</v>
      </c>
      <c r="URI91" s="80"/>
      <c r="URJ91" s="81">
        <v>0.86944444444444446</v>
      </c>
      <c r="URK91" s="74" t="s">
        <v>27</v>
      </c>
      <c r="URL91" s="74" t="s">
        <v>24</v>
      </c>
      <c r="URM91" s="75" t="s">
        <v>25</v>
      </c>
      <c r="URN91" s="76">
        <f>IFERROR(VLOOKUP(URM91,'[1]List KPI'!$A$103:$F$118,6,0),"")</f>
        <v>1.0416666666666666E-2</v>
      </c>
      <c r="URO91" s="76">
        <v>0.86944444444444446</v>
      </c>
      <c r="URP91" s="76">
        <v>0.86944444444444446</v>
      </c>
      <c r="URQ91" s="77" t="str">
        <f t="shared" si="449"/>
        <v>O</v>
      </c>
      <c r="URR91" s="74" t="s">
        <v>28</v>
      </c>
      <c r="URS91" s="75" t="s">
        <v>23</v>
      </c>
      <c r="URT91" s="78">
        <f>IFERROR(VLOOKUP(URS91,'[1]List KPI'!$M$3:$N$8,2,0),"")</f>
        <v>2.0833333333333332E-2</v>
      </c>
      <c r="URU91" s="76">
        <v>0.89444444444444449</v>
      </c>
      <c r="URV91" s="77" t="str">
        <f t="shared" si="450"/>
        <v>O</v>
      </c>
      <c r="URW91" s="79">
        <v>5</v>
      </c>
      <c r="URX91" s="75">
        <v>1276006</v>
      </c>
      <c r="URY91" s="80"/>
      <c r="URZ91" s="81">
        <v>0.86944444444444446</v>
      </c>
      <c r="USA91" s="74" t="s">
        <v>27</v>
      </c>
      <c r="USB91" s="74" t="s">
        <v>24</v>
      </c>
      <c r="USC91" s="75" t="s">
        <v>25</v>
      </c>
      <c r="USD91" s="76">
        <f>IFERROR(VLOOKUP(USC91,'[1]List KPI'!$A$103:$F$118,6,0),"")</f>
        <v>1.0416666666666666E-2</v>
      </c>
      <c r="USE91" s="76">
        <v>0.86944444444444446</v>
      </c>
      <c r="USF91" s="76">
        <v>0.86944444444444446</v>
      </c>
      <c r="USG91" s="77" t="str">
        <f t="shared" si="449"/>
        <v>O</v>
      </c>
      <c r="USH91" s="74" t="s">
        <v>28</v>
      </c>
      <c r="USI91" s="75" t="s">
        <v>23</v>
      </c>
      <c r="USJ91" s="78">
        <f>IFERROR(VLOOKUP(USI91,'[1]List KPI'!$M$3:$N$8,2,0),"")</f>
        <v>2.0833333333333332E-2</v>
      </c>
      <c r="USK91" s="76">
        <v>0.89444444444444449</v>
      </c>
      <c r="USL91" s="77" t="str">
        <f t="shared" si="450"/>
        <v>O</v>
      </c>
      <c r="USM91" s="79">
        <v>5</v>
      </c>
      <c r="USN91" s="75">
        <v>1276006</v>
      </c>
      <c r="USO91" s="80"/>
      <c r="USP91" s="81">
        <v>0.86944444444444446</v>
      </c>
      <c r="USQ91" s="74" t="s">
        <v>27</v>
      </c>
      <c r="USR91" s="74" t="s">
        <v>24</v>
      </c>
      <c r="USS91" s="75" t="s">
        <v>25</v>
      </c>
      <c r="UST91" s="76">
        <f>IFERROR(VLOOKUP(USS91,'[1]List KPI'!$A$103:$F$118,6,0),"")</f>
        <v>1.0416666666666666E-2</v>
      </c>
      <c r="USU91" s="76">
        <v>0.86944444444444446</v>
      </c>
      <c r="USV91" s="76">
        <v>0.86944444444444446</v>
      </c>
      <c r="USW91" s="77" t="str">
        <f t="shared" si="449"/>
        <v>O</v>
      </c>
      <c r="USX91" s="74" t="s">
        <v>28</v>
      </c>
      <c r="USY91" s="75" t="s">
        <v>23</v>
      </c>
      <c r="USZ91" s="78">
        <f>IFERROR(VLOOKUP(USY91,'[1]List KPI'!$M$3:$N$8,2,0),"")</f>
        <v>2.0833333333333332E-2</v>
      </c>
      <c r="UTA91" s="76">
        <v>0.89444444444444449</v>
      </c>
      <c r="UTB91" s="77" t="str">
        <f t="shared" si="450"/>
        <v>O</v>
      </c>
      <c r="UTC91" s="79">
        <v>5</v>
      </c>
      <c r="UTD91" s="75">
        <v>1276006</v>
      </c>
      <c r="UTE91" s="80"/>
      <c r="UTF91" s="81">
        <v>0.86944444444444446</v>
      </c>
      <c r="UTG91" s="74" t="s">
        <v>27</v>
      </c>
      <c r="UTH91" s="74" t="s">
        <v>24</v>
      </c>
      <c r="UTI91" s="75" t="s">
        <v>25</v>
      </c>
      <c r="UTJ91" s="76">
        <f>IFERROR(VLOOKUP(UTI91,'[1]List KPI'!$A$103:$F$118,6,0),"")</f>
        <v>1.0416666666666666E-2</v>
      </c>
      <c r="UTK91" s="76">
        <v>0.86944444444444446</v>
      </c>
      <c r="UTL91" s="76">
        <v>0.86944444444444446</v>
      </c>
      <c r="UTM91" s="77" t="str">
        <f t="shared" ref="UTM91:UVI91" si="451">IF(UTL91="","",IF(UTL91&gt;UTU91,"O","P"))</f>
        <v>O</v>
      </c>
      <c r="UTN91" s="74" t="s">
        <v>28</v>
      </c>
      <c r="UTO91" s="75" t="s">
        <v>23</v>
      </c>
      <c r="UTP91" s="78">
        <f>IFERROR(VLOOKUP(UTO91,'[1]List KPI'!$M$3:$N$8,2,0),"")</f>
        <v>2.0833333333333332E-2</v>
      </c>
      <c r="UTQ91" s="76">
        <v>0.89444444444444449</v>
      </c>
      <c r="UTR91" s="77" t="str">
        <f t="shared" ref="UTR91:UVN91" si="452">IF(UTQ91="","",IF(UTQ91&gt;UTV91,"O","P"))</f>
        <v>O</v>
      </c>
      <c r="UTS91" s="79">
        <v>5</v>
      </c>
      <c r="UTT91" s="75">
        <v>1276006</v>
      </c>
      <c r="UTU91" s="80"/>
      <c r="UTV91" s="81">
        <v>0.86944444444444446</v>
      </c>
      <c r="UTW91" s="74" t="s">
        <v>27</v>
      </c>
      <c r="UTX91" s="74" t="s">
        <v>24</v>
      </c>
      <c r="UTY91" s="75" t="s">
        <v>25</v>
      </c>
      <c r="UTZ91" s="76">
        <f>IFERROR(VLOOKUP(UTY91,'[1]List KPI'!$A$103:$F$118,6,0),"")</f>
        <v>1.0416666666666666E-2</v>
      </c>
      <c r="UUA91" s="76">
        <v>0.86944444444444446</v>
      </c>
      <c r="UUB91" s="76">
        <v>0.86944444444444446</v>
      </c>
      <c r="UUC91" s="77" t="str">
        <f t="shared" si="451"/>
        <v>O</v>
      </c>
      <c r="UUD91" s="74" t="s">
        <v>28</v>
      </c>
      <c r="UUE91" s="75" t="s">
        <v>23</v>
      </c>
      <c r="UUF91" s="78">
        <f>IFERROR(VLOOKUP(UUE91,'[1]List KPI'!$M$3:$N$8,2,0),"")</f>
        <v>2.0833333333333332E-2</v>
      </c>
      <c r="UUG91" s="76">
        <v>0.89444444444444449</v>
      </c>
      <c r="UUH91" s="77" t="str">
        <f t="shared" si="452"/>
        <v>O</v>
      </c>
      <c r="UUI91" s="79">
        <v>5</v>
      </c>
      <c r="UUJ91" s="75">
        <v>1276006</v>
      </c>
      <c r="UUK91" s="80"/>
      <c r="UUL91" s="81">
        <v>0.86944444444444446</v>
      </c>
      <c r="UUM91" s="74" t="s">
        <v>27</v>
      </c>
      <c r="UUN91" s="74" t="s">
        <v>24</v>
      </c>
      <c r="UUO91" s="75" t="s">
        <v>25</v>
      </c>
      <c r="UUP91" s="76">
        <f>IFERROR(VLOOKUP(UUO91,'[1]List KPI'!$A$103:$F$118,6,0),"")</f>
        <v>1.0416666666666666E-2</v>
      </c>
      <c r="UUQ91" s="76">
        <v>0.86944444444444446</v>
      </c>
      <c r="UUR91" s="76">
        <v>0.86944444444444446</v>
      </c>
      <c r="UUS91" s="77" t="str">
        <f t="shared" si="451"/>
        <v>O</v>
      </c>
      <c r="UUT91" s="74" t="s">
        <v>28</v>
      </c>
      <c r="UUU91" s="75" t="s">
        <v>23</v>
      </c>
      <c r="UUV91" s="78">
        <f>IFERROR(VLOOKUP(UUU91,'[1]List KPI'!$M$3:$N$8,2,0),"")</f>
        <v>2.0833333333333332E-2</v>
      </c>
      <c r="UUW91" s="76">
        <v>0.89444444444444449</v>
      </c>
      <c r="UUX91" s="77" t="str">
        <f t="shared" si="452"/>
        <v>O</v>
      </c>
      <c r="UUY91" s="79">
        <v>5</v>
      </c>
      <c r="UUZ91" s="75">
        <v>1276006</v>
      </c>
      <c r="UVA91" s="80"/>
      <c r="UVB91" s="81">
        <v>0.86944444444444446</v>
      </c>
      <c r="UVC91" s="74" t="s">
        <v>27</v>
      </c>
      <c r="UVD91" s="74" t="s">
        <v>24</v>
      </c>
      <c r="UVE91" s="75" t="s">
        <v>25</v>
      </c>
      <c r="UVF91" s="76">
        <f>IFERROR(VLOOKUP(UVE91,'[1]List KPI'!$A$103:$F$118,6,0),"")</f>
        <v>1.0416666666666666E-2</v>
      </c>
      <c r="UVG91" s="76">
        <v>0.86944444444444446</v>
      </c>
      <c r="UVH91" s="76">
        <v>0.86944444444444446</v>
      </c>
      <c r="UVI91" s="77" t="str">
        <f t="shared" si="451"/>
        <v>O</v>
      </c>
      <c r="UVJ91" s="74" t="s">
        <v>28</v>
      </c>
      <c r="UVK91" s="75" t="s">
        <v>23</v>
      </c>
      <c r="UVL91" s="78">
        <f>IFERROR(VLOOKUP(UVK91,'[1]List KPI'!$M$3:$N$8,2,0),"")</f>
        <v>2.0833333333333332E-2</v>
      </c>
      <c r="UVM91" s="76">
        <v>0.89444444444444449</v>
      </c>
      <c r="UVN91" s="77" t="str">
        <f t="shared" si="452"/>
        <v>O</v>
      </c>
      <c r="UVO91" s="79">
        <v>5</v>
      </c>
      <c r="UVP91" s="75">
        <v>1276006</v>
      </c>
      <c r="UVQ91" s="80"/>
      <c r="UVR91" s="81">
        <v>0.86944444444444446</v>
      </c>
      <c r="UVS91" s="74" t="s">
        <v>27</v>
      </c>
      <c r="UVT91" s="74" t="s">
        <v>24</v>
      </c>
      <c r="UVU91" s="75" t="s">
        <v>25</v>
      </c>
      <c r="UVV91" s="76">
        <f>IFERROR(VLOOKUP(UVU91,'[1]List KPI'!$A$103:$F$118,6,0),"")</f>
        <v>1.0416666666666666E-2</v>
      </c>
      <c r="UVW91" s="76">
        <v>0.86944444444444446</v>
      </c>
      <c r="UVX91" s="76">
        <v>0.86944444444444446</v>
      </c>
      <c r="UVY91" s="77" t="str">
        <f t="shared" ref="UVY91:UXU91" si="453">IF(UVX91="","",IF(UVX91&gt;UWG91,"O","P"))</f>
        <v>O</v>
      </c>
      <c r="UVZ91" s="74" t="s">
        <v>28</v>
      </c>
      <c r="UWA91" s="75" t="s">
        <v>23</v>
      </c>
      <c r="UWB91" s="78">
        <f>IFERROR(VLOOKUP(UWA91,'[1]List KPI'!$M$3:$N$8,2,0),"")</f>
        <v>2.0833333333333332E-2</v>
      </c>
      <c r="UWC91" s="76">
        <v>0.89444444444444449</v>
      </c>
      <c r="UWD91" s="77" t="str">
        <f t="shared" ref="UWD91:UXZ91" si="454">IF(UWC91="","",IF(UWC91&gt;UWH91,"O","P"))</f>
        <v>O</v>
      </c>
      <c r="UWE91" s="79">
        <v>5</v>
      </c>
      <c r="UWF91" s="75">
        <v>1276006</v>
      </c>
      <c r="UWG91" s="80"/>
      <c r="UWH91" s="81">
        <v>0.86944444444444446</v>
      </c>
      <c r="UWI91" s="74" t="s">
        <v>27</v>
      </c>
      <c r="UWJ91" s="74" t="s">
        <v>24</v>
      </c>
      <c r="UWK91" s="75" t="s">
        <v>25</v>
      </c>
      <c r="UWL91" s="76">
        <f>IFERROR(VLOOKUP(UWK91,'[1]List KPI'!$A$103:$F$118,6,0),"")</f>
        <v>1.0416666666666666E-2</v>
      </c>
      <c r="UWM91" s="76">
        <v>0.86944444444444446</v>
      </c>
      <c r="UWN91" s="76">
        <v>0.86944444444444446</v>
      </c>
      <c r="UWO91" s="77" t="str">
        <f t="shared" si="453"/>
        <v>O</v>
      </c>
      <c r="UWP91" s="74" t="s">
        <v>28</v>
      </c>
      <c r="UWQ91" s="75" t="s">
        <v>23</v>
      </c>
      <c r="UWR91" s="78">
        <f>IFERROR(VLOOKUP(UWQ91,'[1]List KPI'!$M$3:$N$8,2,0),"")</f>
        <v>2.0833333333333332E-2</v>
      </c>
      <c r="UWS91" s="76">
        <v>0.89444444444444449</v>
      </c>
      <c r="UWT91" s="77" t="str">
        <f t="shared" si="454"/>
        <v>O</v>
      </c>
      <c r="UWU91" s="79">
        <v>5</v>
      </c>
      <c r="UWV91" s="75">
        <v>1276006</v>
      </c>
      <c r="UWW91" s="80"/>
      <c r="UWX91" s="81">
        <v>0.86944444444444446</v>
      </c>
      <c r="UWY91" s="74" t="s">
        <v>27</v>
      </c>
      <c r="UWZ91" s="74" t="s">
        <v>24</v>
      </c>
      <c r="UXA91" s="75" t="s">
        <v>25</v>
      </c>
      <c r="UXB91" s="76">
        <f>IFERROR(VLOOKUP(UXA91,'[1]List KPI'!$A$103:$F$118,6,0),"")</f>
        <v>1.0416666666666666E-2</v>
      </c>
      <c r="UXC91" s="76">
        <v>0.86944444444444446</v>
      </c>
      <c r="UXD91" s="76">
        <v>0.86944444444444446</v>
      </c>
      <c r="UXE91" s="77" t="str">
        <f t="shared" si="453"/>
        <v>O</v>
      </c>
      <c r="UXF91" s="74" t="s">
        <v>28</v>
      </c>
      <c r="UXG91" s="75" t="s">
        <v>23</v>
      </c>
      <c r="UXH91" s="78">
        <f>IFERROR(VLOOKUP(UXG91,'[1]List KPI'!$M$3:$N$8,2,0),"")</f>
        <v>2.0833333333333332E-2</v>
      </c>
      <c r="UXI91" s="76">
        <v>0.89444444444444449</v>
      </c>
      <c r="UXJ91" s="77" t="str">
        <f t="shared" si="454"/>
        <v>O</v>
      </c>
      <c r="UXK91" s="79">
        <v>5</v>
      </c>
      <c r="UXL91" s="75">
        <v>1276006</v>
      </c>
      <c r="UXM91" s="80"/>
      <c r="UXN91" s="81">
        <v>0.86944444444444446</v>
      </c>
      <c r="UXO91" s="74" t="s">
        <v>27</v>
      </c>
      <c r="UXP91" s="74" t="s">
        <v>24</v>
      </c>
      <c r="UXQ91" s="75" t="s">
        <v>25</v>
      </c>
      <c r="UXR91" s="76">
        <f>IFERROR(VLOOKUP(UXQ91,'[1]List KPI'!$A$103:$F$118,6,0),"")</f>
        <v>1.0416666666666666E-2</v>
      </c>
      <c r="UXS91" s="76">
        <v>0.86944444444444446</v>
      </c>
      <c r="UXT91" s="76">
        <v>0.86944444444444446</v>
      </c>
      <c r="UXU91" s="77" t="str">
        <f t="shared" si="453"/>
        <v>O</v>
      </c>
      <c r="UXV91" s="74" t="s">
        <v>28</v>
      </c>
      <c r="UXW91" s="75" t="s">
        <v>23</v>
      </c>
      <c r="UXX91" s="78">
        <f>IFERROR(VLOOKUP(UXW91,'[1]List KPI'!$M$3:$N$8,2,0),"")</f>
        <v>2.0833333333333332E-2</v>
      </c>
      <c r="UXY91" s="76">
        <v>0.89444444444444449</v>
      </c>
      <c r="UXZ91" s="77" t="str">
        <f t="shared" si="454"/>
        <v>O</v>
      </c>
      <c r="UYA91" s="79">
        <v>5</v>
      </c>
      <c r="UYB91" s="75">
        <v>1276006</v>
      </c>
      <c r="UYC91" s="80"/>
      <c r="UYD91" s="81">
        <v>0.86944444444444446</v>
      </c>
      <c r="UYE91" s="74" t="s">
        <v>27</v>
      </c>
      <c r="UYF91" s="74" t="s">
        <v>24</v>
      </c>
      <c r="UYG91" s="75" t="s">
        <v>25</v>
      </c>
      <c r="UYH91" s="76">
        <f>IFERROR(VLOOKUP(UYG91,'[1]List KPI'!$A$103:$F$118,6,0),"")</f>
        <v>1.0416666666666666E-2</v>
      </c>
      <c r="UYI91" s="76">
        <v>0.86944444444444446</v>
      </c>
      <c r="UYJ91" s="76">
        <v>0.86944444444444446</v>
      </c>
      <c r="UYK91" s="77" t="str">
        <f t="shared" ref="UYK91:VAG91" si="455">IF(UYJ91="","",IF(UYJ91&gt;UYS91,"O","P"))</f>
        <v>O</v>
      </c>
      <c r="UYL91" s="74" t="s">
        <v>28</v>
      </c>
      <c r="UYM91" s="75" t="s">
        <v>23</v>
      </c>
      <c r="UYN91" s="78">
        <f>IFERROR(VLOOKUP(UYM91,'[1]List KPI'!$M$3:$N$8,2,0),"")</f>
        <v>2.0833333333333332E-2</v>
      </c>
      <c r="UYO91" s="76">
        <v>0.89444444444444449</v>
      </c>
      <c r="UYP91" s="77" t="str">
        <f t="shared" ref="UYP91:VAL91" si="456">IF(UYO91="","",IF(UYO91&gt;UYT91,"O","P"))</f>
        <v>O</v>
      </c>
      <c r="UYQ91" s="79">
        <v>5</v>
      </c>
      <c r="UYR91" s="75">
        <v>1276006</v>
      </c>
      <c r="UYS91" s="80"/>
      <c r="UYT91" s="81">
        <v>0.86944444444444446</v>
      </c>
      <c r="UYU91" s="74" t="s">
        <v>27</v>
      </c>
      <c r="UYV91" s="74" t="s">
        <v>24</v>
      </c>
      <c r="UYW91" s="75" t="s">
        <v>25</v>
      </c>
      <c r="UYX91" s="76">
        <f>IFERROR(VLOOKUP(UYW91,'[1]List KPI'!$A$103:$F$118,6,0),"")</f>
        <v>1.0416666666666666E-2</v>
      </c>
      <c r="UYY91" s="76">
        <v>0.86944444444444446</v>
      </c>
      <c r="UYZ91" s="76">
        <v>0.86944444444444446</v>
      </c>
      <c r="UZA91" s="77" t="str">
        <f t="shared" si="455"/>
        <v>O</v>
      </c>
      <c r="UZB91" s="74" t="s">
        <v>28</v>
      </c>
      <c r="UZC91" s="75" t="s">
        <v>23</v>
      </c>
      <c r="UZD91" s="78">
        <f>IFERROR(VLOOKUP(UZC91,'[1]List KPI'!$M$3:$N$8,2,0),"")</f>
        <v>2.0833333333333332E-2</v>
      </c>
      <c r="UZE91" s="76">
        <v>0.89444444444444449</v>
      </c>
      <c r="UZF91" s="77" t="str">
        <f t="shared" si="456"/>
        <v>O</v>
      </c>
      <c r="UZG91" s="79">
        <v>5</v>
      </c>
      <c r="UZH91" s="75">
        <v>1276006</v>
      </c>
      <c r="UZI91" s="80"/>
      <c r="UZJ91" s="81">
        <v>0.86944444444444446</v>
      </c>
      <c r="UZK91" s="74" t="s">
        <v>27</v>
      </c>
      <c r="UZL91" s="74" t="s">
        <v>24</v>
      </c>
      <c r="UZM91" s="75" t="s">
        <v>25</v>
      </c>
      <c r="UZN91" s="76">
        <f>IFERROR(VLOOKUP(UZM91,'[1]List KPI'!$A$103:$F$118,6,0),"")</f>
        <v>1.0416666666666666E-2</v>
      </c>
      <c r="UZO91" s="76">
        <v>0.86944444444444446</v>
      </c>
      <c r="UZP91" s="76">
        <v>0.86944444444444446</v>
      </c>
      <c r="UZQ91" s="77" t="str">
        <f t="shared" si="455"/>
        <v>O</v>
      </c>
      <c r="UZR91" s="74" t="s">
        <v>28</v>
      </c>
      <c r="UZS91" s="75" t="s">
        <v>23</v>
      </c>
      <c r="UZT91" s="78">
        <f>IFERROR(VLOOKUP(UZS91,'[1]List KPI'!$M$3:$N$8,2,0),"")</f>
        <v>2.0833333333333332E-2</v>
      </c>
      <c r="UZU91" s="76">
        <v>0.89444444444444449</v>
      </c>
      <c r="UZV91" s="77" t="str">
        <f t="shared" si="456"/>
        <v>O</v>
      </c>
      <c r="UZW91" s="79">
        <v>5</v>
      </c>
      <c r="UZX91" s="75">
        <v>1276006</v>
      </c>
      <c r="UZY91" s="80"/>
      <c r="UZZ91" s="81">
        <v>0.86944444444444446</v>
      </c>
      <c r="VAA91" s="74" t="s">
        <v>27</v>
      </c>
      <c r="VAB91" s="74" t="s">
        <v>24</v>
      </c>
      <c r="VAC91" s="75" t="s">
        <v>25</v>
      </c>
      <c r="VAD91" s="76">
        <f>IFERROR(VLOOKUP(VAC91,'[1]List KPI'!$A$103:$F$118,6,0),"")</f>
        <v>1.0416666666666666E-2</v>
      </c>
      <c r="VAE91" s="76">
        <v>0.86944444444444446</v>
      </c>
      <c r="VAF91" s="76">
        <v>0.86944444444444446</v>
      </c>
      <c r="VAG91" s="77" t="str">
        <f t="shared" si="455"/>
        <v>O</v>
      </c>
      <c r="VAH91" s="74" t="s">
        <v>28</v>
      </c>
      <c r="VAI91" s="75" t="s">
        <v>23</v>
      </c>
      <c r="VAJ91" s="78">
        <f>IFERROR(VLOOKUP(VAI91,'[1]List KPI'!$M$3:$N$8,2,0),"")</f>
        <v>2.0833333333333332E-2</v>
      </c>
      <c r="VAK91" s="76">
        <v>0.89444444444444449</v>
      </c>
      <c r="VAL91" s="77" t="str">
        <f t="shared" si="456"/>
        <v>O</v>
      </c>
      <c r="VAM91" s="79">
        <v>5</v>
      </c>
      <c r="VAN91" s="75">
        <v>1276006</v>
      </c>
      <c r="VAO91" s="80"/>
      <c r="VAP91" s="81">
        <v>0.86944444444444446</v>
      </c>
      <c r="VAQ91" s="74" t="s">
        <v>27</v>
      </c>
      <c r="VAR91" s="74" t="s">
        <v>24</v>
      </c>
      <c r="VAS91" s="75" t="s">
        <v>25</v>
      </c>
      <c r="VAT91" s="76">
        <f>IFERROR(VLOOKUP(VAS91,'[1]List KPI'!$A$103:$F$118,6,0),"")</f>
        <v>1.0416666666666666E-2</v>
      </c>
      <c r="VAU91" s="76">
        <v>0.86944444444444446</v>
      </c>
      <c r="VAV91" s="76">
        <v>0.86944444444444446</v>
      </c>
      <c r="VAW91" s="77" t="str">
        <f t="shared" ref="VAW91:VCS91" si="457">IF(VAV91="","",IF(VAV91&gt;VBE91,"O","P"))</f>
        <v>O</v>
      </c>
      <c r="VAX91" s="74" t="s">
        <v>28</v>
      </c>
      <c r="VAY91" s="75" t="s">
        <v>23</v>
      </c>
      <c r="VAZ91" s="78">
        <f>IFERROR(VLOOKUP(VAY91,'[1]List KPI'!$M$3:$N$8,2,0),"")</f>
        <v>2.0833333333333332E-2</v>
      </c>
      <c r="VBA91" s="76">
        <v>0.89444444444444449</v>
      </c>
      <c r="VBB91" s="77" t="str">
        <f t="shared" ref="VBB91:VCX91" si="458">IF(VBA91="","",IF(VBA91&gt;VBF91,"O","P"))</f>
        <v>O</v>
      </c>
      <c r="VBC91" s="79">
        <v>5</v>
      </c>
      <c r="VBD91" s="75">
        <v>1276006</v>
      </c>
      <c r="VBE91" s="80"/>
      <c r="VBF91" s="81">
        <v>0.86944444444444446</v>
      </c>
      <c r="VBG91" s="74" t="s">
        <v>27</v>
      </c>
      <c r="VBH91" s="74" t="s">
        <v>24</v>
      </c>
      <c r="VBI91" s="75" t="s">
        <v>25</v>
      </c>
      <c r="VBJ91" s="76">
        <f>IFERROR(VLOOKUP(VBI91,'[1]List KPI'!$A$103:$F$118,6,0),"")</f>
        <v>1.0416666666666666E-2</v>
      </c>
      <c r="VBK91" s="76">
        <v>0.86944444444444446</v>
      </c>
      <c r="VBL91" s="76">
        <v>0.86944444444444446</v>
      </c>
      <c r="VBM91" s="77" t="str">
        <f t="shared" si="457"/>
        <v>O</v>
      </c>
      <c r="VBN91" s="74" t="s">
        <v>28</v>
      </c>
      <c r="VBO91" s="75" t="s">
        <v>23</v>
      </c>
      <c r="VBP91" s="78">
        <f>IFERROR(VLOOKUP(VBO91,'[1]List KPI'!$M$3:$N$8,2,0),"")</f>
        <v>2.0833333333333332E-2</v>
      </c>
      <c r="VBQ91" s="76">
        <v>0.89444444444444449</v>
      </c>
      <c r="VBR91" s="77" t="str">
        <f t="shared" si="458"/>
        <v>O</v>
      </c>
      <c r="VBS91" s="79">
        <v>5</v>
      </c>
      <c r="VBT91" s="75">
        <v>1276006</v>
      </c>
      <c r="VBU91" s="80"/>
      <c r="VBV91" s="81">
        <v>0.86944444444444446</v>
      </c>
      <c r="VBW91" s="74" t="s">
        <v>27</v>
      </c>
      <c r="VBX91" s="74" t="s">
        <v>24</v>
      </c>
      <c r="VBY91" s="75" t="s">
        <v>25</v>
      </c>
      <c r="VBZ91" s="76">
        <f>IFERROR(VLOOKUP(VBY91,'[1]List KPI'!$A$103:$F$118,6,0),"")</f>
        <v>1.0416666666666666E-2</v>
      </c>
      <c r="VCA91" s="76">
        <v>0.86944444444444446</v>
      </c>
      <c r="VCB91" s="76">
        <v>0.86944444444444446</v>
      </c>
      <c r="VCC91" s="77" t="str">
        <f t="shared" si="457"/>
        <v>O</v>
      </c>
      <c r="VCD91" s="74" t="s">
        <v>28</v>
      </c>
      <c r="VCE91" s="75" t="s">
        <v>23</v>
      </c>
      <c r="VCF91" s="78">
        <f>IFERROR(VLOOKUP(VCE91,'[1]List KPI'!$M$3:$N$8,2,0),"")</f>
        <v>2.0833333333333332E-2</v>
      </c>
      <c r="VCG91" s="76">
        <v>0.89444444444444449</v>
      </c>
      <c r="VCH91" s="77" t="str">
        <f t="shared" si="458"/>
        <v>O</v>
      </c>
      <c r="VCI91" s="79">
        <v>5</v>
      </c>
      <c r="VCJ91" s="75">
        <v>1276006</v>
      </c>
      <c r="VCK91" s="80"/>
      <c r="VCL91" s="81">
        <v>0.86944444444444446</v>
      </c>
      <c r="VCM91" s="74" t="s">
        <v>27</v>
      </c>
      <c r="VCN91" s="74" t="s">
        <v>24</v>
      </c>
      <c r="VCO91" s="75" t="s">
        <v>25</v>
      </c>
      <c r="VCP91" s="76">
        <f>IFERROR(VLOOKUP(VCO91,'[1]List KPI'!$A$103:$F$118,6,0),"")</f>
        <v>1.0416666666666666E-2</v>
      </c>
      <c r="VCQ91" s="76">
        <v>0.86944444444444446</v>
      </c>
      <c r="VCR91" s="76">
        <v>0.86944444444444446</v>
      </c>
      <c r="VCS91" s="77" t="str">
        <f t="shared" si="457"/>
        <v>O</v>
      </c>
      <c r="VCT91" s="74" t="s">
        <v>28</v>
      </c>
      <c r="VCU91" s="75" t="s">
        <v>23</v>
      </c>
      <c r="VCV91" s="78">
        <f>IFERROR(VLOOKUP(VCU91,'[1]List KPI'!$M$3:$N$8,2,0),"")</f>
        <v>2.0833333333333332E-2</v>
      </c>
      <c r="VCW91" s="76">
        <v>0.89444444444444449</v>
      </c>
      <c r="VCX91" s="77" t="str">
        <f t="shared" si="458"/>
        <v>O</v>
      </c>
      <c r="VCY91" s="79">
        <v>5</v>
      </c>
      <c r="VCZ91" s="75">
        <v>1276006</v>
      </c>
      <c r="VDA91" s="80"/>
      <c r="VDB91" s="81">
        <v>0.86944444444444446</v>
      </c>
      <c r="VDC91" s="74" t="s">
        <v>27</v>
      </c>
      <c r="VDD91" s="74" t="s">
        <v>24</v>
      </c>
      <c r="VDE91" s="75" t="s">
        <v>25</v>
      </c>
      <c r="VDF91" s="76">
        <f>IFERROR(VLOOKUP(VDE91,'[1]List KPI'!$A$103:$F$118,6,0),"")</f>
        <v>1.0416666666666666E-2</v>
      </c>
      <c r="VDG91" s="76">
        <v>0.86944444444444446</v>
      </c>
      <c r="VDH91" s="76">
        <v>0.86944444444444446</v>
      </c>
      <c r="VDI91" s="77" t="str">
        <f t="shared" ref="VDI91:VFE91" si="459">IF(VDH91="","",IF(VDH91&gt;VDQ91,"O","P"))</f>
        <v>O</v>
      </c>
      <c r="VDJ91" s="74" t="s">
        <v>28</v>
      </c>
      <c r="VDK91" s="75" t="s">
        <v>23</v>
      </c>
      <c r="VDL91" s="78">
        <f>IFERROR(VLOOKUP(VDK91,'[1]List KPI'!$M$3:$N$8,2,0),"")</f>
        <v>2.0833333333333332E-2</v>
      </c>
      <c r="VDM91" s="76">
        <v>0.89444444444444449</v>
      </c>
      <c r="VDN91" s="77" t="str">
        <f t="shared" ref="VDN91:VFJ91" si="460">IF(VDM91="","",IF(VDM91&gt;VDR91,"O","P"))</f>
        <v>O</v>
      </c>
      <c r="VDO91" s="79">
        <v>5</v>
      </c>
      <c r="VDP91" s="75">
        <v>1276006</v>
      </c>
      <c r="VDQ91" s="80"/>
      <c r="VDR91" s="81">
        <v>0.86944444444444446</v>
      </c>
      <c r="VDS91" s="74" t="s">
        <v>27</v>
      </c>
      <c r="VDT91" s="74" t="s">
        <v>24</v>
      </c>
      <c r="VDU91" s="75" t="s">
        <v>25</v>
      </c>
      <c r="VDV91" s="76">
        <f>IFERROR(VLOOKUP(VDU91,'[1]List KPI'!$A$103:$F$118,6,0),"")</f>
        <v>1.0416666666666666E-2</v>
      </c>
      <c r="VDW91" s="76">
        <v>0.86944444444444446</v>
      </c>
      <c r="VDX91" s="76">
        <v>0.86944444444444446</v>
      </c>
      <c r="VDY91" s="77" t="str">
        <f t="shared" si="459"/>
        <v>O</v>
      </c>
      <c r="VDZ91" s="74" t="s">
        <v>28</v>
      </c>
      <c r="VEA91" s="75" t="s">
        <v>23</v>
      </c>
      <c r="VEB91" s="78">
        <f>IFERROR(VLOOKUP(VEA91,'[1]List KPI'!$M$3:$N$8,2,0),"")</f>
        <v>2.0833333333333332E-2</v>
      </c>
      <c r="VEC91" s="76">
        <v>0.89444444444444449</v>
      </c>
      <c r="VED91" s="77" t="str">
        <f t="shared" si="460"/>
        <v>O</v>
      </c>
      <c r="VEE91" s="79">
        <v>5</v>
      </c>
      <c r="VEF91" s="75">
        <v>1276006</v>
      </c>
      <c r="VEG91" s="80"/>
      <c r="VEH91" s="81">
        <v>0.86944444444444446</v>
      </c>
      <c r="VEI91" s="74" t="s">
        <v>27</v>
      </c>
      <c r="VEJ91" s="74" t="s">
        <v>24</v>
      </c>
      <c r="VEK91" s="75" t="s">
        <v>25</v>
      </c>
      <c r="VEL91" s="76">
        <f>IFERROR(VLOOKUP(VEK91,'[1]List KPI'!$A$103:$F$118,6,0),"")</f>
        <v>1.0416666666666666E-2</v>
      </c>
      <c r="VEM91" s="76">
        <v>0.86944444444444446</v>
      </c>
      <c r="VEN91" s="76">
        <v>0.86944444444444446</v>
      </c>
      <c r="VEO91" s="77" t="str">
        <f t="shared" si="459"/>
        <v>O</v>
      </c>
      <c r="VEP91" s="74" t="s">
        <v>28</v>
      </c>
      <c r="VEQ91" s="75" t="s">
        <v>23</v>
      </c>
      <c r="VER91" s="78">
        <f>IFERROR(VLOOKUP(VEQ91,'[1]List KPI'!$M$3:$N$8,2,0),"")</f>
        <v>2.0833333333333332E-2</v>
      </c>
      <c r="VES91" s="76">
        <v>0.89444444444444449</v>
      </c>
      <c r="VET91" s="77" t="str">
        <f t="shared" si="460"/>
        <v>O</v>
      </c>
      <c r="VEU91" s="79">
        <v>5</v>
      </c>
      <c r="VEV91" s="75">
        <v>1276006</v>
      </c>
      <c r="VEW91" s="80"/>
      <c r="VEX91" s="81">
        <v>0.86944444444444446</v>
      </c>
      <c r="VEY91" s="74" t="s">
        <v>27</v>
      </c>
      <c r="VEZ91" s="74" t="s">
        <v>24</v>
      </c>
      <c r="VFA91" s="75" t="s">
        <v>25</v>
      </c>
      <c r="VFB91" s="76">
        <f>IFERROR(VLOOKUP(VFA91,'[1]List KPI'!$A$103:$F$118,6,0),"")</f>
        <v>1.0416666666666666E-2</v>
      </c>
      <c r="VFC91" s="76">
        <v>0.86944444444444446</v>
      </c>
      <c r="VFD91" s="76">
        <v>0.86944444444444446</v>
      </c>
      <c r="VFE91" s="77" t="str">
        <f t="shared" si="459"/>
        <v>O</v>
      </c>
      <c r="VFF91" s="74" t="s">
        <v>28</v>
      </c>
      <c r="VFG91" s="75" t="s">
        <v>23</v>
      </c>
      <c r="VFH91" s="78">
        <f>IFERROR(VLOOKUP(VFG91,'[1]List KPI'!$M$3:$N$8,2,0),"")</f>
        <v>2.0833333333333332E-2</v>
      </c>
      <c r="VFI91" s="76">
        <v>0.89444444444444449</v>
      </c>
      <c r="VFJ91" s="77" t="str">
        <f t="shared" si="460"/>
        <v>O</v>
      </c>
      <c r="VFK91" s="79">
        <v>5</v>
      </c>
      <c r="VFL91" s="75">
        <v>1276006</v>
      </c>
      <c r="VFM91" s="80"/>
      <c r="VFN91" s="81">
        <v>0.86944444444444446</v>
      </c>
      <c r="VFO91" s="74" t="s">
        <v>27</v>
      </c>
      <c r="VFP91" s="74" t="s">
        <v>24</v>
      </c>
      <c r="VFQ91" s="75" t="s">
        <v>25</v>
      </c>
      <c r="VFR91" s="76">
        <f>IFERROR(VLOOKUP(VFQ91,'[1]List KPI'!$A$103:$F$118,6,0),"")</f>
        <v>1.0416666666666666E-2</v>
      </c>
      <c r="VFS91" s="76">
        <v>0.86944444444444446</v>
      </c>
      <c r="VFT91" s="76">
        <v>0.86944444444444446</v>
      </c>
      <c r="VFU91" s="77" t="str">
        <f t="shared" ref="VFU91:VHQ91" si="461">IF(VFT91="","",IF(VFT91&gt;VGC91,"O","P"))</f>
        <v>O</v>
      </c>
      <c r="VFV91" s="74" t="s">
        <v>28</v>
      </c>
      <c r="VFW91" s="75" t="s">
        <v>23</v>
      </c>
      <c r="VFX91" s="78">
        <f>IFERROR(VLOOKUP(VFW91,'[1]List KPI'!$M$3:$N$8,2,0),"")</f>
        <v>2.0833333333333332E-2</v>
      </c>
      <c r="VFY91" s="76">
        <v>0.89444444444444449</v>
      </c>
      <c r="VFZ91" s="77" t="str">
        <f t="shared" ref="VFZ91:VHV91" si="462">IF(VFY91="","",IF(VFY91&gt;VGD91,"O","P"))</f>
        <v>O</v>
      </c>
      <c r="VGA91" s="79">
        <v>5</v>
      </c>
      <c r="VGB91" s="75">
        <v>1276006</v>
      </c>
      <c r="VGC91" s="80"/>
      <c r="VGD91" s="81">
        <v>0.86944444444444446</v>
      </c>
      <c r="VGE91" s="74" t="s">
        <v>27</v>
      </c>
      <c r="VGF91" s="74" t="s">
        <v>24</v>
      </c>
      <c r="VGG91" s="75" t="s">
        <v>25</v>
      </c>
      <c r="VGH91" s="76">
        <f>IFERROR(VLOOKUP(VGG91,'[1]List KPI'!$A$103:$F$118,6,0),"")</f>
        <v>1.0416666666666666E-2</v>
      </c>
      <c r="VGI91" s="76">
        <v>0.86944444444444446</v>
      </c>
      <c r="VGJ91" s="76">
        <v>0.86944444444444446</v>
      </c>
      <c r="VGK91" s="77" t="str">
        <f t="shared" si="461"/>
        <v>O</v>
      </c>
      <c r="VGL91" s="74" t="s">
        <v>28</v>
      </c>
      <c r="VGM91" s="75" t="s">
        <v>23</v>
      </c>
      <c r="VGN91" s="78">
        <f>IFERROR(VLOOKUP(VGM91,'[1]List KPI'!$M$3:$N$8,2,0),"")</f>
        <v>2.0833333333333332E-2</v>
      </c>
      <c r="VGO91" s="76">
        <v>0.89444444444444449</v>
      </c>
      <c r="VGP91" s="77" t="str">
        <f t="shared" si="462"/>
        <v>O</v>
      </c>
      <c r="VGQ91" s="79">
        <v>5</v>
      </c>
      <c r="VGR91" s="75">
        <v>1276006</v>
      </c>
      <c r="VGS91" s="80"/>
      <c r="VGT91" s="81">
        <v>0.86944444444444446</v>
      </c>
      <c r="VGU91" s="74" t="s">
        <v>27</v>
      </c>
      <c r="VGV91" s="74" t="s">
        <v>24</v>
      </c>
      <c r="VGW91" s="75" t="s">
        <v>25</v>
      </c>
      <c r="VGX91" s="76">
        <f>IFERROR(VLOOKUP(VGW91,'[1]List KPI'!$A$103:$F$118,6,0),"")</f>
        <v>1.0416666666666666E-2</v>
      </c>
      <c r="VGY91" s="76">
        <v>0.86944444444444446</v>
      </c>
      <c r="VGZ91" s="76">
        <v>0.86944444444444446</v>
      </c>
      <c r="VHA91" s="77" t="str">
        <f t="shared" si="461"/>
        <v>O</v>
      </c>
      <c r="VHB91" s="74" t="s">
        <v>28</v>
      </c>
      <c r="VHC91" s="75" t="s">
        <v>23</v>
      </c>
      <c r="VHD91" s="78">
        <f>IFERROR(VLOOKUP(VHC91,'[1]List KPI'!$M$3:$N$8,2,0),"")</f>
        <v>2.0833333333333332E-2</v>
      </c>
      <c r="VHE91" s="76">
        <v>0.89444444444444449</v>
      </c>
      <c r="VHF91" s="77" t="str">
        <f t="shared" si="462"/>
        <v>O</v>
      </c>
      <c r="VHG91" s="79">
        <v>5</v>
      </c>
      <c r="VHH91" s="75">
        <v>1276006</v>
      </c>
      <c r="VHI91" s="80"/>
      <c r="VHJ91" s="81">
        <v>0.86944444444444446</v>
      </c>
      <c r="VHK91" s="74" t="s">
        <v>27</v>
      </c>
      <c r="VHL91" s="74" t="s">
        <v>24</v>
      </c>
      <c r="VHM91" s="75" t="s">
        <v>25</v>
      </c>
      <c r="VHN91" s="76">
        <f>IFERROR(VLOOKUP(VHM91,'[1]List KPI'!$A$103:$F$118,6,0),"")</f>
        <v>1.0416666666666666E-2</v>
      </c>
      <c r="VHO91" s="76">
        <v>0.86944444444444446</v>
      </c>
      <c r="VHP91" s="76">
        <v>0.86944444444444446</v>
      </c>
      <c r="VHQ91" s="77" t="str">
        <f t="shared" si="461"/>
        <v>O</v>
      </c>
      <c r="VHR91" s="74" t="s">
        <v>28</v>
      </c>
      <c r="VHS91" s="75" t="s">
        <v>23</v>
      </c>
      <c r="VHT91" s="78">
        <f>IFERROR(VLOOKUP(VHS91,'[1]List KPI'!$M$3:$N$8,2,0),"")</f>
        <v>2.0833333333333332E-2</v>
      </c>
      <c r="VHU91" s="76">
        <v>0.89444444444444449</v>
      </c>
      <c r="VHV91" s="77" t="str">
        <f t="shared" si="462"/>
        <v>O</v>
      </c>
      <c r="VHW91" s="79">
        <v>5</v>
      </c>
      <c r="VHX91" s="75">
        <v>1276006</v>
      </c>
      <c r="VHY91" s="80"/>
      <c r="VHZ91" s="81">
        <v>0.86944444444444446</v>
      </c>
      <c r="VIA91" s="74" t="s">
        <v>27</v>
      </c>
      <c r="VIB91" s="74" t="s">
        <v>24</v>
      </c>
      <c r="VIC91" s="75" t="s">
        <v>25</v>
      </c>
      <c r="VID91" s="76">
        <f>IFERROR(VLOOKUP(VIC91,'[1]List KPI'!$A$103:$F$118,6,0),"")</f>
        <v>1.0416666666666666E-2</v>
      </c>
      <c r="VIE91" s="76">
        <v>0.86944444444444446</v>
      </c>
      <c r="VIF91" s="76">
        <v>0.86944444444444446</v>
      </c>
      <c r="VIG91" s="77" t="str">
        <f t="shared" ref="VIG91:VKC91" si="463">IF(VIF91="","",IF(VIF91&gt;VIO91,"O","P"))</f>
        <v>O</v>
      </c>
      <c r="VIH91" s="74" t="s">
        <v>28</v>
      </c>
      <c r="VII91" s="75" t="s">
        <v>23</v>
      </c>
      <c r="VIJ91" s="78">
        <f>IFERROR(VLOOKUP(VII91,'[1]List KPI'!$M$3:$N$8,2,0),"")</f>
        <v>2.0833333333333332E-2</v>
      </c>
      <c r="VIK91" s="76">
        <v>0.89444444444444449</v>
      </c>
      <c r="VIL91" s="77" t="str">
        <f t="shared" ref="VIL91:VKH91" si="464">IF(VIK91="","",IF(VIK91&gt;VIP91,"O","P"))</f>
        <v>O</v>
      </c>
      <c r="VIM91" s="79">
        <v>5</v>
      </c>
      <c r="VIN91" s="75">
        <v>1276006</v>
      </c>
      <c r="VIO91" s="80"/>
      <c r="VIP91" s="81">
        <v>0.86944444444444446</v>
      </c>
      <c r="VIQ91" s="74" t="s">
        <v>27</v>
      </c>
      <c r="VIR91" s="74" t="s">
        <v>24</v>
      </c>
      <c r="VIS91" s="75" t="s">
        <v>25</v>
      </c>
      <c r="VIT91" s="76">
        <f>IFERROR(VLOOKUP(VIS91,'[1]List KPI'!$A$103:$F$118,6,0),"")</f>
        <v>1.0416666666666666E-2</v>
      </c>
      <c r="VIU91" s="76">
        <v>0.86944444444444446</v>
      </c>
      <c r="VIV91" s="76">
        <v>0.86944444444444446</v>
      </c>
      <c r="VIW91" s="77" t="str">
        <f t="shared" si="463"/>
        <v>O</v>
      </c>
      <c r="VIX91" s="74" t="s">
        <v>28</v>
      </c>
      <c r="VIY91" s="75" t="s">
        <v>23</v>
      </c>
      <c r="VIZ91" s="78">
        <f>IFERROR(VLOOKUP(VIY91,'[1]List KPI'!$M$3:$N$8,2,0),"")</f>
        <v>2.0833333333333332E-2</v>
      </c>
      <c r="VJA91" s="76">
        <v>0.89444444444444449</v>
      </c>
      <c r="VJB91" s="77" t="str">
        <f t="shared" si="464"/>
        <v>O</v>
      </c>
      <c r="VJC91" s="79">
        <v>5</v>
      </c>
      <c r="VJD91" s="75">
        <v>1276006</v>
      </c>
      <c r="VJE91" s="80"/>
      <c r="VJF91" s="81">
        <v>0.86944444444444446</v>
      </c>
      <c r="VJG91" s="74" t="s">
        <v>27</v>
      </c>
      <c r="VJH91" s="74" t="s">
        <v>24</v>
      </c>
      <c r="VJI91" s="75" t="s">
        <v>25</v>
      </c>
      <c r="VJJ91" s="76">
        <f>IFERROR(VLOOKUP(VJI91,'[1]List KPI'!$A$103:$F$118,6,0),"")</f>
        <v>1.0416666666666666E-2</v>
      </c>
      <c r="VJK91" s="76">
        <v>0.86944444444444446</v>
      </c>
      <c r="VJL91" s="76">
        <v>0.86944444444444446</v>
      </c>
      <c r="VJM91" s="77" t="str">
        <f t="shared" si="463"/>
        <v>O</v>
      </c>
      <c r="VJN91" s="74" t="s">
        <v>28</v>
      </c>
      <c r="VJO91" s="75" t="s">
        <v>23</v>
      </c>
      <c r="VJP91" s="78">
        <f>IFERROR(VLOOKUP(VJO91,'[1]List KPI'!$M$3:$N$8,2,0),"")</f>
        <v>2.0833333333333332E-2</v>
      </c>
      <c r="VJQ91" s="76">
        <v>0.89444444444444449</v>
      </c>
      <c r="VJR91" s="77" t="str">
        <f t="shared" si="464"/>
        <v>O</v>
      </c>
      <c r="VJS91" s="79">
        <v>5</v>
      </c>
      <c r="VJT91" s="75">
        <v>1276006</v>
      </c>
      <c r="VJU91" s="80"/>
      <c r="VJV91" s="81">
        <v>0.86944444444444446</v>
      </c>
      <c r="VJW91" s="74" t="s">
        <v>27</v>
      </c>
      <c r="VJX91" s="74" t="s">
        <v>24</v>
      </c>
      <c r="VJY91" s="75" t="s">
        <v>25</v>
      </c>
      <c r="VJZ91" s="76">
        <f>IFERROR(VLOOKUP(VJY91,'[1]List KPI'!$A$103:$F$118,6,0),"")</f>
        <v>1.0416666666666666E-2</v>
      </c>
      <c r="VKA91" s="76">
        <v>0.86944444444444446</v>
      </c>
      <c r="VKB91" s="76">
        <v>0.86944444444444446</v>
      </c>
      <c r="VKC91" s="77" t="str">
        <f t="shared" si="463"/>
        <v>O</v>
      </c>
      <c r="VKD91" s="74" t="s">
        <v>28</v>
      </c>
      <c r="VKE91" s="75" t="s">
        <v>23</v>
      </c>
      <c r="VKF91" s="78">
        <f>IFERROR(VLOOKUP(VKE91,'[1]List KPI'!$M$3:$N$8,2,0),"")</f>
        <v>2.0833333333333332E-2</v>
      </c>
      <c r="VKG91" s="76">
        <v>0.89444444444444449</v>
      </c>
      <c r="VKH91" s="77" t="str">
        <f t="shared" si="464"/>
        <v>O</v>
      </c>
      <c r="VKI91" s="79">
        <v>5</v>
      </c>
      <c r="VKJ91" s="75">
        <v>1276006</v>
      </c>
      <c r="VKK91" s="80"/>
      <c r="VKL91" s="81">
        <v>0.86944444444444446</v>
      </c>
      <c r="VKM91" s="74" t="s">
        <v>27</v>
      </c>
      <c r="VKN91" s="74" t="s">
        <v>24</v>
      </c>
      <c r="VKO91" s="75" t="s">
        <v>25</v>
      </c>
      <c r="VKP91" s="76">
        <f>IFERROR(VLOOKUP(VKO91,'[1]List KPI'!$A$103:$F$118,6,0),"")</f>
        <v>1.0416666666666666E-2</v>
      </c>
      <c r="VKQ91" s="76">
        <v>0.86944444444444446</v>
      </c>
      <c r="VKR91" s="76">
        <v>0.86944444444444446</v>
      </c>
      <c r="VKS91" s="77" t="str">
        <f t="shared" ref="VKS91:VMO91" si="465">IF(VKR91="","",IF(VKR91&gt;VLA91,"O","P"))</f>
        <v>O</v>
      </c>
      <c r="VKT91" s="74" t="s">
        <v>28</v>
      </c>
      <c r="VKU91" s="75" t="s">
        <v>23</v>
      </c>
      <c r="VKV91" s="78">
        <f>IFERROR(VLOOKUP(VKU91,'[1]List KPI'!$M$3:$N$8,2,0),"")</f>
        <v>2.0833333333333332E-2</v>
      </c>
      <c r="VKW91" s="76">
        <v>0.89444444444444449</v>
      </c>
      <c r="VKX91" s="77" t="str">
        <f t="shared" ref="VKX91:VMT91" si="466">IF(VKW91="","",IF(VKW91&gt;VLB91,"O","P"))</f>
        <v>O</v>
      </c>
      <c r="VKY91" s="79">
        <v>5</v>
      </c>
      <c r="VKZ91" s="75">
        <v>1276006</v>
      </c>
      <c r="VLA91" s="80"/>
      <c r="VLB91" s="81">
        <v>0.86944444444444446</v>
      </c>
      <c r="VLC91" s="74" t="s">
        <v>27</v>
      </c>
      <c r="VLD91" s="74" t="s">
        <v>24</v>
      </c>
      <c r="VLE91" s="75" t="s">
        <v>25</v>
      </c>
      <c r="VLF91" s="76">
        <f>IFERROR(VLOOKUP(VLE91,'[1]List KPI'!$A$103:$F$118,6,0),"")</f>
        <v>1.0416666666666666E-2</v>
      </c>
      <c r="VLG91" s="76">
        <v>0.86944444444444446</v>
      </c>
      <c r="VLH91" s="76">
        <v>0.86944444444444446</v>
      </c>
      <c r="VLI91" s="77" t="str">
        <f t="shared" si="465"/>
        <v>O</v>
      </c>
      <c r="VLJ91" s="74" t="s">
        <v>28</v>
      </c>
      <c r="VLK91" s="75" t="s">
        <v>23</v>
      </c>
      <c r="VLL91" s="78">
        <f>IFERROR(VLOOKUP(VLK91,'[1]List KPI'!$M$3:$N$8,2,0),"")</f>
        <v>2.0833333333333332E-2</v>
      </c>
      <c r="VLM91" s="76">
        <v>0.89444444444444449</v>
      </c>
      <c r="VLN91" s="77" t="str">
        <f t="shared" si="466"/>
        <v>O</v>
      </c>
      <c r="VLO91" s="79">
        <v>5</v>
      </c>
      <c r="VLP91" s="75">
        <v>1276006</v>
      </c>
      <c r="VLQ91" s="80"/>
      <c r="VLR91" s="81">
        <v>0.86944444444444446</v>
      </c>
      <c r="VLS91" s="74" t="s">
        <v>27</v>
      </c>
      <c r="VLT91" s="74" t="s">
        <v>24</v>
      </c>
      <c r="VLU91" s="75" t="s">
        <v>25</v>
      </c>
      <c r="VLV91" s="76">
        <f>IFERROR(VLOOKUP(VLU91,'[1]List KPI'!$A$103:$F$118,6,0),"")</f>
        <v>1.0416666666666666E-2</v>
      </c>
      <c r="VLW91" s="76">
        <v>0.86944444444444446</v>
      </c>
      <c r="VLX91" s="76">
        <v>0.86944444444444446</v>
      </c>
      <c r="VLY91" s="77" t="str">
        <f t="shared" si="465"/>
        <v>O</v>
      </c>
      <c r="VLZ91" s="74" t="s">
        <v>28</v>
      </c>
      <c r="VMA91" s="75" t="s">
        <v>23</v>
      </c>
      <c r="VMB91" s="78">
        <f>IFERROR(VLOOKUP(VMA91,'[1]List KPI'!$M$3:$N$8,2,0),"")</f>
        <v>2.0833333333333332E-2</v>
      </c>
      <c r="VMC91" s="76">
        <v>0.89444444444444449</v>
      </c>
      <c r="VMD91" s="77" t="str">
        <f t="shared" si="466"/>
        <v>O</v>
      </c>
      <c r="VME91" s="79">
        <v>5</v>
      </c>
      <c r="VMF91" s="75">
        <v>1276006</v>
      </c>
      <c r="VMG91" s="80"/>
      <c r="VMH91" s="81">
        <v>0.86944444444444446</v>
      </c>
      <c r="VMI91" s="74" t="s">
        <v>27</v>
      </c>
      <c r="VMJ91" s="74" t="s">
        <v>24</v>
      </c>
      <c r="VMK91" s="75" t="s">
        <v>25</v>
      </c>
      <c r="VML91" s="76">
        <f>IFERROR(VLOOKUP(VMK91,'[1]List KPI'!$A$103:$F$118,6,0),"")</f>
        <v>1.0416666666666666E-2</v>
      </c>
      <c r="VMM91" s="76">
        <v>0.86944444444444446</v>
      </c>
      <c r="VMN91" s="76">
        <v>0.86944444444444446</v>
      </c>
      <c r="VMO91" s="77" t="str">
        <f t="shared" si="465"/>
        <v>O</v>
      </c>
      <c r="VMP91" s="74" t="s">
        <v>28</v>
      </c>
      <c r="VMQ91" s="75" t="s">
        <v>23</v>
      </c>
      <c r="VMR91" s="78">
        <f>IFERROR(VLOOKUP(VMQ91,'[1]List KPI'!$M$3:$N$8,2,0),"")</f>
        <v>2.0833333333333332E-2</v>
      </c>
      <c r="VMS91" s="76">
        <v>0.89444444444444449</v>
      </c>
      <c r="VMT91" s="77" t="str">
        <f t="shared" si="466"/>
        <v>O</v>
      </c>
      <c r="VMU91" s="79">
        <v>5</v>
      </c>
      <c r="VMV91" s="75">
        <v>1276006</v>
      </c>
      <c r="VMW91" s="80"/>
      <c r="VMX91" s="81">
        <v>0.86944444444444446</v>
      </c>
      <c r="VMY91" s="74" t="s">
        <v>27</v>
      </c>
      <c r="VMZ91" s="74" t="s">
        <v>24</v>
      </c>
      <c r="VNA91" s="75" t="s">
        <v>25</v>
      </c>
      <c r="VNB91" s="76">
        <f>IFERROR(VLOOKUP(VNA91,'[1]List KPI'!$A$103:$F$118,6,0),"")</f>
        <v>1.0416666666666666E-2</v>
      </c>
      <c r="VNC91" s="76">
        <v>0.86944444444444446</v>
      </c>
      <c r="VND91" s="76">
        <v>0.86944444444444446</v>
      </c>
      <c r="VNE91" s="77" t="str">
        <f t="shared" ref="VNE91:VPA91" si="467">IF(VND91="","",IF(VND91&gt;VNM91,"O","P"))</f>
        <v>O</v>
      </c>
      <c r="VNF91" s="74" t="s">
        <v>28</v>
      </c>
      <c r="VNG91" s="75" t="s">
        <v>23</v>
      </c>
      <c r="VNH91" s="78">
        <f>IFERROR(VLOOKUP(VNG91,'[1]List KPI'!$M$3:$N$8,2,0),"")</f>
        <v>2.0833333333333332E-2</v>
      </c>
      <c r="VNI91" s="76">
        <v>0.89444444444444449</v>
      </c>
      <c r="VNJ91" s="77" t="str">
        <f t="shared" ref="VNJ91:VPF91" si="468">IF(VNI91="","",IF(VNI91&gt;VNN91,"O","P"))</f>
        <v>O</v>
      </c>
      <c r="VNK91" s="79">
        <v>5</v>
      </c>
      <c r="VNL91" s="75">
        <v>1276006</v>
      </c>
      <c r="VNM91" s="80"/>
      <c r="VNN91" s="81">
        <v>0.86944444444444446</v>
      </c>
      <c r="VNO91" s="74" t="s">
        <v>27</v>
      </c>
      <c r="VNP91" s="74" t="s">
        <v>24</v>
      </c>
      <c r="VNQ91" s="75" t="s">
        <v>25</v>
      </c>
      <c r="VNR91" s="76">
        <f>IFERROR(VLOOKUP(VNQ91,'[1]List KPI'!$A$103:$F$118,6,0),"")</f>
        <v>1.0416666666666666E-2</v>
      </c>
      <c r="VNS91" s="76">
        <v>0.86944444444444446</v>
      </c>
      <c r="VNT91" s="76">
        <v>0.86944444444444446</v>
      </c>
      <c r="VNU91" s="77" t="str">
        <f t="shared" si="467"/>
        <v>O</v>
      </c>
      <c r="VNV91" s="74" t="s">
        <v>28</v>
      </c>
      <c r="VNW91" s="75" t="s">
        <v>23</v>
      </c>
      <c r="VNX91" s="78">
        <f>IFERROR(VLOOKUP(VNW91,'[1]List KPI'!$M$3:$N$8,2,0),"")</f>
        <v>2.0833333333333332E-2</v>
      </c>
      <c r="VNY91" s="76">
        <v>0.89444444444444449</v>
      </c>
      <c r="VNZ91" s="77" t="str">
        <f t="shared" si="468"/>
        <v>O</v>
      </c>
      <c r="VOA91" s="79">
        <v>5</v>
      </c>
      <c r="VOB91" s="75">
        <v>1276006</v>
      </c>
      <c r="VOC91" s="80"/>
      <c r="VOD91" s="81">
        <v>0.86944444444444446</v>
      </c>
      <c r="VOE91" s="74" t="s">
        <v>27</v>
      </c>
      <c r="VOF91" s="74" t="s">
        <v>24</v>
      </c>
      <c r="VOG91" s="75" t="s">
        <v>25</v>
      </c>
      <c r="VOH91" s="76">
        <f>IFERROR(VLOOKUP(VOG91,'[1]List KPI'!$A$103:$F$118,6,0),"")</f>
        <v>1.0416666666666666E-2</v>
      </c>
      <c r="VOI91" s="76">
        <v>0.86944444444444446</v>
      </c>
      <c r="VOJ91" s="76">
        <v>0.86944444444444446</v>
      </c>
      <c r="VOK91" s="77" t="str">
        <f t="shared" si="467"/>
        <v>O</v>
      </c>
      <c r="VOL91" s="74" t="s">
        <v>28</v>
      </c>
      <c r="VOM91" s="75" t="s">
        <v>23</v>
      </c>
      <c r="VON91" s="78">
        <f>IFERROR(VLOOKUP(VOM91,'[1]List KPI'!$M$3:$N$8,2,0),"")</f>
        <v>2.0833333333333332E-2</v>
      </c>
      <c r="VOO91" s="76">
        <v>0.89444444444444449</v>
      </c>
      <c r="VOP91" s="77" t="str">
        <f t="shared" si="468"/>
        <v>O</v>
      </c>
      <c r="VOQ91" s="79">
        <v>5</v>
      </c>
      <c r="VOR91" s="75">
        <v>1276006</v>
      </c>
      <c r="VOS91" s="80"/>
      <c r="VOT91" s="81">
        <v>0.86944444444444446</v>
      </c>
      <c r="VOU91" s="74" t="s">
        <v>27</v>
      </c>
      <c r="VOV91" s="74" t="s">
        <v>24</v>
      </c>
      <c r="VOW91" s="75" t="s">
        <v>25</v>
      </c>
      <c r="VOX91" s="76">
        <f>IFERROR(VLOOKUP(VOW91,'[1]List KPI'!$A$103:$F$118,6,0),"")</f>
        <v>1.0416666666666666E-2</v>
      </c>
      <c r="VOY91" s="76">
        <v>0.86944444444444446</v>
      </c>
      <c r="VOZ91" s="76">
        <v>0.86944444444444446</v>
      </c>
      <c r="VPA91" s="77" t="str">
        <f t="shared" si="467"/>
        <v>O</v>
      </c>
      <c r="VPB91" s="74" t="s">
        <v>28</v>
      </c>
      <c r="VPC91" s="75" t="s">
        <v>23</v>
      </c>
      <c r="VPD91" s="78">
        <f>IFERROR(VLOOKUP(VPC91,'[1]List KPI'!$M$3:$N$8,2,0),"")</f>
        <v>2.0833333333333332E-2</v>
      </c>
      <c r="VPE91" s="76">
        <v>0.89444444444444449</v>
      </c>
      <c r="VPF91" s="77" t="str">
        <f t="shared" si="468"/>
        <v>O</v>
      </c>
      <c r="VPG91" s="79">
        <v>5</v>
      </c>
      <c r="VPH91" s="75">
        <v>1276006</v>
      </c>
      <c r="VPI91" s="80"/>
      <c r="VPJ91" s="81">
        <v>0.86944444444444446</v>
      </c>
      <c r="VPK91" s="74" t="s">
        <v>27</v>
      </c>
      <c r="VPL91" s="74" t="s">
        <v>24</v>
      </c>
      <c r="VPM91" s="75" t="s">
        <v>25</v>
      </c>
      <c r="VPN91" s="76">
        <f>IFERROR(VLOOKUP(VPM91,'[1]List KPI'!$A$103:$F$118,6,0),"")</f>
        <v>1.0416666666666666E-2</v>
      </c>
      <c r="VPO91" s="76">
        <v>0.86944444444444446</v>
      </c>
      <c r="VPP91" s="76">
        <v>0.86944444444444446</v>
      </c>
      <c r="VPQ91" s="77" t="str">
        <f t="shared" ref="VPQ91:VRM91" si="469">IF(VPP91="","",IF(VPP91&gt;VPY91,"O","P"))</f>
        <v>O</v>
      </c>
      <c r="VPR91" s="74" t="s">
        <v>28</v>
      </c>
      <c r="VPS91" s="75" t="s">
        <v>23</v>
      </c>
      <c r="VPT91" s="78">
        <f>IFERROR(VLOOKUP(VPS91,'[1]List KPI'!$M$3:$N$8,2,0),"")</f>
        <v>2.0833333333333332E-2</v>
      </c>
      <c r="VPU91" s="76">
        <v>0.89444444444444449</v>
      </c>
      <c r="VPV91" s="77" t="str">
        <f t="shared" ref="VPV91:VRR91" si="470">IF(VPU91="","",IF(VPU91&gt;VPZ91,"O","P"))</f>
        <v>O</v>
      </c>
      <c r="VPW91" s="79">
        <v>5</v>
      </c>
      <c r="VPX91" s="75">
        <v>1276006</v>
      </c>
      <c r="VPY91" s="80"/>
      <c r="VPZ91" s="81">
        <v>0.86944444444444446</v>
      </c>
      <c r="VQA91" s="74" t="s">
        <v>27</v>
      </c>
      <c r="VQB91" s="74" t="s">
        <v>24</v>
      </c>
      <c r="VQC91" s="75" t="s">
        <v>25</v>
      </c>
      <c r="VQD91" s="76">
        <f>IFERROR(VLOOKUP(VQC91,'[1]List KPI'!$A$103:$F$118,6,0),"")</f>
        <v>1.0416666666666666E-2</v>
      </c>
      <c r="VQE91" s="76">
        <v>0.86944444444444446</v>
      </c>
      <c r="VQF91" s="76">
        <v>0.86944444444444446</v>
      </c>
      <c r="VQG91" s="77" t="str">
        <f t="shared" si="469"/>
        <v>O</v>
      </c>
      <c r="VQH91" s="74" t="s">
        <v>28</v>
      </c>
      <c r="VQI91" s="75" t="s">
        <v>23</v>
      </c>
      <c r="VQJ91" s="78">
        <f>IFERROR(VLOOKUP(VQI91,'[1]List KPI'!$M$3:$N$8,2,0),"")</f>
        <v>2.0833333333333332E-2</v>
      </c>
      <c r="VQK91" s="76">
        <v>0.89444444444444449</v>
      </c>
      <c r="VQL91" s="77" t="str">
        <f t="shared" si="470"/>
        <v>O</v>
      </c>
      <c r="VQM91" s="79">
        <v>5</v>
      </c>
      <c r="VQN91" s="75">
        <v>1276006</v>
      </c>
      <c r="VQO91" s="80"/>
      <c r="VQP91" s="81">
        <v>0.86944444444444446</v>
      </c>
      <c r="VQQ91" s="74" t="s">
        <v>27</v>
      </c>
      <c r="VQR91" s="74" t="s">
        <v>24</v>
      </c>
      <c r="VQS91" s="75" t="s">
        <v>25</v>
      </c>
      <c r="VQT91" s="76">
        <f>IFERROR(VLOOKUP(VQS91,'[1]List KPI'!$A$103:$F$118,6,0),"")</f>
        <v>1.0416666666666666E-2</v>
      </c>
      <c r="VQU91" s="76">
        <v>0.86944444444444446</v>
      </c>
      <c r="VQV91" s="76">
        <v>0.86944444444444446</v>
      </c>
      <c r="VQW91" s="77" t="str">
        <f t="shared" si="469"/>
        <v>O</v>
      </c>
      <c r="VQX91" s="74" t="s">
        <v>28</v>
      </c>
      <c r="VQY91" s="75" t="s">
        <v>23</v>
      </c>
      <c r="VQZ91" s="78">
        <f>IFERROR(VLOOKUP(VQY91,'[1]List KPI'!$M$3:$N$8,2,0),"")</f>
        <v>2.0833333333333332E-2</v>
      </c>
      <c r="VRA91" s="76">
        <v>0.89444444444444449</v>
      </c>
      <c r="VRB91" s="77" t="str">
        <f t="shared" si="470"/>
        <v>O</v>
      </c>
      <c r="VRC91" s="79">
        <v>5</v>
      </c>
      <c r="VRD91" s="75">
        <v>1276006</v>
      </c>
      <c r="VRE91" s="80"/>
      <c r="VRF91" s="81">
        <v>0.86944444444444446</v>
      </c>
      <c r="VRG91" s="74" t="s">
        <v>27</v>
      </c>
      <c r="VRH91" s="74" t="s">
        <v>24</v>
      </c>
      <c r="VRI91" s="75" t="s">
        <v>25</v>
      </c>
      <c r="VRJ91" s="76">
        <f>IFERROR(VLOOKUP(VRI91,'[1]List KPI'!$A$103:$F$118,6,0),"")</f>
        <v>1.0416666666666666E-2</v>
      </c>
      <c r="VRK91" s="76">
        <v>0.86944444444444446</v>
      </c>
      <c r="VRL91" s="76">
        <v>0.86944444444444446</v>
      </c>
      <c r="VRM91" s="77" t="str">
        <f t="shared" si="469"/>
        <v>O</v>
      </c>
      <c r="VRN91" s="74" t="s">
        <v>28</v>
      </c>
      <c r="VRO91" s="75" t="s">
        <v>23</v>
      </c>
      <c r="VRP91" s="78">
        <f>IFERROR(VLOOKUP(VRO91,'[1]List KPI'!$M$3:$N$8,2,0),"")</f>
        <v>2.0833333333333332E-2</v>
      </c>
      <c r="VRQ91" s="76">
        <v>0.89444444444444449</v>
      </c>
      <c r="VRR91" s="77" t="str">
        <f t="shared" si="470"/>
        <v>O</v>
      </c>
      <c r="VRS91" s="79">
        <v>5</v>
      </c>
      <c r="VRT91" s="75">
        <v>1276006</v>
      </c>
      <c r="VRU91" s="80"/>
      <c r="VRV91" s="81">
        <v>0.86944444444444446</v>
      </c>
      <c r="VRW91" s="74" t="s">
        <v>27</v>
      </c>
      <c r="VRX91" s="74" t="s">
        <v>24</v>
      </c>
      <c r="VRY91" s="75" t="s">
        <v>25</v>
      </c>
      <c r="VRZ91" s="76">
        <f>IFERROR(VLOOKUP(VRY91,'[1]List KPI'!$A$103:$F$118,6,0),"")</f>
        <v>1.0416666666666666E-2</v>
      </c>
      <c r="VSA91" s="76">
        <v>0.86944444444444446</v>
      </c>
      <c r="VSB91" s="76">
        <v>0.86944444444444446</v>
      </c>
      <c r="VSC91" s="77" t="str">
        <f t="shared" ref="VSC91:VTY91" si="471">IF(VSB91="","",IF(VSB91&gt;VSK91,"O","P"))</f>
        <v>O</v>
      </c>
      <c r="VSD91" s="74" t="s">
        <v>28</v>
      </c>
      <c r="VSE91" s="75" t="s">
        <v>23</v>
      </c>
      <c r="VSF91" s="78">
        <f>IFERROR(VLOOKUP(VSE91,'[1]List KPI'!$M$3:$N$8,2,0),"")</f>
        <v>2.0833333333333332E-2</v>
      </c>
      <c r="VSG91" s="76">
        <v>0.89444444444444449</v>
      </c>
      <c r="VSH91" s="77" t="str">
        <f t="shared" ref="VSH91:VUD91" si="472">IF(VSG91="","",IF(VSG91&gt;VSL91,"O","P"))</f>
        <v>O</v>
      </c>
      <c r="VSI91" s="79">
        <v>5</v>
      </c>
      <c r="VSJ91" s="75">
        <v>1276006</v>
      </c>
      <c r="VSK91" s="80"/>
      <c r="VSL91" s="81">
        <v>0.86944444444444446</v>
      </c>
      <c r="VSM91" s="74" t="s">
        <v>27</v>
      </c>
      <c r="VSN91" s="74" t="s">
        <v>24</v>
      </c>
      <c r="VSO91" s="75" t="s">
        <v>25</v>
      </c>
      <c r="VSP91" s="76">
        <f>IFERROR(VLOOKUP(VSO91,'[1]List KPI'!$A$103:$F$118,6,0),"")</f>
        <v>1.0416666666666666E-2</v>
      </c>
      <c r="VSQ91" s="76">
        <v>0.86944444444444446</v>
      </c>
      <c r="VSR91" s="76">
        <v>0.86944444444444446</v>
      </c>
      <c r="VSS91" s="77" t="str">
        <f t="shared" si="471"/>
        <v>O</v>
      </c>
      <c r="VST91" s="74" t="s">
        <v>28</v>
      </c>
      <c r="VSU91" s="75" t="s">
        <v>23</v>
      </c>
      <c r="VSV91" s="78">
        <f>IFERROR(VLOOKUP(VSU91,'[1]List KPI'!$M$3:$N$8,2,0),"")</f>
        <v>2.0833333333333332E-2</v>
      </c>
      <c r="VSW91" s="76">
        <v>0.89444444444444449</v>
      </c>
      <c r="VSX91" s="77" t="str">
        <f t="shared" si="472"/>
        <v>O</v>
      </c>
      <c r="VSY91" s="79">
        <v>5</v>
      </c>
      <c r="VSZ91" s="75">
        <v>1276006</v>
      </c>
      <c r="VTA91" s="80"/>
      <c r="VTB91" s="81">
        <v>0.86944444444444446</v>
      </c>
      <c r="VTC91" s="74" t="s">
        <v>27</v>
      </c>
      <c r="VTD91" s="74" t="s">
        <v>24</v>
      </c>
      <c r="VTE91" s="75" t="s">
        <v>25</v>
      </c>
      <c r="VTF91" s="76">
        <f>IFERROR(VLOOKUP(VTE91,'[1]List KPI'!$A$103:$F$118,6,0),"")</f>
        <v>1.0416666666666666E-2</v>
      </c>
      <c r="VTG91" s="76">
        <v>0.86944444444444446</v>
      </c>
      <c r="VTH91" s="76">
        <v>0.86944444444444446</v>
      </c>
      <c r="VTI91" s="77" t="str">
        <f t="shared" si="471"/>
        <v>O</v>
      </c>
      <c r="VTJ91" s="74" t="s">
        <v>28</v>
      </c>
      <c r="VTK91" s="75" t="s">
        <v>23</v>
      </c>
      <c r="VTL91" s="78">
        <f>IFERROR(VLOOKUP(VTK91,'[1]List KPI'!$M$3:$N$8,2,0),"")</f>
        <v>2.0833333333333332E-2</v>
      </c>
      <c r="VTM91" s="76">
        <v>0.89444444444444449</v>
      </c>
      <c r="VTN91" s="77" t="str">
        <f t="shared" si="472"/>
        <v>O</v>
      </c>
      <c r="VTO91" s="79">
        <v>5</v>
      </c>
      <c r="VTP91" s="75">
        <v>1276006</v>
      </c>
      <c r="VTQ91" s="80"/>
      <c r="VTR91" s="81">
        <v>0.86944444444444446</v>
      </c>
      <c r="VTS91" s="74" t="s">
        <v>27</v>
      </c>
      <c r="VTT91" s="74" t="s">
        <v>24</v>
      </c>
      <c r="VTU91" s="75" t="s">
        <v>25</v>
      </c>
      <c r="VTV91" s="76">
        <f>IFERROR(VLOOKUP(VTU91,'[1]List KPI'!$A$103:$F$118,6,0),"")</f>
        <v>1.0416666666666666E-2</v>
      </c>
      <c r="VTW91" s="76">
        <v>0.86944444444444446</v>
      </c>
      <c r="VTX91" s="76">
        <v>0.86944444444444446</v>
      </c>
      <c r="VTY91" s="77" t="str">
        <f t="shared" si="471"/>
        <v>O</v>
      </c>
      <c r="VTZ91" s="74" t="s">
        <v>28</v>
      </c>
      <c r="VUA91" s="75" t="s">
        <v>23</v>
      </c>
      <c r="VUB91" s="78">
        <f>IFERROR(VLOOKUP(VUA91,'[1]List KPI'!$M$3:$N$8,2,0),"")</f>
        <v>2.0833333333333332E-2</v>
      </c>
      <c r="VUC91" s="76">
        <v>0.89444444444444449</v>
      </c>
      <c r="VUD91" s="77" t="str">
        <f t="shared" si="472"/>
        <v>O</v>
      </c>
      <c r="VUE91" s="79">
        <v>5</v>
      </c>
      <c r="VUF91" s="75">
        <v>1276006</v>
      </c>
      <c r="VUG91" s="80"/>
      <c r="VUH91" s="81">
        <v>0.86944444444444446</v>
      </c>
      <c r="VUI91" s="74" t="s">
        <v>27</v>
      </c>
      <c r="VUJ91" s="74" t="s">
        <v>24</v>
      </c>
      <c r="VUK91" s="75" t="s">
        <v>25</v>
      </c>
      <c r="VUL91" s="76">
        <f>IFERROR(VLOOKUP(VUK91,'[1]List KPI'!$A$103:$F$118,6,0),"")</f>
        <v>1.0416666666666666E-2</v>
      </c>
      <c r="VUM91" s="76">
        <v>0.86944444444444446</v>
      </c>
      <c r="VUN91" s="76">
        <v>0.86944444444444446</v>
      </c>
      <c r="VUO91" s="77" t="str">
        <f t="shared" ref="VUO91:VWK91" si="473">IF(VUN91="","",IF(VUN91&gt;VUW91,"O","P"))</f>
        <v>O</v>
      </c>
      <c r="VUP91" s="74" t="s">
        <v>28</v>
      </c>
      <c r="VUQ91" s="75" t="s">
        <v>23</v>
      </c>
      <c r="VUR91" s="78">
        <f>IFERROR(VLOOKUP(VUQ91,'[1]List KPI'!$M$3:$N$8,2,0),"")</f>
        <v>2.0833333333333332E-2</v>
      </c>
      <c r="VUS91" s="76">
        <v>0.89444444444444449</v>
      </c>
      <c r="VUT91" s="77" t="str">
        <f t="shared" ref="VUT91:VWP91" si="474">IF(VUS91="","",IF(VUS91&gt;VUX91,"O","P"))</f>
        <v>O</v>
      </c>
      <c r="VUU91" s="79">
        <v>5</v>
      </c>
      <c r="VUV91" s="75">
        <v>1276006</v>
      </c>
      <c r="VUW91" s="80"/>
      <c r="VUX91" s="81">
        <v>0.86944444444444446</v>
      </c>
      <c r="VUY91" s="74" t="s">
        <v>27</v>
      </c>
      <c r="VUZ91" s="74" t="s">
        <v>24</v>
      </c>
      <c r="VVA91" s="75" t="s">
        <v>25</v>
      </c>
      <c r="VVB91" s="76">
        <f>IFERROR(VLOOKUP(VVA91,'[1]List KPI'!$A$103:$F$118,6,0),"")</f>
        <v>1.0416666666666666E-2</v>
      </c>
      <c r="VVC91" s="76">
        <v>0.86944444444444446</v>
      </c>
      <c r="VVD91" s="76">
        <v>0.86944444444444446</v>
      </c>
      <c r="VVE91" s="77" t="str">
        <f t="shared" si="473"/>
        <v>O</v>
      </c>
      <c r="VVF91" s="74" t="s">
        <v>28</v>
      </c>
      <c r="VVG91" s="75" t="s">
        <v>23</v>
      </c>
      <c r="VVH91" s="78">
        <f>IFERROR(VLOOKUP(VVG91,'[1]List KPI'!$M$3:$N$8,2,0),"")</f>
        <v>2.0833333333333332E-2</v>
      </c>
      <c r="VVI91" s="76">
        <v>0.89444444444444449</v>
      </c>
      <c r="VVJ91" s="77" t="str">
        <f t="shared" si="474"/>
        <v>O</v>
      </c>
      <c r="VVK91" s="79">
        <v>5</v>
      </c>
      <c r="VVL91" s="75">
        <v>1276006</v>
      </c>
      <c r="VVM91" s="80"/>
      <c r="VVN91" s="81">
        <v>0.86944444444444446</v>
      </c>
      <c r="VVO91" s="74" t="s">
        <v>27</v>
      </c>
      <c r="VVP91" s="74" t="s">
        <v>24</v>
      </c>
      <c r="VVQ91" s="75" t="s">
        <v>25</v>
      </c>
      <c r="VVR91" s="76">
        <f>IFERROR(VLOOKUP(VVQ91,'[1]List KPI'!$A$103:$F$118,6,0),"")</f>
        <v>1.0416666666666666E-2</v>
      </c>
      <c r="VVS91" s="76">
        <v>0.86944444444444446</v>
      </c>
      <c r="VVT91" s="76">
        <v>0.86944444444444446</v>
      </c>
      <c r="VVU91" s="77" t="str">
        <f t="shared" si="473"/>
        <v>O</v>
      </c>
      <c r="VVV91" s="74" t="s">
        <v>28</v>
      </c>
      <c r="VVW91" s="75" t="s">
        <v>23</v>
      </c>
      <c r="VVX91" s="78">
        <f>IFERROR(VLOOKUP(VVW91,'[1]List KPI'!$M$3:$N$8,2,0),"")</f>
        <v>2.0833333333333332E-2</v>
      </c>
      <c r="VVY91" s="76">
        <v>0.89444444444444449</v>
      </c>
      <c r="VVZ91" s="77" t="str">
        <f t="shared" si="474"/>
        <v>O</v>
      </c>
      <c r="VWA91" s="79">
        <v>5</v>
      </c>
      <c r="VWB91" s="75">
        <v>1276006</v>
      </c>
      <c r="VWC91" s="80"/>
      <c r="VWD91" s="81">
        <v>0.86944444444444446</v>
      </c>
      <c r="VWE91" s="74" t="s">
        <v>27</v>
      </c>
      <c r="VWF91" s="74" t="s">
        <v>24</v>
      </c>
      <c r="VWG91" s="75" t="s">
        <v>25</v>
      </c>
      <c r="VWH91" s="76">
        <f>IFERROR(VLOOKUP(VWG91,'[1]List KPI'!$A$103:$F$118,6,0),"")</f>
        <v>1.0416666666666666E-2</v>
      </c>
      <c r="VWI91" s="76">
        <v>0.86944444444444446</v>
      </c>
      <c r="VWJ91" s="76">
        <v>0.86944444444444446</v>
      </c>
      <c r="VWK91" s="77" t="str">
        <f t="shared" si="473"/>
        <v>O</v>
      </c>
      <c r="VWL91" s="74" t="s">
        <v>28</v>
      </c>
      <c r="VWM91" s="75" t="s">
        <v>23</v>
      </c>
      <c r="VWN91" s="78">
        <f>IFERROR(VLOOKUP(VWM91,'[1]List KPI'!$M$3:$N$8,2,0),"")</f>
        <v>2.0833333333333332E-2</v>
      </c>
      <c r="VWO91" s="76">
        <v>0.89444444444444449</v>
      </c>
      <c r="VWP91" s="77" t="str">
        <f t="shared" si="474"/>
        <v>O</v>
      </c>
      <c r="VWQ91" s="79">
        <v>5</v>
      </c>
      <c r="VWR91" s="75">
        <v>1276006</v>
      </c>
      <c r="VWS91" s="80"/>
      <c r="VWT91" s="81">
        <v>0.86944444444444446</v>
      </c>
      <c r="VWU91" s="74" t="s">
        <v>27</v>
      </c>
      <c r="VWV91" s="74" t="s">
        <v>24</v>
      </c>
      <c r="VWW91" s="75" t="s">
        <v>25</v>
      </c>
      <c r="VWX91" s="76">
        <f>IFERROR(VLOOKUP(VWW91,'[1]List KPI'!$A$103:$F$118,6,0),"")</f>
        <v>1.0416666666666666E-2</v>
      </c>
      <c r="VWY91" s="76">
        <v>0.86944444444444446</v>
      </c>
      <c r="VWZ91" s="76">
        <v>0.86944444444444446</v>
      </c>
      <c r="VXA91" s="77" t="str">
        <f t="shared" ref="VXA91:VYW91" si="475">IF(VWZ91="","",IF(VWZ91&gt;VXI91,"O","P"))</f>
        <v>O</v>
      </c>
      <c r="VXB91" s="74" t="s">
        <v>28</v>
      </c>
      <c r="VXC91" s="75" t="s">
        <v>23</v>
      </c>
      <c r="VXD91" s="78">
        <f>IFERROR(VLOOKUP(VXC91,'[1]List KPI'!$M$3:$N$8,2,0),"")</f>
        <v>2.0833333333333332E-2</v>
      </c>
      <c r="VXE91" s="76">
        <v>0.89444444444444449</v>
      </c>
      <c r="VXF91" s="77" t="str">
        <f t="shared" ref="VXF91:VZB91" si="476">IF(VXE91="","",IF(VXE91&gt;VXJ91,"O","P"))</f>
        <v>O</v>
      </c>
      <c r="VXG91" s="79">
        <v>5</v>
      </c>
      <c r="VXH91" s="75">
        <v>1276006</v>
      </c>
      <c r="VXI91" s="80"/>
      <c r="VXJ91" s="81">
        <v>0.86944444444444446</v>
      </c>
      <c r="VXK91" s="74" t="s">
        <v>27</v>
      </c>
      <c r="VXL91" s="74" t="s">
        <v>24</v>
      </c>
      <c r="VXM91" s="75" t="s">
        <v>25</v>
      </c>
      <c r="VXN91" s="76">
        <f>IFERROR(VLOOKUP(VXM91,'[1]List KPI'!$A$103:$F$118,6,0),"")</f>
        <v>1.0416666666666666E-2</v>
      </c>
      <c r="VXO91" s="76">
        <v>0.86944444444444446</v>
      </c>
      <c r="VXP91" s="76">
        <v>0.86944444444444446</v>
      </c>
      <c r="VXQ91" s="77" t="str">
        <f t="shared" si="475"/>
        <v>O</v>
      </c>
      <c r="VXR91" s="74" t="s">
        <v>28</v>
      </c>
      <c r="VXS91" s="75" t="s">
        <v>23</v>
      </c>
      <c r="VXT91" s="78">
        <f>IFERROR(VLOOKUP(VXS91,'[1]List KPI'!$M$3:$N$8,2,0),"")</f>
        <v>2.0833333333333332E-2</v>
      </c>
      <c r="VXU91" s="76">
        <v>0.89444444444444449</v>
      </c>
      <c r="VXV91" s="77" t="str">
        <f t="shared" si="476"/>
        <v>O</v>
      </c>
      <c r="VXW91" s="79">
        <v>5</v>
      </c>
      <c r="VXX91" s="75">
        <v>1276006</v>
      </c>
      <c r="VXY91" s="80"/>
      <c r="VXZ91" s="81">
        <v>0.86944444444444446</v>
      </c>
      <c r="VYA91" s="74" t="s">
        <v>27</v>
      </c>
      <c r="VYB91" s="74" t="s">
        <v>24</v>
      </c>
      <c r="VYC91" s="75" t="s">
        <v>25</v>
      </c>
      <c r="VYD91" s="76">
        <f>IFERROR(VLOOKUP(VYC91,'[1]List KPI'!$A$103:$F$118,6,0),"")</f>
        <v>1.0416666666666666E-2</v>
      </c>
      <c r="VYE91" s="76">
        <v>0.86944444444444446</v>
      </c>
      <c r="VYF91" s="76">
        <v>0.86944444444444446</v>
      </c>
      <c r="VYG91" s="77" t="str">
        <f t="shared" si="475"/>
        <v>O</v>
      </c>
      <c r="VYH91" s="74" t="s">
        <v>28</v>
      </c>
      <c r="VYI91" s="75" t="s">
        <v>23</v>
      </c>
      <c r="VYJ91" s="78">
        <f>IFERROR(VLOOKUP(VYI91,'[1]List KPI'!$M$3:$N$8,2,0),"")</f>
        <v>2.0833333333333332E-2</v>
      </c>
      <c r="VYK91" s="76">
        <v>0.89444444444444449</v>
      </c>
      <c r="VYL91" s="77" t="str">
        <f t="shared" si="476"/>
        <v>O</v>
      </c>
      <c r="VYM91" s="79">
        <v>5</v>
      </c>
      <c r="VYN91" s="75">
        <v>1276006</v>
      </c>
      <c r="VYO91" s="80"/>
      <c r="VYP91" s="81">
        <v>0.86944444444444446</v>
      </c>
      <c r="VYQ91" s="74" t="s">
        <v>27</v>
      </c>
      <c r="VYR91" s="74" t="s">
        <v>24</v>
      </c>
      <c r="VYS91" s="75" t="s">
        <v>25</v>
      </c>
      <c r="VYT91" s="76">
        <f>IFERROR(VLOOKUP(VYS91,'[1]List KPI'!$A$103:$F$118,6,0),"")</f>
        <v>1.0416666666666666E-2</v>
      </c>
      <c r="VYU91" s="76">
        <v>0.86944444444444446</v>
      </c>
      <c r="VYV91" s="76">
        <v>0.86944444444444446</v>
      </c>
      <c r="VYW91" s="77" t="str">
        <f t="shared" si="475"/>
        <v>O</v>
      </c>
      <c r="VYX91" s="74" t="s">
        <v>28</v>
      </c>
      <c r="VYY91" s="75" t="s">
        <v>23</v>
      </c>
      <c r="VYZ91" s="78">
        <f>IFERROR(VLOOKUP(VYY91,'[1]List KPI'!$M$3:$N$8,2,0),"")</f>
        <v>2.0833333333333332E-2</v>
      </c>
      <c r="VZA91" s="76">
        <v>0.89444444444444449</v>
      </c>
      <c r="VZB91" s="77" t="str">
        <f t="shared" si="476"/>
        <v>O</v>
      </c>
      <c r="VZC91" s="79">
        <v>5</v>
      </c>
      <c r="VZD91" s="75">
        <v>1276006</v>
      </c>
      <c r="VZE91" s="80"/>
      <c r="VZF91" s="81">
        <v>0.86944444444444446</v>
      </c>
      <c r="VZG91" s="74" t="s">
        <v>27</v>
      </c>
      <c r="VZH91" s="74" t="s">
        <v>24</v>
      </c>
      <c r="VZI91" s="75" t="s">
        <v>25</v>
      </c>
      <c r="VZJ91" s="76">
        <f>IFERROR(VLOOKUP(VZI91,'[1]List KPI'!$A$103:$F$118,6,0),"")</f>
        <v>1.0416666666666666E-2</v>
      </c>
      <c r="VZK91" s="76">
        <v>0.86944444444444446</v>
      </c>
      <c r="VZL91" s="76">
        <v>0.86944444444444446</v>
      </c>
      <c r="VZM91" s="77" t="str">
        <f t="shared" ref="VZM91:WBI91" si="477">IF(VZL91="","",IF(VZL91&gt;VZU91,"O","P"))</f>
        <v>O</v>
      </c>
      <c r="VZN91" s="74" t="s">
        <v>28</v>
      </c>
      <c r="VZO91" s="75" t="s">
        <v>23</v>
      </c>
      <c r="VZP91" s="78">
        <f>IFERROR(VLOOKUP(VZO91,'[1]List KPI'!$M$3:$N$8,2,0),"")</f>
        <v>2.0833333333333332E-2</v>
      </c>
      <c r="VZQ91" s="76">
        <v>0.89444444444444449</v>
      </c>
      <c r="VZR91" s="77" t="str">
        <f t="shared" ref="VZR91:WBN91" si="478">IF(VZQ91="","",IF(VZQ91&gt;VZV91,"O","P"))</f>
        <v>O</v>
      </c>
      <c r="VZS91" s="79">
        <v>5</v>
      </c>
      <c r="VZT91" s="75">
        <v>1276006</v>
      </c>
      <c r="VZU91" s="80"/>
      <c r="VZV91" s="81">
        <v>0.86944444444444446</v>
      </c>
      <c r="VZW91" s="74" t="s">
        <v>27</v>
      </c>
      <c r="VZX91" s="74" t="s">
        <v>24</v>
      </c>
      <c r="VZY91" s="75" t="s">
        <v>25</v>
      </c>
      <c r="VZZ91" s="76">
        <f>IFERROR(VLOOKUP(VZY91,'[1]List KPI'!$A$103:$F$118,6,0),"")</f>
        <v>1.0416666666666666E-2</v>
      </c>
      <c r="WAA91" s="76">
        <v>0.86944444444444446</v>
      </c>
      <c r="WAB91" s="76">
        <v>0.86944444444444446</v>
      </c>
      <c r="WAC91" s="77" t="str">
        <f t="shared" si="477"/>
        <v>O</v>
      </c>
      <c r="WAD91" s="74" t="s">
        <v>28</v>
      </c>
      <c r="WAE91" s="75" t="s">
        <v>23</v>
      </c>
      <c r="WAF91" s="78">
        <f>IFERROR(VLOOKUP(WAE91,'[1]List KPI'!$M$3:$N$8,2,0),"")</f>
        <v>2.0833333333333332E-2</v>
      </c>
      <c r="WAG91" s="76">
        <v>0.89444444444444449</v>
      </c>
      <c r="WAH91" s="77" t="str">
        <f t="shared" si="478"/>
        <v>O</v>
      </c>
      <c r="WAI91" s="79">
        <v>5</v>
      </c>
      <c r="WAJ91" s="75">
        <v>1276006</v>
      </c>
      <c r="WAK91" s="80"/>
      <c r="WAL91" s="81">
        <v>0.86944444444444446</v>
      </c>
      <c r="WAM91" s="74" t="s">
        <v>27</v>
      </c>
      <c r="WAN91" s="74" t="s">
        <v>24</v>
      </c>
      <c r="WAO91" s="75" t="s">
        <v>25</v>
      </c>
      <c r="WAP91" s="76">
        <f>IFERROR(VLOOKUP(WAO91,'[1]List KPI'!$A$103:$F$118,6,0),"")</f>
        <v>1.0416666666666666E-2</v>
      </c>
      <c r="WAQ91" s="76">
        <v>0.86944444444444446</v>
      </c>
      <c r="WAR91" s="76">
        <v>0.86944444444444446</v>
      </c>
      <c r="WAS91" s="77" t="str">
        <f t="shared" si="477"/>
        <v>O</v>
      </c>
      <c r="WAT91" s="74" t="s">
        <v>28</v>
      </c>
      <c r="WAU91" s="75" t="s">
        <v>23</v>
      </c>
      <c r="WAV91" s="78">
        <f>IFERROR(VLOOKUP(WAU91,'[1]List KPI'!$M$3:$N$8,2,0),"")</f>
        <v>2.0833333333333332E-2</v>
      </c>
      <c r="WAW91" s="76">
        <v>0.89444444444444449</v>
      </c>
      <c r="WAX91" s="77" t="str">
        <f t="shared" si="478"/>
        <v>O</v>
      </c>
      <c r="WAY91" s="79">
        <v>5</v>
      </c>
      <c r="WAZ91" s="75">
        <v>1276006</v>
      </c>
      <c r="WBA91" s="80"/>
      <c r="WBB91" s="81">
        <v>0.86944444444444446</v>
      </c>
      <c r="WBC91" s="74" t="s">
        <v>27</v>
      </c>
      <c r="WBD91" s="74" t="s">
        <v>24</v>
      </c>
      <c r="WBE91" s="75" t="s">
        <v>25</v>
      </c>
      <c r="WBF91" s="76">
        <f>IFERROR(VLOOKUP(WBE91,'[1]List KPI'!$A$103:$F$118,6,0),"")</f>
        <v>1.0416666666666666E-2</v>
      </c>
      <c r="WBG91" s="76">
        <v>0.86944444444444446</v>
      </c>
      <c r="WBH91" s="76">
        <v>0.86944444444444446</v>
      </c>
      <c r="WBI91" s="77" t="str">
        <f t="shared" si="477"/>
        <v>O</v>
      </c>
      <c r="WBJ91" s="74" t="s">
        <v>28</v>
      </c>
      <c r="WBK91" s="75" t="s">
        <v>23</v>
      </c>
      <c r="WBL91" s="78">
        <f>IFERROR(VLOOKUP(WBK91,'[1]List KPI'!$M$3:$N$8,2,0),"")</f>
        <v>2.0833333333333332E-2</v>
      </c>
      <c r="WBM91" s="76">
        <v>0.89444444444444449</v>
      </c>
      <c r="WBN91" s="77" t="str">
        <f t="shared" si="478"/>
        <v>O</v>
      </c>
      <c r="WBO91" s="79">
        <v>5</v>
      </c>
      <c r="WBP91" s="75">
        <v>1276006</v>
      </c>
      <c r="WBQ91" s="80"/>
      <c r="WBR91" s="81">
        <v>0.86944444444444446</v>
      </c>
      <c r="WBS91" s="74" t="s">
        <v>27</v>
      </c>
      <c r="WBT91" s="74" t="s">
        <v>24</v>
      </c>
      <c r="WBU91" s="75" t="s">
        <v>25</v>
      </c>
      <c r="WBV91" s="76">
        <f>IFERROR(VLOOKUP(WBU91,'[1]List KPI'!$A$103:$F$118,6,0),"")</f>
        <v>1.0416666666666666E-2</v>
      </c>
      <c r="WBW91" s="76">
        <v>0.86944444444444446</v>
      </c>
      <c r="WBX91" s="76">
        <v>0.86944444444444446</v>
      </c>
      <c r="WBY91" s="77" t="str">
        <f t="shared" ref="WBY91:WDU91" si="479">IF(WBX91="","",IF(WBX91&gt;WCG91,"O","P"))</f>
        <v>O</v>
      </c>
      <c r="WBZ91" s="74" t="s">
        <v>28</v>
      </c>
      <c r="WCA91" s="75" t="s">
        <v>23</v>
      </c>
      <c r="WCB91" s="78">
        <f>IFERROR(VLOOKUP(WCA91,'[1]List KPI'!$M$3:$N$8,2,0),"")</f>
        <v>2.0833333333333332E-2</v>
      </c>
      <c r="WCC91" s="76">
        <v>0.89444444444444449</v>
      </c>
      <c r="WCD91" s="77" t="str">
        <f t="shared" ref="WCD91:WDZ91" si="480">IF(WCC91="","",IF(WCC91&gt;WCH91,"O","P"))</f>
        <v>O</v>
      </c>
      <c r="WCE91" s="79">
        <v>5</v>
      </c>
      <c r="WCF91" s="75">
        <v>1276006</v>
      </c>
      <c r="WCG91" s="80"/>
      <c r="WCH91" s="81">
        <v>0.86944444444444446</v>
      </c>
      <c r="WCI91" s="74" t="s">
        <v>27</v>
      </c>
      <c r="WCJ91" s="74" t="s">
        <v>24</v>
      </c>
      <c r="WCK91" s="75" t="s">
        <v>25</v>
      </c>
      <c r="WCL91" s="76">
        <f>IFERROR(VLOOKUP(WCK91,'[1]List KPI'!$A$103:$F$118,6,0),"")</f>
        <v>1.0416666666666666E-2</v>
      </c>
      <c r="WCM91" s="76">
        <v>0.86944444444444446</v>
      </c>
      <c r="WCN91" s="76">
        <v>0.86944444444444446</v>
      </c>
      <c r="WCO91" s="77" t="str">
        <f t="shared" si="479"/>
        <v>O</v>
      </c>
      <c r="WCP91" s="74" t="s">
        <v>28</v>
      </c>
      <c r="WCQ91" s="75" t="s">
        <v>23</v>
      </c>
      <c r="WCR91" s="78">
        <f>IFERROR(VLOOKUP(WCQ91,'[1]List KPI'!$M$3:$N$8,2,0),"")</f>
        <v>2.0833333333333332E-2</v>
      </c>
      <c r="WCS91" s="76">
        <v>0.89444444444444449</v>
      </c>
      <c r="WCT91" s="77" t="str">
        <f t="shared" si="480"/>
        <v>O</v>
      </c>
      <c r="WCU91" s="79">
        <v>5</v>
      </c>
      <c r="WCV91" s="75">
        <v>1276006</v>
      </c>
      <c r="WCW91" s="80"/>
      <c r="WCX91" s="81">
        <v>0.86944444444444446</v>
      </c>
      <c r="WCY91" s="74" t="s">
        <v>27</v>
      </c>
      <c r="WCZ91" s="74" t="s">
        <v>24</v>
      </c>
      <c r="WDA91" s="75" t="s">
        <v>25</v>
      </c>
      <c r="WDB91" s="76">
        <f>IFERROR(VLOOKUP(WDA91,'[1]List KPI'!$A$103:$F$118,6,0),"")</f>
        <v>1.0416666666666666E-2</v>
      </c>
      <c r="WDC91" s="76">
        <v>0.86944444444444446</v>
      </c>
      <c r="WDD91" s="76">
        <v>0.86944444444444446</v>
      </c>
      <c r="WDE91" s="77" t="str">
        <f t="shared" si="479"/>
        <v>O</v>
      </c>
      <c r="WDF91" s="74" t="s">
        <v>28</v>
      </c>
      <c r="WDG91" s="75" t="s">
        <v>23</v>
      </c>
      <c r="WDH91" s="78">
        <f>IFERROR(VLOOKUP(WDG91,'[1]List KPI'!$M$3:$N$8,2,0),"")</f>
        <v>2.0833333333333332E-2</v>
      </c>
      <c r="WDI91" s="76">
        <v>0.89444444444444449</v>
      </c>
      <c r="WDJ91" s="77" t="str">
        <f t="shared" si="480"/>
        <v>O</v>
      </c>
      <c r="WDK91" s="79">
        <v>5</v>
      </c>
      <c r="WDL91" s="75">
        <v>1276006</v>
      </c>
      <c r="WDM91" s="80"/>
      <c r="WDN91" s="81">
        <v>0.86944444444444446</v>
      </c>
      <c r="WDO91" s="74" t="s">
        <v>27</v>
      </c>
      <c r="WDP91" s="74" t="s">
        <v>24</v>
      </c>
      <c r="WDQ91" s="75" t="s">
        <v>25</v>
      </c>
      <c r="WDR91" s="76">
        <f>IFERROR(VLOOKUP(WDQ91,'[1]List KPI'!$A$103:$F$118,6,0),"")</f>
        <v>1.0416666666666666E-2</v>
      </c>
      <c r="WDS91" s="76">
        <v>0.86944444444444446</v>
      </c>
      <c r="WDT91" s="76">
        <v>0.86944444444444446</v>
      </c>
      <c r="WDU91" s="77" t="str">
        <f t="shared" si="479"/>
        <v>O</v>
      </c>
      <c r="WDV91" s="74" t="s">
        <v>28</v>
      </c>
      <c r="WDW91" s="75" t="s">
        <v>23</v>
      </c>
      <c r="WDX91" s="78">
        <f>IFERROR(VLOOKUP(WDW91,'[1]List KPI'!$M$3:$N$8,2,0),"")</f>
        <v>2.0833333333333332E-2</v>
      </c>
      <c r="WDY91" s="76">
        <v>0.89444444444444449</v>
      </c>
      <c r="WDZ91" s="77" t="str">
        <f t="shared" si="480"/>
        <v>O</v>
      </c>
      <c r="WEA91" s="79">
        <v>5</v>
      </c>
      <c r="WEB91" s="75">
        <v>1276006</v>
      </c>
      <c r="WEC91" s="80"/>
      <c r="WED91" s="81">
        <v>0.86944444444444446</v>
      </c>
      <c r="WEE91" s="74" t="s">
        <v>27</v>
      </c>
      <c r="WEF91" s="74" t="s">
        <v>24</v>
      </c>
      <c r="WEG91" s="75" t="s">
        <v>25</v>
      </c>
      <c r="WEH91" s="76">
        <f>IFERROR(VLOOKUP(WEG91,'[1]List KPI'!$A$103:$F$118,6,0),"")</f>
        <v>1.0416666666666666E-2</v>
      </c>
      <c r="WEI91" s="76">
        <v>0.86944444444444446</v>
      </c>
      <c r="WEJ91" s="76">
        <v>0.86944444444444446</v>
      </c>
      <c r="WEK91" s="77" t="str">
        <f t="shared" ref="WEK91:WGG91" si="481">IF(WEJ91="","",IF(WEJ91&gt;WES91,"O","P"))</f>
        <v>O</v>
      </c>
      <c r="WEL91" s="74" t="s">
        <v>28</v>
      </c>
      <c r="WEM91" s="75" t="s">
        <v>23</v>
      </c>
      <c r="WEN91" s="78">
        <f>IFERROR(VLOOKUP(WEM91,'[1]List KPI'!$M$3:$N$8,2,0),"")</f>
        <v>2.0833333333333332E-2</v>
      </c>
      <c r="WEO91" s="76">
        <v>0.89444444444444449</v>
      </c>
      <c r="WEP91" s="77" t="str">
        <f t="shared" ref="WEP91:WGL91" si="482">IF(WEO91="","",IF(WEO91&gt;WET91,"O","P"))</f>
        <v>O</v>
      </c>
      <c r="WEQ91" s="79">
        <v>5</v>
      </c>
      <c r="WER91" s="75">
        <v>1276006</v>
      </c>
      <c r="WES91" s="80"/>
      <c r="WET91" s="81">
        <v>0.86944444444444446</v>
      </c>
      <c r="WEU91" s="74" t="s">
        <v>27</v>
      </c>
      <c r="WEV91" s="74" t="s">
        <v>24</v>
      </c>
      <c r="WEW91" s="75" t="s">
        <v>25</v>
      </c>
      <c r="WEX91" s="76">
        <f>IFERROR(VLOOKUP(WEW91,'[1]List KPI'!$A$103:$F$118,6,0),"")</f>
        <v>1.0416666666666666E-2</v>
      </c>
      <c r="WEY91" s="76">
        <v>0.86944444444444446</v>
      </c>
      <c r="WEZ91" s="76">
        <v>0.86944444444444446</v>
      </c>
      <c r="WFA91" s="77" t="str">
        <f t="shared" si="481"/>
        <v>O</v>
      </c>
      <c r="WFB91" s="74" t="s">
        <v>28</v>
      </c>
      <c r="WFC91" s="75" t="s">
        <v>23</v>
      </c>
      <c r="WFD91" s="78">
        <f>IFERROR(VLOOKUP(WFC91,'[1]List KPI'!$M$3:$N$8,2,0),"")</f>
        <v>2.0833333333333332E-2</v>
      </c>
      <c r="WFE91" s="76">
        <v>0.89444444444444449</v>
      </c>
      <c r="WFF91" s="77" t="str">
        <f t="shared" si="482"/>
        <v>O</v>
      </c>
      <c r="WFG91" s="79">
        <v>5</v>
      </c>
      <c r="WFH91" s="75">
        <v>1276006</v>
      </c>
      <c r="WFI91" s="80"/>
      <c r="WFJ91" s="81">
        <v>0.86944444444444446</v>
      </c>
      <c r="WFK91" s="74" t="s">
        <v>27</v>
      </c>
      <c r="WFL91" s="74" t="s">
        <v>24</v>
      </c>
      <c r="WFM91" s="75" t="s">
        <v>25</v>
      </c>
      <c r="WFN91" s="76">
        <f>IFERROR(VLOOKUP(WFM91,'[1]List KPI'!$A$103:$F$118,6,0),"")</f>
        <v>1.0416666666666666E-2</v>
      </c>
      <c r="WFO91" s="76">
        <v>0.86944444444444446</v>
      </c>
      <c r="WFP91" s="76">
        <v>0.86944444444444446</v>
      </c>
      <c r="WFQ91" s="77" t="str">
        <f t="shared" si="481"/>
        <v>O</v>
      </c>
      <c r="WFR91" s="74" t="s">
        <v>28</v>
      </c>
      <c r="WFS91" s="75" t="s">
        <v>23</v>
      </c>
      <c r="WFT91" s="78">
        <f>IFERROR(VLOOKUP(WFS91,'[1]List KPI'!$M$3:$N$8,2,0),"")</f>
        <v>2.0833333333333332E-2</v>
      </c>
      <c r="WFU91" s="76">
        <v>0.89444444444444449</v>
      </c>
      <c r="WFV91" s="77" t="str">
        <f t="shared" si="482"/>
        <v>O</v>
      </c>
      <c r="WFW91" s="79">
        <v>5</v>
      </c>
      <c r="WFX91" s="75">
        <v>1276006</v>
      </c>
      <c r="WFY91" s="80"/>
      <c r="WFZ91" s="81">
        <v>0.86944444444444446</v>
      </c>
      <c r="WGA91" s="74" t="s">
        <v>27</v>
      </c>
      <c r="WGB91" s="74" t="s">
        <v>24</v>
      </c>
      <c r="WGC91" s="75" t="s">
        <v>25</v>
      </c>
      <c r="WGD91" s="76">
        <f>IFERROR(VLOOKUP(WGC91,'[1]List KPI'!$A$103:$F$118,6,0),"")</f>
        <v>1.0416666666666666E-2</v>
      </c>
      <c r="WGE91" s="76">
        <v>0.86944444444444446</v>
      </c>
      <c r="WGF91" s="76">
        <v>0.86944444444444446</v>
      </c>
      <c r="WGG91" s="77" t="str">
        <f t="shared" si="481"/>
        <v>O</v>
      </c>
      <c r="WGH91" s="74" t="s">
        <v>28</v>
      </c>
      <c r="WGI91" s="75" t="s">
        <v>23</v>
      </c>
      <c r="WGJ91" s="78">
        <f>IFERROR(VLOOKUP(WGI91,'[1]List KPI'!$M$3:$N$8,2,0),"")</f>
        <v>2.0833333333333332E-2</v>
      </c>
      <c r="WGK91" s="76">
        <v>0.89444444444444449</v>
      </c>
      <c r="WGL91" s="77" t="str">
        <f t="shared" si="482"/>
        <v>O</v>
      </c>
      <c r="WGM91" s="79">
        <v>5</v>
      </c>
      <c r="WGN91" s="75">
        <v>1276006</v>
      </c>
      <c r="WGO91" s="80"/>
      <c r="WGP91" s="81">
        <v>0.86944444444444446</v>
      </c>
      <c r="WGQ91" s="74" t="s">
        <v>27</v>
      </c>
      <c r="WGR91" s="74" t="s">
        <v>24</v>
      </c>
      <c r="WGS91" s="75" t="s">
        <v>25</v>
      </c>
      <c r="WGT91" s="76">
        <f>IFERROR(VLOOKUP(WGS91,'[1]List KPI'!$A$103:$F$118,6,0),"")</f>
        <v>1.0416666666666666E-2</v>
      </c>
      <c r="WGU91" s="76">
        <v>0.86944444444444446</v>
      </c>
      <c r="WGV91" s="76">
        <v>0.86944444444444446</v>
      </c>
      <c r="WGW91" s="77" t="str">
        <f t="shared" ref="WGW91:WIS91" si="483">IF(WGV91="","",IF(WGV91&gt;WHE91,"O","P"))</f>
        <v>O</v>
      </c>
      <c r="WGX91" s="74" t="s">
        <v>28</v>
      </c>
      <c r="WGY91" s="75" t="s">
        <v>23</v>
      </c>
      <c r="WGZ91" s="78">
        <f>IFERROR(VLOOKUP(WGY91,'[1]List KPI'!$M$3:$N$8,2,0),"")</f>
        <v>2.0833333333333332E-2</v>
      </c>
      <c r="WHA91" s="76">
        <v>0.89444444444444449</v>
      </c>
      <c r="WHB91" s="77" t="str">
        <f t="shared" ref="WHB91:WIX91" si="484">IF(WHA91="","",IF(WHA91&gt;WHF91,"O","P"))</f>
        <v>O</v>
      </c>
      <c r="WHC91" s="79">
        <v>5</v>
      </c>
      <c r="WHD91" s="75">
        <v>1276006</v>
      </c>
      <c r="WHE91" s="80"/>
      <c r="WHF91" s="81">
        <v>0.86944444444444446</v>
      </c>
      <c r="WHG91" s="74" t="s">
        <v>27</v>
      </c>
      <c r="WHH91" s="74" t="s">
        <v>24</v>
      </c>
      <c r="WHI91" s="75" t="s">
        <v>25</v>
      </c>
      <c r="WHJ91" s="76">
        <f>IFERROR(VLOOKUP(WHI91,'[1]List KPI'!$A$103:$F$118,6,0),"")</f>
        <v>1.0416666666666666E-2</v>
      </c>
      <c r="WHK91" s="76">
        <v>0.86944444444444446</v>
      </c>
      <c r="WHL91" s="76">
        <v>0.86944444444444446</v>
      </c>
      <c r="WHM91" s="77" t="str">
        <f t="shared" si="483"/>
        <v>O</v>
      </c>
      <c r="WHN91" s="74" t="s">
        <v>28</v>
      </c>
      <c r="WHO91" s="75" t="s">
        <v>23</v>
      </c>
      <c r="WHP91" s="78">
        <f>IFERROR(VLOOKUP(WHO91,'[1]List KPI'!$M$3:$N$8,2,0),"")</f>
        <v>2.0833333333333332E-2</v>
      </c>
      <c r="WHQ91" s="76">
        <v>0.89444444444444449</v>
      </c>
      <c r="WHR91" s="77" t="str">
        <f t="shared" si="484"/>
        <v>O</v>
      </c>
      <c r="WHS91" s="79">
        <v>5</v>
      </c>
      <c r="WHT91" s="75">
        <v>1276006</v>
      </c>
      <c r="WHU91" s="80"/>
      <c r="WHV91" s="81">
        <v>0.86944444444444446</v>
      </c>
      <c r="WHW91" s="74" t="s">
        <v>27</v>
      </c>
      <c r="WHX91" s="74" t="s">
        <v>24</v>
      </c>
      <c r="WHY91" s="75" t="s">
        <v>25</v>
      </c>
      <c r="WHZ91" s="76">
        <f>IFERROR(VLOOKUP(WHY91,'[1]List KPI'!$A$103:$F$118,6,0),"")</f>
        <v>1.0416666666666666E-2</v>
      </c>
      <c r="WIA91" s="76">
        <v>0.86944444444444446</v>
      </c>
      <c r="WIB91" s="76">
        <v>0.86944444444444446</v>
      </c>
      <c r="WIC91" s="77" t="str">
        <f t="shared" si="483"/>
        <v>O</v>
      </c>
      <c r="WID91" s="74" t="s">
        <v>28</v>
      </c>
      <c r="WIE91" s="75" t="s">
        <v>23</v>
      </c>
      <c r="WIF91" s="78">
        <f>IFERROR(VLOOKUP(WIE91,'[1]List KPI'!$M$3:$N$8,2,0),"")</f>
        <v>2.0833333333333332E-2</v>
      </c>
      <c r="WIG91" s="76">
        <v>0.89444444444444449</v>
      </c>
      <c r="WIH91" s="77" t="str">
        <f t="shared" si="484"/>
        <v>O</v>
      </c>
      <c r="WII91" s="79">
        <v>5</v>
      </c>
      <c r="WIJ91" s="75">
        <v>1276006</v>
      </c>
      <c r="WIK91" s="80"/>
      <c r="WIL91" s="81">
        <v>0.86944444444444446</v>
      </c>
      <c r="WIM91" s="74" t="s">
        <v>27</v>
      </c>
      <c r="WIN91" s="74" t="s">
        <v>24</v>
      </c>
      <c r="WIO91" s="75" t="s">
        <v>25</v>
      </c>
      <c r="WIP91" s="76">
        <f>IFERROR(VLOOKUP(WIO91,'[1]List KPI'!$A$103:$F$118,6,0),"")</f>
        <v>1.0416666666666666E-2</v>
      </c>
      <c r="WIQ91" s="76">
        <v>0.86944444444444446</v>
      </c>
      <c r="WIR91" s="76">
        <v>0.86944444444444446</v>
      </c>
      <c r="WIS91" s="77" t="str">
        <f t="shared" si="483"/>
        <v>O</v>
      </c>
      <c r="WIT91" s="74" t="s">
        <v>28</v>
      </c>
      <c r="WIU91" s="75" t="s">
        <v>23</v>
      </c>
      <c r="WIV91" s="78">
        <f>IFERROR(VLOOKUP(WIU91,'[1]List KPI'!$M$3:$N$8,2,0),"")</f>
        <v>2.0833333333333332E-2</v>
      </c>
      <c r="WIW91" s="76">
        <v>0.89444444444444449</v>
      </c>
      <c r="WIX91" s="77" t="str">
        <f t="shared" si="484"/>
        <v>O</v>
      </c>
      <c r="WIY91" s="79">
        <v>5</v>
      </c>
      <c r="WIZ91" s="75">
        <v>1276006</v>
      </c>
      <c r="WJA91" s="80"/>
      <c r="WJB91" s="81">
        <v>0.86944444444444446</v>
      </c>
      <c r="WJC91" s="74" t="s">
        <v>27</v>
      </c>
      <c r="WJD91" s="74" t="s">
        <v>24</v>
      </c>
      <c r="WJE91" s="75" t="s">
        <v>25</v>
      </c>
      <c r="WJF91" s="76">
        <f>IFERROR(VLOOKUP(WJE91,'[1]List KPI'!$A$103:$F$118,6,0),"")</f>
        <v>1.0416666666666666E-2</v>
      </c>
      <c r="WJG91" s="76">
        <v>0.86944444444444446</v>
      </c>
      <c r="WJH91" s="76">
        <v>0.86944444444444446</v>
      </c>
      <c r="WJI91" s="77" t="str">
        <f t="shared" ref="WJI91:WLE91" si="485">IF(WJH91="","",IF(WJH91&gt;WJQ91,"O","P"))</f>
        <v>O</v>
      </c>
      <c r="WJJ91" s="74" t="s">
        <v>28</v>
      </c>
      <c r="WJK91" s="75" t="s">
        <v>23</v>
      </c>
      <c r="WJL91" s="78">
        <f>IFERROR(VLOOKUP(WJK91,'[1]List KPI'!$M$3:$N$8,2,0),"")</f>
        <v>2.0833333333333332E-2</v>
      </c>
      <c r="WJM91" s="76">
        <v>0.89444444444444449</v>
      </c>
      <c r="WJN91" s="77" t="str">
        <f t="shared" ref="WJN91:WLJ91" si="486">IF(WJM91="","",IF(WJM91&gt;WJR91,"O","P"))</f>
        <v>O</v>
      </c>
      <c r="WJO91" s="79">
        <v>5</v>
      </c>
      <c r="WJP91" s="75">
        <v>1276006</v>
      </c>
      <c r="WJQ91" s="80"/>
      <c r="WJR91" s="81">
        <v>0.86944444444444446</v>
      </c>
      <c r="WJS91" s="74" t="s">
        <v>27</v>
      </c>
      <c r="WJT91" s="74" t="s">
        <v>24</v>
      </c>
      <c r="WJU91" s="75" t="s">
        <v>25</v>
      </c>
      <c r="WJV91" s="76">
        <f>IFERROR(VLOOKUP(WJU91,'[1]List KPI'!$A$103:$F$118,6,0),"")</f>
        <v>1.0416666666666666E-2</v>
      </c>
      <c r="WJW91" s="76">
        <v>0.86944444444444446</v>
      </c>
      <c r="WJX91" s="76">
        <v>0.86944444444444446</v>
      </c>
      <c r="WJY91" s="77" t="str">
        <f t="shared" si="485"/>
        <v>O</v>
      </c>
      <c r="WJZ91" s="74" t="s">
        <v>28</v>
      </c>
      <c r="WKA91" s="75" t="s">
        <v>23</v>
      </c>
      <c r="WKB91" s="78">
        <f>IFERROR(VLOOKUP(WKA91,'[1]List KPI'!$M$3:$N$8,2,0),"")</f>
        <v>2.0833333333333332E-2</v>
      </c>
      <c r="WKC91" s="76">
        <v>0.89444444444444449</v>
      </c>
      <c r="WKD91" s="77" t="str">
        <f t="shared" si="486"/>
        <v>O</v>
      </c>
      <c r="WKE91" s="79">
        <v>5</v>
      </c>
      <c r="WKF91" s="75">
        <v>1276006</v>
      </c>
      <c r="WKG91" s="80"/>
      <c r="WKH91" s="81">
        <v>0.86944444444444446</v>
      </c>
      <c r="WKI91" s="74" t="s">
        <v>27</v>
      </c>
      <c r="WKJ91" s="74" t="s">
        <v>24</v>
      </c>
      <c r="WKK91" s="75" t="s">
        <v>25</v>
      </c>
      <c r="WKL91" s="76">
        <f>IFERROR(VLOOKUP(WKK91,'[1]List KPI'!$A$103:$F$118,6,0),"")</f>
        <v>1.0416666666666666E-2</v>
      </c>
      <c r="WKM91" s="76">
        <v>0.86944444444444446</v>
      </c>
      <c r="WKN91" s="76">
        <v>0.86944444444444446</v>
      </c>
      <c r="WKO91" s="77" t="str">
        <f t="shared" si="485"/>
        <v>O</v>
      </c>
      <c r="WKP91" s="74" t="s">
        <v>28</v>
      </c>
      <c r="WKQ91" s="75" t="s">
        <v>23</v>
      </c>
      <c r="WKR91" s="78">
        <f>IFERROR(VLOOKUP(WKQ91,'[1]List KPI'!$M$3:$N$8,2,0),"")</f>
        <v>2.0833333333333332E-2</v>
      </c>
      <c r="WKS91" s="76">
        <v>0.89444444444444449</v>
      </c>
      <c r="WKT91" s="77" t="str">
        <f t="shared" si="486"/>
        <v>O</v>
      </c>
      <c r="WKU91" s="79">
        <v>5</v>
      </c>
      <c r="WKV91" s="75">
        <v>1276006</v>
      </c>
      <c r="WKW91" s="80"/>
      <c r="WKX91" s="81">
        <v>0.86944444444444446</v>
      </c>
      <c r="WKY91" s="74" t="s">
        <v>27</v>
      </c>
      <c r="WKZ91" s="74" t="s">
        <v>24</v>
      </c>
      <c r="WLA91" s="75" t="s">
        <v>25</v>
      </c>
      <c r="WLB91" s="76">
        <f>IFERROR(VLOOKUP(WLA91,'[1]List KPI'!$A$103:$F$118,6,0),"")</f>
        <v>1.0416666666666666E-2</v>
      </c>
      <c r="WLC91" s="76">
        <v>0.86944444444444446</v>
      </c>
      <c r="WLD91" s="76">
        <v>0.86944444444444446</v>
      </c>
      <c r="WLE91" s="77" t="str">
        <f t="shared" si="485"/>
        <v>O</v>
      </c>
      <c r="WLF91" s="74" t="s">
        <v>28</v>
      </c>
      <c r="WLG91" s="75" t="s">
        <v>23</v>
      </c>
      <c r="WLH91" s="78">
        <f>IFERROR(VLOOKUP(WLG91,'[1]List KPI'!$M$3:$N$8,2,0),"")</f>
        <v>2.0833333333333332E-2</v>
      </c>
      <c r="WLI91" s="76">
        <v>0.89444444444444449</v>
      </c>
      <c r="WLJ91" s="77" t="str">
        <f t="shared" si="486"/>
        <v>O</v>
      </c>
      <c r="WLK91" s="79">
        <v>5</v>
      </c>
      <c r="WLL91" s="75">
        <v>1276006</v>
      </c>
      <c r="WLM91" s="80"/>
      <c r="WLN91" s="81">
        <v>0.86944444444444446</v>
      </c>
      <c r="WLO91" s="74" t="s">
        <v>27</v>
      </c>
      <c r="WLP91" s="74" t="s">
        <v>24</v>
      </c>
      <c r="WLQ91" s="75" t="s">
        <v>25</v>
      </c>
      <c r="WLR91" s="76">
        <f>IFERROR(VLOOKUP(WLQ91,'[1]List KPI'!$A$103:$F$118,6,0),"")</f>
        <v>1.0416666666666666E-2</v>
      </c>
      <c r="WLS91" s="76">
        <v>0.86944444444444446</v>
      </c>
      <c r="WLT91" s="76">
        <v>0.86944444444444446</v>
      </c>
      <c r="WLU91" s="77" t="str">
        <f t="shared" ref="WLU91:WNQ91" si="487">IF(WLT91="","",IF(WLT91&gt;WMC91,"O","P"))</f>
        <v>O</v>
      </c>
      <c r="WLV91" s="74" t="s">
        <v>28</v>
      </c>
      <c r="WLW91" s="75" t="s">
        <v>23</v>
      </c>
      <c r="WLX91" s="78">
        <f>IFERROR(VLOOKUP(WLW91,'[1]List KPI'!$M$3:$N$8,2,0),"")</f>
        <v>2.0833333333333332E-2</v>
      </c>
      <c r="WLY91" s="76">
        <v>0.89444444444444449</v>
      </c>
      <c r="WLZ91" s="77" t="str">
        <f t="shared" ref="WLZ91:WNV91" si="488">IF(WLY91="","",IF(WLY91&gt;WMD91,"O","P"))</f>
        <v>O</v>
      </c>
      <c r="WMA91" s="79">
        <v>5</v>
      </c>
      <c r="WMB91" s="75">
        <v>1276006</v>
      </c>
      <c r="WMC91" s="80"/>
      <c r="WMD91" s="81">
        <v>0.86944444444444446</v>
      </c>
      <c r="WME91" s="74" t="s">
        <v>27</v>
      </c>
      <c r="WMF91" s="74" t="s">
        <v>24</v>
      </c>
      <c r="WMG91" s="75" t="s">
        <v>25</v>
      </c>
      <c r="WMH91" s="76">
        <f>IFERROR(VLOOKUP(WMG91,'[1]List KPI'!$A$103:$F$118,6,0),"")</f>
        <v>1.0416666666666666E-2</v>
      </c>
      <c r="WMI91" s="76">
        <v>0.86944444444444446</v>
      </c>
      <c r="WMJ91" s="76">
        <v>0.86944444444444446</v>
      </c>
      <c r="WMK91" s="77" t="str">
        <f t="shared" si="487"/>
        <v>O</v>
      </c>
      <c r="WML91" s="74" t="s">
        <v>28</v>
      </c>
      <c r="WMM91" s="75" t="s">
        <v>23</v>
      </c>
      <c r="WMN91" s="78">
        <f>IFERROR(VLOOKUP(WMM91,'[1]List KPI'!$M$3:$N$8,2,0),"")</f>
        <v>2.0833333333333332E-2</v>
      </c>
      <c r="WMO91" s="76">
        <v>0.89444444444444449</v>
      </c>
      <c r="WMP91" s="77" t="str">
        <f t="shared" si="488"/>
        <v>O</v>
      </c>
      <c r="WMQ91" s="79">
        <v>5</v>
      </c>
      <c r="WMR91" s="75">
        <v>1276006</v>
      </c>
      <c r="WMS91" s="80"/>
      <c r="WMT91" s="81">
        <v>0.86944444444444446</v>
      </c>
      <c r="WMU91" s="74" t="s">
        <v>27</v>
      </c>
      <c r="WMV91" s="74" t="s">
        <v>24</v>
      </c>
      <c r="WMW91" s="75" t="s">
        <v>25</v>
      </c>
      <c r="WMX91" s="76">
        <f>IFERROR(VLOOKUP(WMW91,'[1]List KPI'!$A$103:$F$118,6,0),"")</f>
        <v>1.0416666666666666E-2</v>
      </c>
      <c r="WMY91" s="76">
        <v>0.86944444444444446</v>
      </c>
      <c r="WMZ91" s="76">
        <v>0.86944444444444446</v>
      </c>
      <c r="WNA91" s="77" t="str">
        <f t="shared" si="487"/>
        <v>O</v>
      </c>
      <c r="WNB91" s="74" t="s">
        <v>28</v>
      </c>
      <c r="WNC91" s="75" t="s">
        <v>23</v>
      </c>
      <c r="WND91" s="78">
        <f>IFERROR(VLOOKUP(WNC91,'[1]List KPI'!$M$3:$N$8,2,0),"")</f>
        <v>2.0833333333333332E-2</v>
      </c>
      <c r="WNE91" s="76">
        <v>0.89444444444444449</v>
      </c>
      <c r="WNF91" s="77" t="str">
        <f t="shared" si="488"/>
        <v>O</v>
      </c>
      <c r="WNG91" s="79">
        <v>5</v>
      </c>
      <c r="WNH91" s="75">
        <v>1276006</v>
      </c>
      <c r="WNI91" s="80"/>
      <c r="WNJ91" s="81">
        <v>0.86944444444444446</v>
      </c>
      <c r="WNK91" s="74" t="s">
        <v>27</v>
      </c>
      <c r="WNL91" s="74" t="s">
        <v>24</v>
      </c>
      <c r="WNM91" s="75" t="s">
        <v>25</v>
      </c>
      <c r="WNN91" s="76">
        <f>IFERROR(VLOOKUP(WNM91,'[1]List KPI'!$A$103:$F$118,6,0),"")</f>
        <v>1.0416666666666666E-2</v>
      </c>
      <c r="WNO91" s="76">
        <v>0.86944444444444446</v>
      </c>
      <c r="WNP91" s="76">
        <v>0.86944444444444446</v>
      </c>
      <c r="WNQ91" s="77" t="str">
        <f t="shared" si="487"/>
        <v>O</v>
      </c>
      <c r="WNR91" s="74" t="s">
        <v>28</v>
      </c>
      <c r="WNS91" s="75" t="s">
        <v>23</v>
      </c>
      <c r="WNT91" s="78">
        <f>IFERROR(VLOOKUP(WNS91,'[1]List KPI'!$M$3:$N$8,2,0),"")</f>
        <v>2.0833333333333332E-2</v>
      </c>
      <c r="WNU91" s="76">
        <v>0.89444444444444449</v>
      </c>
      <c r="WNV91" s="77" t="str">
        <f t="shared" si="488"/>
        <v>O</v>
      </c>
      <c r="WNW91" s="79">
        <v>5</v>
      </c>
      <c r="WNX91" s="75">
        <v>1276006</v>
      </c>
      <c r="WNY91" s="80"/>
      <c r="WNZ91" s="81">
        <v>0.86944444444444446</v>
      </c>
      <c r="WOA91" s="74" t="s">
        <v>27</v>
      </c>
      <c r="WOB91" s="74" t="s">
        <v>24</v>
      </c>
      <c r="WOC91" s="75" t="s">
        <v>25</v>
      </c>
      <c r="WOD91" s="76">
        <f>IFERROR(VLOOKUP(WOC91,'[1]List KPI'!$A$103:$F$118,6,0),"")</f>
        <v>1.0416666666666666E-2</v>
      </c>
      <c r="WOE91" s="76">
        <v>0.86944444444444446</v>
      </c>
      <c r="WOF91" s="76">
        <v>0.86944444444444446</v>
      </c>
      <c r="WOG91" s="77" t="str">
        <f t="shared" ref="WOG91:WQC91" si="489">IF(WOF91="","",IF(WOF91&gt;WOO91,"O","P"))</f>
        <v>O</v>
      </c>
      <c r="WOH91" s="74" t="s">
        <v>28</v>
      </c>
      <c r="WOI91" s="75" t="s">
        <v>23</v>
      </c>
      <c r="WOJ91" s="78">
        <f>IFERROR(VLOOKUP(WOI91,'[1]List KPI'!$M$3:$N$8,2,0),"")</f>
        <v>2.0833333333333332E-2</v>
      </c>
      <c r="WOK91" s="76">
        <v>0.89444444444444449</v>
      </c>
      <c r="WOL91" s="77" t="str">
        <f t="shared" ref="WOL91:WQH91" si="490">IF(WOK91="","",IF(WOK91&gt;WOP91,"O","P"))</f>
        <v>O</v>
      </c>
      <c r="WOM91" s="79">
        <v>5</v>
      </c>
      <c r="WON91" s="75">
        <v>1276006</v>
      </c>
      <c r="WOO91" s="80"/>
      <c r="WOP91" s="81">
        <v>0.86944444444444446</v>
      </c>
      <c r="WOQ91" s="74" t="s">
        <v>27</v>
      </c>
      <c r="WOR91" s="74" t="s">
        <v>24</v>
      </c>
      <c r="WOS91" s="75" t="s">
        <v>25</v>
      </c>
      <c r="WOT91" s="76">
        <f>IFERROR(VLOOKUP(WOS91,'[1]List KPI'!$A$103:$F$118,6,0),"")</f>
        <v>1.0416666666666666E-2</v>
      </c>
      <c r="WOU91" s="76">
        <v>0.86944444444444446</v>
      </c>
      <c r="WOV91" s="76">
        <v>0.86944444444444446</v>
      </c>
      <c r="WOW91" s="77" t="str">
        <f t="shared" si="489"/>
        <v>O</v>
      </c>
      <c r="WOX91" s="74" t="s">
        <v>28</v>
      </c>
      <c r="WOY91" s="75" t="s">
        <v>23</v>
      </c>
      <c r="WOZ91" s="78">
        <f>IFERROR(VLOOKUP(WOY91,'[1]List KPI'!$M$3:$N$8,2,0),"")</f>
        <v>2.0833333333333332E-2</v>
      </c>
      <c r="WPA91" s="76">
        <v>0.89444444444444449</v>
      </c>
      <c r="WPB91" s="77" t="str">
        <f t="shared" si="490"/>
        <v>O</v>
      </c>
      <c r="WPC91" s="79">
        <v>5</v>
      </c>
      <c r="WPD91" s="75">
        <v>1276006</v>
      </c>
      <c r="WPE91" s="80"/>
      <c r="WPF91" s="81">
        <v>0.86944444444444446</v>
      </c>
      <c r="WPG91" s="74" t="s">
        <v>27</v>
      </c>
      <c r="WPH91" s="74" t="s">
        <v>24</v>
      </c>
      <c r="WPI91" s="75" t="s">
        <v>25</v>
      </c>
      <c r="WPJ91" s="76">
        <f>IFERROR(VLOOKUP(WPI91,'[1]List KPI'!$A$103:$F$118,6,0),"")</f>
        <v>1.0416666666666666E-2</v>
      </c>
      <c r="WPK91" s="76">
        <v>0.86944444444444446</v>
      </c>
      <c r="WPL91" s="76">
        <v>0.86944444444444446</v>
      </c>
      <c r="WPM91" s="77" t="str">
        <f t="shared" si="489"/>
        <v>O</v>
      </c>
      <c r="WPN91" s="74" t="s">
        <v>28</v>
      </c>
      <c r="WPO91" s="75" t="s">
        <v>23</v>
      </c>
      <c r="WPP91" s="78">
        <f>IFERROR(VLOOKUP(WPO91,'[1]List KPI'!$M$3:$N$8,2,0),"")</f>
        <v>2.0833333333333332E-2</v>
      </c>
      <c r="WPQ91" s="76">
        <v>0.89444444444444449</v>
      </c>
      <c r="WPR91" s="77" t="str">
        <f t="shared" si="490"/>
        <v>O</v>
      </c>
      <c r="WPS91" s="79">
        <v>5</v>
      </c>
      <c r="WPT91" s="75">
        <v>1276006</v>
      </c>
      <c r="WPU91" s="80"/>
      <c r="WPV91" s="81">
        <v>0.86944444444444446</v>
      </c>
      <c r="WPW91" s="74" t="s">
        <v>27</v>
      </c>
      <c r="WPX91" s="74" t="s">
        <v>24</v>
      </c>
      <c r="WPY91" s="75" t="s">
        <v>25</v>
      </c>
      <c r="WPZ91" s="76">
        <f>IFERROR(VLOOKUP(WPY91,'[1]List KPI'!$A$103:$F$118,6,0),"")</f>
        <v>1.0416666666666666E-2</v>
      </c>
      <c r="WQA91" s="76">
        <v>0.86944444444444446</v>
      </c>
      <c r="WQB91" s="76">
        <v>0.86944444444444446</v>
      </c>
      <c r="WQC91" s="77" t="str">
        <f t="shared" si="489"/>
        <v>O</v>
      </c>
      <c r="WQD91" s="74" t="s">
        <v>28</v>
      </c>
      <c r="WQE91" s="75" t="s">
        <v>23</v>
      </c>
      <c r="WQF91" s="78">
        <f>IFERROR(VLOOKUP(WQE91,'[1]List KPI'!$M$3:$N$8,2,0),"")</f>
        <v>2.0833333333333332E-2</v>
      </c>
      <c r="WQG91" s="76">
        <v>0.89444444444444449</v>
      </c>
      <c r="WQH91" s="77" t="str">
        <f t="shared" si="490"/>
        <v>O</v>
      </c>
      <c r="WQI91" s="79">
        <v>5</v>
      </c>
      <c r="WQJ91" s="75">
        <v>1276006</v>
      </c>
      <c r="WQK91" s="80"/>
      <c r="WQL91" s="81">
        <v>0.86944444444444446</v>
      </c>
      <c r="WQM91" s="74" t="s">
        <v>27</v>
      </c>
      <c r="WQN91" s="74" t="s">
        <v>24</v>
      </c>
      <c r="WQO91" s="75" t="s">
        <v>25</v>
      </c>
      <c r="WQP91" s="76">
        <f>IFERROR(VLOOKUP(WQO91,'[1]List KPI'!$A$103:$F$118,6,0),"")</f>
        <v>1.0416666666666666E-2</v>
      </c>
      <c r="WQQ91" s="76">
        <v>0.86944444444444446</v>
      </c>
      <c r="WQR91" s="76">
        <v>0.86944444444444446</v>
      </c>
      <c r="WQS91" s="77" t="str">
        <f t="shared" ref="WQS91:WSO91" si="491">IF(WQR91="","",IF(WQR91&gt;WRA91,"O","P"))</f>
        <v>O</v>
      </c>
      <c r="WQT91" s="74" t="s">
        <v>28</v>
      </c>
      <c r="WQU91" s="75" t="s">
        <v>23</v>
      </c>
      <c r="WQV91" s="78">
        <f>IFERROR(VLOOKUP(WQU91,'[1]List KPI'!$M$3:$N$8,2,0),"")</f>
        <v>2.0833333333333332E-2</v>
      </c>
      <c r="WQW91" s="76">
        <v>0.89444444444444449</v>
      </c>
      <c r="WQX91" s="77" t="str">
        <f t="shared" ref="WQX91:WST91" si="492">IF(WQW91="","",IF(WQW91&gt;WRB91,"O","P"))</f>
        <v>O</v>
      </c>
      <c r="WQY91" s="79">
        <v>5</v>
      </c>
      <c r="WQZ91" s="75">
        <v>1276006</v>
      </c>
      <c r="WRA91" s="80"/>
      <c r="WRB91" s="81">
        <v>0.86944444444444446</v>
      </c>
      <c r="WRC91" s="74" t="s">
        <v>27</v>
      </c>
      <c r="WRD91" s="74" t="s">
        <v>24</v>
      </c>
      <c r="WRE91" s="75" t="s">
        <v>25</v>
      </c>
      <c r="WRF91" s="76">
        <f>IFERROR(VLOOKUP(WRE91,'[1]List KPI'!$A$103:$F$118,6,0),"")</f>
        <v>1.0416666666666666E-2</v>
      </c>
      <c r="WRG91" s="76">
        <v>0.86944444444444446</v>
      </c>
      <c r="WRH91" s="76">
        <v>0.86944444444444446</v>
      </c>
      <c r="WRI91" s="77" t="str">
        <f t="shared" si="491"/>
        <v>O</v>
      </c>
      <c r="WRJ91" s="74" t="s">
        <v>28</v>
      </c>
      <c r="WRK91" s="75" t="s">
        <v>23</v>
      </c>
      <c r="WRL91" s="78">
        <f>IFERROR(VLOOKUP(WRK91,'[1]List KPI'!$M$3:$N$8,2,0),"")</f>
        <v>2.0833333333333332E-2</v>
      </c>
      <c r="WRM91" s="76">
        <v>0.89444444444444449</v>
      </c>
      <c r="WRN91" s="77" t="str">
        <f t="shared" si="492"/>
        <v>O</v>
      </c>
      <c r="WRO91" s="79">
        <v>5</v>
      </c>
      <c r="WRP91" s="75">
        <v>1276006</v>
      </c>
      <c r="WRQ91" s="80"/>
      <c r="WRR91" s="81">
        <v>0.86944444444444446</v>
      </c>
      <c r="WRS91" s="74" t="s">
        <v>27</v>
      </c>
      <c r="WRT91" s="74" t="s">
        <v>24</v>
      </c>
      <c r="WRU91" s="75" t="s">
        <v>25</v>
      </c>
      <c r="WRV91" s="76">
        <f>IFERROR(VLOOKUP(WRU91,'[1]List KPI'!$A$103:$F$118,6,0),"")</f>
        <v>1.0416666666666666E-2</v>
      </c>
      <c r="WRW91" s="76">
        <v>0.86944444444444446</v>
      </c>
      <c r="WRX91" s="76">
        <v>0.86944444444444446</v>
      </c>
      <c r="WRY91" s="77" t="str">
        <f t="shared" si="491"/>
        <v>O</v>
      </c>
      <c r="WRZ91" s="74" t="s">
        <v>28</v>
      </c>
      <c r="WSA91" s="75" t="s">
        <v>23</v>
      </c>
      <c r="WSB91" s="78">
        <f>IFERROR(VLOOKUP(WSA91,'[1]List KPI'!$M$3:$N$8,2,0),"")</f>
        <v>2.0833333333333332E-2</v>
      </c>
      <c r="WSC91" s="76">
        <v>0.89444444444444449</v>
      </c>
      <c r="WSD91" s="77" t="str">
        <f t="shared" si="492"/>
        <v>O</v>
      </c>
      <c r="WSE91" s="79">
        <v>5</v>
      </c>
      <c r="WSF91" s="75">
        <v>1276006</v>
      </c>
      <c r="WSG91" s="80"/>
      <c r="WSH91" s="81">
        <v>0.86944444444444446</v>
      </c>
      <c r="WSI91" s="74" t="s">
        <v>27</v>
      </c>
      <c r="WSJ91" s="74" t="s">
        <v>24</v>
      </c>
      <c r="WSK91" s="75" t="s">
        <v>25</v>
      </c>
      <c r="WSL91" s="76">
        <f>IFERROR(VLOOKUP(WSK91,'[1]List KPI'!$A$103:$F$118,6,0),"")</f>
        <v>1.0416666666666666E-2</v>
      </c>
      <c r="WSM91" s="76">
        <v>0.86944444444444446</v>
      </c>
      <c r="WSN91" s="76">
        <v>0.86944444444444446</v>
      </c>
      <c r="WSO91" s="77" t="str">
        <f t="shared" si="491"/>
        <v>O</v>
      </c>
      <c r="WSP91" s="74" t="s">
        <v>28</v>
      </c>
      <c r="WSQ91" s="75" t="s">
        <v>23</v>
      </c>
      <c r="WSR91" s="78">
        <f>IFERROR(VLOOKUP(WSQ91,'[1]List KPI'!$M$3:$N$8,2,0),"")</f>
        <v>2.0833333333333332E-2</v>
      </c>
      <c r="WSS91" s="76">
        <v>0.89444444444444449</v>
      </c>
      <c r="WST91" s="77" t="str">
        <f t="shared" si="492"/>
        <v>O</v>
      </c>
      <c r="WSU91" s="79">
        <v>5</v>
      </c>
      <c r="WSV91" s="75">
        <v>1276006</v>
      </c>
      <c r="WSW91" s="80"/>
      <c r="WSX91" s="81">
        <v>0.86944444444444446</v>
      </c>
      <c r="WSY91" s="74" t="s">
        <v>27</v>
      </c>
      <c r="WSZ91" s="74" t="s">
        <v>24</v>
      </c>
      <c r="WTA91" s="75" t="s">
        <v>25</v>
      </c>
      <c r="WTB91" s="76">
        <f>IFERROR(VLOOKUP(WTA91,'[1]List KPI'!$A$103:$F$118,6,0),"")</f>
        <v>1.0416666666666666E-2</v>
      </c>
      <c r="WTC91" s="76">
        <v>0.86944444444444446</v>
      </c>
      <c r="WTD91" s="76">
        <v>0.86944444444444446</v>
      </c>
      <c r="WTE91" s="77" t="str">
        <f t="shared" ref="WTE91:WVA91" si="493">IF(WTD91="","",IF(WTD91&gt;WTM91,"O","P"))</f>
        <v>O</v>
      </c>
      <c r="WTF91" s="74" t="s">
        <v>28</v>
      </c>
      <c r="WTG91" s="75" t="s">
        <v>23</v>
      </c>
      <c r="WTH91" s="78">
        <f>IFERROR(VLOOKUP(WTG91,'[1]List KPI'!$M$3:$N$8,2,0),"")</f>
        <v>2.0833333333333332E-2</v>
      </c>
      <c r="WTI91" s="76">
        <v>0.89444444444444449</v>
      </c>
      <c r="WTJ91" s="77" t="str">
        <f t="shared" ref="WTJ91:WVF91" si="494">IF(WTI91="","",IF(WTI91&gt;WTN91,"O","P"))</f>
        <v>O</v>
      </c>
      <c r="WTK91" s="79">
        <v>5</v>
      </c>
      <c r="WTL91" s="75">
        <v>1276006</v>
      </c>
      <c r="WTM91" s="80"/>
      <c r="WTN91" s="81">
        <v>0.86944444444444446</v>
      </c>
      <c r="WTO91" s="74" t="s">
        <v>27</v>
      </c>
      <c r="WTP91" s="74" t="s">
        <v>24</v>
      </c>
      <c r="WTQ91" s="75" t="s">
        <v>25</v>
      </c>
      <c r="WTR91" s="76">
        <f>IFERROR(VLOOKUP(WTQ91,'[1]List KPI'!$A$103:$F$118,6,0),"")</f>
        <v>1.0416666666666666E-2</v>
      </c>
      <c r="WTS91" s="76">
        <v>0.86944444444444446</v>
      </c>
      <c r="WTT91" s="76">
        <v>0.86944444444444446</v>
      </c>
      <c r="WTU91" s="77" t="str">
        <f t="shared" si="493"/>
        <v>O</v>
      </c>
      <c r="WTV91" s="74" t="s">
        <v>28</v>
      </c>
      <c r="WTW91" s="75" t="s">
        <v>23</v>
      </c>
      <c r="WTX91" s="78">
        <f>IFERROR(VLOOKUP(WTW91,'[1]List KPI'!$M$3:$N$8,2,0),"")</f>
        <v>2.0833333333333332E-2</v>
      </c>
      <c r="WTY91" s="76">
        <v>0.89444444444444449</v>
      </c>
      <c r="WTZ91" s="77" t="str">
        <f t="shared" si="494"/>
        <v>O</v>
      </c>
      <c r="WUA91" s="79">
        <v>5</v>
      </c>
      <c r="WUB91" s="75">
        <v>1276006</v>
      </c>
      <c r="WUC91" s="80"/>
      <c r="WUD91" s="81">
        <v>0.86944444444444446</v>
      </c>
      <c r="WUE91" s="74" t="s">
        <v>27</v>
      </c>
      <c r="WUF91" s="74" t="s">
        <v>24</v>
      </c>
      <c r="WUG91" s="75" t="s">
        <v>25</v>
      </c>
      <c r="WUH91" s="76">
        <f>IFERROR(VLOOKUP(WUG91,'[1]List KPI'!$A$103:$F$118,6,0),"")</f>
        <v>1.0416666666666666E-2</v>
      </c>
      <c r="WUI91" s="76">
        <v>0.86944444444444446</v>
      </c>
      <c r="WUJ91" s="76">
        <v>0.86944444444444446</v>
      </c>
      <c r="WUK91" s="77" t="str">
        <f t="shared" si="493"/>
        <v>O</v>
      </c>
      <c r="WUL91" s="74" t="s">
        <v>28</v>
      </c>
      <c r="WUM91" s="75" t="s">
        <v>23</v>
      </c>
      <c r="WUN91" s="78">
        <f>IFERROR(VLOOKUP(WUM91,'[1]List KPI'!$M$3:$N$8,2,0),"")</f>
        <v>2.0833333333333332E-2</v>
      </c>
      <c r="WUO91" s="76">
        <v>0.89444444444444449</v>
      </c>
      <c r="WUP91" s="77" t="str">
        <f t="shared" si="494"/>
        <v>O</v>
      </c>
      <c r="WUQ91" s="79">
        <v>5</v>
      </c>
      <c r="WUR91" s="75">
        <v>1276006</v>
      </c>
      <c r="WUS91" s="80"/>
      <c r="WUT91" s="81">
        <v>0.86944444444444446</v>
      </c>
      <c r="WUU91" s="74" t="s">
        <v>27</v>
      </c>
      <c r="WUV91" s="74" t="s">
        <v>24</v>
      </c>
      <c r="WUW91" s="75" t="s">
        <v>25</v>
      </c>
      <c r="WUX91" s="76">
        <f>IFERROR(VLOOKUP(WUW91,'[1]List KPI'!$A$103:$F$118,6,0),"")</f>
        <v>1.0416666666666666E-2</v>
      </c>
      <c r="WUY91" s="76">
        <v>0.86944444444444446</v>
      </c>
      <c r="WUZ91" s="76">
        <v>0.86944444444444446</v>
      </c>
      <c r="WVA91" s="77" t="str">
        <f t="shared" si="493"/>
        <v>O</v>
      </c>
      <c r="WVB91" s="74" t="s">
        <v>28</v>
      </c>
      <c r="WVC91" s="75" t="s">
        <v>23</v>
      </c>
      <c r="WVD91" s="78">
        <f>IFERROR(VLOOKUP(WVC91,'[1]List KPI'!$M$3:$N$8,2,0),"")</f>
        <v>2.0833333333333332E-2</v>
      </c>
      <c r="WVE91" s="76">
        <v>0.89444444444444449</v>
      </c>
      <c r="WVF91" s="77" t="str">
        <f t="shared" si="494"/>
        <v>O</v>
      </c>
      <c r="WVG91" s="79">
        <v>5</v>
      </c>
      <c r="WVH91" s="75">
        <v>1276006</v>
      </c>
      <c r="WVI91" s="80"/>
      <c r="WVJ91" s="81">
        <v>0.86944444444444446</v>
      </c>
      <c r="WVK91" s="74" t="s">
        <v>27</v>
      </c>
      <c r="WVL91" s="74" t="s">
        <v>24</v>
      </c>
      <c r="WVM91" s="75" t="s">
        <v>25</v>
      </c>
      <c r="WVN91" s="76">
        <f>IFERROR(VLOOKUP(WVM91,'[1]List KPI'!$A$103:$F$118,6,0),"")</f>
        <v>1.0416666666666666E-2</v>
      </c>
      <c r="WVO91" s="76">
        <v>0.86944444444444446</v>
      </c>
      <c r="WVP91" s="76">
        <v>0.86944444444444446</v>
      </c>
      <c r="WVQ91" s="77" t="str">
        <f t="shared" ref="WVQ91:WXM91" si="495">IF(WVP91="","",IF(WVP91&gt;WVY91,"O","P"))</f>
        <v>O</v>
      </c>
      <c r="WVR91" s="74" t="s">
        <v>28</v>
      </c>
      <c r="WVS91" s="75" t="s">
        <v>23</v>
      </c>
      <c r="WVT91" s="78">
        <f>IFERROR(VLOOKUP(WVS91,'[1]List KPI'!$M$3:$N$8,2,0),"")</f>
        <v>2.0833333333333332E-2</v>
      </c>
      <c r="WVU91" s="76">
        <v>0.89444444444444449</v>
      </c>
      <c r="WVV91" s="77" t="str">
        <f t="shared" ref="WVV91:WXR91" si="496">IF(WVU91="","",IF(WVU91&gt;WVZ91,"O","P"))</f>
        <v>O</v>
      </c>
      <c r="WVW91" s="79">
        <v>5</v>
      </c>
      <c r="WVX91" s="75">
        <v>1276006</v>
      </c>
      <c r="WVY91" s="80"/>
      <c r="WVZ91" s="81">
        <v>0.86944444444444446</v>
      </c>
      <c r="WWA91" s="74" t="s">
        <v>27</v>
      </c>
      <c r="WWB91" s="74" t="s">
        <v>24</v>
      </c>
      <c r="WWC91" s="75" t="s">
        <v>25</v>
      </c>
      <c r="WWD91" s="76">
        <f>IFERROR(VLOOKUP(WWC91,'[1]List KPI'!$A$103:$F$118,6,0),"")</f>
        <v>1.0416666666666666E-2</v>
      </c>
      <c r="WWE91" s="76">
        <v>0.86944444444444446</v>
      </c>
      <c r="WWF91" s="76">
        <v>0.86944444444444446</v>
      </c>
      <c r="WWG91" s="77" t="str">
        <f t="shared" si="495"/>
        <v>O</v>
      </c>
      <c r="WWH91" s="74" t="s">
        <v>28</v>
      </c>
      <c r="WWI91" s="75" t="s">
        <v>23</v>
      </c>
      <c r="WWJ91" s="78">
        <f>IFERROR(VLOOKUP(WWI91,'[1]List KPI'!$M$3:$N$8,2,0),"")</f>
        <v>2.0833333333333332E-2</v>
      </c>
      <c r="WWK91" s="76">
        <v>0.89444444444444449</v>
      </c>
      <c r="WWL91" s="77" t="str">
        <f t="shared" si="496"/>
        <v>O</v>
      </c>
      <c r="WWM91" s="79">
        <v>5</v>
      </c>
      <c r="WWN91" s="75">
        <v>1276006</v>
      </c>
      <c r="WWO91" s="80"/>
      <c r="WWP91" s="81">
        <v>0.86944444444444446</v>
      </c>
      <c r="WWQ91" s="74" t="s">
        <v>27</v>
      </c>
      <c r="WWR91" s="74" t="s">
        <v>24</v>
      </c>
      <c r="WWS91" s="75" t="s">
        <v>25</v>
      </c>
      <c r="WWT91" s="76">
        <f>IFERROR(VLOOKUP(WWS91,'[1]List KPI'!$A$103:$F$118,6,0),"")</f>
        <v>1.0416666666666666E-2</v>
      </c>
      <c r="WWU91" s="76">
        <v>0.86944444444444446</v>
      </c>
      <c r="WWV91" s="76">
        <v>0.86944444444444446</v>
      </c>
      <c r="WWW91" s="77" t="str">
        <f t="shared" si="495"/>
        <v>O</v>
      </c>
      <c r="WWX91" s="74" t="s">
        <v>28</v>
      </c>
      <c r="WWY91" s="75" t="s">
        <v>23</v>
      </c>
      <c r="WWZ91" s="78">
        <f>IFERROR(VLOOKUP(WWY91,'[1]List KPI'!$M$3:$N$8,2,0),"")</f>
        <v>2.0833333333333332E-2</v>
      </c>
      <c r="WXA91" s="76">
        <v>0.89444444444444449</v>
      </c>
      <c r="WXB91" s="77" t="str">
        <f t="shared" si="496"/>
        <v>O</v>
      </c>
      <c r="WXC91" s="79">
        <v>5</v>
      </c>
      <c r="WXD91" s="75">
        <v>1276006</v>
      </c>
      <c r="WXE91" s="80"/>
      <c r="WXF91" s="81">
        <v>0.86944444444444446</v>
      </c>
      <c r="WXG91" s="74" t="s">
        <v>27</v>
      </c>
      <c r="WXH91" s="74" t="s">
        <v>24</v>
      </c>
      <c r="WXI91" s="75" t="s">
        <v>25</v>
      </c>
      <c r="WXJ91" s="76">
        <f>IFERROR(VLOOKUP(WXI91,'[1]List KPI'!$A$103:$F$118,6,0),"")</f>
        <v>1.0416666666666666E-2</v>
      </c>
      <c r="WXK91" s="76">
        <v>0.86944444444444446</v>
      </c>
      <c r="WXL91" s="76">
        <v>0.86944444444444446</v>
      </c>
      <c r="WXM91" s="77" t="str">
        <f t="shared" si="495"/>
        <v>O</v>
      </c>
      <c r="WXN91" s="74" t="s">
        <v>28</v>
      </c>
      <c r="WXO91" s="75" t="s">
        <v>23</v>
      </c>
      <c r="WXP91" s="78">
        <f>IFERROR(VLOOKUP(WXO91,'[1]List KPI'!$M$3:$N$8,2,0),"")</f>
        <v>2.0833333333333332E-2</v>
      </c>
      <c r="WXQ91" s="76">
        <v>0.89444444444444449</v>
      </c>
      <c r="WXR91" s="77" t="str">
        <f t="shared" si="496"/>
        <v>O</v>
      </c>
      <c r="WXS91" s="79">
        <v>5</v>
      </c>
      <c r="WXT91" s="75">
        <v>1276006</v>
      </c>
      <c r="WXU91" s="80"/>
      <c r="WXV91" s="81">
        <v>0.86944444444444446</v>
      </c>
      <c r="WXW91" s="74" t="s">
        <v>27</v>
      </c>
      <c r="WXX91" s="74" t="s">
        <v>24</v>
      </c>
      <c r="WXY91" s="75" t="s">
        <v>25</v>
      </c>
      <c r="WXZ91" s="76">
        <f>IFERROR(VLOOKUP(WXY91,'[1]List KPI'!$A$103:$F$118,6,0),"")</f>
        <v>1.0416666666666666E-2</v>
      </c>
      <c r="WYA91" s="76">
        <v>0.86944444444444446</v>
      </c>
      <c r="WYB91" s="76">
        <v>0.86944444444444446</v>
      </c>
      <c r="WYC91" s="77" t="str">
        <f t="shared" ref="WYC91:WZY91" si="497">IF(WYB91="","",IF(WYB91&gt;WYK91,"O","P"))</f>
        <v>O</v>
      </c>
      <c r="WYD91" s="74" t="s">
        <v>28</v>
      </c>
      <c r="WYE91" s="75" t="s">
        <v>23</v>
      </c>
      <c r="WYF91" s="78">
        <f>IFERROR(VLOOKUP(WYE91,'[1]List KPI'!$M$3:$N$8,2,0),"")</f>
        <v>2.0833333333333332E-2</v>
      </c>
      <c r="WYG91" s="76">
        <v>0.89444444444444449</v>
      </c>
      <c r="WYH91" s="77" t="str">
        <f t="shared" ref="WYH91:XAD91" si="498">IF(WYG91="","",IF(WYG91&gt;WYL91,"O","P"))</f>
        <v>O</v>
      </c>
      <c r="WYI91" s="79">
        <v>5</v>
      </c>
      <c r="WYJ91" s="75">
        <v>1276006</v>
      </c>
      <c r="WYK91" s="80"/>
      <c r="WYL91" s="81">
        <v>0.86944444444444446</v>
      </c>
      <c r="WYM91" s="74" t="s">
        <v>27</v>
      </c>
      <c r="WYN91" s="74" t="s">
        <v>24</v>
      </c>
      <c r="WYO91" s="75" t="s">
        <v>25</v>
      </c>
      <c r="WYP91" s="76">
        <f>IFERROR(VLOOKUP(WYO91,'[1]List KPI'!$A$103:$F$118,6,0),"")</f>
        <v>1.0416666666666666E-2</v>
      </c>
      <c r="WYQ91" s="76">
        <v>0.86944444444444446</v>
      </c>
      <c r="WYR91" s="76">
        <v>0.86944444444444446</v>
      </c>
      <c r="WYS91" s="77" t="str">
        <f t="shared" si="497"/>
        <v>O</v>
      </c>
      <c r="WYT91" s="74" t="s">
        <v>28</v>
      </c>
      <c r="WYU91" s="75" t="s">
        <v>23</v>
      </c>
      <c r="WYV91" s="78">
        <f>IFERROR(VLOOKUP(WYU91,'[1]List KPI'!$M$3:$N$8,2,0),"")</f>
        <v>2.0833333333333332E-2</v>
      </c>
      <c r="WYW91" s="76">
        <v>0.89444444444444449</v>
      </c>
      <c r="WYX91" s="77" t="str">
        <f t="shared" si="498"/>
        <v>O</v>
      </c>
      <c r="WYY91" s="79">
        <v>5</v>
      </c>
      <c r="WYZ91" s="75">
        <v>1276006</v>
      </c>
      <c r="WZA91" s="80"/>
      <c r="WZB91" s="81">
        <v>0.86944444444444446</v>
      </c>
      <c r="WZC91" s="74" t="s">
        <v>27</v>
      </c>
      <c r="WZD91" s="74" t="s">
        <v>24</v>
      </c>
      <c r="WZE91" s="75" t="s">
        <v>25</v>
      </c>
      <c r="WZF91" s="76">
        <f>IFERROR(VLOOKUP(WZE91,'[1]List KPI'!$A$103:$F$118,6,0),"")</f>
        <v>1.0416666666666666E-2</v>
      </c>
      <c r="WZG91" s="76">
        <v>0.86944444444444446</v>
      </c>
      <c r="WZH91" s="76">
        <v>0.86944444444444446</v>
      </c>
      <c r="WZI91" s="77" t="str">
        <f t="shared" si="497"/>
        <v>O</v>
      </c>
      <c r="WZJ91" s="74" t="s">
        <v>28</v>
      </c>
      <c r="WZK91" s="75" t="s">
        <v>23</v>
      </c>
      <c r="WZL91" s="78">
        <f>IFERROR(VLOOKUP(WZK91,'[1]List KPI'!$M$3:$N$8,2,0),"")</f>
        <v>2.0833333333333332E-2</v>
      </c>
      <c r="WZM91" s="76">
        <v>0.89444444444444449</v>
      </c>
      <c r="WZN91" s="77" t="str">
        <f t="shared" si="498"/>
        <v>O</v>
      </c>
      <c r="WZO91" s="79">
        <v>5</v>
      </c>
      <c r="WZP91" s="75">
        <v>1276006</v>
      </c>
      <c r="WZQ91" s="80"/>
      <c r="WZR91" s="81">
        <v>0.86944444444444446</v>
      </c>
      <c r="WZS91" s="74" t="s">
        <v>27</v>
      </c>
      <c r="WZT91" s="74" t="s">
        <v>24</v>
      </c>
      <c r="WZU91" s="75" t="s">
        <v>25</v>
      </c>
      <c r="WZV91" s="76">
        <f>IFERROR(VLOOKUP(WZU91,'[1]List KPI'!$A$103:$F$118,6,0),"")</f>
        <v>1.0416666666666666E-2</v>
      </c>
      <c r="WZW91" s="76">
        <v>0.86944444444444446</v>
      </c>
      <c r="WZX91" s="76">
        <v>0.86944444444444446</v>
      </c>
      <c r="WZY91" s="77" t="str">
        <f t="shared" si="497"/>
        <v>O</v>
      </c>
      <c r="WZZ91" s="74" t="s">
        <v>28</v>
      </c>
      <c r="XAA91" s="75" t="s">
        <v>23</v>
      </c>
      <c r="XAB91" s="78">
        <f>IFERROR(VLOOKUP(XAA91,'[1]List KPI'!$M$3:$N$8,2,0),"")</f>
        <v>2.0833333333333332E-2</v>
      </c>
      <c r="XAC91" s="76">
        <v>0.89444444444444449</v>
      </c>
      <c r="XAD91" s="77" t="str">
        <f t="shared" si="498"/>
        <v>O</v>
      </c>
      <c r="XAE91" s="79">
        <v>5</v>
      </c>
      <c r="XAF91" s="75">
        <v>1276006</v>
      </c>
      <c r="XAG91" s="80"/>
      <c r="XAH91" s="81">
        <v>0.86944444444444446</v>
      </c>
      <c r="XAI91" s="74" t="s">
        <v>27</v>
      </c>
      <c r="XAJ91" s="74" t="s">
        <v>24</v>
      </c>
      <c r="XAK91" s="75" t="s">
        <v>25</v>
      </c>
      <c r="XAL91" s="76">
        <f>IFERROR(VLOOKUP(XAK91,'[1]List KPI'!$A$103:$F$118,6,0),"")</f>
        <v>1.0416666666666666E-2</v>
      </c>
      <c r="XAM91" s="76">
        <v>0.86944444444444446</v>
      </c>
      <c r="XAN91" s="76">
        <v>0.86944444444444446</v>
      </c>
      <c r="XAO91" s="77" t="str">
        <f t="shared" ref="XAO91:XCK91" si="499">IF(XAN91="","",IF(XAN91&gt;XAW91,"O","P"))</f>
        <v>O</v>
      </c>
      <c r="XAP91" s="74" t="s">
        <v>28</v>
      </c>
      <c r="XAQ91" s="75" t="s">
        <v>23</v>
      </c>
      <c r="XAR91" s="78">
        <f>IFERROR(VLOOKUP(XAQ91,'[1]List KPI'!$M$3:$N$8,2,0),"")</f>
        <v>2.0833333333333332E-2</v>
      </c>
      <c r="XAS91" s="76">
        <v>0.89444444444444449</v>
      </c>
      <c r="XAT91" s="77" t="str">
        <f t="shared" ref="XAT91:XCP91" si="500">IF(XAS91="","",IF(XAS91&gt;XAX91,"O","P"))</f>
        <v>O</v>
      </c>
      <c r="XAU91" s="79">
        <v>5</v>
      </c>
      <c r="XAV91" s="75">
        <v>1276006</v>
      </c>
      <c r="XAW91" s="80"/>
      <c r="XAX91" s="81">
        <v>0.86944444444444446</v>
      </c>
      <c r="XAY91" s="74" t="s">
        <v>27</v>
      </c>
      <c r="XAZ91" s="74" t="s">
        <v>24</v>
      </c>
      <c r="XBA91" s="75" t="s">
        <v>25</v>
      </c>
      <c r="XBB91" s="76">
        <f>IFERROR(VLOOKUP(XBA91,'[1]List KPI'!$A$103:$F$118,6,0),"")</f>
        <v>1.0416666666666666E-2</v>
      </c>
      <c r="XBC91" s="76">
        <v>0.86944444444444446</v>
      </c>
      <c r="XBD91" s="76">
        <v>0.86944444444444446</v>
      </c>
      <c r="XBE91" s="77" t="str">
        <f t="shared" si="499"/>
        <v>O</v>
      </c>
      <c r="XBF91" s="74" t="s">
        <v>28</v>
      </c>
      <c r="XBG91" s="75" t="s">
        <v>23</v>
      </c>
      <c r="XBH91" s="78">
        <f>IFERROR(VLOOKUP(XBG91,'[1]List KPI'!$M$3:$N$8,2,0),"")</f>
        <v>2.0833333333333332E-2</v>
      </c>
      <c r="XBI91" s="76">
        <v>0.89444444444444449</v>
      </c>
      <c r="XBJ91" s="77" t="str">
        <f t="shared" si="500"/>
        <v>O</v>
      </c>
      <c r="XBK91" s="79">
        <v>5</v>
      </c>
      <c r="XBL91" s="75">
        <v>1276006</v>
      </c>
      <c r="XBM91" s="80"/>
      <c r="XBN91" s="81">
        <v>0.86944444444444446</v>
      </c>
      <c r="XBO91" s="74" t="s">
        <v>27</v>
      </c>
      <c r="XBP91" s="74" t="s">
        <v>24</v>
      </c>
      <c r="XBQ91" s="75" t="s">
        <v>25</v>
      </c>
      <c r="XBR91" s="76">
        <f>IFERROR(VLOOKUP(XBQ91,'[1]List KPI'!$A$103:$F$118,6,0),"")</f>
        <v>1.0416666666666666E-2</v>
      </c>
      <c r="XBS91" s="76">
        <v>0.86944444444444446</v>
      </c>
      <c r="XBT91" s="76">
        <v>0.86944444444444446</v>
      </c>
      <c r="XBU91" s="77" t="str">
        <f t="shared" si="499"/>
        <v>O</v>
      </c>
      <c r="XBV91" s="74" t="s">
        <v>28</v>
      </c>
      <c r="XBW91" s="75" t="s">
        <v>23</v>
      </c>
      <c r="XBX91" s="78">
        <f>IFERROR(VLOOKUP(XBW91,'[1]List KPI'!$M$3:$N$8,2,0),"")</f>
        <v>2.0833333333333332E-2</v>
      </c>
      <c r="XBY91" s="76">
        <v>0.89444444444444449</v>
      </c>
      <c r="XBZ91" s="77" t="str">
        <f t="shared" si="500"/>
        <v>O</v>
      </c>
      <c r="XCA91" s="79">
        <v>5</v>
      </c>
      <c r="XCB91" s="75">
        <v>1276006</v>
      </c>
      <c r="XCC91" s="80"/>
      <c r="XCD91" s="81">
        <v>0.86944444444444446</v>
      </c>
      <c r="XCE91" s="74" t="s">
        <v>27</v>
      </c>
      <c r="XCF91" s="74" t="s">
        <v>24</v>
      </c>
      <c r="XCG91" s="75" t="s">
        <v>25</v>
      </c>
      <c r="XCH91" s="76">
        <f>IFERROR(VLOOKUP(XCG91,'[1]List KPI'!$A$103:$F$118,6,0),"")</f>
        <v>1.0416666666666666E-2</v>
      </c>
      <c r="XCI91" s="76">
        <v>0.86944444444444446</v>
      </c>
      <c r="XCJ91" s="76">
        <v>0.86944444444444446</v>
      </c>
      <c r="XCK91" s="77" t="str">
        <f t="shared" si="499"/>
        <v>O</v>
      </c>
      <c r="XCL91" s="74" t="s">
        <v>28</v>
      </c>
      <c r="XCM91" s="75" t="s">
        <v>23</v>
      </c>
      <c r="XCN91" s="78">
        <f>IFERROR(VLOOKUP(XCM91,'[1]List KPI'!$M$3:$N$8,2,0),"")</f>
        <v>2.0833333333333332E-2</v>
      </c>
      <c r="XCO91" s="76">
        <v>0.89444444444444449</v>
      </c>
      <c r="XCP91" s="77" t="str">
        <f t="shared" si="500"/>
        <v>O</v>
      </c>
      <c r="XCQ91" s="79">
        <v>5</v>
      </c>
      <c r="XCR91" s="75">
        <v>1276006</v>
      </c>
      <c r="XCS91" s="80"/>
      <c r="XCT91" s="81">
        <v>0.86944444444444446</v>
      </c>
      <c r="XCU91" s="74" t="s">
        <v>27</v>
      </c>
      <c r="XCV91" s="74" t="s">
        <v>24</v>
      </c>
      <c r="XCW91" s="75" t="s">
        <v>25</v>
      </c>
      <c r="XCX91" s="76">
        <f>IFERROR(VLOOKUP(XCW91,'[1]List KPI'!$A$103:$F$118,6,0),"")</f>
        <v>1.0416666666666666E-2</v>
      </c>
      <c r="XCY91" s="76">
        <v>0.86944444444444446</v>
      </c>
      <c r="XCZ91" s="76">
        <v>0.86944444444444446</v>
      </c>
      <c r="XDA91" s="77" t="str">
        <f t="shared" ref="XDA91:XEG91" si="501">IF(XCZ91="","",IF(XCZ91&gt;XDI91,"O","P"))</f>
        <v>O</v>
      </c>
      <c r="XDB91" s="74" t="s">
        <v>28</v>
      </c>
      <c r="XDC91" s="75" t="s">
        <v>23</v>
      </c>
      <c r="XDD91" s="78">
        <f>IFERROR(VLOOKUP(XDC91,'[1]List KPI'!$M$3:$N$8,2,0),"")</f>
        <v>2.0833333333333332E-2</v>
      </c>
      <c r="XDE91" s="76">
        <v>0.89444444444444449</v>
      </c>
      <c r="XDF91" s="77" t="str">
        <f t="shared" ref="XDF91:XEL91" si="502">IF(XDE91="","",IF(XDE91&gt;XDJ91,"O","P"))</f>
        <v>O</v>
      </c>
      <c r="XDG91" s="79">
        <v>5</v>
      </c>
      <c r="XDH91" s="75">
        <v>1276006</v>
      </c>
      <c r="XDI91" s="80"/>
      <c r="XDJ91" s="81">
        <v>0.86944444444444446</v>
      </c>
      <c r="XDK91" s="74" t="s">
        <v>27</v>
      </c>
      <c r="XDL91" s="74" t="s">
        <v>24</v>
      </c>
      <c r="XDM91" s="75" t="s">
        <v>25</v>
      </c>
      <c r="XDN91" s="76">
        <f>IFERROR(VLOOKUP(XDM91,'[1]List KPI'!$A$103:$F$118,6,0),"")</f>
        <v>1.0416666666666666E-2</v>
      </c>
      <c r="XDO91" s="76">
        <v>0.86944444444444446</v>
      </c>
      <c r="XDP91" s="76">
        <v>0.86944444444444446</v>
      </c>
      <c r="XDQ91" s="77" t="str">
        <f t="shared" si="501"/>
        <v>O</v>
      </c>
      <c r="XDR91" s="74" t="s">
        <v>28</v>
      </c>
      <c r="XDS91" s="75" t="s">
        <v>23</v>
      </c>
      <c r="XDT91" s="78">
        <f>IFERROR(VLOOKUP(XDS91,'[1]List KPI'!$M$3:$N$8,2,0),"")</f>
        <v>2.0833333333333332E-2</v>
      </c>
      <c r="XDU91" s="76">
        <v>0.89444444444444449</v>
      </c>
      <c r="XDV91" s="77" t="str">
        <f t="shared" si="502"/>
        <v>O</v>
      </c>
      <c r="XDW91" s="79">
        <v>5</v>
      </c>
      <c r="XDX91" s="75">
        <v>1276006</v>
      </c>
      <c r="XDY91" s="80"/>
      <c r="XDZ91" s="81">
        <v>0.86944444444444446</v>
      </c>
      <c r="XEA91" s="74" t="s">
        <v>27</v>
      </c>
      <c r="XEB91" s="74" t="s">
        <v>24</v>
      </c>
      <c r="XEC91" s="75" t="s">
        <v>25</v>
      </c>
      <c r="XED91" s="76">
        <f>IFERROR(VLOOKUP(XEC91,'[1]List KPI'!$A$103:$F$118,6,0),"")</f>
        <v>1.0416666666666666E-2</v>
      </c>
      <c r="XEE91" s="76">
        <v>0.86944444444444446</v>
      </c>
      <c r="XEF91" s="76">
        <v>0.86944444444444446</v>
      </c>
      <c r="XEG91" s="77" t="str">
        <f t="shared" si="501"/>
        <v>O</v>
      </c>
      <c r="XEH91" s="74" t="s">
        <v>28</v>
      </c>
      <c r="XEI91" s="75" t="s">
        <v>23</v>
      </c>
      <c r="XEJ91" s="78">
        <f>IFERROR(VLOOKUP(XEI91,'[1]List KPI'!$M$3:$N$8,2,0),"")</f>
        <v>2.0833333333333332E-2</v>
      </c>
      <c r="XEK91" s="76">
        <v>0.89444444444444449</v>
      </c>
      <c r="XEL91" s="77" t="str">
        <f t="shared" si="502"/>
        <v>O</v>
      </c>
      <c r="XEM91" s="79">
        <v>5</v>
      </c>
      <c r="XEN91" s="75">
        <v>1276006</v>
      </c>
      <c r="XEO91" s="80"/>
      <c r="XEP91" s="81">
        <v>0.86944444444444446</v>
      </c>
      <c r="XEQ91" s="74" t="s">
        <v>27</v>
      </c>
      <c r="XER91" s="74" t="s">
        <v>24</v>
      </c>
      <c r="XES91" s="75" t="s">
        <v>25</v>
      </c>
      <c r="XET91" s="76">
        <f>IFERROR(VLOOKUP(XES91,'[1]List KPI'!$A$103:$F$118,6,0),"")</f>
        <v>1.0416666666666666E-2</v>
      </c>
      <c r="XEU91" s="76">
        <v>0.86944444444444446</v>
      </c>
      <c r="XEV91" s="76">
        <v>0.86944444444444446</v>
      </c>
      <c r="XEW91" s="77" t="e">
        <f t="shared" ref="XEW91" si="503">IF(XEV91="","",IF(XEV91&gt;#REF!,"O","P"))</f>
        <v>#REF!</v>
      </c>
      <c r="XEX91" s="74" t="s">
        <v>28</v>
      </c>
      <c r="XEY91" s="75" t="s">
        <v>23</v>
      </c>
      <c r="XEZ91" s="78">
        <f>IFERROR(VLOOKUP(XEY91,'[1]List KPI'!$M$3:$N$8,2,0),"")</f>
        <v>2.0833333333333332E-2</v>
      </c>
      <c r="XFA91" s="76">
        <v>0.89444444444444449</v>
      </c>
      <c r="XFB91" s="77" t="e">
        <f t="shared" ref="XFB91" si="504">IF(XFA91="","",IF(XFA91&gt;#REF!,"O","P"))</f>
        <v>#REF!</v>
      </c>
    </row>
    <row r="92" spans="1:16382" ht="27" x14ac:dyDescent="0.4">
      <c r="A92" s="65"/>
      <c r="B92" s="66"/>
      <c r="C92" s="66"/>
      <c r="D92" s="67"/>
      <c r="E92" s="68"/>
      <c r="F92" s="68"/>
      <c r="G92" s="66"/>
      <c r="H92" s="67"/>
      <c r="I92" s="67"/>
      <c r="J92" s="67"/>
      <c r="K92" s="66"/>
      <c r="L92" s="68"/>
      <c r="M92" s="66"/>
      <c r="N92" s="69"/>
      <c r="O92" s="67"/>
      <c r="P92" s="66"/>
      <c r="Q92" s="65"/>
      <c r="R92" s="70"/>
    </row>
    <row r="93" spans="1:16382" ht="27" x14ac:dyDescent="0.4">
      <c r="A93" s="65"/>
      <c r="B93" s="66"/>
      <c r="C93" s="66"/>
      <c r="D93" s="67"/>
      <c r="E93" s="68"/>
      <c r="F93" s="68"/>
      <c r="G93" s="66"/>
      <c r="H93" s="67"/>
      <c r="I93" s="67"/>
      <c r="J93" s="67"/>
      <c r="K93" s="66"/>
      <c r="L93" s="68"/>
      <c r="M93" s="66"/>
      <c r="N93" s="69"/>
      <c r="O93" s="67"/>
      <c r="P93" s="66"/>
      <c r="Q93" s="65"/>
      <c r="R93" s="70"/>
    </row>
    <row r="94" spans="1:16382" ht="27" x14ac:dyDescent="0.4">
      <c r="A94" s="65"/>
      <c r="B94" s="66"/>
      <c r="C94" s="66"/>
      <c r="D94" s="67"/>
      <c r="E94" s="68"/>
      <c r="F94" s="68"/>
      <c r="G94" s="66"/>
      <c r="H94" s="67"/>
      <c r="I94" s="67"/>
      <c r="J94" s="67"/>
      <c r="K94" s="66"/>
      <c r="L94" s="68"/>
      <c r="M94" s="66"/>
      <c r="N94" s="69"/>
      <c r="O94" s="67"/>
      <c r="P94" s="66"/>
      <c r="Q94" s="65"/>
      <c r="R94" s="70"/>
    </row>
    <row r="95" spans="1:16382" ht="27" x14ac:dyDescent="0.4">
      <c r="A95" s="65"/>
      <c r="B95" s="66"/>
      <c r="C95" s="66"/>
      <c r="D95" s="67"/>
      <c r="E95" s="68"/>
      <c r="F95" s="68"/>
      <c r="G95" s="66"/>
      <c r="H95" s="67"/>
      <c r="I95" s="67"/>
      <c r="J95" s="67"/>
      <c r="K95" s="66"/>
      <c r="L95" s="68"/>
      <c r="M95" s="66"/>
      <c r="N95" s="69"/>
      <c r="O95" s="67"/>
      <c r="P95" s="66"/>
      <c r="Q95" s="65"/>
      <c r="R95" s="70"/>
    </row>
    <row r="96" spans="1:16382" ht="27" x14ac:dyDescent="0.4">
      <c r="A96" s="65"/>
      <c r="B96" s="66"/>
      <c r="C96" s="66"/>
      <c r="D96" s="67"/>
      <c r="E96" s="68"/>
      <c r="F96" s="68"/>
      <c r="G96" s="66"/>
      <c r="H96" s="67"/>
      <c r="I96" s="67"/>
      <c r="J96" s="67"/>
      <c r="K96" s="66"/>
      <c r="L96" s="68"/>
      <c r="M96" s="66"/>
      <c r="N96" s="69"/>
      <c r="O96" s="67"/>
      <c r="P96" s="66"/>
      <c r="Q96" s="65"/>
      <c r="R96" s="70"/>
    </row>
    <row r="97" spans="1:18" ht="27" x14ac:dyDescent="0.4">
      <c r="A97" s="65"/>
      <c r="B97" s="66"/>
      <c r="C97" s="66"/>
      <c r="D97" s="67"/>
      <c r="E97" s="68"/>
      <c r="F97" s="68"/>
      <c r="G97" s="66"/>
      <c r="H97" s="67"/>
      <c r="I97" s="67"/>
      <c r="J97" s="67"/>
      <c r="K97" s="66"/>
      <c r="L97" s="68"/>
      <c r="M97" s="66"/>
      <c r="N97" s="69"/>
      <c r="O97" s="67"/>
      <c r="P97" s="66"/>
      <c r="Q97" s="65"/>
      <c r="R97" s="70"/>
    </row>
    <row r="98" spans="1:18" ht="27" x14ac:dyDescent="0.4">
      <c r="A98" s="65"/>
      <c r="B98" s="66"/>
      <c r="C98" s="66"/>
      <c r="D98" s="67"/>
      <c r="E98" s="68"/>
      <c r="F98" s="68"/>
      <c r="G98" s="66"/>
      <c r="H98" s="67"/>
      <c r="I98" s="67"/>
      <c r="J98" s="67"/>
      <c r="K98" s="66"/>
      <c r="L98" s="68"/>
      <c r="M98" s="66"/>
      <c r="N98" s="69"/>
      <c r="O98" s="67"/>
      <c r="P98" s="66"/>
      <c r="Q98" s="65"/>
      <c r="R98" s="70"/>
    </row>
    <row r="99" spans="1:18" ht="27" x14ac:dyDescent="0.4">
      <c r="A99" s="65"/>
      <c r="B99" s="66"/>
      <c r="C99" s="66"/>
      <c r="D99" s="67"/>
      <c r="E99" s="68"/>
      <c r="F99" s="68"/>
      <c r="G99" s="66"/>
      <c r="H99" s="67"/>
      <c r="I99" s="67"/>
      <c r="J99" s="67"/>
      <c r="K99" s="66"/>
      <c r="L99" s="68"/>
      <c r="M99" s="66"/>
      <c r="N99" s="69"/>
      <c r="O99" s="67"/>
      <c r="P99" s="66"/>
      <c r="Q99" s="65"/>
      <c r="R99" s="70"/>
    </row>
    <row r="100" spans="1:18" ht="27" x14ac:dyDescent="0.4">
      <c r="A100" s="65"/>
      <c r="B100" s="66"/>
      <c r="C100" s="66"/>
      <c r="D100" s="67"/>
      <c r="E100" s="68"/>
      <c r="F100" s="68"/>
      <c r="G100" s="66"/>
      <c r="H100" s="67"/>
      <c r="I100" s="67"/>
      <c r="J100" s="67"/>
      <c r="K100" s="66"/>
      <c r="L100" s="68"/>
      <c r="M100" s="66"/>
      <c r="N100" s="69"/>
      <c r="O100" s="67"/>
      <c r="P100" s="66"/>
      <c r="Q100" s="65"/>
      <c r="R100" s="70"/>
    </row>
    <row r="101" spans="1:18" ht="27" x14ac:dyDescent="0.4">
      <c r="A101" s="65"/>
      <c r="B101" s="66"/>
      <c r="C101" s="66"/>
      <c r="D101" s="67"/>
      <c r="E101" s="68"/>
      <c r="F101" s="68"/>
      <c r="G101" s="66"/>
      <c r="H101" s="67"/>
      <c r="I101" s="67"/>
      <c r="J101" s="67"/>
      <c r="K101" s="66"/>
      <c r="L101" s="68"/>
      <c r="M101" s="66"/>
      <c r="N101" s="69"/>
      <c r="O101" s="67"/>
      <c r="P101" s="66"/>
      <c r="Q101" s="65"/>
      <c r="R101" s="70"/>
    </row>
    <row r="102" spans="1:18" ht="27" x14ac:dyDescent="0.4">
      <c r="A102" s="65"/>
      <c r="B102" s="66"/>
      <c r="C102" s="66"/>
      <c r="D102" s="67"/>
      <c r="E102" s="68"/>
      <c r="F102" s="68"/>
      <c r="G102" s="66"/>
      <c r="H102" s="67"/>
      <c r="I102" s="67"/>
      <c r="J102" s="67"/>
      <c r="K102" s="66"/>
      <c r="L102" s="68"/>
      <c r="M102" s="66"/>
      <c r="N102" s="69"/>
      <c r="O102" s="67"/>
      <c r="P102" s="66"/>
      <c r="Q102" s="65"/>
      <c r="R102" s="70"/>
    </row>
    <row r="103" spans="1:18" ht="27" x14ac:dyDescent="0.4">
      <c r="A103" s="65"/>
      <c r="B103" s="66"/>
      <c r="C103" s="66"/>
      <c r="D103" s="67"/>
      <c r="E103" s="68"/>
      <c r="F103" s="68"/>
      <c r="G103" s="66"/>
      <c r="H103" s="67"/>
      <c r="I103" s="67"/>
      <c r="J103" s="67"/>
      <c r="K103" s="66"/>
      <c r="L103" s="68"/>
      <c r="M103" s="66"/>
      <c r="N103" s="69"/>
      <c r="O103" s="67"/>
      <c r="P103" s="66"/>
      <c r="Q103" s="65"/>
      <c r="R103" s="70"/>
    </row>
    <row r="104" spans="1:18" ht="27" x14ac:dyDescent="0.4">
      <c r="A104" s="65"/>
      <c r="B104" s="66"/>
      <c r="C104" s="66"/>
      <c r="D104" s="67"/>
      <c r="E104" s="68"/>
      <c r="F104" s="68"/>
      <c r="G104" s="66"/>
      <c r="H104" s="67"/>
      <c r="I104" s="67"/>
      <c r="J104" s="67"/>
      <c r="K104" s="66"/>
      <c r="L104" s="68"/>
      <c r="M104" s="66"/>
      <c r="N104" s="69"/>
      <c r="O104" s="67"/>
      <c r="P104" s="66"/>
      <c r="Q104" s="65"/>
      <c r="R104" s="70"/>
    </row>
    <row r="105" spans="1:18" ht="27" x14ac:dyDescent="0.4">
      <c r="A105" s="65"/>
      <c r="B105" s="66"/>
      <c r="C105" s="66"/>
      <c r="D105" s="67"/>
      <c r="E105" s="68"/>
      <c r="F105" s="68"/>
      <c r="G105" s="66"/>
      <c r="H105" s="67"/>
      <c r="I105" s="67"/>
      <c r="J105" s="67"/>
      <c r="K105" s="66"/>
      <c r="L105" s="68"/>
      <c r="M105" s="66"/>
      <c r="N105" s="69"/>
      <c r="O105" s="67"/>
      <c r="P105" s="66"/>
      <c r="Q105" s="65"/>
      <c r="R105" s="70"/>
    </row>
    <row r="106" spans="1:18" ht="27" x14ac:dyDescent="0.4">
      <c r="A106" s="65"/>
      <c r="B106" s="66"/>
      <c r="C106" s="66"/>
      <c r="D106" s="67"/>
      <c r="E106" s="68"/>
      <c r="F106" s="68"/>
      <c r="G106" s="66"/>
      <c r="H106" s="67"/>
      <c r="I106" s="67"/>
      <c r="J106" s="67"/>
      <c r="K106" s="66"/>
      <c r="L106" s="68"/>
      <c r="M106" s="66"/>
      <c r="N106" s="69"/>
      <c r="O106" s="67"/>
      <c r="P106" s="66"/>
      <c r="Q106" s="65"/>
      <c r="R106" s="70"/>
    </row>
    <row r="107" spans="1:18" ht="27" x14ac:dyDescent="0.4">
      <c r="A107" s="65"/>
      <c r="B107" s="66"/>
      <c r="C107" s="66"/>
      <c r="D107" s="67"/>
      <c r="E107" s="68"/>
      <c r="F107" s="68"/>
      <c r="G107" s="66"/>
      <c r="H107" s="67"/>
      <c r="I107" s="67"/>
      <c r="J107" s="67"/>
      <c r="K107" s="66"/>
      <c r="L107" s="68"/>
      <c r="M107" s="66"/>
      <c r="N107" s="69"/>
      <c r="O107" s="67"/>
      <c r="P107" s="66"/>
      <c r="Q107" s="65"/>
      <c r="R107" s="70"/>
    </row>
    <row r="108" spans="1:18" ht="27" x14ac:dyDescent="0.4">
      <c r="A108" s="65"/>
      <c r="B108" s="66"/>
      <c r="C108" s="66"/>
      <c r="D108" s="67"/>
      <c r="E108" s="68"/>
      <c r="F108" s="68"/>
      <c r="G108" s="66"/>
      <c r="H108" s="67"/>
      <c r="I108" s="67"/>
      <c r="J108" s="67"/>
      <c r="K108" s="66"/>
      <c r="L108" s="68"/>
      <c r="M108" s="66"/>
      <c r="N108" s="69"/>
      <c r="O108" s="67"/>
      <c r="P108" s="66"/>
      <c r="Q108" s="65"/>
      <c r="R108" s="70"/>
    </row>
    <row r="109" spans="1:18" ht="27" x14ac:dyDescent="0.4">
      <c r="A109" s="65"/>
      <c r="B109" s="66"/>
      <c r="C109" s="66"/>
      <c r="D109" s="67"/>
      <c r="E109" s="68"/>
      <c r="F109" s="68"/>
      <c r="G109" s="66"/>
      <c r="H109" s="67"/>
      <c r="I109" s="67"/>
      <c r="J109" s="67"/>
      <c r="K109" s="66"/>
      <c r="L109" s="68"/>
      <c r="M109" s="66"/>
      <c r="N109" s="69"/>
      <c r="O109" s="67"/>
      <c r="P109" s="66"/>
      <c r="Q109" s="65"/>
      <c r="R109" s="70"/>
    </row>
    <row r="110" spans="1:18" ht="27" x14ac:dyDescent="0.4">
      <c r="A110" s="65"/>
      <c r="B110" s="66"/>
      <c r="C110" s="66"/>
      <c r="D110" s="67"/>
      <c r="E110" s="68"/>
      <c r="F110" s="68"/>
      <c r="G110" s="66"/>
      <c r="H110" s="67"/>
      <c r="I110" s="67"/>
      <c r="J110" s="67"/>
      <c r="K110" s="66"/>
      <c r="L110" s="68"/>
      <c r="M110" s="66"/>
      <c r="N110" s="69"/>
      <c r="O110" s="67"/>
      <c r="P110" s="66"/>
      <c r="Q110" s="65"/>
      <c r="R110" s="70"/>
    </row>
    <row r="111" spans="1:18" ht="27" x14ac:dyDescent="0.4">
      <c r="A111" s="65"/>
      <c r="B111" s="66"/>
      <c r="C111" s="66"/>
      <c r="D111" s="67"/>
      <c r="E111" s="68"/>
      <c r="F111" s="68"/>
      <c r="G111" s="66"/>
      <c r="H111" s="67"/>
      <c r="I111" s="67"/>
      <c r="J111" s="67"/>
      <c r="K111" s="66"/>
      <c r="L111" s="68"/>
      <c r="M111" s="66"/>
      <c r="N111" s="69"/>
      <c r="O111" s="67"/>
      <c r="P111" s="66"/>
      <c r="Q111" s="65"/>
      <c r="R111" s="70"/>
    </row>
    <row r="112" spans="1:18" ht="27" x14ac:dyDescent="0.4">
      <c r="A112" s="65"/>
      <c r="B112" s="66"/>
      <c r="C112" s="66"/>
      <c r="D112" s="67"/>
      <c r="E112" s="68"/>
      <c r="F112" s="68"/>
      <c r="G112" s="66"/>
      <c r="H112" s="67"/>
      <c r="I112" s="67"/>
      <c r="J112" s="67"/>
      <c r="K112" s="66"/>
      <c r="L112" s="68"/>
      <c r="M112" s="66"/>
      <c r="N112" s="69"/>
      <c r="O112" s="67"/>
      <c r="P112" s="66"/>
      <c r="Q112" s="65"/>
      <c r="R112" s="70"/>
    </row>
    <row r="113" spans="1:18" ht="27" x14ac:dyDescent="0.4">
      <c r="A113" s="65"/>
      <c r="B113" s="66"/>
      <c r="C113" s="66"/>
      <c r="D113" s="67"/>
      <c r="E113" s="68"/>
      <c r="F113" s="68"/>
      <c r="G113" s="66"/>
      <c r="H113" s="67"/>
      <c r="I113" s="67"/>
      <c r="J113" s="67"/>
      <c r="K113" s="66"/>
      <c r="L113" s="68"/>
      <c r="M113" s="66"/>
      <c r="N113" s="69"/>
      <c r="O113" s="67"/>
      <c r="P113" s="66"/>
      <c r="Q113" s="65"/>
      <c r="R113" s="70"/>
    </row>
    <row r="114" spans="1:18" ht="27" x14ac:dyDescent="0.4">
      <c r="A114" s="65"/>
      <c r="B114" s="66"/>
      <c r="C114" s="66"/>
      <c r="D114" s="67"/>
      <c r="E114" s="68"/>
      <c r="F114" s="68"/>
      <c r="G114" s="66"/>
      <c r="H114" s="67"/>
      <c r="I114" s="67"/>
      <c r="J114" s="67"/>
      <c r="K114" s="66"/>
      <c r="L114" s="68"/>
      <c r="M114" s="66"/>
      <c r="N114" s="69"/>
      <c r="O114" s="67"/>
      <c r="P114" s="66"/>
      <c r="Q114" s="65"/>
      <c r="R114" s="70"/>
    </row>
    <row r="115" spans="1:18" ht="27" x14ac:dyDescent="0.4">
      <c r="A115" s="65"/>
      <c r="B115" s="66"/>
      <c r="C115" s="66"/>
      <c r="D115" s="67"/>
      <c r="E115" s="68"/>
      <c r="F115" s="68"/>
      <c r="G115" s="66"/>
      <c r="H115" s="67"/>
      <c r="I115" s="67"/>
      <c r="J115" s="67"/>
      <c r="K115" s="66"/>
      <c r="L115" s="68"/>
      <c r="M115" s="66"/>
      <c r="N115" s="69"/>
      <c r="O115" s="67"/>
      <c r="P115" s="66"/>
      <c r="Q115" s="65"/>
      <c r="R115" s="70"/>
    </row>
    <row r="116" spans="1:18" ht="27" x14ac:dyDescent="0.4">
      <c r="A116" s="65"/>
      <c r="B116" s="66"/>
      <c r="C116" s="66"/>
      <c r="D116" s="67"/>
      <c r="E116" s="68"/>
      <c r="F116" s="68"/>
      <c r="G116" s="66"/>
      <c r="H116" s="67"/>
      <c r="I116" s="67"/>
      <c r="J116" s="67"/>
      <c r="K116" s="66"/>
      <c r="L116" s="68"/>
      <c r="M116" s="66"/>
      <c r="N116" s="69"/>
      <c r="O116" s="67"/>
      <c r="P116" s="66"/>
      <c r="Q116" s="65"/>
      <c r="R116" s="70"/>
    </row>
    <row r="117" spans="1:18" ht="27" x14ac:dyDescent="0.4">
      <c r="A117" s="65"/>
      <c r="B117" s="66"/>
      <c r="C117" s="66"/>
      <c r="D117" s="67"/>
      <c r="E117" s="68"/>
      <c r="F117" s="68"/>
      <c r="G117" s="66"/>
      <c r="H117" s="67"/>
      <c r="I117" s="67"/>
      <c r="J117" s="67"/>
      <c r="K117" s="66"/>
      <c r="L117" s="68"/>
      <c r="M117" s="66"/>
      <c r="N117" s="69"/>
      <c r="O117" s="67"/>
      <c r="P117" s="66"/>
      <c r="Q117" s="65"/>
      <c r="R117" s="70"/>
    </row>
    <row r="118" spans="1:18" ht="27" x14ac:dyDescent="0.4">
      <c r="A118" s="65"/>
      <c r="B118" s="66"/>
      <c r="C118" s="66"/>
      <c r="D118" s="67"/>
      <c r="E118" s="68"/>
      <c r="F118" s="68"/>
      <c r="G118" s="66"/>
      <c r="H118" s="67"/>
      <c r="I118" s="67"/>
      <c r="J118" s="67"/>
      <c r="K118" s="66"/>
      <c r="L118" s="68"/>
      <c r="M118" s="66"/>
      <c r="N118" s="69"/>
      <c r="O118" s="67"/>
      <c r="P118" s="66"/>
      <c r="Q118" s="65"/>
      <c r="R118" s="70"/>
    </row>
    <row r="119" spans="1:18" ht="27" x14ac:dyDescent="0.4">
      <c r="A119" s="65"/>
      <c r="B119" s="66"/>
      <c r="C119" s="66"/>
      <c r="D119" s="67"/>
      <c r="E119" s="68"/>
      <c r="F119" s="68"/>
      <c r="G119" s="66"/>
      <c r="H119" s="67"/>
      <c r="I119" s="67"/>
      <c r="J119" s="67"/>
      <c r="K119" s="66"/>
      <c r="L119" s="68"/>
      <c r="M119" s="66"/>
      <c r="N119" s="69"/>
      <c r="O119" s="67"/>
      <c r="P119" s="66"/>
      <c r="Q119" s="65"/>
      <c r="R119" s="70"/>
    </row>
    <row r="120" spans="1:18" ht="27" x14ac:dyDescent="0.4">
      <c r="A120" s="65"/>
      <c r="B120" s="66"/>
      <c r="C120" s="66"/>
      <c r="D120" s="67"/>
      <c r="E120" s="68"/>
      <c r="F120" s="68"/>
      <c r="G120" s="66"/>
      <c r="H120" s="67"/>
      <c r="I120" s="67"/>
      <c r="J120" s="67"/>
      <c r="K120" s="66"/>
      <c r="L120" s="68"/>
      <c r="M120" s="66"/>
      <c r="N120" s="69"/>
      <c r="O120" s="67"/>
      <c r="P120" s="66"/>
      <c r="Q120" s="65"/>
      <c r="R120" s="70"/>
    </row>
    <row r="121" spans="1:18" ht="27" x14ac:dyDescent="0.4">
      <c r="A121" s="65"/>
      <c r="B121" s="66"/>
      <c r="C121" s="66"/>
      <c r="D121" s="67"/>
      <c r="E121" s="68"/>
      <c r="F121" s="68"/>
      <c r="G121" s="66"/>
      <c r="H121" s="67"/>
      <c r="I121" s="67"/>
      <c r="J121" s="67"/>
      <c r="K121" s="66"/>
      <c r="L121" s="68"/>
      <c r="M121" s="66"/>
      <c r="N121" s="69"/>
      <c r="O121" s="67"/>
      <c r="P121" s="66"/>
      <c r="Q121" s="65"/>
      <c r="R121" s="70"/>
    </row>
    <row r="122" spans="1:18" ht="27" x14ac:dyDescent="0.4">
      <c r="A122" s="65"/>
      <c r="B122" s="66"/>
      <c r="C122" s="66"/>
      <c r="D122" s="67"/>
      <c r="E122" s="68"/>
      <c r="F122" s="68"/>
      <c r="G122" s="66"/>
      <c r="H122" s="67"/>
      <c r="I122" s="67"/>
      <c r="J122" s="67"/>
      <c r="K122" s="66"/>
      <c r="L122" s="68"/>
      <c r="M122" s="66"/>
      <c r="N122" s="69"/>
      <c r="O122" s="67"/>
      <c r="P122" s="66"/>
      <c r="Q122" s="65"/>
      <c r="R122" s="70"/>
    </row>
    <row r="123" spans="1:18" ht="27" x14ac:dyDescent="0.4">
      <c r="A123" s="65"/>
      <c r="B123" s="66"/>
      <c r="C123" s="66"/>
      <c r="D123" s="67"/>
      <c r="E123" s="68"/>
      <c r="F123" s="68"/>
      <c r="G123" s="66"/>
      <c r="H123" s="67"/>
      <c r="I123" s="67"/>
      <c r="J123" s="67"/>
      <c r="K123" s="66"/>
      <c r="L123" s="68"/>
      <c r="M123" s="66"/>
      <c r="N123" s="69"/>
      <c r="O123" s="67"/>
      <c r="P123" s="66"/>
      <c r="Q123" s="65"/>
      <c r="R123" s="68"/>
    </row>
    <row r="124" spans="1:18" ht="27" x14ac:dyDescent="0.4">
      <c r="A124" s="65"/>
      <c r="B124" s="66"/>
      <c r="C124" s="66"/>
      <c r="D124" s="67"/>
      <c r="E124" s="68"/>
      <c r="F124" s="68"/>
      <c r="G124" s="66"/>
      <c r="H124" s="67"/>
      <c r="I124" s="67"/>
      <c r="J124" s="67"/>
      <c r="K124" s="66"/>
      <c r="L124" s="68"/>
      <c r="M124" s="66"/>
      <c r="N124" s="69"/>
      <c r="O124" s="67"/>
      <c r="P124" s="66"/>
      <c r="Q124" s="65"/>
      <c r="R124" s="70"/>
    </row>
    <row r="125" spans="1:18" ht="27" x14ac:dyDescent="0.4">
      <c r="A125" s="65"/>
      <c r="B125" s="66"/>
      <c r="C125" s="66"/>
      <c r="D125" s="67"/>
      <c r="E125" s="68"/>
      <c r="F125" s="68"/>
      <c r="G125" s="66"/>
      <c r="H125" s="67"/>
      <c r="I125" s="67"/>
      <c r="J125" s="67"/>
      <c r="K125" s="66"/>
      <c r="L125" s="68"/>
      <c r="M125" s="66"/>
      <c r="N125" s="69"/>
      <c r="O125" s="67"/>
      <c r="P125" s="66"/>
      <c r="Q125" s="65"/>
      <c r="R125" s="70"/>
    </row>
    <row r="126" spans="1:18" ht="27" x14ac:dyDescent="0.4">
      <c r="A126" s="65"/>
      <c r="B126" s="66"/>
      <c r="C126" s="66"/>
      <c r="D126" s="67"/>
      <c r="E126" s="68"/>
      <c r="F126" s="68"/>
      <c r="G126" s="66"/>
      <c r="H126" s="67"/>
      <c r="I126" s="67"/>
      <c r="J126" s="67"/>
      <c r="K126" s="66"/>
      <c r="L126" s="68"/>
      <c r="M126" s="66"/>
      <c r="N126" s="69"/>
      <c r="O126" s="67"/>
      <c r="P126" s="66"/>
      <c r="Q126" s="65"/>
      <c r="R126" s="70"/>
    </row>
    <row r="127" spans="1:18" ht="27" x14ac:dyDescent="0.4">
      <c r="A127" s="65"/>
      <c r="B127" s="66"/>
      <c r="C127" s="66"/>
      <c r="D127" s="67"/>
      <c r="E127" s="68"/>
      <c r="F127" s="68"/>
      <c r="G127" s="66"/>
      <c r="H127" s="67"/>
      <c r="I127" s="67"/>
      <c r="J127" s="67"/>
      <c r="K127" s="66"/>
      <c r="L127" s="68"/>
      <c r="M127" s="66"/>
      <c r="N127" s="69"/>
      <c r="O127" s="67"/>
      <c r="P127" s="66"/>
      <c r="Q127" s="65"/>
      <c r="R127" s="70"/>
    </row>
    <row r="128" spans="1:18" ht="27" x14ac:dyDescent="0.4">
      <c r="A128" s="65"/>
      <c r="B128" s="66"/>
      <c r="C128" s="66"/>
      <c r="D128" s="67"/>
      <c r="E128" s="68"/>
      <c r="F128" s="68"/>
      <c r="G128" s="66"/>
      <c r="H128" s="67"/>
      <c r="I128" s="67"/>
      <c r="J128" s="67"/>
      <c r="K128" s="66"/>
      <c r="L128" s="68"/>
      <c r="M128" s="66"/>
      <c r="N128" s="69"/>
      <c r="O128" s="67"/>
      <c r="P128" s="66"/>
      <c r="Q128" s="65"/>
      <c r="R128" s="68"/>
    </row>
    <row r="129" spans="1:18" ht="27" x14ac:dyDescent="0.4">
      <c r="A129" s="65"/>
      <c r="B129" s="66"/>
      <c r="C129" s="66"/>
      <c r="D129" s="67"/>
      <c r="E129" s="68"/>
      <c r="F129" s="68"/>
      <c r="G129" s="66"/>
      <c r="H129" s="67"/>
      <c r="I129" s="67"/>
      <c r="J129" s="67"/>
      <c r="K129" s="66"/>
      <c r="L129" s="68"/>
      <c r="M129" s="66"/>
      <c r="N129" s="69"/>
      <c r="O129" s="67"/>
      <c r="P129" s="66"/>
      <c r="Q129" s="65"/>
      <c r="R129" s="68"/>
    </row>
    <row r="130" spans="1:18" ht="27" x14ac:dyDescent="0.4">
      <c r="A130" s="65"/>
      <c r="B130" s="66"/>
      <c r="C130" s="66"/>
      <c r="D130" s="67"/>
      <c r="E130" s="68"/>
      <c r="F130" s="68"/>
      <c r="G130" s="66"/>
      <c r="H130" s="67"/>
      <c r="I130" s="67"/>
      <c r="J130" s="67"/>
      <c r="K130" s="66"/>
      <c r="L130" s="68"/>
      <c r="M130" s="66"/>
      <c r="N130" s="69"/>
      <c r="O130" s="67"/>
      <c r="P130" s="66"/>
      <c r="Q130" s="65"/>
      <c r="R130" s="68"/>
    </row>
    <row r="131" spans="1:18" ht="27" x14ac:dyDescent="0.4">
      <c r="A131" s="65"/>
      <c r="B131" s="66"/>
      <c r="C131" s="66"/>
      <c r="D131" s="67"/>
      <c r="E131" s="68"/>
      <c r="F131" s="68"/>
      <c r="G131" s="66"/>
      <c r="H131" s="67"/>
      <c r="I131" s="67"/>
      <c r="J131" s="67"/>
      <c r="K131" s="66"/>
      <c r="L131" s="68"/>
      <c r="M131" s="66"/>
      <c r="N131" s="69"/>
      <c r="O131" s="67"/>
      <c r="P131" s="66"/>
      <c r="Q131" s="65"/>
      <c r="R131" s="68"/>
    </row>
    <row r="132" spans="1:18" ht="27" x14ac:dyDescent="0.4">
      <c r="A132" s="65"/>
      <c r="B132" s="66"/>
      <c r="C132" s="66"/>
      <c r="D132" s="67"/>
      <c r="E132" s="68"/>
      <c r="F132" s="68"/>
      <c r="G132" s="66"/>
      <c r="H132" s="67"/>
      <c r="I132" s="67"/>
      <c r="J132" s="67"/>
      <c r="K132" s="66"/>
      <c r="L132" s="68"/>
      <c r="M132" s="66"/>
      <c r="N132" s="69"/>
      <c r="O132" s="67"/>
      <c r="P132" s="66"/>
      <c r="Q132" s="65"/>
      <c r="R132" s="68"/>
    </row>
    <row r="133" spans="1:18" ht="27" x14ac:dyDescent="0.4">
      <c r="A133" s="65"/>
      <c r="B133" s="66"/>
      <c r="C133" s="66"/>
      <c r="D133" s="67"/>
      <c r="E133" s="68"/>
      <c r="F133" s="68"/>
      <c r="G133" s="66"/>
      <c r="H133" s="67"/>
      <c r="I133" s="67"/>
      <c r="J133" s="67"/>
      <c r="K133" s="66"/>
      <c r="L133" s="68"/>
      <c r="M133" s="66"/>
      <c r="N133" s="69"/>
      <c r="O133" s="67"/>
      <c r="P133" s="66"/>
      <c r="Q133" s="65"/>
      <c r="R133" s="68"/>
    </row>
    <row r="134" spans="1:18" ht="27" x14ac:dyDescent="0.4">
      <c r="A134" s="65"/>
      <c r="B134" s="66"/>
      <c r="C134" s="66"/>
      <c r="D134" s="67"/>
      <c r="E134" s="68"/>
      <c r="F134" s="68"/>
      <c r="G134" s="66"/>
      <c r="H134" s="67"/>
      <c r="I134" s="67"/>
      <c r="J134" s="67"/>
      <c r="K134" s="66"/>
      <c r="L134" s="68"/>
      <c r="M134" s="66"/>
      <c r="N134" s="69"/>
      <c r="O134" s="67"/>
      <c r="P134" s="66"/>
      <c r="Q134" s="65"/>
      <c r="R134" s="68"/>
    </row>
    <row r="135" spans="1:18" ht="27" x14ac:dyDescent="0.4">
      <c r="A135" s="65"/>
      <c r="B135" s="66"/>
      <c r="C135" s="66"/>
      <c r="D135" s="67"/>
      <c r="E135" s="68"/>
      <c r="F135" s="68"/>
      <c r="G135" s="66"/>
      <c r="H135" s="67"/>
      <c r="I135" s="67"/>
      <c r="J135" s="67"/>
      <c r="K135" s="66"/>
      <c r="L135" s="68"/>
      <c r="M135" s="66"/>
      <c r="N135" s="69"/>
      <c r="O135" s="67"/>
      <c r="P135" s="66"/>
      <c r="Q135" s="65"/>
      <c r="R135" s="68"/>
    </row>
    <row r="136" spans="1:18" ht="27" x14ac:dyDescent="0.4">
      <c r="A136" s="65"/>
      <c r="B136" s="66"/>
      <c r="C136" s="66"/>
      <c r="D136" s="67"/>
      <c r="E136" s="68"/>
      <c r="F136" s="68"/>
      <c r="G136" s="66"/>
      <c r="H136" s="67"/>
      <c r="I136" s="67"/>
      <c r="J136" s="67"/>
      <c r="K136" s="66"/>
      <c r="L136" s="68"/>
      <c r="M136" s="66"/>
      <c r="N136" s="69"/>
      <c r="O136" s="67"/>
      <c r="P136" s="66"/>
      <c r="Q136" s="65"/>
      <c r="R136" s="68"/>
    </row>
    <row r="137" spans="1:18" ht="27" x14ac:dyDescent="0.4">
      <c r="A137" s="65"/>
      <c r="B137" s="66"/>
      <c r="C137" s="66"/>
      <c r="D137" s="67"/>
      <c r="E137" s="68"/>
      <c r="F137" s="68"/>
      <c r="G137" s="66"/>
      <c r="H137" s="67"/>
      <c r="I137" s="67"/>
      <c r="J137" s="67"/>
      <c r="K137" s="66"/>
      <c r="L137" s="68"/>
      <c r="M137" s="66"/>
      <c r="N137" s="69"/>
      <c r="O137" s="67"/>
      <c r="P137" s="66"/>
      <c r="Q137" s="65"/>
      <c r="R137" s="68"/>
    </row>
    <row r="138" spans="1:18" ht="27" x14ac:dyDescent="0.4">
      <c r="A138" s="65"/>
      <c r="B138" s="66"/>
      <c r="C138" s="66"/>
      <c r="D138" s="67"/>
      <c r="E138" s="68"/>
      <c r="F138" s="68"/>
      <c r="G138" s="66"/>
      <c r="H138" s="67"/>
      <c r="I138" s="67"/>
      <c r="J138" s="67"/>
      <c r="K138" s="66"/>
      <c r="L138" s="68"/>
      <c r="M138" s="66"/>
      <c r="N138" s="69"/>
      <c r="O138" s="67"/>
      <c r="P138" s="66"/>
      <c r="Q138" s="65"/>
      <c r="R138" s="68"/>
    </row>
    <row r="139" spans="1:18" ht="27" x14ac:dyDescent="0.4">
      <c r="A139" s="65"/>
      <c r="B139" s="66"/>
      <c r="C139" s="66"/>
      <c r="D139" s="67"/>
      <c r="E139" s="68"/>
      <c r="F139" s="68"/>
      <c r="G139" s="66"/>
      <c r="H139" s="67"/>
      <c r="I139" s="67"/>
      <c r="J139" s="67"/>
      <c r="K139" s="66"/>
      <c r="L139" s="68"/>
      <c r="M139" s="66"/>
      <c r="N139" s="69"/>
      <c r="O139" s="67"/>
      <c r="P139" s="66"/>
      <c r="Q139" s="65"/>
      <c r="R139" s="68"/>
    </row>
    <row r="140" spans="1:18" ht="27" x14ac:dyDescent="0.4">
      <c r="A140" s="65"/>
      <c r="B140" s="66"/>
      <c r="C140" s="66"/>
      <c r="D140" s="67"/>
      <c r="E140" s="68"/>
      <c r="F140" s="68"/>
      <c r="G140" s="66"/>
      <c r="H140" s="67"/>
      <c r="I140" s="67"/>
      <c r="J140" s="67"/>
      <c r="K140" s="66"/>
      <c r="L140" s="68"/>
      <c r="M140" s="66"/>
      <c r="N140" s="69"/>
      <c r="O140" s="67"/>
      <c r="P140" s="66"/>
      <c r="Q140" s="65"/>
      <c r="R140" s="68"/>
    </row>
    <row r="141" spans="1:18" ht="27" x14ac:dyDescent="0.4">
      <c r="A141" s="65"/>
      <c r="B141" s="66"/>
      <c r="C141" s="66"/>
      <c r="D141" s="67"/>
      <c r="E141" s="68"/>
      <c r="F141" s="68"/>
      <c r="G141" s="66"/>
      <c r="H141" s="67"/>
      <c r="I141" s="67"/>
      <c r="J141" s="67"/>
      <c r="K141" s="66"/>
      <c r="L141" s="68"/>
      <c r="M141" s="66"/>
      <c r="N141" s="69"/>
      <c r="O141" s="67"/>
      <c r="P141" s="66"/>
      <c r="Q141" s="65"/>
      <c r="R141" s="68"/>
    </row>
    <row r="142" spans="1:18" ht="27" x14ac:dyDescent="0.4">
      <c r="A142" s="65"/>
      <c r="B142" s="66"/>
      <c r="C142" s="66"/>
      <c r="D142" s="67"/>
      <c r="E142" s="68"/>
      <c r="F142" s="68"/>
      <c r="G142" s="66"/>
      <c r="H142" s="67"/>
      <c r="I142" s="67"/>
      <c r="J142" s="67"/>
      <c r="K142" s="66"/>
      <c r="L142" s="68"/>
      <c r="M142" s="66"/>
      <c r="N142" s="69"/>
      <c r="O142" s="67"/>
      <c r="P142" s="66"/>
      <c r="Q142" s="65"/>
      <c r="R142" s="70"/>
    </row>
    <row r="143" spans="1:18" ht="27" x14ac:dyDescent="0.4">
      <c r="A143" s="65"/>
      <c r="B143" s="66"/>
      <c r="C143" s="66"/>
      <c r="D143" s="67"/>
      <c r="E143" s="68"/>
      <c r="F143" s="68"/>
      <c r="G143" s="66"/>
      <c r="H143" s="67"/>
      <c r="I143" s="67"/>
      <c r="J143" s="67"/>
      <c r="K143" s="66"/>
      <c r="L143" s="68"/>
      <c r="M143" s="66"/>
      <c r="N143" s="69"/>
      <c r="O143" s="67"/>
      <c r="P143" s="66"/>
      <c r="Q143" s="65"/>
      <c r="R143" s="70"/>
    </row>
    <row r="144" spans="1:18" ht="27" x14ac:dyDescent="0.4">
      <c r="A144" s="65"/>
      <c r="B144" s="66"/>
      <c r="C144" s="66"/>
      <c r="D144" s="67"/>
      <c r="E144" s="68"/>
      <c r="F144" s="68"/>
      <c r="G144" s="66"/>
      <c r="H144" s="67"/>
      <c r="I144" s="67"/>
      <c r="J144" s="67"/>
      <c r="K144" s="66"/>
      <c r="L144" s="68"/>
      <c r="M144" s="66"/>
      <c r="N144" s="69"/>
      <c r="O144" s="67"/>
      <c r="P144" s="66"/>
      <c r="Q144" s="65"/>
      <c r="R144" s="68"/>
    </row>
    <row r="145" spans="1:24" ht="27" x14ac:dyDescent="0.4">
      <c r="A145" s="65"/>
      <c r="B145" s="66"/>
      <c r="C145" s="66"/>
      <c r="D145" s="67"/>
      <c r="E145" s="68"/>
      <c r="F145" s="68"/>
      <c r="G145" s="66"/>
      <c r="H145" s="67"/>
      <c r="I145" s="67"/>
      <c r="J145" s="67"/>
      <c r="K145" s="66"/>
      <c r="L145" s="68"/>
      <c r="M145" s="66"/>
      <c r="N145" s="69"/>
      <c r="O145" s="67"/>
      <c r="P145" s="66"/>
      <c r="Q145" s="65"/>
      <c r="R145" s="68"/>
    </row>
    <row r="146" spans="1:24" ht="27" x14ac:dyDescent="0.4">
      <c r="A146" s="65"/>
      <c r="B146" s="66"/>
      <c r="C146" s="66"/>
      <c r="D146" s="67"/>
      <c r="E146" s="68"/>
      <c r="F146" s="68"/>
      <c r="G146" s="66"/>
      <c r="H146" s="67"/>
      <c r="I146" s="67"/>
      <c r="J146" s="67"/>
      <c r="K146" s="66"/>
      <c r="L146" s="68"/>
      <c r="M146" s="66"/>
      <c r="N146" s="69"/>
      <c r="O146" s="67"/>
      <c r="P146" s="66"/>
      <c r="Q146" s="65"/>
      <c r="R146" s="68"/>
    </row>
    <row r="147" spans="1:24" ht="33" x14ac:dyDescent="0.4">
      <c r="A147" s="65"/>
      <c r="B147" s="66"/>
      <c r="C147" s="66"/>
      <c r="D147" s="67"/>
      <c r="E147" s="68"/>
      <c r="F147" s="68"/>
      <c r="G147" s="66"/>
      <c r="H147" s="67"/>
      <c r="I147" s="67"/>
      <c r="J147" s="67"/>
      <c r="K147" s="66"/>
      <c r="L147" s="68"/>
      <c r="M147" s="66"/>
      <c r="N147" s="69"/>
      <c r="O147" s="67"/>
      <c r="P147" s="66"/>
      <c r="Q147" s="65"/>
      <c r="R147" s="68"/>
      <c r="T147" s="59">
        <v>144</v>
      </c>
      <c r="U147" s="60" t="s">
        <v>20</v>
      </c>
      <c r="V147" s="61" t="s">
        <v>18</v>
      </c>
      <c r="W147" s="61">
        <v>118</v>
      </c>
      <c r="X147" s="62">
        <f>W147/T147</f>
        <v>0.81944444444444442</v>
      </c>
    </row>
    <row r="148" spans="1:24" ht="33" x14ac:dyDescent="0.4">
      <c r="A148" s="65"/>
      <c r="B148" s="66"/>
      <c r="C148" s="66"/>
      <c r="D148" s="67"/>
      <c r="E148" s="68"/>
      <c r="F148" s="68"/>
      <c r="G148" s="66"/>
      <c r="H148" s="67"/>
      <c r="I148" s="67"/>
      <c r="J148" s="67"/>
      <c r="K148" s="66"/>
      <c r="L148" s="68"/>
      <c r="M148" s="66"/>
      <c r="N148" s="69"/>
      <c r="O148" s="67"/>
      <c r="P148" s="66"/>
      <c r="Q148" s="65"/>
      <c r="R148" s="68"/>
      <c r="T148" s="53"/>
      <c r="U148" s="53"/>
      <c r="V148" s="61" t="s">
        <v>19</v>
      </c>
      <c r="W148" s="61">
        <v>26</v>
      </c>
      <c r="X148" s="62">
        <f>W148/T147</f>
        <v>0.18055555555555555</v>
      </c>
    </row>
    <row r="149" spans="1:24" ht="33" x14ac:dyDescent="0.4">
      <c r="A149" s="65"/>
      <c r="B149" s="66"/>
      <c r="C149" s="66"/>
      <c r="D149" s="67"/>
      <c r="E149" s="68"/>
      <c r="F149" s="68"/>
      <c r="G149" s="66"/>
      <c r="H149" s="67"/>
      <c r="I149" s="67"/>
      <c r="J149" s="67"/>
      <c r="K149" s="66"/>
      <c r="L149" s="68"/>
      <c r="M149" s="66"/>
      <c r="N149" s="69"/>
      <c r="O149" s="67"/>
      <c r="P149" s="66"/>
      <c r="Q149" s="65"/>
      <c r="R149" s="68"/>
      <c r="T149" s="53"/>
      <c r="U149" s="60" t="s">
        <v>21</v>
      </c>
      <c r="V149" s="61" t="s">
        <v>18</v>
      </c>
      <c r="W149" s="61">
        <v>134</v>
      </c>
      <c r="X149" s="62">
        <f>W149/T147</f>
        <v>0.93055555555555558</v>
      </c>
    </row>
    <row r="150" spans="1:24" ht="33" x14ac:dyDescent="0.4">
      <c r="A150" s="65"/>
      <c r="B150" s="66"/>
      <c r="C150" s="66"/>
      <c r="D150" s="67"/>
      <c r="E150" s="68"/>
      <c r="F150" s="68"/>
      <c r="G150" s="66"/>
      <c r="H150" s="67"/>
      <c r="I150" s="67"/>
      <c r="J150" s="67"/>
      <c r="K150" s="66"/>
      <c r="L150" s="68"/>
      <c r="M150" s="66"/>
      <c r="N150" s="69"/>
      <c r="O150" s="67"/>
      <c r="P150" s="66"/>
      <c r="Q150" s="65"/>
      <c r="R150" s="68"/>
      <c r="T150" s="53"/>
      <c r="U150" s="53"/>
      <c r="V150" s="61" t="s">
        <v>19</v>
      </c>
      <c r="W150" s="61">
        <v>10</v>
      </c>
      <c r="X150" s="62">
        <f>W150/T147</f>
        <v>6.9444444444444448E-2</v>
      </c>
    </row>
    <row r="151" spans="1:24" ht="33" x14ac:dyDescent="0.4">
      <c r="A151" s="65"/>
      <c r="B151" s="66"/>
      <c r="C151" s="66"/>
      <c r="D151" s="67"/>
      <c r="E151" s="68"/>
      <c r="F151" s="68"/>
      <c r="G151" s="66"/>
      <c r="H151" s="67"/>
      <c r="I151" s="67"/>
      <c r="J151" s="67"/>
      <c r="K151" s="66"/>
      <c r="L151" s="68"/>
      <c r="M151" s="66"/>
      <c r="N151" s="69"/>
      <c r="O151" s="67"/>
      <c r="P151" s="66"/>
      <c r="Q151" s="65"/>
      <c r="R151" s="68"/>
      <c r="T151" s="53"/>
      <c r="U151" s="60" t="s">
        <v>22</v>
      </c>
      <c r="V151" s="61" t="s">
        <v>18</v>
      </c>
      <c r="W151" s="61">
        <v>135</v>
      </c>
      <c r="X151" s="62">
        <f>W151/T147</f>
        <v>0.9375</v>
      </c>
    </row>
    <row r="152" spans="1:24" ht="30.75" x14ac:dyDescent="0.4">
      <c r="A152" s="65"/>
      <c r="B152" s="66"/>
      <c r="C152" s="66"/>
      <c r="D152" s="67"/>
      <c r="E152" s="68"/>
      <c r="F152" s="68"/>
      <c r="G152" s="66"/>
      <c r="H152" s="67"/>
      <c r="I152" s="67"/>
      <c r="J152" s="67"/>
      <c r="K152" s="66"/>
      <c r="L152" s="68"/>
      <c r="M152" s="66"/>
      <c r="N152" s="69"/>
      <c r="O152" s="67"/>
      <c r="P152" s="66"/>
      <c r="Q152" s="65"/>
      <c r="R152" s="68"/>
      <c r="T152" s="56"/>
      <c r="U152" s="56"/>
      <c r="V152" s="61" t="s">
        <v>19</v>
      </c>
      <c r="W152" s="61">
        <v>9</v>
      </c>
      <c r="X152" s="62">
        <f>W152/T147</f>
        <v>6.25E-2</v>
      </c>
    </row>
    <row r="153" spans="1:24" ht="27" x14ac:dyDescent="0.4">
      <c r="A153" s="65"/>
      <c r="B153" s="66"/>
      <c r="C153" s="66"/>
      <c r="D153" s="67"/>
      <c r="E153" s="68"/>
      <c r="F153" s="68"/>
      <c r="G153" s="66"/>
      <c r="H153" s="67"/>
      <c r="I153" s="67"/>
      <c r="J153" s="67"/>
      <c r="K153" s="66"/>
      <c r="L153" s="68"/>
      <c r="M153" s="66"/>
      <c r="N153" s="69"/>
      <c r="O153" s="67"/>
      <c r="P153" s="66"/>
      <c r="Q153" s="65"/>
      <c r="R153" s="68"/>
    </row>
    <row r="154" spans="1:24" ht="27" x14ac:dyDescent="0.4">
      <c r="A154" s="65"/>
      <c r="B154" s="66"/>
      <c r="C154" s="66"/>
      <c r="D154" s="67"/>
      <c r="E154" s="68"/>
      <c r="F154" s="68"/>
      <c r="G154" s="66"/>
      <c r="H154" s="67"/>
      <c r="I154" s="67"/>
      <c r="J154" s="67"/>
      <c r="K154" s="66"/>
      <c r="L154" s="68"/>
      <c r="M154" s="66"/>
      <c r="N154" s="69"/>
      <c r="O154" s="67"/>
      <c r="P154" s="66"/>
      <c r="Q154" s="65"/>
      <c r="R154" s="68"/>
    </row>
    <row r="155" spans="1:24" ht="27" x14ac:dyDescent="0.4">
      <c r="A155" s="65"/>
      <c r="B155" s="66"/>
      <c r="C155" s="66"/>
      <c r="D155" s="67"/>
      <c r="E155" s="68"/>
      <c r="F155" s="68"/>
      <c r="G155" s="66"/>
      <c r="H155" s="67"/>
      <c r="I155" s="67"/>
      <c r="J155" s="67"/>
      <c r="K155" s="66"/>
      <c r="L155" s="68"/>
      <c r="M155" s="66"/>
      <c r="N155" s="69"/>
      <c r="O155" s="67"/>
      <c r="P155" s="66"/>
      <c r="Q155" s="65"/>
      <c r="R155" s="68"/>
    </row>
    <row r="156" spans="1:24" ht="33" x14ac:dyDescent="0.4">
      <c r="A156" s="65"/>
      <c r="B156" s="66"/>
      <c r="C156" s="66"/>
      <c r="D156" s="67"/>
      <c r="E156" s="68"/>
      <c r="F156" s="68"/>
      <c r="G156" s="66"/>
      <c r="H156" s="67"/>
      <c r="I156" s="67"/>
      <c r="J156" s="67"/>
      <c r="K156" s="66"/>
      <c r="L156" s="68"/>
      <c r="M156" s="66"/>
      <c r="N156" s="69"/>
      <c r="O156" s="67"/>
      <c r="P156" s="66"/>
      <c r="Q156" s="65"/>
      <c r="R156" s="68"/>
      <c r="T156" s="59">
        <v>144</v>
      </c>
      <c r="U156" s="60" t="s">
        <v>20</v>
      </c>
      <c r="V156" s="61" t="s">
        <v>18</v>
      </c>
      <c r="W156" s="61">
        <v>118</v>
      </c>
      <c r="X156" s="62">
        <f>W156/T156</f>
        <v>0.81944444444444442</v>
      </c>
    </row>
    <row r="157" spans="1:24" ht="33" x14ac:dyDescent="0.4">
      <c r="A157" s="65"/>
      <c r="B157" s="66"/>
      <c r="C157" s="66"/>
      <c r="D157" s="67"/>
      <c r="E157" s="68"/>
      <c r="F157" s="68"/>
      <c r="G157" s="66"/>
      <c r="H157" s="67"/>
      <c r="I157" s="67"/>
      <c r="J157" s="67"/>
      <c r="K157" s="66"/>
      <c r="L157" s="68"/>
      <c r="M157" s="66"/>
      <c r="N157" s="69"/>
      <c r="O157" s="67"/>
      <c r="P157" s="66"/>
      <c r="Q157" s="65"/>
      <c r="R157" s="68"/>
      <c r="T157" s="53"/>
      <c r="U157" s="53"/>
      <c r="V157" s="61" t="s">
        <v>19</v>
      </c>
      <c r="W157" s="61">
        <v>26</v>
      </c>
      <c r="X157" s="62">
        <f>W157/T156</f>
        <v>0.18055555555555555</v>
      </c>
    </row>
    <row r="158" spans="1:24" ht="33" x14ac:dyDescent="0.4">
      <c r="A158" s="65"/>
      <c r="B158" s="66"/>
      <c r="C158" s="66"/>
      <c r="D158" s="67"/>
      <c r="E158" s="68"/>
      <c r="F158" s="68"/>
      <c r="G158" s="66"/>
      <c r="H158" s="67"/>
      <c r="I158" s="67"/>
      <c r="J158" s="67"/>
      <c r="K158" s="66"/>
      <c r="L158" s="68"/>
      <c r="M158" s="66"/>
      <c r="N158" s="69"/>
      <c r="O158" s="67"/>
      <c r="P158" s="66"/>
      <c r="Q158" s="65"/>
      <c r="R158" s="68"/>
      <c r="T158" s="53"/>
      <c r="U158" s="60" t="s">
        <v>21</v>
      </c>
      <c r="V158" s="61" t="s">
        <v>18</v>
      </c>
      <c r="W158" s="61">
        <v>134</v>
      </c>
      <c r="X158" s="62">
        <f>W158/T156</f>
        <v>0.93055555555555558</v>
      </c>
    </row>
    <row r="159" spans="1:24" ht="33" x14ac:dyDescent="0.4">
      <c r="A159" s="65"/>
      <c r="B159" s="66"/>
      <c r="C159" s="66"/>
      <c r="D159" s="67"/>
      <c r="E159" s="68"/>
      <c r="F159" s="68"/>
      <c r="G159" s="66"/>
      <c r="H159" s="67"/>
      <c r="I159" s="67"/>
      <c r="J159" s="67"/>
      <c r="K159" s="66"/>
      <c r="L159" s="68"/>
      <c r="M159" s="66"/>
      <c r="N159" s="69"/>
      <c r="O159" s="67"/>
      <c r="P159" s="66"/>
      <c r="Q159" s="65"/>
      <c r="R159" s="68"/>
      <c r="T159" s="53"/>
      <c r="U159" s="53"/>
      <c r="V159" s="61" t="s">
        <v>19</v>
      </c>
      <c r="W159" s="61">
        <v>10</v>
      </c>
      <c r="X159" s="62">
        <f>W159/T156</f>
        <v>6.9444444444444448E-2</v>
      </c>
    </row>
    <row r="160" spans="1:24" ht="33" x14ac:dyDescent="0.4">
      <c r="A160" s="65"/>
      <c r="B160" s="66"/>
      <c r="C160" s="66"/>
      <c r="D160" s="67"/>
      <c r="E160" s="68"/>
      <c r="F160" s="68"/>
      <c r="G160" s="66"/>
      <c r="H160" s="67"/>
      <c r="I160" s="67"/>
      <c r="J160" s="67"/>
      <c r="K160" s="66"/>
      <c r="L160" s="68"/>
      <c r="M160" s="66"/>
      <c r="N160" s="69"/>
      <c r="O160" s="67"/>
      <c r="P160" s="66"/>
      <c r="Q160" s="65"/>
      <c r="R160" s="68"/>
      <c r="T160" s="53"/>
      <c r="U160" s="60" t="s">
        <v>22</v>
      </c>
      <c r="V160" s="61" t="s">
        <v>18</v>
      </c>
      <c r="W160" s="61">
        <v>134</v>
      </c>
      <c r="X160" s="62">
        <f>W160/T156</f>
        <v>0.93055555555555558</v>
      </c>
    </row>
    <row r="161" spans="1:24" ht="30.75" x14ac:dyDescent="0.4">
      <c r="A161" s="65"/>
      <c r="B161" s="66"/>
      <c r="C161" s="66"/>
      <c r="D161" s="67"/>
      <c r="E161" s="68"/>
      <c r="F161" s="68"/>
      <c r="G161" s="66"/>
      <c r="H161" s="67"/>
      <c r="I161" s="67"/>
      <c r="J161" s="67"/>
      <c r="K161" s="66"/>
      <c r="L161" s="68"/>
      <c r="M161" s="66"/>
      <c r="N161" s="69"/>
      <c r="O161" s="67"/>
      <c r="P161" s="66"/>
      <c r="Q161" s="65"/>
      <c r="R161" s="68"/>
      <c r="T161" s="56"/>
      <c r="U161" s="56"/>
      <c r="V161" s="61" t="s">
        <v>19</v>
      </c>
      <c r="W161" s="61">
        <v>10</v>
      </c>
      <c r="X161" s="62">
        <f>W161/T156</f>
        <v>6.9444444444444448E-2</v>
      </c>
    </row>
    <row r="162" spans="1:24" ht="27" x14ac:dyDescent="0.4">
      <c r="A162" s="65"/>
      <c r="B162" s="66"/>
      <c r="C162" s="66"/>
      <c r="D162" s="67"/>
      <c r="E162" s="68"/>
      <c r="F162" s="68"/>
      <c r="G162" s="66"/>
      <c r="H162" s="67"/>
      <c r="I162" s="67"/>
      <c r="J162" s="67"/>
      <c r="K162" s="66"/>
      <c r="L162" s="68"/>
      <c r="M162" s="66"/>
      <c r="N162" s="69"/>
      <c r="O162" s="67"/>
      <c r="P162" s="66"/>
      <c r="Q162" s="65"/>
      <c r="R162" s="68"/>
    </row>
    <row r="163" spans="1:24" ht="27" x14ac:dyDescent="0.4">
      <c r="A163" s="65"/>
      <c r="B163" s="66"/>
      <c r="C163" s="66"/>
      <c r="D163" s="67"/>
      <c r="E163" s="68"/>
      <c r="F163" s="68"/>
      <c r="G163" s="66"/>
      <c r="H163" s="67"/>
      <c r="I163" s="67"/>
      <c r="J163" s="67"/>
      <c r="K163" s="66"/>
      <c r="L163" s="68"/>
      <c r="M163" s="66"/>
      <c r="N163" s="69"/>
      <c r="O163" s="67"/>
      <c r="P163" s="66"/>
      <c r="Q163" s="65"/>
      <c r="R163" s="68"/>
    </row>
    <row r="164" spans="1:24" ht="27" x14ac:dyDescent="0.4">
      <c r="A164" s="65"/>
      <c r="B164" s="66"/>
      <c r="C164" s="66"/>
      <c r="D164" s="67"/>
      <c r="E164" s="68"/>
      <c r="F164" s="68"/>
      <c r="G164" s="66"/>
      <c r="H164" s="67"/>
      <c r="I164" s="67"/>
      <c r="J164" s="67"/>
      <c r="K164" s="66"/>
      <c r="L164" s="68"/>
      <c r="M164" s="66"/>
      <c r="N164" s="69"/>
      <c r="O164" s="67"/>
      <c r="P164" s="66"/>
      <c r="Q164" s="65"/>
      <c r="R164" s="68"/>
    </row>
    <row r="165" spans="1:24" ht="27" x14ac:dyDescent="0.4">
      <c r="A165" s="65"/>
      <c r="B165" s="66"/>
      <c r="C165" s="66"/>
      <c r="D165" s="67"/>
      <c r="E165" s="68"/>
      <c r="F165" s="68"/>
      <c r="G165" s="66"/>
      <c r="H165" s="67"/>
      <c r="I165" s="67"/>
      <c r="J165" s="67"/>
      <c r="K165" s="66"/>
      <c r="L165" s="68"/>
      <c r="M165" s="66"/>
      <c r="N165" s="69"/>
      <c r="O165" s="67"/>
      <c r="P165" s="66"/>
      <c r="Q165" s="65"/>
      <c r="R165" s="68"/>
    </row>
    <row r="166" spans="1:24" ht="27" x14ac:dyDescent="0.4">
      <c r="A166" s="65"/>
      <c r="B166" s="66"/>
      <c r="C166" s="66"/>
      <c r="D166" s="67"/>
      <c r="E166" s="68"/>
      <c r="F166" s="68"/>
      <c r="G166" s="66"/>
      <c r="H166" s="67"/>
      <c r="I166" s="67"/>
      <c r="J166" s="67"/>
      <c r="K166" s="66"/>
      <c r="L166" s="68"/>
      <c r="M166" s="66"/>
      <c r="N166" s="69"/>
      <c r="O166" s="67"/>
      <c r="P166" s="66"/>
      <c r="Q166" s="65"/>
      <c r="R166" s="68"/>
    </row>
    <row r="167" spans="1:24" ht="27" x14ac:dyDescent="0.4">
      <c r="A167" s="65"/>
      <c r="B167" s="66"/>
      <c r="C167" s="66"/>
      <c r="D167" s="67"/>
      <c r="E167" s="68"/>
      <c r="F167" s="68"/>
      <c r="G167" s="66"/>
      <c r="H167" s="67"/>
      <c r="I167" s="67"/>
      <c r="J167" s="67"/>
      <c r="K167" s="66"/>
      <c r="L167" s="68"/>
      <c r="M167" s="66"/>
      <c r="N167" s="69"/>
      <c r="O167" s="67"/>
      <c r="P167" s="66"/>
      <c r="Q167" s="65"/>
      <c r="R167" s="68"/>
    </row>
    <row r="168" spans="1:24" ht="27" x14ac:dyDescent="0.4">
      <c r="A168" s="65"/>
      <c r="B168" s="66"/>
      <c r="C168" s="66"/>
      <c r="D168" s="67"/>
      <c r="E168" s="68"/>
      <c r="F168" s="68"/>
      <c r="G168" s="66"/>
      <c r="H168" s="67"/>
      <c r="I168" s="67"/>
      <c r="J168" s="67"/>
      <c r="K168" s="66"/>
      <c r="L168" s="68"/>
      <c r="M168" s="66"/>
      <c r="N168" s="69"/>
      <c r="O168" s="67"/>
      <c r="P168" s="66"/>
      <c r="Q168" s="65"/>
      <c r="R168" s="70"/>
    </row>
    <row r="169" spans="1:24" ht="27" x14ac:dyDescent="0.4">
      <c r="A169" s="65"/>
      <c r="B169" s="66"/>
      <c r="C169" s="66"/>
      <c r="D169" s="67"/>
      <c r="E169" s="68"/>
      <c r="F169" s="68"/>
      <c r="G169" s="66"/>
      <c r="H169" s="67"/>
      <c r="I169" s="67"/>
      <c r="J169" s="67"/>
      <c r="K169" s="66"/>
      <c r="L169" s="68"/>
      <c r="M169" s="66"/>
      <c r="N169" s="69"/>
      <c r="O169" s="67"/>
      <c r="P169" s="66"/>
      <c r="Q169" s="65"/>
      <c r="R169" s="70"/>
    </row>
    <row r="170" spans="1:24" ht="27" x14ac:dyDescent="0.4">
      <c r="A170" s="65"/>
      <c r="B170" s="66"/>
      <c r="C170" s="66"/>
      <c r="D170" s="67"/>
      <c r="E170" s="68"/>
      <c r="F170" s="68"/>
      <c r="G170" s="66"/>
      <c r="H170" s="67"/>
      <c r="I170" s="67"/>
      <c r="J170" s="67"/>
      <c r="K170" s="66"/>
      <c r="L170" s="68"/>
      <c r="M170" s="66"/>
      <c r="N170" s="69"/>
      <c r="O170" s="67"/>
      <c r="P170" s="66"/>
      <c r="Q170" s="65"/>
      <c r="R170" s="70"/>
    </row>
    <row r="171" spans="1:24" ht="27" x14ac:dyDescent="0.4">
      <c r="A171" s="65"/>
      <c r="B171" s="66"/>
      <c r="C171" s="66"/>
      <c r="D171" s="67"/>
      <c r="E171" s="68"/>
      <c r="F171" s="68"/>
      <c r="G171" s="66"/>
      <c r="H171" s="67"/>
      <c r="I171" s="67"/>
      <c r="J171" s="67"/>
      <c r="K171" s="66"/>
      <c r="L171" s="68"/>
      <c r="M171" s="66"/>
      <c r="N171" s="69"/>
      <c r="O171" s="67"/>
      <c r="P171" s="66"/>
      <c r="Q171" s="65"/>
      <c r="R171" s="70"/>
    </row>
    <row r="172" spans="1:24" ht="27" x14ac:dyDescent="0.4">
      <c r="A172" s="65"/>
      <c r="B172" s="66"/>
      <c r="C172" s="66"/>
      <c r="D172" s="67"/>
      <c r="E172" s="68"/>
      <c r="F172" s="68"/>
      <c r="G172" s="66"/>
      <c r="H172" s="67"/>
      <c r="I172" s="67"/>
      <c r="J172" s="67"/>
      <c r="K172" s="66"/>
      <c r="L172" s="68"/>
      <c r="M172" s="66"/>
      <c r="N172" s="69"/>
      <c r="O172" s="67"/>
      <c r="P172" s="66"/>
      <c r="Q172" s="65"/>
      <c r="R172" s="70"/>
    </row>
    <row r="173" spans="1:24" ht="27" x14ac:dyDescent="0.4">
      <c r="A173" s="65"/>
      <c r="B173" s="66"/>
      <c r="C173" s="66"/>
      <c r="D173" s="67"/>
      <c r="E173" s="68"/>
      <c r="F173" s="68"/>
      <c r="G173" s="66"/>
      <c r="H173" s="67"/>
      <c r="I173" s="67"/>
      <c r="J173" s="67"/>
      <c r="K173" s="66"/>
      <c r="L173" s="68"/>
      <c r="M173" s="66"/>
      <c r="N173" s="69"/>
      <c r="O173" s="67"/>
      <c r="P173" s="66"/>
      <c r="Q173" s="65"/>
      <c r="R173" s="70"/>
    </row>
    <row r="174" spans="1:24" ht="27" x14ac:dyDescent="0.4">
      <c r="A174" s="65"/>
      <c r="B174" s="66"/>
      <c r="C174" s="66"/>
      <c r="D174" s="67"/>
      <c r="E174" s="68"/>
      <c r="F174" s="68"/>
      <c r="G174" s="66"/>
      <c r="H174" s="67"/>
      <c r="I174" s="67"/>
      <c r="J174" s="67"/>
      <c r="K174" s="66"/>
      <c r="L174" s="68"/>
      <c r="M174" s="66"/>
      <c r="N174" s="69"/>
      <c r="O174" s="67"/>
      <c r="P174" s="66"/>
      <c r="Q174" s="65"/>
      <c r="R174" s="70"/>
    </row>
    <row r="175" spans="1:24" ht="27" x14ac:dyDescent="0.4">
      <c r="A175" s="65"/>
      <c r="B175" s="66"/>
      <c r="C175" s="66"/>
      <c r="D175" s="67"/>
      <c r="E175" s="68"/>
      <c r="F175" s="68"/>
      <c r="G175" s="66"/>
      <c r="H175" s="67"/>
      <c r="I175" s="67"/>
      <c r="J175" s="67"/>
      <c r="K175" s="66"/>
      <c r="L175" s="68"/>
      <c r="M175" s="66"/>
      <c r="N175" s="69"/>
      <c r="O175" s="67"/>
      <c r="P175" s="66"/>
      <c r="Q175" s="65"/>
      <c r="R175" s="70"/>
    </row>
    <row r="176" spans="1:24" ht="27" x14ac:dyDescent="0.4">
      <c r="A176" s="65"/>
      <c r="B176" s="66"/>
      <c r="C176" s="66"/>
      <c r="D176" s="67"/>
      <c r="E176" s="68"/>
      <c r="F176" s="68"/>
      <c r="G176" s="66"/>
      <c r="H176" s="67"/>
      <c r="I176" s="67"/>
      <c r="J176" s="67"/>
      <c r="K176" s="66"/>
      <c r="L176" s="68"/>
      <c r="M176" s="66"/>
      <c r="N176" s="69"/>
      <c r="O176" s="67"/>
      <c r="P176" s="66"/>
      <c r="Q176" s="65"/>
      <c r="R176" s="70"/>
    </row>
    <row r="177" spans="1:18" ht="27" x14ac:dyDescent="0.4">
      <c r="A177" s="65"/>
      <c r="B177" s="66"/>
      <c r="C177" s="66"/>
      <c r="D177" s="67"/>
      <c r="E177" s="68"/>
      <c r="F177" s="68"/>
      <c r="G177" s="66"/>
      <c r="H177" s="67"/>
      <c r="I177" s="67"/>
      <c r="J177" s="67"/>
      <c r="K177" s="66"/>
      <c r="L177" s="68"/>
      <c r="M177" s="66"/>
      <c r="N177" s="69"/>
      <c r="O177" s="67"/>
      <c r="P177" s="66"/>
      <c r="Q177" s="65"/>
      <c r="R177" s="70"/>
    </row>
    <row r="178" spans="1:18" ht="27" x14ac:dyDescent="0.4">
      <c r="A178" s="65"/>
      <c r="B178" s="66"/>
      <c r="C178" s="66"/>
      <c r="D178" s="67"/>
      <c r="E178" s="68"/>
      <c r="F178" s="68"/>
      <c r="G178" s="66"/>
      <c r="H178" s="67"/>
      <c r="I178" s="67"/>
      <c r="J178" s="67"/>
      <c r="K178" s="66"/>
      <c r="L178" s="68"/>
      <c r="M178" s="66"/>
      <c r="N178" s="69"/>
      <c r="O178" s="67"/>
      <c r="P178" s="66"/>
      <c r="Q178" s="65"/>
      <c r="R178" s="70"/>
    </row>
    <row r="179" spans="1:18" ht="27" x14ac:dyDescent="0.4">
      <c r="A179" s="65"/>
      <c r="B179" s="66"/>
      <c r="C179" s="66"/>
      <c r="D179" s="67"/>
      <c r="E179" s="68"/>
      <c r="F179" s="68"/>
      <c r="G179" s="66"/>
      <c r="H179" s="67"/>
      <c r="I179" s="67"/>
      <c r="J179" s="67"/>
      <c r="K179" s="66"/>
      <c r="L179" s="68"/>
      <c r="M179" s="66"/>
      <c r="N179" s="69"/>
      <c r="O179" s="67"/>
      <c r="P179" s="66"/>
      <c r="Q179" s="65"/>
      <c r="R179" s="70"/>
    </row>
    <row r="180" spans="1:18" ht="27" x14ac:dyDescent="0.4">
      <c r="A180" s="65"/>
      <c r="B180" s="66"/>
      <c r="C180" s="66"/>
      <c r="D180" s="67"/>
      <c r="E180" s="68"/>
      <c r="F180" s="68"/>
      <c r="G180" s="66"/>
      <c r="H180" s="67"/>
      <c r="I180" s="67"/>
      <c r="J180" s="67"/>
      <c r="K180" s="66"/>
      <c r="L180" s="68"/>
      <c r="M180" s="66"/>
      <c r="N180" s="69"/>
      <c r="O180" s="67"/>
      <c r="P180" s="66"/>
      <c r="Q180" s="65"/>
      <c r="R180" s="70"/>
    </row>
    <row r="181" spans="1:18" ht="27" x14ac:dyDescent="0.4">
      <c r="A181" s="65"/>
      <c r="B181" s="66"/>
      <c r="C181" s="66"/>
      <c r="D181" s="67"/>
      <c r="E181" s="68"/>
      <c r="F181" s="68"/>
      <c r="G181" s="66"/>
      <c r="H181" s="67"/>
      <c r="I181" s="67"/>
      <c r="J181" s="67"/>
      <c r="K181" s="66"/>
      <c r="L181" s="68"/>
      <c r="M181" s="66"/>
      <c r="N181" s="69"/>
      <c r="O181" s="67"/>
      <c r="P181" s="66"/>
      <c r="Q181" s="65"/>
      <c r="R181" s="70"/>
    </row>
    <row r="182" spans="1:18" ht="27" x14ac:dyDescent="0.4">
      <c r="A182" s="65"/>
      <c r="B182" s="66"/>
      <c r="C182" s="66"/>
      <c r="D182" s="67"/>
      <c r="E182" s="68"/>
      <c r="F182" s="68"/>
      <c r="G182" s="66"/>
      <c r="H182" s="67"/>
      <c r="I182" s="67"/>
      <c r="J182" s="67"/>
      <c r="K182" s="66"/>
      <c r="L182" s="68"/>
      <c r="M182" s="66"/>
      <c r="N182" s="69"/>
      <c r="O182" s="67"/>
      <c r="P182" s="66"/>
      <c r="Q182" s="65"/>
      <c r="R182" s="68"/>
    </row>
    <row r="183" spans="1:18" ht="27" x14ac:dyDescent="0.4">
      <c r="A183" s="65"/>
      <c r="B183" s="66"/>
      <c r="C183" s="66"/>
      <c r="D183" s="67"/>
      <c r="E183" s="68"/>
      <c r="F183" s="68"/>
      <c r="G183" s="66"/>
      <c r="H183" s="67"/>
      <c r="I183" s="67"/>
      <c r="J183" s="67"/>
      <c r="K183" s="66"/>
      <c r="L183" s="68"/>
      <c r="M183" s="66"/>
      <c r="N183" s="69"/>
      <c r="O183" s="67"/>
      <c r="P183" s="66"/>
      <c r="Q183" s="65"/>
      <c r="R183" s="70"/>
    </row>
    <row r="184" spans="1:18" ht="27" x14ac:dyDescent="0.4">
      <c r="A184" s="65"/>
      <c r="B184" s="66"/>
      <c r="C184" s="66"/>
      <c r="D184" s="67"/>
      <c r="E184" s="68"/>
      <c r="F184" s="68"/>
      <c r="G184" s="66"/>
      <c r="H184" s="67"/>
      <c r="I184" s="67"/>
      <c r="J184" s="67"/>
      <c r="K184" s="66"/>
      <c r="L184" s="68"/>
      <c r="M184" s="66"/>
      <c r="N184" s="69"/>
      <c r="O184" s="67"/>
      <c r="P184" s="66"/>
      <c r="Q184" s="65"/>
      <c r="R184" s="70"/>
    </row>
    <row r="185" spans="1:18" ht="27" x14ac:dyDescent="0.4">
      <c r="A185" s="65"/>
      <c r="B185" s="66"/>
      <c r="C185" s="66"/>
      <c r="D185" s="67"/>
      <c r="E185" s="68"/>
      <c r="F185" s="68"/>
      <c r="G185" s="66"/>
      <c r="H185" s="67"/>
      <c r="I185" s="67"/>
      <c r="J185" s="67"/>
      <c r="K185" s="66"/>
      <c r="L185" s="68"/>
      <c r="M185" s="66"/>
      <c r="N185" s="69"/>
      <c r="O185" s="67"/>
      <c r="P185" s="66"/>
      <c r="Q185" s="65"/>
      <c r="R185" s="68"/>
    </row>
    <row r="186" spans="1:18" ht="27" x14ac:dyDescent="0.4">
      <c r="A186" s="65"/>
      <c r="B186" s="66"/>
      <c r="C186" s="66"/>
      <c r="D186" s="67"/>
      <c r="E186" s="68"/>
      <c r="F186" s="68"/>
      <c r="G186" s="66"/>
      <c r="H186" s="67"/>
      <c r="I186" s="67"/>
      <c r="J186" s="67"/>
      <c r="K186" s="66"/>
      <c r="L186" s="68"/>
      <c r="M186" s="66"/>
      <c r="N186" s="69"/>
      <c r="O186" s="67"/>
      <c r="P186" s="66"/>
      <c r="Q186" s="65"/>
      <c r="R186" s="68"/>
    </row>
    <row r="187" spans="1:18" ht="27" x14ac:dyDescent="0.4">
      <c r="A187" s="65"/>
      <c r="B187" s="66"/>
      <c r="C187" s="66"/>
      <c r="D187" s="67"/>
      <c r="E187" s="68"/>
      <c r="F187" s="68"/>
      <c r="G187" s="66"/>
      <c r="H187" s="67"/>
      <c r="I187" s="67"/>
      <c r="J187" s="67"/>
      <c r="K187" s="66"/>
      <c r="L187" s="68"/>
      <c r="M187" s="66"/>
      <c r="N187" s="69"/>
      <c r="O187" s="67"/>
      <c r="P187" s="66"/>
      <c r="Q187" s="65"/>
      <c r="R187" s="68"/>
    </row>
    <row r="188" spans="1:18" ht="27" x14ac:dyDescent="0.4">
      <c r="A188" s="65"/>
      <c r="B188" s="66"/>
      <c r="C188" s="66"/>
      <c r="D188" s="67"/>
      <c r="E188" s="68"/>
      <c r="F188" s="68"/>
      <c r="G188" s="66"/>
      <c r="H188" s="67"/>
      <c r="I188" s="67"/>
      <c r="J188" s="67"/>
      <c r="K188" s="66"/>
      <c r="L188" s="68"/>
      <c r="M188" s="66"/>
      <c r="N188" s="69"/>
      <c r="O188" s="67"/>
      <c r="P188" s="66"/>
      <c r="Q188" s="65"/>
      <c r="R188" s="68"/>
    </row>
    <row r="189" spans="1:18" ht="27" x14ac:dyDescent="0.4">
      <c r="A189" s="65"/>
      <c r="B189" s="66"/>
      <c r="C189" s="66"/>
      <c r="D189" s="67"/>
      <c r="E189" s="68"/>
      <c r="F189" s="68"/>
      <c r="G189" s="66"/>
      <c r="H189" s="67"/>
      <c r="I189" s="67"/>
      <c r="J189" s="67"/>
      <c r="K189" s="66"/>
      <c r="L189" s="68"/>
      <c r="M189" s="66"/>
      <c r="N189" s="69"/>
      <c r="O189" s="67"/>
      <c r="P189" s="66"/>
      <c r="Q189" s="65"/>
      <c r="R189" s="68"/>
    </row>
    <row r="190" spans="1:18" ht="27" x14ac:dyDescent="0.4">
      <c r="A190" s="65"/>
      <c r="B190" s="66"/>
      <c r="C190" s="66"/>
      <c r="D190" s="67"/>
      <c r="E190" s="68"/>
      <c r="F190" s="68"/>
      <c r="G190" s="66"/>
      <c r="H190" s="67"/>
      <c r="I190" s="67"/>
      <c r="J190" s="67"/>
      <c r="K190" s="66"/>
      <c r="L190" s="68"/>
      <c r="M190" s="66"/>
      <c r="N190" s="69"/>
      <c r="O190" s="67"/>
      <c r="P190" s="66"/>
      <c r="Q190" s="65"/>
      <c r="R190" s="68"/>
    </row>
    <row r="191" spans="1:18" ht="27" x14ac:dyDescent="0.4">
      <c r="A191" s="65"/>
      <c r="B191" s="66"/>
      <c r="C191" s="66"/>
      <c r="D191" s="67"/>
      <c r="E191" s="68"/>
      <c r="F191" s="68"/>
      <c r="G191" s="66"/>
      <c r="H191" s="67"/>
      <c r="I191" s="67"/>
      <c r="J191" s="67"/>
      <c r="K191" s="66"/>
      <c r="L191" s="68"/>
      <c r="M191" s="66"/>
      <c r="N191" s="69"/>
      <c r="O191" s="67"/>
      <c r="P191" s="66"/>
      <c r="Q191" s="65"/>
      <c r="R191" s="68"/>
    </row>
    <row r="192" spans="1:18" ht="27" x14ac:dyDescent="0.4">
      <c r="A192" s="65"/>
      <c r="B192" s="66"/>
      <c r="C192" s="66"/>
      <c r="D192" s="67"/>
      <c r="E192" s="68"/>
      <c r="F192" s="68"/>
      <c r="G192" s="66"/>
      <c r="H192" s="67"/>
      <c r="I192" s="67"/>
      <c r="J192" s="67"/>
      <c r="K192" s="66"/>
      <c r="L192" s="68"/>
      <c r="M192" s="66"/>
      <c r="N192" s="69"/>
      <c r="O192" s="67"/>
      <c r="P192" s="66"/>
      <c r="Q192" s="65"/>
      <c r="R192" s="68"/>
    </row>
    <row r="193" spans="1:18" ht="27" x14ac:dyDescent="0.4">
      <c r="A193" s="65"/>
      <c r="B193" s="66"/>
      <c r="C193" s="66"/>
      <c r="D193" s="67"/>
      <c r="E193" s="68"/>
      <c r="F193" s="68"/>
      <c r="G193" s="66"/>
      <c r="H193" s="67"/>
      <c r="I193" s="67"/>
      <c r="J193" s="67"/>
      <c r="K193" s="66"/>
      <c r="L193" s="68"/>
      <c r="M193" s="66"/>
      <c r="N193" s="69"/>
      <c r="O193" s="67"/>
      <c r="P193" s="66"/>
      <c r="Q193" s="65"/>
      <c r="R193" s="68"/>
    </row>
    <row r="194" spans="1:18" ht="27" x14ac:dyDescent="0.4">
      <c r="A194" s="65"/>
      <c r="B194" s="66"/>
      <c r="C194" s="66"/>
      <c r="D194" s="67"/>
      <c r="E194" s="68"/>
      <c r="F194" s="68"/>
      <c r="G194" s="66"/>
      <c r="H194" s="67"/>
      <c r="I194" s="67"/>
      <c r="J194" s="67"/>
      <c r="K194" s="66"/>
      <c r="L194" s="68"/>
      <c r="M194" s="66"/>
      <c r="N194" s="69"/>
      <c r="O194" s="67"/>
      <c r="P194" s="66"/>
      <c r="Q194" s="65"/>
      <c r="R194" s="68"/>
    </row>
    <row r="195" spans="1:18" ht="27" x14ac:dyDescent="0.4">
      <c r="A195" s="65"/>
      <c r="B195" s="66"/>
      <c r="C195" s="66"/>
      <c r="D195" s="67"/>
      <c r="E195" s="68"/>
      <c r="F195" s="68"/>
      <c r="G195" s="66"/>
      <c r="H195" s="67"/>
      <c r="I195" s="67"/>
      <c r="J195" s="67"/>
      <c r="K195" s="66"/>
      <c r="L195" s="68"/>
      <c r="M195" s="66"/>
      <c r="N195" s="69"/>
      <c r="O195" s="67"/>
      <c r="P195" s="66"/>
      <c r="Q195" s="65"/>
      <c r="R195" s="68"/>
    </row>
    <row r="196" spans="1:18" ht="27" x14ac:dyDescent="0.4">
      <c r="A196" s="65"/>
      <c r="B196" s="66"/>
      <c r="C196" s="66"/>
      <c r="D196" s="67"/>
      <c r="E196" s="68"/>
      <c r="F196" s="68"/>
      <c r="G196" s="66"/>
      <c r="H196" s="67"/>
      <c r="I196" s="67"/>
      <c r="J196" s="67"/>
      <c r="K196" s="66"/>
      <c r="L196" s="68"/>
      <c r="M196" s="66"/>
      <c r="N196" s="69"/>
      <c r="O196" s="67"/>
      <c r="P196" s="66"/>
      <c r="Q196" s="65"/>
      <c r="R196" s="68"/>
    </row>
    <row r="197" spans="1:18" ht="27" x14ac:dyDescent="0.4">
      <c r="A197" s="65"/>
      <c r="B197" s="66"/>
      <c r="C197" s="66"/>
      <c r="D197" s="67"/>
      <c r="E197" s="68"/>
      <c r="F197" s="68"/>
      <c r="G197" s="66"/>
      <c r="H197" s="67"/>
      <c r="I197" s="67"/>
      <c r="J197" s="67"/>
      <c r="K197" s="66"/>
      <c r="L197" s="68"/>
      <c r="M197" s="66"/>
      <c r="N197" s="69"/>
      <c r="O197" s="67"/>
      <c r="P197" s="66"/>
      <c r="Q197" s="65"/>
      <c r="R197" s="68"/>
    </row>
    <row r="198" spans="1:18" ht="27" x14ac:dyDescent="0.4">
      <c r="A198" s="65"/>
      <c r="B198" s="66"/>
      <c r="C198" s="66"/>
      <c r="D198" s="67"/>
      <c r="E198" s="68"/>
      <c r="F198" s="68"/>
      <c r="G198" s="66"/>
      <c r="H198" s="67"/>
      <c r="I198" s="67"/>
      <c r="J198" s="67"/>
      <c r="K198" s="66"/>
      <c r="L198" s="68"/>
      <c r="M198" s="66"/>
      <c r="N198" s="69"/>
      <c r="O198" s="67"/>
      <c r="P198" s="66"/>
      <c r="Q198" s="65"/>
      <c r="R198" s="68"/>
    </row>
    <row r="199" spans="1:18" ht="27" x14ac:dyDescent="0.4">
      <c r="A199" s="65"/>
      <c r="B199" s="66"/>
      <c r="C199" s="66"/>
      <c r="D199" s="67"/>
      <c r="E199" s="68"/>
      <c r="F199" s="68"/>
      <c r="G199" s="66"/>
      <c r="H199" s="67"/>
      <c r="I199" s="67"/>
      <c r="J199" s="67"/>
      <c r="K199" s="66"/>
      <c r="L199" s="68"/>
      <c r="M199" s="66"/>
      <c r="N199" s="69"/>
      <c r="O199" s="67"/>
      <c r="P199" s="66"/>
      <c r="Q199" s="65"/>
      <c r="R199" s="68"/>
    </row>
    <row r="200" spans="1:18" ht="27" x14ac:dyDescent="0.4">
      <c r="A200" s="65"/>
      <c r="B200" s="66"/>
      <c r="C200" s="66"/>
      <c r="D200" s="67"/>
      <c r="E200" s="68"/>
      <c r="F200" s="68"/>
      <c r="G200" s="66"/>
      <c r="H200" s="67"/>
      <c r="I200" s="67"/>
      <c r="J200" s="67"/>
      <c r="K200" s="66"/>
      <c r="L200" s="68"/>
      <c r="M200" s="66"/>
      <c r="N200" s="69"/>
      <c r="O200" s="67"/>
      <c r="P200" s="66"/>
      <c r="Q200" s="65"/>
      <c r="R200" s="68"/>
    </row>
    <row r="201" spans="1:18" ht="27" x14ac:dyDescent="0.4">
      <c r="A201" s="65"/>
      <c r="B201" s="66"/>
      <c r="C201" s="66"/>
      <c r="D201" s="67"/>
      <c r="E201" s="68"/>
      <c r="F201" s="68"/>
      <c r="G201" s="66"/>
      <c r="H201" s="67"/>
      <c r="I201" s="67"/>
      <c r="J201" s="67"/>
      <c r="K201" s="66"/>
      <c r="L201" s="68"/>
      <c r="M201" s="66"/>
      <c r="N201" s="69"/>
      <c r="O201" s="67"/>
      <c r="P201" s="66"/>
      <c r="Q201" s="65"/>
      <c r="R201" s="68"/>
    </row>
    <row r="202" spans="1:18" ht="27" x14ac:dyDescent="0.4">
      <c r="A202" s="65"/>
      <c r="B202" s="66"/>
      <c r="C202" s="66"/>
      <c r="D202" s="67"/>
      <c r="E202" s="68"/>
      <c r="F202" s="68"/>
      <c r="G202" s="66"/>
      <c r="H202" s="67"/>
      <c r="I202" s="67"/>
      <c r="J202" s="67"/>
      <c r="K202" s="66"/>
      <c r="L202" s="68"/>
      <c r="M202" s="66"/>
      <c r="N202" s="69"/>
      <c r="O202" s="67"/>
      <c r="P202" s="66"/>
      <c r="Q202" s="65"/>
      <c r="R202" s="68"/>
    </row>
    <row r="203" spans="1:18" ht="27" x14ac:dyDescent="0.4">
      <c r="A203" s="65"/>
      <c r="B203" s="66"/>
      <c r="C203" s="66"/>
      <c r="D203" s="67"/>
      <c r="E203" s="68"/>
      <c r="F203" s="68"/>
      <c r="G203" s="66"/>
      <c r="H203" s="67"/>
      <c r="I203" s="67"/>
      <c r="J203" s="67"/>
      <c r="K203" s="66"/>
      <c r="L203" s="68"/>
      <c r="M203" s="66"/>
      <c r="N203" s="69"/>
      <c r="O203" s="67"/>
      <c r="P203" s="66"/>
      <c r="Q203" s="65"/>
      <c r="R203" s="68"/>
    </row>
    <row r="204" spans="1:18" ht="27" x14ac:dyDescent="0.4">
      <c r="A204" s="65"/>
      <c r="B204" s="66"/>
      <c r="C204" s="66"/>
      <c r="D204" s="67"/>
      <c r="E204" s="68"/>
      <c r="F204" s="68"/>
      <c r="G204" s="66"/>
      <c r="H204" s="67"/>
      <c r="I204" s="67"/>
      <c r="J204" s="67"/>
      <c r="K204" s="66"/>
      <c r="L204" s="68"/>
      <c r="M204" s="66"/>
      <c r="N204" s="69"/>
      <c r="O204" s="67"/>
      <c r="P204" s="66"/>
      <c r="Q204" s="65"/>
      <c r="R204" s="68"/>
    </row>
    <row r="205" spans="1:18" ht="27" x14ac:dyDescent="0.4">
      <c r="A205" s="65"/>
      <c r="B205" s="66"/>
      <c r="C205" s="66"/>
      <c r="D205" s="67"/>
      <c r="E205" s="68"/>
      <c r="F205" s="68"/>
      <c r="G205" s="66"/>
      <c r="H205" s="67"/>
      <c r="I205" s="67"/>
      <c r="J205" s="67"/>
      <c r="K205" s="66"/>
      <c r="L205" s="68"/>
      <c r="M205" s="66"/>
      <c r="N205" s="69"/>
      <c r="O205" s="67"/>
      <c r="P205" s="66"/>
      <c r="Q205" s="65"/>
      <c r="R205" s="68"/>
    </row>
    <row r="206" spans="1:18" ht="27" x14ac:dyDescent="0.4">
      <c r="A206" s="65"/>
      <c r="B206" s="66"/>
      <c r="C206" s="66"/>
      <c r="D206" s="67"/>
      <c r="E206" s="68"/>
      <c r="F206" s="68"/>
      <c r="G206" s="66"/>
      <c r="H206" s="67"/>
      <c r="I206" s="67"/>
      <c r="J206" s="67"/>
      <c r="K206" s="66"/>
      <c r="L206" s="68"/>
      <c r="M206" s="66"/>
      <c r="N206" s="69"/>
      <c r="O206" s="67"/>
      <c r="P206" s="66"/>
      <c r="Q206" s="65"/>
      <c r="R206" s="68"/>
    </row>
    <row r="207" spans="1:18" ht="27" x14ac:dyDescent="0.4">
      <c r="A207" s="65"/>
      <c r="B207" s="66"/>
      <c r="C207" s="66"/>
      <c r="D207" s="67"/>
      <c r="E207" s="68"/>
      <c r="F207" s="68"/>
      <c r="G207" s="66"/>
      <c r="H207" s="67"/>
      <c r="I207" s="67"/>
      <c r="J207" s="67"/>
      <c r="K207" s="66"/>
      <c r="L207" s="68"/>
      <c r="M207" s="66"/>
      <c r="N207" s="69"/>
      <c r="O207" s="67"/>
      <c r="P207" s="66"/>
      <c r="Q207" s="65"/>
      <c r="R207" s="68"/>
    </row>
    <row r="208" spans="1:18" ht="27" x14ac:dyDescent="0.4">
      <c r="A208" s="65"/>
      <c r="B208" s="66"/>
      <c r="C208" s="66"/>
      <c r="D208" s="67"/>
      <c r="E208" s="68"/>
      <c r="F208" s="68"/>
      <c r="G208" s="66"/>
      <c r="H208" s="67"/>
      <c r="I208" s="67"/>
      <c r="J208" s="67"/>
      <c r="K208" s="66"/>
      <c r="L208" s="68"/>
      <c r="M208" s="66"/>
      <c r="N208" s="69"/>
      <c r="O208" s="67"/>
      <c r="P208" s="66"/>
      <c r="Q208" s="65"/>
      <c r="R208" s="68"/>
    </row>
    <row r="209" spans="1:18" ht="27" x14ac:dyDescent="0.4">
      <c r="A209" s="65"/>
      <c r="B209" s="66"/>
      <c r="C209" s="66"/>
      <c r="D209" s="67"/>
      <c r="E209" s="68"/>
      <c r="F209" s="68"/>
      <c r="G209" s="66"/>
      <c r="H209" s="67"/>
      <c r="I209" s="67"/>
      <c r="J209" s="67"/>
      <c r="K209" s="66"/>
      <c r="L209" s="68"/>
      <c r="M209" s="66"/>
      <c r="N209" s="69"/>
      <c r="O209" s="67"/>
      <c r="P209" s="66"/>
      <c r="Q209" s="65"/>
      <c r="R209" s="68"/>
    </row>
    <row r="210" spans="1:18" ht="27" x14ac:dyDescent="0.4">
      <c r="A210" s="65"/>
      <c r="B210" s="66"/>
      <c r="C210" s="66"/>
      <c r="D210" s="67"/>
      <c r="E210" s="68"/>
      <c r="F210" s="68"/>
      <c r="G210" s="66"/>
      <c r="H210" s="67"/>
      <c r="I210" s="67"/>
      <c r="J210" s="67"/>
      <c r="K210" s="66"/>
      <c r="L210" s="68"/>
      <c r="M210" s="66"/>
      <c r="N210" s="69"/>
      <c r="O210" s="67"/>
      <c r="P210" s="66"/>
      <c r="Q210" s="65"/>
      <c r="R210" s="68"/>
    </row>
    <row r="211" spans="1:18" ht="27" x14ac:dyDescent="0.4">
      <c r="A211" s="65"/>
      <c r="B211" s="133"/>
      <c r="C211" s="133"/>
      <c r="D211" s="134"/>
      <c r="E211" s="135"/>
      <c r="F211" s="135"/>
      <c r="G211" s="133"/>
      <c r="H211" s="134"/>
      <c r="I211" s="134"/>
      <c r="J211" s="134"/>
      <c r="K211" s="133"/>
      <c r="L211" s="135"/>
      <c r="M211" s="133"/>
      <c r="N211" s="136"/>
      <c r="O211" s="134"/>
      <c r="P211" s="133"/>
      <c r="Q211" s="65"/>
      <c r="R211" s="68"/>
    </row>
    <row r="212" spans="1:18" ht="27" x14ac:dyDescent="0.4">
      <c r="A212" s="65"/>
      <c r="B212" s="133"/>
      <c r="C212" s="133"/>
      <c r="D212" s="134"/>
      <c r="E212" s="135"/>
      <c r="F212" s="135"/>
      <c r="G212" s="133"/>
      <c r="H212" s="134"/>
      <c r="I212" s="134"/>
      <c r="J212" s="134"/>
      <c r="K212" s="133"/>
      <c r="L212" s="135"/>
      <c r="M212" s="133"/>
      <c r="N212" s="136"/>
      <c r="O212" s="134"/>
      <c r="P212" s="133"/>
      <c r="Q212" s="65"/>
      <c r="R212" s="68"/>
    </row>
    <row r="213" spans="1:18" ht="27" x14ac:dyDescent="0.4">
      <c r="A213" s="65"/>
      <c r="B213" s="133"/>
      <c r="C213" s="133"/>
      <c r="D213" s="134"/>
      <c r="E213" s="135"/>
      <c r="F213" s="135"/>
      <c r="G213" s="133"/>
      <c r="H213" s="134"/>
      <c r="I213" s="134"/>
      <c r="J213" s="134"/>
      <c r="K213" s="133"/>
      <c r="L213" s="135"/>
      <c r="M213" s="133"/>
      <c r="N213" s="136"/>
      <c r="O213" s="134"/>
      <c r="P213" s="133"/>
      <c r="Q213" s="65"/>
      <c r="R213" s="68"/>
    </row>
    <row r="214" spans="1:18" ht="27" x14ac:dyDescent="0.4">
      <c r="A214" s="65"/>
      <c r="B214" s="133"/>
      <c r="C214" s="133"/>
      <c r="D214" s="134"/>
      <c r="E214" s="135"/>
      <c r="F214" s="135"/>
      <c r="G214" s="133"/>
      <c r="H214" s="134"/>
      <c r="I214" s="134"/>
      <c r="J214" s="134"/>
      <c r="K214" s="133"/>
      <c r="L214" s="135"/>
      <c r="M214" s="133"/>
      <c r="N214" s="136"/>
      <c r="O214" s="134"/>
      <c r="P214" s="133"/>
      <c r="Q214" s="65"/>
      <c r="R214" s="68"/>
    </row>
    <row r="215" spans="1:18" ht="27" x14ac:dyDescent="0.4">
      <c r="A215" s="65"/>
      <c r="B215" s="133"/>
      <c r="C215" s="133"/>
      <c r="D215" s="134"/>
      <c r="E215" s="135"/>
      <c r="F215" s="135"/>
      <c r="G215" s="133"/>
      <c r="H215" s="134"/>
      <c r="I215" s="134"/>
      <c r="J215" s="134"/>
      <c r="K215" s="133"/>
      <c r="L215" s="135"/>
      <c r="M215" s="133"/>
      <c r="N215" s="136"/>
      <c r="O215" s="134"/>
      <c r="P215" s="133"/>
      <c r="Q215" s="65"/>
      <c r="R215" s="68"/>
    </row>
    <row r="216" spans="1:18" ht="27" x14ac:dyDescent="0.4">
      <c r="A216" s="65"/>
      <c r="B216" s="133"/>
      <c r="C216" s="133"/>
      <c r="D216" s="134"/>
      <c r="E216" s="135"/>
      <c r="F216" s="135"/>
      <c r="G216" s="133"/>
      <c r="H216" s="134"/>
      <c r="I216" s="134"/>
      <c r="J216" s="134"/>
      <c r="K216" s="133"/>
      <c r="L216" s="135"/>
      <c r="M216" s="133"/>
      <c r="N216" s="136"/>
      <c r="O216" s="134"/>
      <c r="P216" s="133"/>
      <c r="Q216" s="65"/>
      <c r="R216" s="68"/>
    </row>
    <row r="217" spans="1:18" ht="27" x14ac:dyDescent="0.4">
      <c r="A217" s="65"/>
      <c r="B217" s="133"/>
      <c r="C217" s="133"/>
      <c r="D217" s="134"/>
      <c r="E217" s="135"/>
      <c r="F217" s="135"/>
      <c r="G217" s="133"/>
      <c r="H217" s="134"/>
      <c r="I217" s="134"/>
      <c r="J217" s="134"/>
      <c r="K217" s="133"/>
      <c r="L217" s="135"/>
      <c r="M217" s="133"/>
      <c r="N217" s="136"/>
      <c r="O217" s="134"/>
      <c r="P217" s="133"/>
      <c r="Q217" s="65"/>
      <c r="R217" s="68"/>
    </row>
    <row r="218" spans="1:18" ht="27" x14ac:dyDescent="0.4">
      <c r="A218" s="65"/>
      <c r="B218" s="133"/>
      <c r="C218" s="133"/>
      <c r="D218" s="134"/>
      <c r="E218" s="135"/>
      <c r="F218" s="135"/>
      <c r="G218" s="133"/>
      <c r="H218" s="134"/>
      <c r="I218" s="134"/>
      <c r="J218" s="134"/>
      <c r="K218" s="133"/>
      <c r="L218" s="135"/>
      <c r="M218" s="133"/>
      <c r="N218" s="136"/>
      <c r="O218" s="134"/>
      <c r="P218" s="133"/>
      <c r="Q218" s="65"/>
      <c r="R218" s="68"/>
    </row>
    <row r="219" spans="1:18" ht="27" x14ac:dyDescent="0.4">
      <c r="A219" s="65"/>
      <c r="B219" s="66"/>
      <c r="C219" s="65"/>
      <c r="D219" s="67"/>
      <c r="E219" s="68"/>
      <c r="F219" s="68"/>
      <c r="G219" s="66"/>
      <c r="H219" s="67"/>
      <c r="I219" s="67"/>
      <c r="J219" s="67"/>
      <c r="K219" s="66"/>
      <c r="L219" s="68"/>
      <c r="M219" s="66"/>
      <c r="N219" s="69"/>
      <c r="O219" s="67"/>
      <c r="P219" s="66"/>
      <c r="Q219" s="65"/>
      <c r="R219" s="68"/>
    </row>
    <row r="220" spans="1:18" ht="27" x14ac:dyDescent="0.4">
      <c r="A220" s="65"/>
      <c r="B220" s="66"/>
      <c r="C220" s="66"/>
      <c r="D220" s="67"/>
      <c r="E220" s="68"/>
      <c r="F220" s="68"/>
      <c r="G220" s="66"/>
      <c r="H220" s="67"/>
      <c r="I220" s="67"/>
      <c r="J220" s="67"/>
      <c r="K220" s="66"/>
      <c r="L220" s="68"/>
      <c r="M220" s="66"/>
      <c r="N220" s="69"/>
      <c r="O220" s="67"/>
      <c r="P220" s="66"/>
      <c r="Q220" s="65"/>
      <c r="R220" s="68"/>
    </row>
    <row r="221" spans="1:18" ht="27" x14ac:dyDescent="0.4">
      <c r="A221" s="65"/>
      <c r="B221" s="66"/>
      <c r="C221" s="66"/>
      <c r="D221" s="67"/>
      <c r="E221" s="68"/>
      <c r="F221" s="68"/>
      <c r="G221" s="66"/>
      <c r="H221" s="67"/>
      <c r="I221" s="67"/>
      <c r="J221" s="67"/>
      <c r="K221" s="66"/>
      <c r="L221" s="68"/>
      <c r="M221" s="66"/>
      <c r="N221" s="69"/>
      <c r="O221" s="67"/>
      <c r="P221" s="66"/>
      <c r="Q221" s="65"/>
      <c r="R221" s="65"/>
    </row>
    <row r="222" spans="1:18" ht="27" x14ac:dyDescent="0.4">
      <c r="A222" s="65"/>
      <c r="B222" s="66"/>
      <c r="C222" s="66"/>
      <c r="D222" s="67"/>
      <c r="E222" s="68"/>
      <c r="F222" s="68"/>
      <c r="G222" s="66"/>
      <c r="H222" s="67"/>
      <c r="I222" s="67"/>
      <c r="J222" s="67"/>
      <c r="K222" s="66"/>
      <c r="L222" s="68"/>
      <c r="M222" s="66"/>
      <c r="N222" s="69"/>
      <c r="O222" s="67"/>
      <c r="P222" s="66"/>
      <c r="Q222" s="65"/>
      <c r="R222" s="65"/>
    </row>
    <row r="223" spans="1:18" ht="27" x14ac:dyDescent="0.4">
      <c r="A223" s="65"/>
      <c r="B223" s="66"/>
      <c r="C223" s="66"/>
      <c r="D223" s="67"/>
      <c r="E223" s="68"/>
      <c r="F223" s="68"/>
      <c r="G223" s="66"/>
      <c r="H223" s="67"/>
      <c r="I223" s="67"/>
      <c r="J223" s="67"/>
      <c r="K223" s="66"/>
      <c r="L223" s="68"/>
      <c r="M223" s="66"/>
      <c r="N223" s="69"/>
      <c r="O223" s="67"/>
      <c r="P223" s="66"/>
      <c r="Q223" s="65"/>
      <c r="R223" s="65"/>
    </row>
    <row r="224" spans="1:18" ht="27" x14ac:dyDescent="0.4">
      <c r="A224" s="65"/>
      <c r="B224" s="66"/>
      <c r="C224" s="66"/>
      <c r="D224" s="67"/>
      <c r="E224" s="68"/>
      <c r="F224" s="68"/>
      <c r="G224" s="66"/>
      <c r="H224" s="67"/>
      <c r="I224" s="67"/>
      <c r="J224" s="67"/>
      <c r="K224" s="66"/>
      <c r="L224" s="68"/>
      <c r="M224" s="66"/>
      <c r="N224" s="69"/>
      <c r="O224" s="67"/>
      <c r="P224" s="66"/>
      <c r="Q224" s="65"/>
      <c r="R224" s="65"/>
    </row>
    <row r="225" spans="1:18" ht="27" x14ac:dyDescent="0.4">
      <c r="A225" s="65"/>
      <c r="B225" s="66"/>
      <c r="C225" s="66"/>
      <c r="D225" s="67"/>
      <c r="E225" s="68"/>
      <c r="F225" s="68"/>
      <c r="G225" s="66"/>
      <c r="H225" s="67"/>
      <c r="I225" s="67"/>
      <c r="J225" s="67"/>
      <c r="K225" s="66"/>
      <c r="L225" s="68"/>
      <c r="M225" s="66"/>
      <c r="N225" s="69"/>
      <c r="O225" s="67"/>
      <c r="P225" s="66"/>
      <c r="Q225" s="65"/>
      <c r="R225" s="65"/>
    </row>
    <row r="226" spans="1:18" ht="27" x14ac:dyDescent="0.4">
      <c r="A226" s="65"/>
      <c r="B226" s="66"/>
      <c r="C226" s="66"/>
      <c r="D226" s="67"/>
      <c r="E226" s="68"/>
      <c r="F226" s="68"/>
      <c r="G226" s="66"/>
      <c r="H226" s="67"/>
      <c r="I226" s="67"/>
      <c r="J226" s="67"/>
      <c r="K226" s="66"/>
      <c r="L226" s="68"/>
      <c r="M226" s="66"/>
      <c r="N226" s="69"/>
      <c r="O226" s="67"/>
      <c r="P226" s="66"/>
      <c r="Q226" s="65"/>
      <c r="R226" s="70"/>
    </row>
    <row r="227" spans="1:18" ht="27" x14ac:dyDescent="0.4">
      <c r="A227" s="65"/>
      <c r="B227" s="66"/>
      <c r="C227" s="66"/>
      <c r="D227" s="67"/>
      <c r="E227" s="68"/>
      <c r="F227" s="68"/>
      <c r="G227" s="66"/>
      <c r="H227" s="67"/>
      <c r="I227" s="67"/>
      <c r="J227" s="67"/>
      <c r="K227" s="66"/>
      <c r="L227" s="68"/>
      <c r="M227" s="66"/>
      <c r="N227" s="69"/>
      <c r="O227" s="67"/>
      <c r="P227" s="66"/>
      <c r="Q227" s="65"/>
      <c r="R227" s="65"/>
    </row>
    <row r="228" spans="1:18" ht="27" x14ac:dyDescent="0.4">
      <c r="A228" s="65"/>
      <c r="B228" s="66"/>
      <c r="C228" s="66"/>
      <c r="D228" s="67"/>
      <c r="E228" s="68"/>
      <c r="F228" s="68"/>
      <c r="G228" s="66"/>
      <c r="H228" s="67"/>
      <c r="I228" s="67"/>
      <c r="J228" s="67"/>
      <c r="K228" s="66"/>
      <c r="L228" s="68"/>
      <c r="M228" s="66"/>
      <c r="N228" s="69"/>
      <c r="O228" s="67"/>
      <c r="P228" s="66"/>
      <c r="Q228" s="65"/>
      <c r="R228" s="68"/>
    </row>
    <row r="229" spans="1:18" ht="27" x14ac:dyDescent="0.4">
      <c r="A229" s="65"/>
      <c r="B229" s="66"/>
      <c r="C229" s="66"/>
      <c r="D229" s="67"/>
      <c r="E229" s="68"/>
      <c r="F229" s="68"/>
      <c r="G229" s="66"/>
      <c r="H229" s="67"/>
      <c r="I229" s="67"/>
      <c r="J229" s="67"/>
      <c r="K229" s="66"/>
      <c r="L229" s="68"/>
      <c r="M229" s="66"/>
      <c r="N229" s="69"/>
      <c r="O229" s="67"/>
      <c r="P229" s="66"/>
      <c r="Q229" s="65"/>
      <c r="R229" s="68"/>
    </row>
    <row r="230" spans="1:18" ht="27" x14ac:dyDescent="0.4">
      <c r="A230" s="65"/>
      <c r="B230" s="66"/>
      <c r="C230" s="66"/>
      <c r="D230" s="67"/>
      <c r="E230" s="68"/>
      <c r="F230" s="68"/>
      <c r="G230" s="66"/>
      <c r="H230" s="67"/>
      <c r="I230" s="67"/>
      <c r="J230" s="67"/>
      <c r="K230" s="66"/>
      <c r="L230" s="68"/>
      <c r="M230" s="66"/>
      <c r="N230" s="69"/>
      <c r="O230" s="67"/>
      <c r="P230" s="66"/>
      <c r="Q230" s="65"/>
      <c r="R230" s="68"/>
    </row>
    <row r="231" spans="1:18" ht="27" x14ac:dyDescent="0.4">
      <c r="A231" s="65"/>
      <c r="B231" s="66"/>
      <c r="C231" s="66"/>
      <c r="D231" s="67"/>
      <c r="E231" s="68"/>
      <c r="F231" s="68"/>
      <c r="G231" s="66"/>
      <c r="H231" s="67"/>
      <c r="I231" s="67"/>
      <c r="J231" s="67"/>
      <c r="K231" s="66"/>
      <c r="L231" s="68"/>
      <c r="M231" s="66"/>
      <c r="N231" s="69"/>
      <c r="O231" s="67"/>
      <c r="P231" s="66"/>
      <c r="Q231" s="65"/>
      <c r="R231" s="68"/>
    </row>
    <row r="232" spans="1:18" ht="27" x14ac:dyDescent="0.4">
      <c r="A232" s="65"/>
      <c r="B232" s="66"/>
      <c r="C232" s="66"/>
      <c r="D232" s="67"/>
      <c r="E232" s="68"/>
      <c r="F232" s="68"/>
      <c r="G232" s="66"/>
      <c r="H232" s="67"/>
      <c r="I232" s="67"/>
      <c r="J232" s="67"/>
      <c r="K232" s="66"/>
      <c r="L232" s="68"/>
      <c r="M232" s="66"/>
      <c r="N232" s="69"/>
      <c r="O232" s="67"/>
      <c r="P232" s="66"/>
      <c r="Q232" s="65"/>
      <c r="R232" s="68"/>
    </row>
    <row r="233" spans="1:18" ht="27" x14ac:dyDescent="0.4">
      <c r="A233" s="65"/>
      <c r="B233" s="66"/>
      <c r="C233" s="66"/>
      <c r="D233" s="67"/>
      <c r="E233" s="68"/>
      <c r="F233" s="68"/>
      <c r="G233" s="66"/>
      <c r="H233" s="67"/>
      <c r="I233" s="67"/>
      <c r="J233" s="67"/>
      <c r="K233" s="66"/>
      <c r="L233" s="68"/>
      <c r="M233" s="66"/>
      <c r="N233" s="69"/>
      <c r="O233" s="67"/>
      <c r="P233" s="66"/>
      <c r="Q233" s="65"/>
      <c r="R233" s="68"/>
    </row>
    <row r="234" spans="1:18" ht="27" x14ac:dyDescent="0.4">
      <c r="A234" s="65"/>
      <c r="B234" s="66"/>
      <c r="C234" s="66"/>
      <c r="D234" s="67"/>
      <c r="E234" s="68"/>
      <c r="F234" s="68"/>
      <c r="G234" s="66"/>
      <c r="H234" s="67"/>
      <c r="I234" s="67"/>
      <c r="J234" s="67"/>
      <c r="K234" s="66"/>
      <c r="L234" s="68"/>
      <c r="M234" s="66"/>
      <c r="N234" s="69"/>
      <c r="O234" s="67"/>
      <c r="P234" s="66"/>
      <c r="Q234" s="65"/>
      <c r="R234" s="68"/>
    </row>
    <row r="235" spans="1:18" ht="27" x14ac:dyDescent="0.4">
      <c r="A235" s="65"/>
      <c r="B235" s="66"/>
      <c r="C235" s="66"/>
      <c r="D235" s="67"/>
      <c r="E235" s="68"/>
      <c r="F235" s="68"/>
      <c r="G235" s="66"/>
      <c r="H235" s="67"/>
      <c r="I235" s="67"/>
      <c r="J235" s="67"/>
      <c r="K235" s="66"/>
      <c r="L235" s="68"/>
      <c r="M235" s="66"/>
      <c r="N235" s="69"/>
      <c r="O235" s="67"/>
      <c r="P235" s="66"/>
      <c r="Q235" s="65"/>
      <c r="R235" s="68"/>
    </row>
    <row r="236" spans="1:18" ht="27" x14ac:dyDescent="0.4">
      <c r="A236" s="65"/>
      <c r="B236" s="66"/>
      <c r="C236" s="66"/>
      <c r="D236" s="67"/>
      <c r="E236" s="68"/>
      <c r="F236" s="68"/>
      <c r="G236" s="66"/>
      <c r="H236" s="67"/>
      <c r="I236" s="67"/>
      <c r="J236" s="67"/>
      <c r="K236" s="66"/>
      <c r="L236" s="68"/>
      <c r="M236" s="66"/>
      <c r="N236" s="69"/>
      <c r="O236" s="67"/>
      <c r="P236" s="66"/>
      <c r="Q236" s="65"/>
      <c r="R236" s="68"/>
    </row>
    <row r="237" spans="1:18" ht="27" x14ac:dyDescent="0.4">
      <c r="A237" s="65"/>
      <c r="B237" s="66"/>
      <c r="C237" s="66"/>
      <c r="D237" s="67"/>
      <c r="E237" s="68"/>
      <c r="F237" s="68"/>
      <c r="G237" s="66"/>
      <c r="H237" s="67"/>
      <c r="I237" s="67"/>
      <c r="J237" s="67"/>
      <c r="K237" s="66"/>
      <c r="L237" s="68"/>
      <c r="M237" s="66"/>
      <c r="N237" s="69"/>
      <c r="O237" s="67"/>
      <c r="P237" s="66"/>
      <c r="Q237" s="65"/>
      <c r="R237" s="68"/>
    </row>
    <row r="238" spans="1:18" ht="27" x14ac:dyDescent="0.4">
      <c r="A238" s="65"/>
      <c r="B238" s="66"/>
      <c r="C238" s="66"/>
      <c r="D238" s="67"/>
      <c r="E238" s="68"/>
      <c r="F238" s="68"/>
      <c r="G238" s="66"/>
      <c r="H238" s="67"/>
      <c r="I238" s="67"/>
      <c r="J238" s="67"/>
      <c r="K238" s="66"/>
      <c r="L238" s="68"/>
      <c r="M238" s="66"/>
      <c r="N238" s="69"/>
      <c r="O238" s="67"/>
      <c r="P238" s="66"/>
      <c r="Q238" s="65"/>
      <c r="R238" s="68"/>
    </row>
    <row r="239" spans="1:18" ht="27" x14ac:dyDescent="0.4">
      <c r="A239" s="65"/>
      <c r="B239" s="66"/>
      <c r="C239" s="66"/>
      <c r="D239" s="67"/>
      <c r="E239" s="68"/>
      <c r="F239" s="68"/>
      <c r="G239" s="66"/>
      <c r="H239" s="67"/>
      <c r="I239" s="67"/>
      <c r="J239" s="67"/>
      <c r="K239" s="66"/>
      <c r="L239" s="68"/>
      <c r="M239" s="66"/>
      <c r="N239" s="69"/>
      <c r="O239" s="67"/>
      <c r="P239" s="66"/>
      <c r="Q239" s="65"/>
      <c r="R239" s="68"/>
    </row>
    <row r="240" spans="1:18" ht="27" x14ac:dyDescent="0.4">
      <c r="A240" s="65"/>
      <c r="B240" s="66"/>
      <c r="C240" s="66"/>
      <c r="D240" s="67"/>
      <c r="E240" s="68"/>
      <c r="F240" s="68"/>
      <c r="G240" s="66"/>
      <c r="H240" s="67"/>
      <c r="I240" s="67"/>
      <c r="J240" s="67"/>
      <c r="K240" s="66"/>
      <c r="L240" s="68"/>
      <c r="M240" s="66"/>
      <c r="N240" s="69"/>
      <c r="O240" s="67"/>
      <c r="P240" s="66"/>
      <c r="Q240" s="65"/>
      <c r="R240" s="68"/>
    </row>
    <row r="241" spans="1:18" ht="27" x14ac:dyDescent="0.4">
      <c r="A241" s="65"/>
      <c r="B241" s="66"/>
      <c r="C241" s="66"/>
      <c r="D241" s="67"/>
      <c r="E241" s="68"/>
      <c r="F241" s="68"/>
      <c r="G241" s="66"/>
      <c r="H241" s="67"/>
      <c r="I241" s="67"/>
      <c r="J241" s="67"/>
      <c r="K241" s="66"/>
      <c r="L241" s="68"/>
      <c r="M241" s="66"/>
      <c r="N241" s="69"/>
      <c r="O241" s="67"/>
      <c r="P241" s="66"/>
      <c r="Q241" s="65"/>
      <c r="R241" s="68"/>
    </row>
    <row r="242" spans="1:18" ht="27" x14ac:dyDescent="0.4">
      <c r="A242" s="65"/>
      <c r="B242" s="66"/>
      <c r="C242" s="66"/>
      <c r="D242" s="67"/>
      <c r="E242" s="68"/>
      <c r="F242" s="68"/>
      <c r="G242" s="66"/>
      <c r="H242" s="67"/>
      <c r="I242" s="67"/>
      <c r="J242" s="67"/>
      <c r="K242" s="66"/>
      <c r="L242" s="68"/>
      <c r="M242" s="66"/>
      <c r="N242" s="69"/>
      <c r="O242" s="67"/>
      <c r="P242" s="66"/>
      <c r="Q242" s="65"/>
      <c r="R242" s="68"/>
    </row>
    <row r="243" spans="1:18" ht="27" x14ac:dyDescent="0.4">
      <c r="A243" s="65"/>
      <c r="B243" s="66"/>
      <c r="C243" s="66"/>
      <c r="D243" s="67"/>
      <c r="E243" s="68"/>
      <c r="F243" s="68"/>
      <c r="G243" s="66"/>
      <c r="H243" s="67"/>
      <c r="I243" s="67"/>
      <c r="J243" s="67"/>
      <c r="K243" s="66"/>
      <c r="L243" s="68"/>
      <c r="M243" s="66"/>
      <c r="N243" s="69"/>
      <c r="O243" s="67"/>
      <c r="P243" s="66"/>
      <c r="Q243" s="65"/>
      <c r="R243" s="68"/>
    </row>
    <row r="244" spans="1:18" ht="27" x14ac:dyDescent="0.4">
      <c r="A244" s="65"/>
      <c r="B244" s="66"/>
      <c r="C244" s="66"/>
      <c r="D244" s="67"/>
      <c r="E244" s="68"/>
      <c r="F244" s="68"/>
      <c r="G244" s="66"/>
      <c r="H244" s="67"/>
      <c r="I244" s="67"/>
      <c r="J244" s="67"/>
      <c r="K244" s="66"/>
      <c r="L244" s="68"/>
      <c r="M244" s="66"/>
      <c r="N244" s="69"/>
      <c r="O244" s="67"/>
      <c r="P244" s="66"/>
      <c r="Q244" s="65"/>
      <c r="R244" s="68"/>
    </row>
    <row r="245" spans="1:18" ht="27" x14ac:dyDescent="0.4">
      <c r="A245" s="65"/>
      <c r="B245" s="66"/>
      <c r="C245" s="66"/>
      <c r="D245" s="67"/>
      <c r="E245" s="68"/>
      <c r="F245" s="68"/>
      <c r="G245" s="66"/>
      <c r="H245" s="67"/>
      <c r="I245" s="67"/>
      <c r="J245" s="67"/>
      <c r="K245" s="66"/>
      <c r="L245" s="68"/>
      <c r="M245" s="66"/>
      <c r="N245" s="69"/>
      <c r="O245" s="67"/>
      <c r="P245" s="66"/>
      <c r="Q245" s="65"/>
      <c r="R245" s="68"/>
    </row>
    <row r="246" spans="1:18" ht="27" x14ac:dyDescent="0.4">
      <c r="A246" s="65"/>
      <c r="B246" s="66"/>
      <c r="C246" s="66"/>
      <c r="D246" s="67"/>
      <c r="E246" s="68"/>
      <c r="F246" s="68"/>
      <c r="G246" s="66"/>
      <c r="H246" s="67"/>
      <c r="I246" s="67"/>
      <c r="J246" s="67"/>
      <c r="K246" s="66"/>
      <c r="L246" s="68"/>
      <c r="M246" s="66"/>
      <c r="N246" s="69"/>
      <c r="O246" s="67"/>
      <c r="P246" s="66"/>
      <c r="Q246" s="65"/>
      <c r="R246" s="68"/>
    </row>
    <row r="247" spans="1:18" ht="27" x14ac:dyDescent="0.4">
      <c r="A247" s="65"/>
      <c r="B247" s="66"/>
      <c r="C247" s="66"/>
      <c r="D247" s="67"/>
      <c r="E247" s="68"/>
      <c r="F247" s="68"/>
      <c r="G247" s="66"/>
      <c r="H247" s="67"/>
      <c r="I247" s="67"/>
      <c r="J247" s="67"/>
      <c r="K247" s="66"/>
      <c r="L247" s="68"/>
      <c r="M247" s="66"/>
      <c r="N247" s="69"/>
      <c r="O247" s="67"/>
      <c r="P247" s="66"/>
      <c r="Q247" s="65"/>
      <c r="R247" s="68"/>
    </row>
    <row r="248" spans="1:18" ht="27" x14ac:dyDescent="0.4">
      <c r="A248" s="65"/>
      <c r="B248" s="66"/>
      <c r="C248" s="66"/>
      <c r="D248" s="67"/>
      <c r="E248" s="68"/>
      <c r="F248" s="68"/>
      <c r="G248" s="66"/>
      <c r="H248" s="67"/>
      <c r="I248" s="67"/>
      <c r="J248" s="67"/>
      <c r="K248" s="66"/>
      <c r="L248" s="68"/>
      <c r="M248" s="66"/>
      <c r="N248" s="69"/>
      <c r="O248" s="67"/>
      <c r="P248" s="66"/>
      <c r="Q248" s="65"/>
      <c r="R248" s="68"/>
    </row>
    <row r="249" spans="1:18" ht="27" x14ac:dyDescent="0.4">
      <c r="A249" s="65"/>
      <c r="B249" s="66"/>
      <c r="C249" s="66"/>
      <c r="D249" s="67"/>
      <c r="E249" s="68"/>
      <c r="F249" s="68"/>
      <c r="G249" s="66"/>
      <c r="H249" s="67"/>
      <c r="I249" s="67"/>
      <c r="J249" s="67"/>
      <c r="K249" s="66"/>
      <c r="L249" s="68"/>
      <c r="M249" s="66"/>
      <c r="N249" s="69"/>
      <c r="O249" s="67"/>
      <c r="P249" s="66"/>
      <c r="Q249" s="65"/>
      <c r="R249" s="68"/>
    </row>
    <row r="250" spans="1:18" ht="27" x14ac:dyDescent="0.4">
      <c r="A250" s="65"/>
      <c r="B250" s="66"/>
      <c r="C250" s="66"/>
      <c r="D250" s="67"/>
      <c r="E250" s="68"/>
      <c r="F250" s="68"/>
      <c r="G250" s="66"/>
      <c r="H250" s="67"/>
      <c r="I250" s="67"/>
      <c r="J250" s="67"/>
      <c r="K250" s="66"/>
      <c r="L250" s="68"/>
      <c r="M250" s="66"/>
      <c r="N250" s="69"/>
      <c r="O250" s="67"/>
      <c r="P250" s="66"/>
      <c r="Q250" s="65"/>
      <c r="R250" s="68"/>
    </row>
    <row r="251" spans="1:18" ht="27" x14ac:dyDescent="0.4">
      <c r="A251" s="65"/>
      <c r="B251" s="66"/>
      <c r="C251" s="66"/>
      <c r="D251" s="67"/>
      <c r="E251" s="68"/>
      <c r="F251" s="68"/>
      <c r="G251" s="66"/>
      <c r="H251" s="67"/>
      <c r="I251" s="67"/>
      <c r="J251" s="67"/>
      <c r="K251" s="66"/>
      <c r="L251" s="68"/>
      <c r="M251" s="66"/>
      <c r="N251" s="69"/>
      <c r="O251" s="67"/>
      <c r="P251" s="66"/>
      <c r="Q251" s="65"/>
      <c r="R251" s="68"/>
    </row>
    <row r="252" spans="1:18" ht="27" x14ac:dyDescent="0.4">
      <c r="A252" s="65"/>
      <c r="B252" s="66"/>
      <c r="C252" s="66"/>
      <c r="D252" s="67"/>
      <c r="E252" s="68"/>
      <c r="F252" s="68"/>
      <c r="G252" s="66"/>
      <c r="H252" s="67"/>
      <c r="I252" s="67"/>
      <c r="J252" s="67"/>
      <c r="K252" s="66"/>
      <c r="L252" s="68"/>
      <c r="M252" s="66"/>
      <c r="N252" s="69"/>
      <c r="O252" s="67"/>
      <c r="P252" s="66"/>
      <c r="Q252" s="65"/>
      <c r="R252" s="68"/>
    </row>
    <row r="253" spans="1:18" ht="27" x14ac:dyDescent="0.4">
      <c r="A253" s="65"/>
      <c r="B253" s="66"/>
      <c r="C253" s="66"/>
      <c r="D253" s="67"/>
      <c r="E253" s="68"/>
      <c r="F253" s="68"/>
      <c r="G253" s="66"/>
      <c r="H253" s="67"/>
      <c r="I253" s="67"/>
      <c r="J253" s="67"/>
      <c r="K253" s="66"/>
      <c r="L253" s="68"/>
      <c r="M253" s="66"/>
      <c r="N253" s="69"/>
      <c r="O253" s="67"/>
      <c r="P253" s="66"/>
      <c r="Q253" s="65"/>
      <c r="R253" s="70"/>
    </row>
    <row r="254" spans="1:18" ht="27" x14ac:dyDescent="0.4">
      <c r="A254" s="65"/>
      <c r="B254" s="66"/>
      <c r="C254" s="66"/>
      <c r="D254" s="67"/>
      <c r="E254" s="68"/>
      <c r="F254" s="68"/>
      <c r="G254" s="66"/>
      <c r="H254" s="67"/>
      <c r="I254" s="67"/>
      <c r="J254" s="67"/>
      <c r="K254" s="66"/>
      <c r="L254" s="68"/>
      <c r="M254" s="66"/>
      <c r="N254" s="69"/>
      <c r="O254" s="67"/>
      <c r="P254" s="66"/>
      <c r="Q254" s="65"/>
      <c r="R254" s="68"/>
    </row>
    <row r="255" spans="1:18" ht="27" x14ac:dyDescent="0.4">
      <c r="A255" s="65"/>
      <c r="B255" s="66"/>
      <c r="C255" s="66"/>
      <c r="D255" s="67"/>
      <c r="E255" s="68"/>
      <c r="F255" s="68"/>
      <c r="G255" s="66"/>
      <c r="H255" s="67"/>
      <c r="I255" s="67"/>
      <c r="J255" s="67"/>
      <c r="K255" s="66"/>
      <c r="L255" s="68"/>
      <c r="M255" s="66"/>
      <c r="N255" s="69"/>
      <c r="O255" s="67"/>
      <c r="P255" s="66"/>
      <c r="Q255" s="65"/>
      <c r="R255" s="68"/>
    </row>
    <row r="256" spans="1:18" ht="27" x14ac:dyDescent="0.4">
      <c r="A256" s="65"/>
      <c r="B256" s="66"/>
      <c r="C256" s="66"/>
      <c r="D256" s="67"/>
      <c r="E256" s="68"/>
      <c r="F256" s="68"/>
      <c r="G256" s="66"/>
      <c r="H256" s="67"/>
      <c r="I256" s="67"/>
      <c r="J256" s="67"/>
      <c r="K256" s="66"/>
      <c r="L256" s="68"/>
      <c r="M256" s="66"/>
      <c r="N256" s="69"/>
      <c r="O256" s="67"/>
      <c r="P256" s="66"/>
      <c r="Q256" s="65"/>
      <c r="R256" s="68"/>
    </row>
    <row r="257" spans="1:18" ht="27" x14ac:dyDescent="0.4">
      <c r="A257" s="65"/>
      <c r="B257" s="66"/>
      <c r="C257" s="66"/>
      <c r="D257" s="67"/>
      <c r="E257" s="68"/>
      <c r="F257" s="68"/>
      <c r="G257" s="66"/>
      <c r="H257" s="67"/>
      <c r="I257" s="67"/>
      <c r="J257" s="67"/>
      <c r="K257" s="66"/>
      <c r="L257" s="68"/>
      <c r="M257" s="66"/>
      <c r="N257" s="69"/>
      <c r="O257" s="67"/>
      <c r="P257" s="66"/>
      <c r="Q257" s="65"/>
      <c r="R257" s="68"/>
    </row>
    <row r="258" spans="1:18" ht="27" x14ac:dyDescent="0.4">
      <c r="A258" s="65"/>
      <c r="B258" s="66"/>
      <c r="C258" s="66"/>
      <c r="D258" s="67"/>
      <c r="E258" s="68"/>
      <c r="F258" s="68"/>
      <c r="G258" s="66"/>
      <c r="H258" s="67"/>
      <c r="I258" s="67"/>
      <c r="J258" s="67"/>
      <c r="K258" s="66"/>
      <c r="L258" s="68"/>
      <c r="M258" s="66"/>
      <c r="N258" s="69"/>
      <c r="O258" s="67"/>
      <c r="P258" s="66"/>
      <c r="Q258" s="65"/>
      <c r="R258" s="68"/>
    </row>
    <row r="259" spans="1:18" ht="27" x14ac:dyDescent="0.4">
      <c r="A259" s="65"/>
      <c r="B259" s="66"/>
      <c r="C259" s="66"/>
      <c r="D259" s="67"/>
      <c r="E259" s="68"/>
      <c r="F259" s="68"/>
      <c r="G259" s="66"/>
      <c r="H259" s="67"/>
      <c r="I259" s="67"/>
      <c r="J259" s="67"/>
      <c r="K259" s="66"/>
      <c r="L259" s="68"/>
      <c r="M259" s="66"/>
      <c r="N259" s="69"/>
      <c r="O259" s="67"/>
      <c r="P259" s="66"/>
      <c r="Q259" s="65"/>
      <c r="R259" s="68"/>
    </row>
    <row r="260" spans="1:18" ht="27" x14ac:dyDescent="0.4">
      <c r="A260" s="65"/>
      <c r="B260" s="66"/>
      <c r="C260" s="66"/>
      <c r="D260" s="67"/>
      <c r="E260" s="68"/>
      <c r="F260" s="68"/>
      <c r="G260" s="66"/>
      <c r="H260" s="67"/>
      <c r="I260" s="67"/>
      <c r="J260" s="67"/>
      <c r="K260" s="66"/>
      <c r="L260" s="68"/>
      <c r="M260" s="66"/>
      <c r="N260" s="69"/>
      <c r="O260" s="67"/>
      <c r="P260" s="66"/>
      <c r="Q260" s="65"/>
      <c r="R260" s="68"/>
    </row>
    <row r="261" spans="1:18" ht="27" x14ac:dyDescent="0.4">
      <c r="A261" s="65"/>
      <c r="B261" s="66"/>
      <c r="C261" s="66"/>
      <c r="D261" s="67"/>
      <c r="E261" s="68"/>
      <c r="F261" s="68"/>
      <c r="G261" s="66"/>
      <c r="H261" s="67"/>
      <c r="I261" s="67"/>
      <c r="J261" s="67"/>
      <c r="K261" s="66"/>
      <c r="L261" s="68"/>
      <c r="M261" s="66"/>
      <c r="N261" s="69"/>
      <c r="O261" s="67"/>
      <c r="P261" s="66"/>
      <c r="Q261" s="65"/>
      <c r="R261" s="68"/>
    </row>
    <row r="262" spans="1:18" ht="27" x14ac:dyDescent="0.4">
      <c r="A262" s="65"/>
      <c r="B262" s="66"/>
      <c r="C262" s="66"/>
      <c r="D262" s="67"/>
      <c r="E262" s="68"/>
      <c r="F262" s="68"/>
      <c r="G262" s="66"/>
      <c r="H262" s="67"/>
      <c r="I262" s="67"/>
      <c r="J262" s="67"/>
      <c r="K262" s="66"/>
      <c r="L262" s="68"/>
      <c r="M262" s="66"/>
      <c r="N262" s="69"/>
      <c r="O262" s="67"/>
      <c r="P262" s="66"/>
      <c r="Q262" s="65"/>
      <c r="R262" s="68"/>
    </row>
    <row r="263" spans="1:18" ht="27" x14ac:dyDescent="0.4">
      <c r="A263" s="65"/>
      <c r="B263" s="66"/>
      <c r="C263" s="66"/>
      <c r="D263" s="67"/>
      <c r="E263" s="68"/>
      <c r="F263" s="68"/>
      <c r="G263" s="66"/>
      <c r="H263" s="67"/>
      <c r="I263" s="67"/>
      <c r="J263" s="67"/>
      <c r="K263" s="66"/>
      <c r="L263" s="68"/>
      <c r="M263" s="66"/>
      <c r="N263" s="69"/>
      <c r="O263" s="67"/>
      <c r="P263" s="66"/>
      <c r="Q263" s="65"/>
      <c r="R263" s="70"/>
    </row>
    <row r="264" spans="1:18" ht="27" x14ac:dyDescent="0.4">
      <c r="A264" s="65"/>
      <c r="B264" s="66"/>
      <c r="C264" s="66"/>
      <c r="D264" s="67"/>
      <c r="E264" s="68"/>
      <c r="F264" s="68"/>
      <c r="G264" s="66"/>
      <c r="H264" s="67"/>
      <c r="I264" s="67"/>
      <c r="J264" s="67"/>
      <c r="K264" s="66"/>
      <c r="L264" s="68"/>
      <c r="M264" s="66"/>
      <c r="N264" s="69"/>
      <c r="O264" s="67"/>
      <c r="P264" s="66"/>
      <c r="Q264" s="65"/>
      <c r="R264" s="70"/>
    </row>
    <row r="265" spans="1:18" ht="27" x14ac:dyDescent="0.4">
      <c r="A265" s="65"/>
      <c r="B265" s="66"/>
      <c r="C265" s="121"/>
      <c r="D265" s="67"/>
      <c r="E265" s="68"/>
      <c r="F265" s="68"/>
      <c r="G265" s="66"/>
      <c r="H265" s="67"/>
      <c r="I265" s="67"/>
      <c r="J265" s="67"/>
      <c r="K265" s="66"/>
      <c r="L265" s="68"/>
      <c r="M265" s="66"/>
      <c r="N265" s="69"/>
      <c r="O265" s="67"/>
      <c r="P265" s="66"/>
      <c r="Q265" s="65"/>
      <c r="R265" s="70"/>
    </row>
    <row r="266" spans="1:18" ht="27" x14ac:dyDescent="0.4">
      <c r="A266" s="65"/>
      <c r="B266" s="66"/>
      <c r="C266" s="66"/>
      <c r="D266" s="67"/>
      <c r="E266" s="68"/>
      <c r="F266" s="68"/>
      <c r="G266" s="66"/>
      <c r="H266" s="67"/>
      <c r="I266" s="67"/>
      <c r="J266" s="67"/>
      <c r="K266" s="66"/>
      <c r="L266" s="68"/>
      <c r="M266" s="66"/>
      <c r="N266" s="69"/>
      <c r="O266" s="67"/>
      <c r="P266" s="66"/>
      <c r="Q266" s="65"/>
      <c r="R266" s="70"/>
    </row>
    <row r="267" spans="1:18" ht="27" x14ac:dyDescent="0.4">
      <c r="A267" s="65"/>
      <c r="B267" s="66"/>
      <c r="C267" s="66"/>
      <c r="D267" s="67"/>
      <c r="E267" s="68"/>
      <c r="F267" s="68"/>
      <c r="G267" s="66"/>
      <c r="H267" s="67"/>
      <c r="I267" s="67"/>
      <c r="J267" s="67"/>
      <c r="K267" s="66"/>
      <c r="L267" s="68"/>
      <c r="M267" s="66"/>
      <c r="N267" s="69"/>
      <c r="O267" s="67"/>
      <c r="P267" s="66"/>
      <c r="Q267" s="65"/>
      <c r="R267" s="70"/>
    </row>
    <row r="268" spans="1:18" ht="27" x14ac:dyDescent="0.4">
      <c r="A268" s="65"/>
      <c r="B268" s="66"/>
      <c r="C268" s="66"/>
      <c r="D268" s="67"/>
      <c r="E268" s="68"/>
      <c r="F268" s="68"/>
      <c r="G268" s="66"/>
      <c r="H268" s="67"/>
      <c r="I268" s="67"/>
      <c r="J268" s="67"/>
      <c r="K268" s="66"/>
      <c r="L268" s="68"/>
      <c r="M268" s="66"/>
      <c r="N268" s="69"/>
      <c r="O268" s="67"/>
      <c r="P268" s="66"/>
      <c r="Q268" s="65"/>
      <c r="R268" s="70"/>
    </row>
    <row r="269" spans="1:18" ht="27" x14ac:dyDescent="0.4">
      <c r="A269" s="65"/>
      <c r="B269" s="66"/>
      <c r="C269" s="66"/>
      <c r="D269" s="67"/>
      <c r="E269" s="68"/>
      <c r="F269" s="68"/>
      <c r="G269" s="66"/>
      <c r="H269" s="67"/>
      <c r="I269" s="67"/>
      <c r="J269" s="67"/>
      <c r="K269" s="66"/>
      <c r="L269" s="68"/>
      <c r="M269" s="66"/>
      <c r="N269" s="69"/>
      <c r="O269" s="67"/>
      <c r="P269" s="66"/>
      <c r="Q269" s="65"/>
      <c r="R269" s="70"/>
    </row>
    <row r="270" spans="1:18" ht="27" x14ac:dyDescent="0.4">
      <c r="A270" s="65"/>
      <c r="B270" s="66"/>
      <c r="C270" s="66"/>
      <c r="D270" s="67"/>
      <c r="E270" s="68"/>
      <c r="F270" s="68"/>
      <c r="G270" s="66"/>
      <c r="H270" s="67"/>
      <c r="I270" s="67"/>
      <c r="J270" s="67"/>
      <c r="K270" s="66"/>
      <c r="L270" s="68"/>
      <c r="M270" s="66"/>
      <c r="N270" s="69"/>
      <c r="O270" s="67"/>
      <c r="P270" s="66"/>
      <c r="Q270" s="65"/>
      <c r="R270" s="68"/>
    </row>
    <row r="271" spans="1:18" ht="27" x14ac:dyDescent="0.4">
      <c r="A271" s="65"/>
      <c r="B271" s="66"/>
      <c r="C271" s="66"/>
      <c r="D271" s="67"/>
      <c r="E271" s="68"/>
      <c r="F271" s="68"/>
      <c r="G271" s="66"/>
      <c r="H271" s="67"/>
      <c r="I271" s="67"/>
      <c r="J271" s="67"/>
      <c r="K271" s="66"/>
      <c r="L271" s="68"/>
      <c r="M271" s="66"/>
      <c r="N271" s="69"/>
      <c r="O271" s="67"/>
      <c r="P271" s="66"/>
      <c r="Q271" s="65"/>
      <c r="R271" s="68"/>
    </row>
    <row r="272" spans="1:18" ht="27" x14ac:dyDescent="0.4">
      <c r="A272" s="65"/>
      <c r="B272" s="66"/>
      <c r="C272" s="66"/>
      <c r="D272" s="67"/>
      <c r="E272" s="68"/>
      <c r="F272" s="68"/>
      <c r="G272" s="66"/>
      <c r="H272" s="67"/>
      <c r="I272" s="67"/>
      <c r="J272" s="67"/>
      <c r="K272" s="66"/>
      <c r="L272" s="68"/>
      <c r="M272" s="66"/>
      <c r="N272" s="69"/>
      <c r="O272" s="67"/>
      <c r="P272" s="66"/>
      <c r="Q272" s="65"/>
      <c r="R272" s="68"/>
    </row>
    <row r="273" spans="1:18" ht="27" x14ac:dyDescent="0.4">
      <c r="A273" s="65"/>
      <c r="B273" s="66"/>
      <c r="C273" s="66"/>
      <c r="D273" s="67"/>
      <c r="E273" s="68"/>
      <c r="F273" s="68"/>
      <c r="G273" s="66"/>
      <c r="H273" s="67"/>
      <c r="I273" s="67"/>
      <c r="J273" s="67"/>
      <c r="K273" s="66"/>
      <c r="L273" s="68"/>
      <c r="M273" s="66"/>
      <c r="N273" s="69"/>
      <c r="O273" s="67"/>
      <c r="P273" s="66"/>
      <c r="Q273" s="65"/>
      <c r="R273" s="68"/>
    </row>
    <row r="274" spans="1:18" ht="27" x14ac:dyDescent="0.4">
      <c r="A274" s="65"/>
      <c r="B274" s="66"/>
      <c r="C274" s="66"/>
      <c r="D274" s="67"/>
      <c r="E274" s="68"/>
      <c r="F274" s="68"/>
      <c r="G274" s="66"/>
      <c r="H274" s="67"/>
      <c r="I274" s="67"/>
      <c r="J274" s="67"/>
      <c r="K274" s="66"/>
      <c r="L274" s="68"/>
      <c r="M274" s="66"/>
      <c r="N274" s="69"/>
      <c r="O274" s="67"/>
      <c r="P274" s="66"/>
      <c r="Q274" s="65"/>
      <c r="R274" s="68"/>
    </row>
    <row r="275" spans="1:18" ht="27" x14ac:dyDescent="0.4">
      <c r="A275" s="65"/>
      <c r="B275" s="66"/>
      <c r="C275" s="66"/>
      <c r="D275" s="67"/>
      <c r="E275" s="68"/>
      <c r="F275" s="68"/>
      <c r="G275" s="66"/>
      <c r="H275" s="67"/>
      <c r="I275" s="67"/>
      <c r="J275" s="67"/>
      <c r="K275" s="66"/>
      <c r="L275" s="68"/>
      <c r="M275" s="66"/>
      <c r="N275" s="69"/>
      <c r="O275" s="67"/>
      <c r="P275" s="66"/>
      <c r="Q275" s="65"/>
      <c r="R275" s="68"/>
    </row>
    <row r="276" spans="1:18" ht="27" x14ac:dyDescent="0.4">
      <c r="A276" s="65"/>
      <c r="B276" s="66"/>
      <c r="C276" s="66"/>
      <c r="D276" s="67"/>
      <c r="E276" s="68"/>
      <c r="F276" s="68"/>
      <c r="G276" s="66"/>
      <c r="H276" s="67"/>
      <c r="I276" s="67"/>
      <c r="J276" s="67"/>
      <c r="K276" s="66"/>
      <c r="L276" s="68"/>
      <c r="M276" s="66"/>
      <c r="N276" s="69"/>
      <c r="O276" s="67"/>
      <c r="P276" s="66"/>
      <c r="Q276" s="65"/>
      <c r="R276" s="68"/>
    </row>
    <row r="277" spans="1:18" ht="27" x14ac:dyDescent="0.4">
      <c r="A277" s="65"/>
      <c r="B277" s="66"/>
      <c r="C277" s="66"/>
      <c r="D277" s="67"/>
      <c r="E277" s="68"/>
      <c r="F277" s="68"/>
      <c r="G277" s="66"/>
      <c r="H277" s="67"/>
      <c r="I277" s="67"/>
      <c r="J277" s="67"/>
      <c r="K277" s="66"/>
      <c r="L277" s="68"/>
      <c r="M277" s="66"/>
      <c r="N277" s="69"/>
      <c r="O277" s="67"/>
      <c r="P277" s="66"/>
      <c r="Q277" s="65"/>
      <c r="R277" s="68"/>
    </row>
    <row r="278" spans="1:18" ht="27" x14ac:dyDescent="0.4">
      <c r="A278" s="65"/>
      <c r="B278" s="66"/>
      <c r="C278" s="66"/>
      <c r="D278" s="67"/>
      <c r="E278" s="68"/>
      <c r="F278" s="68"/>
      <c r="G278" s="66"/>
      <c r="H278" s="67"/>
      <c r="I278" s="67"/>
      <c r="J278" s="67"/>
      <c r="K278" s="66"/>
      <c r="L278" s="68"/>
      <c r="M278" s="66"/>
      <c r="N278" s="69"/>
      <c r="O278" s="67"/>
      <c r="P278" s="66"/>
      <c r="Q278" s="65"/>
      <c r="R278" s="68"/>
    </row>
    <row r="279" spans="1:18" ht="27" x14ac:dyDescent="0.4">
      <c r="A279" s="65"/>
      <c r="B279" s="66"/>
      <c r="C279" s="66"/>
      <c r="D279" s="67"/>
      <c r="E279" s="68"/>
      <c r="F279" s="68"/>
      <c r="G279" s="66"/>
      <c r="H279" s="67"/>
      <c r="I279" s="67"/>
      <c r="J279" s="67"/>
      <c r="K279" s="66"/>
      <c r="L279" s="68"/>
      <c r="M279" s="66"/>
      <c r="N279" s="69"/>
      <c r="O279" s="67"/>
      <c r="P279" s="66"/>
      <c r="Q279" s="65"/>
      <c r="R279" s="68"/>
    </row>
    <row r="280" spans="1:18" ht="27" x14ac:dyDescent="0.4">
      <c r="A280" s="65"/>
      <c r="B280" s="66"/>
      <c r="C280" s="66"/>
      <c r="D280" s="67"/>
      <c r="E280" s="68"/>
      <c r="F280" s="68"/>
      <c r="G280" s="66"/>
      <c r="H280" s="67"/>
      <c r="I280" s="67"/>
      <c r="J280" s="67"/>
      <c r="K280" s="66"/>
      <c r="L280" s="68"/>
      <c r="M280" s="66"/>
      <c r="N280" s="69"/>
      <c r="O280" s="67"/>
      <c r="P280" s="66"/>
      <c r="Q280" s="65"/>
      <c r="R280" s="68"/>
    </row>
    <row r="281" spans="1:18" ht="27" x14ac:dyDescent="0.4">
      <c r="A281" s="65"/>
      <c r="B281" s="66"/>
      <c r="C281" s="66"/>
      <c r="D281" s="67"/>
      <c r="E281" s="68"/>
      <c r="F281" s="68"/>
      <c r="G281" s="66"/>
      <c r="H281" s="67"/>
      <c r="I281" s="67"/>
      <c r="J281" s="67"/>
      <c r="K281" s="66"/>
      <c r="L281" s="68"/>
      <c r="M281" s="66"/>
      <c r="N281" s="69"/>
      <c r="O281" s="67"/>
      <c r="P281" s="66"/>
      <c r="Q281" s="65"/>
      <c r="R281" s="68"/>
    </row>
    <row r="282" spans="1:18" ht="27" x14ac:dyDescent="0.4">
      <c r="A282" s="65"/>
      <c r="B282" s="66"/>
      <c r="C282" s="66"/>
      <c r="D282" s="67"/>
      <c r="E282" s="68"/>
      <c r="F282" s="68"/>
      <c r="G282" s="66"/>
      <c r="H282" s="67"/>
      <c r="I282" s="67"/>
      <c r="J282" s="67"/>
      <c r="K282" s="66"/>
      <c r="L282" s="68"/>
      <c r="M282" s="66"/>
      <c r="N282" s="69"/>
      <c r="O282" s="67"/>
      <c r="P282" s="66"/>
      <c r="Q282" s="65"/>
      <c r="R282" s="68"/>
    </row>
    <row r="283" spans="1:18" ht="27" x14ac:dyDescent="0.4">
      <c r="A283" s="65"/>
      <c r="B283" s="66"/>
      <c r="C283" s="66"/>
      <c r="D283" s="67"/>
      <c r="E283" s="68"/>
      <c r="F283" s="68"/>
      <c r="G283" s="66"/>
      <c r="H283" s="67"/>
      <c r="I283" s="67"/>
      <c r="J283" s="67"/>
      <c r="K283" s="66"/>
      <c r="L283" s="68"/>
      <c r="M283" s="66"/>
      <c r="N283" s="69"/>
      <c r="O283" s="67"/>
      <c r="P283" s="66"/>
      <c r="Q283" s="65"/>
      <c r="R283" s="68"/>
    </row>
    <row r="284" spans="1:18" ht="27" x14ac:dyDescent="0.4">
      <c r="A284" s="65"/>
      <c r="B284" s="66"/>
      <c r="C284" s="66"/>
      <c r="D284" s="67"/>
      <c r="E284" s="68"/>
      <c r="F284" s="68"/>
      <c r="G284" s="66"/>
      <c r="H284" s="67"/>
      <c r="I284" s="67"/>
      <c r="J284" s="67"/>
      <c r="K284" s="66"/>
      <c r="L284" s="68"/>
      <c r="M284" s="66"/>
      <c r="N284" s="69"/>
      <c r="O284" s="67"/>
      <c r="P284" s="66"/>
      <c r="Q284" s="65"/>
      <c r="R284" s="68"/>
    </row>
    <row r="285" spans="1:18" ht="27" x14ac:dyDescent="0.4">
      <c r="A285" s="65"/>
      <c r="B285" s="66"/>
      <c r="C285" s="66"/>
      <c r="D285" s="67"/>
      <c r="E285" s="68"/>
      <c r="F285" s="68"/>
      <c r="G285" s="66"/>
      <c r="H285" s="67"/>
      <c r="I285" s="67"/>
      <c r="J285" s="67"/>
      <c r="K285" s="66"/>
      <c r="L285" s="68"/>
      <c r="M285" s="66"/>
      <c r="N285" s="69"/>
      <c r="O285" s="67"/>
      <c r="P285" s="66"/>
      <c r="Q285" s="65"/>
      <c r="R285" s="68"/>
    </row>
    <row r="286" spans="1:18" ht="27" x14ac:dyDescent="0.4">
      <c r="A286" s="65"/>
      <c r="B286" s="66"/>
      <c r="C286" s="66"/>
      <c r="D286" s="67"/>
      <c r="E286" s="68"/>
      <c r="F286" s="68"/>
      <c r="G286" s="66"/>
      <c r="H286" s="67"/>
      <c r="I286" s="67"/>
      <c r="J286" s="67"/>
      <c r="K286" s="66"/>
      <c r="L286" s="68"/>
      <c r="M286" s="66"/>
      <c r="N286" s="69"/>
      <c r="O286" s="67"/>
      <c r="P286" s="66"/>
      <c r="Q286" s="65"/>
      <c r="R286" s="68"/>
    </row>
    <row r="287" spans="1:18" ht="27" x14ac:dyDescent="0.4">
      <c r="A287" s="65"/>
      <c r="B287" s="66"/>
      <c r="C287" s="66"/>
      <c r="D287" s="67"/>
      <c r="E287" s="68"/>
      <c r="F287" s="68"/>
      <c r="G287" s="66"/>
      <c r="H287" s="67"/>
      <c r="I287" s="67"/>
      <c r="J287" s="67"/>
      <c r="K287" s="66"/>
      <c r="L287" s="68"/>
      <c r="M287" s="66"/>
      <c r="N287" s="69"/>
      <c r="O287" s="67"/>
      <c r="P287" s="66"/>
      <c r="Q287" s="65"/>
      <c r="R287" s="68"/>
    </row>
    <row r="288" spans="1:18" ht="27" x14ac:dyDescent="0.4">
      <c r="A288" s="65"/>
      <c r="B288" s="66"/>
      <c r="C288" s="66"/>
      <c r="D288" s="67"/>
      <c r="E288" s="68"/>
      <c r="F288" s="68"/>
      <c r="G288" s="66"/>
      <c r="H288" s="67"/>
      <c r="I288" s="67"/>
      <c r="J288" s="67"/>
      <c r="K288" s="66"/>
      <c r="L288" s="68"/>
      <c r="M288" s="66"/>
      <c r="N288" s="69"/>
      <c r="O288" s="67"/>
      <c r="P288" s="66"/>
      <c r="Q288" s="65"/>
      <c r="R288" s="68"/>
    </row>
    <row r="289" spans="1:18" ht="27" x14ac:dyDescent="0.4">
      <c r="A289" s="65"/>
      <c r="B289" s="66"/>
      <c r="C289" s="65"/>
      <c r="D289" s="67"/>
      <c r="E289" s="68"/>
      <c r="F289" s="68"/>
      <c r="G289" s="66"/>
      <c r="H289" s="67"/>
      <c r="I289" s="67"/>
      <c r="J289" s="67"/>
      <c r="K289" s="66"/>
      <c r="L289" s="68"/>
      <c r="M289" s="66"/>
      <c r="N289" s="69"/>
      <c r="O289" s="67"/>
      <c r="P289" s="66"/>
      <c r="Q289" s="65"/>
      <c r="R289" s="68"/>
    </row>
    <row r="290" spans="1:18" ht="27" x14ac:dyDescent="0.4">
      <c r="A290" s="65"/>
      <c r="B290" s="66"/>
      <c r="C290" s="66"/>
      <c r="D290" s="67"/>
      <c r="E290" s="68"/>
      <c r="F290" s="68"/>
      <c r="G290" s="66"/>
      <c r="H290" s="67"/>
      <c r="I290" s="67"/>
      <c r="J290" s="67"/>
      <c r="K290" s="66"/>
      <c r="L290" s="68"/>
      <c r="M290" s="66"/>
      <c r="N290" s="69"/>
      <c r="O290" s="67"/>
      <c r="P290" s="66"/>
      <c r="Q290" s="65"/>
      <c r="R290" s="68"/>
    </row>
    <row r="291" spans="1:18" ht="27" x14ac:dyDescent="0.4">
      <c r="A291" s="65"/>
      <c r="B291" s="66"/>
      <c r="C291" s="66"/>
      <c r="D291" s="67"/>
      <c r="E291" s="68"/>
      <c r="F291" s="68"/>
      <c r="G291" s="66"/>
      <c r="H291" s="67"/>
      <c r="I291" s="67"/>
      <c r="J291" s="67"/>
      <c r="K291" s="66"/>
      <c r="L291" s="68"/>
      <c r="M291" s="66"/>
      <c r="N291" s="69"/>
      <c r="O291" s="67"/>
      <c r="P291" s="66"/>
      <c r="Q291" s="65"/>
      <c r="R291" s="68"/>
    </row>
    <row r="292" spans="1:18" ht="27" x14ac:dyDescent="0.4">
      <c r="A292" s="65"/>
      <c r="B292" s="66"/>
      <c r="C292" s="66"/>
      <c r="D292" s="67"/>
      <c r="E292" s="68"/>
      <c r="F292" s="68"/>
      <c r="G292" s="66"/>
      <c r="H292" s="67"/>
      <c r="I292" s="67"/>
      <c r="J292" s="67"/>
      <c r="K292" s="66"/>
      <c r="L292" s="68"/>
      <c r="M292" s="66"/>
      <c r="N292" s="69"/>
      <c r="O292" s="67"/>
      <c r="P292" s="66"/>
      <c r="Q292" s="65"/>
      <c r="R292" s="68"/>
    </row>
    <row r="293" spans="1:18" ht="27" x14ac:dyDescent="0.4">
      <c r="A293" s="65"/>
      <c r="B293" s="66"/>
      <c r="C293" s="66"/>
      <c r="D293" s="67"/>
      <c r="E293" s="68"/>
      <c r="F293" s="68"/>
      <c r="G293" s="66"/>
      <c r="H293" s="67"/>
      <c r="I293" s="67"/>
      <c r="J293" s="67"/>
      <c r="K293" s="66"/>
      <c r="L293" s="68"/>
      <c r="M293" s="66"/>
      <c r="N293" s="69"/>
      <c r="O293" s="67"/>
      <c r="P293" s="66"/>
      <c r="Q293" s="65"/>
      <c r="R293" s="68"/>
    </row>
    <row r="294" spans="1:18" ht="27" x14ac:dyDescent="0.4">
      <c r="A294" s="65"/>
      <c r="B294" s="66"/>
      <c r="C294" s="66"/>
      <c r="D294" s="67"/>
      <c r="E294" s="68"/>
      <c r="F294" s="68"/>
      <c r="G294" s="66"/>
      <c r="H294" s="67"/>
      <c r="I294" s="67"/>
      <c r="J294" s="67"/>
      <c r="K294" s="66"/>
      <c r="L294" s="68"/>
      <c r="M294" s="66"/>
      <c r="N294" s="69"/>
      <c r="O294" s="67"/>
      <c r="P294" s="66"/>
      <c r="Q294" s="65"/>
      <c r="R294" s="68"/>
    </row>
    <row r="295" spans="1:18" ht="27" x14ac:dyDescent="0.4">
      <c r="A295" s="65"/>
      <c r="B295" s="66"/>
      <c r="C295" s="66"/>
      <c r="D295" s="67"/>
      <c r="E295" s="68"/>
      <c r="F295" s="68"/>
      <c r="G295" s="66"/>
      <c r="H295" s="67"/>
      <c r="I295" s="67"/>
      <c r="J295" s="67"/>
      <c r="K295" s="66"/>
      <c r="L295" s="68"/>
      <c r="M295" s="66"/>
      <c r="N295" s="69"/>
      <c r="O295" s="67"/>
      <c r="P295" s="66"/>
      <c r="Q295" s="65"/>
      <c r="R295" s="68"/>
    </row>
    <row r="296" spans="1:18" ht="27" x14ac:dyDescent="0.4">
      <c r="A296" s="65"/>
      <c r="B296" s="66"/>
      <c r="C296" s="66"/>
      <c r="D296" s="67"/>
      <c r="E296" s="68"/>
      <c r="F296" s="68"/>
      <c r="G296" s="66"/>
      <c r="H296" s="67"/>
      <c r="I296" s="67"/>
      <c r="J296" s="67"/>
      <c r="K296" s="66"/>
      <c r="L296" s="68"/>
      <c r="M296" s="66"/>
      <c r="N296" s="69"/>
      <c r="O296" s="67"/>
      <c r="P296" s="66"/>
      <c r="Q296" s="65"/>
      <c r="R296" s="68"/>
    </row>
    <row r="297" spans="1:18" ht="27" x14ac:dyDescent="0.4">
      <c r="A297" s="65"/>
      <c r="B297" s="66"/>
      <c r="C297" s="66"/>
      <c r="D297" s="67"/>
      <c r="E297" s="68"/>
      <c r="F297" s="68"/>
      <c r="G297" s="66"/>
      <c r="H297" s="67"/>
      <c r="I297" s="67"/>
      <c r="J297" s="67"/>
      <c r="K297" s="66"/>
      <c r="L297" s="68"/>
      <c r="M297" s="66"/>
      <c r="N297" s="69"/>
      <c r="O297" s="67"/>
      <c r="P297" s="66"/>
      <c r="Q297" s="65"/>
      <c r="R297" s="68"/>
    </row>
    <row r="298" spans="1:18" ht="27" x14ac:dyDescent="0.4">
      <c r="A298" s="65"/>
      <c r="B298" s="66"/>
      <c r="C298" s="66"/>
      <c r="D298" s="67"/>
      <c r="E298" s="68"/>
      <c r="F298" s="68"/>
      <c r="G298" s="66"/>
      <c r="H298" s="67"/>
      <c r="I298" s="67"/>
      <c r="J298" s="67"/>
      <c r="K298" s="66"/>
      <c r="L298" s="68"/>
      <c r="M298" s="66"/>
      <c r="N298" s="69"/>
      <c r="O298" s="67"/>
      <c r="P298" s="66"/>
      <c r="Q298" s="65"/>
      <c r="R298" s="68"/>
    </row>
    <row r="299" spans="1:18" ht="27" x14ac:dyDescent="0.4">
      <c r="A299" s="65"/>
      <c r="B299" s="66"/>
      <c r="C299" s="66"/>
      <c r="D299" s="67"/>
      <c r="E299" s="68"/>
      <c r="F299" s="68"/>
      <c r="G299" s="66"/>
      <c r="H299" s="67"/>
      <c r="I299" s="67"/>
      <c r="J299" s="67"/>
      <c r="K299" s="66"/>
      <c r="L299" s="68"/>
      <c r="M299" s="66"/>
      <c r="N299" s="69"/>
      <c r="O299" s="67"/>
      <c r="P299" s="66"/>
      <c r="Q299" s="65"/>
      <c r="R299" s="68"/>
    </row>
    <row r="300" spans="1:18" ht="27" x14ac:dyDescent="0.4">
      <c r="A300" s="65"/>
      <c r="B300" s="66"/>
      <c r="C300" s="66"/>
      <c r="D300" s="67"/>
      <c r="E300" s="68"/>
      <c r="F300" s="68"/>
      <c r="G300" s="66"/>
      <c r="H300" s="67"/>
      <c r="I300" s="67"/>
      <c r="J300" s="67"/>
      <c r="K300" s="66"/>
      <c r="L300" s="68"/>
      <c r="M300" s="66"/>
      <c r="N300" s="69"/>
      <c r="O300" s="67"/>
      <c r="P300" s="66"/>
      <c r="Q300" s="65"/>
      <c r="R300" s="68"/>
    </row>
    <row r="301" spans="1:18" ht="27" x14ac:dyDescent="0.4">
      <c r="A301" s="65"/>
      <c r="B301" s="66"/>
      <c r="C301" s="66"/>
      <c r="D301" s="67"/>
      <c r="E301" s="68"/>
      <c r="F301" s="68"/>
      <c r="G301" s="66"/>
      <c r="H301" s="67"/>
      <c r="I301" s="67"/>
      <c r="J301" s="67"/>
      <c r="K301" s="66"/>
      <c r="L301" s="68"/>
      <c r="M301" s="66"/>
      <c r="N301" s="69"/>
      <c r="O301" s="67"/>
      <c r="P301" s="66"/>
      <c r="Q301" s="65"/>
      <c r="R301" s="68"/>
    </row>
    <row r="302" spans="1:18" ht="27" x14ac:dyDescent="0.4">
      <c r="A302" s="65"/>
      <c r="B302" s="66"/>
      <c r="C302" s="66"/>
      <c r="D302" s="67"/>
      <c r="E302" s="68"/>
      <c r="F302" s="68"/>
      <c r="G302" s="66"/>
      <c r="H302" s="67"/>
      <c r="I302" s="67"/>
      <c r="J302" s="67"/>
      <c r="K302" s="66"/>
      <c r="L302" s="68"/>
      <c r="M302" s="66"/>
      <c r="N302" s="69"/>
      <c r="O302" s="67"/>
      <c r="P302" s="66"/>
      <c r="Q302" s="65"/>
      <c r="R302" s="68"/>
    </row>
    <row r="303" spans="1:18" ht="27" x14ac:dyDescent="0.4">
      <c r="A303" s="65"/>
      <c r="B303" s="66"/>
      <c r="C303" s="66"/>
      <c r="D303" s="67"/>
      <c r="E303" s="68"/>
      <c r="F303" s="68"/>
      <c r="G303" s="66"/>
      <c r="H303" s="67"/>
      <c r="I303" s="67"/>
      <c r="J303" s="67"/>
      <c r="K303" s="66"/>
      <c r="L303" s="68"/>
      <c r="M303" s="66"/>
      <c r="N303" s="69"/>
      <c r="O303" s="67"/>
      <c r="P303" s="66"/>
      <c r="Q303" s="65"/>
      <c r="R303" s="68"/>
    </row>
    <row r="304" spans="1:18" ht="27" x14ac:dyDescent="0.4">
      <c r="A304" s="65"/>
      <c r="B304" s="66"/>
      <c r="C304" s="66"/>
      <c r="D304" s="67"/>
      <c r="E304" s="68"/>
      <c r="F304" s="68"/>
      <c r="G304" s="66"/>
      <c r="H304" s="67"/>
      <c r="I304" s="67"/>
      <c r="J304" s="67"/>
      <c r="K304" s="66"/>
      <c r="L304" s="68"/>
      <c r="M304" s="66"/>
      <c r="N304" s="69"/>
      <c r="O304" s="67"/>
      <c r="P304" s="66"/>
      <c r="Q304" s="65"/>
      <c r="R304" s="68"/>
    </row>
    <row r="305" spans="1:18" ht="27" x14ac:dyDescent="0.4">
      <c r="A305" s="65"/>
      <c r="B305" s="66"/>
      <c r="C305" s="66"/>
      <c r="D305" s="67"/>
      <c r="E305" s="68"/>
      <c r="F305" s="68"/>
      <c r="G305" s="66"/>
      <c r="H305" s="67"/>
      <c r="I305" s="67"/>
      <c r="J305" s="67"/>
      <c r="K305" s="66"/>
      <c r="L305" s="68"/>
      <c r="M305" s="66"/>
      <c r="N305" s="69"/>
      <c r="O305" s="67"/>
      <c r="P305" s="66"/>
      <c r="Q305" s="65"/>
      <c r="R305" s="68"/>
    </row>
    <row r="306" spans="1:18" ht="27" x14ac:dyDescent="0.4">
      <c r="A306" s="65"/>
      <c r="B306" s="66"/>
      <c r="C306" s="66"/>
      <c r="D306" s="67"/>
      <c r="E306" s="68"/>
      <c r="F306" s="68"/>
      <c r="G306" s="66"/>
      <c r="H306" s="67"/>
      <c r="I306" s="67"/>
      <c r="J306" s="67"/>
      <c r="K306" s="66"/>
      <c r="L306" s="68"/>
      <c r="M306" s="66"/>
      <c r="N306" s="69"/>
      <c r="O306" s="67"/>
      <c r="P306" s="66"/>
      <c r="Q306" s="65"/>
      <c r="R306" s="68"/>
    </row>
    <row r="307" spans="1:18" ht="27" x14ac:dyDescent="0.4">
      <c r="A307" s="65"/>
      <c r="B307" s="66"/>
      <c r="C307" s="66"/>
      <c r="D307" s="67"/>
      <c r="E307" s="68"/>
      <c r="F307" s="68"/>
      <c r="G307" s="66"/>
      <c r="H307" s="67"/>
      <c r="I307" s="67"/>
      <c r="J307" s="67"/>
      <c r="K307" s="66"/>
      <c r="L307" s="68"/>
      <c r="M307" s="66"/>
      <c r="N307" s="69"/>
      <c r="O307" s="67"/>
      <c r="P307" s="66"/>
      <c r="Q307" s="65"/>
      <c r="R307" s="68"/>
    </row>
    <row r="308" spans="1:18" ht="27" x14ac:dyDescent="0.4">
      <c r="A308" s="65"/>
      <c r="B308" s="66"/>
      <c r="C308" s="66"/>
      <c r="D308" s="67"/>
      <c r="E308" s="68"/>
      <c r="F308" s="68"/>
      <c r="G308" s="66"/>
      <c r="H308" s="67"/>
      <c r="I308" s="67"/>
      <c r="J308" s="67"/>
      <c r="K308" s="66"/>
      <c r="L308" s="68"/>
      <c r="M308" s="66"/>
      <c r="N308" s="69"/>
      <c r="O308" s="67"/>
      <c r="P308" s="66"/>
      <c r="Q308" s="65"/>
      <c r="R308" s="68"/>
    </row>
    <row r="309" spans="1:18" ht="27" x14ac:dyDescent="0.4">
      <c r="A309" s="65"/>
      <c r="B309" s="66"/>
      <c r="C309" s="66"/>
      <c r="D309" s="67"/>
      <c r="E309" s="68"/>
      <c r="F309" s="68"/>
      <c r="G309" s="66"/>
      <c r="H309" s="67"/>
      <c r="I309" s="67"/>
      <c r="J309" s="67"/>
      <c r="K309" s="66"/>
      <c r="L309" s="68"/>
      <c r="M309" s="66"/>
      <c r="N309" s="69"/>
      <c r="O309" s="67"/>
      <c r="P309" s="66"/>
      <c r="Q309" s="65"/>
      <c r="R309" s="68"/>
    </row>
    <row r="310" spans="1:18" ht="27" x14ac:dyDescent="0.4">
      <c r="A310" s="65"/>
      <c r="B310" s="66"/>
      <c r="C310" s="66"/>
      <c r="D310" s="67"/>
      <c r="E310" s="68"/>
      <c r="F310" s="68"/>
      <c r="G310" s="66"/>
      <c r="H310" s="67"/>
      <c r="I310" s="67"/>
      <c r="J310" s="67"/>
      <c r="K310" s="66"/>
      <c r="L310" s="68"/>
      <c r="M310" s="66"/>
      <c r="N310" s="69"/>
      <c r="O310" s="67"/>
      <c r="P310" s="66"/>
      <c r="Q310" s="65"/>
      <c r="R310" s="68"/>
    </row>
    <row r="311" spans="1:18" ht="27" x14ac:dyDescent="0.4">
      <c r="A311" s="65"/>
      <c r="B311" s="66"/>
      <c r="C311" s="66"/>
      <c r="D311" s="67"/>
      <c r="E311" s="68"/>
      <c r="F311" s="68"/>
      <c r="G311" s="66"/>
      <c r="H311" s="67"/>
      <c r="I311" s="67"/>
      <c r="J311" s="67"/>
      <c r="K311" s="66"/>
      <c r="L311" s="68"/>
      <c r="M311" s="66"/>
      <c r="N311" s="69"/>
      <c r="O311" s="67"/>
      <c r="P311" s="66"/>
      <c r="Q311" s="65"/>
      <c r="R311" s="68"/>
    </row>
    <row r="312" spans="1:18" ht="27" x14ac:dyDescent="0.4">
      <c r="A312" s="65"/>
      <c r="B312" s="66"/>
      <c r="C312" s="66"/>
      <c r="D312" s="67"/>
      <c r="E312" s="68"/>
      <c r="F312" s="68"/>
      <c r="G312" s="66"/>
      <c r="H312" s="67"/>
      <c r="I312" s="67"/>
      <c r="J312" s="67"/>
      <c r="K312" s="66"/>
      <c r="L312" s="68"/>
      <c r="M312" s="66"/>
      <c r="N312" s="69"/>
      <c r="O312" s="67"/>
      <c r="P312" s="66"/>
      <c r="Q312" s="65"/>
      <c r="R312" s="68"/>
    </row>
    <row r="313" spans="1:18" ht="27" x14ac:dyDescent="0.4">
      <c r="A313" s="65"/>
      <c r="B313" s="66"/>
      <c r="C313" s="66"/>
      <c r="D313" s="67"/>
      <c r="E313" s="68"/>
      <c r="F313" s="68"/>
      <c r="G313" s="66"/>
      <c r="H313" s="67"/>
      <c r="I313" s="67"/>
      <c r="J313" s="67"/>
      <c r="K313" s="66"/>
      <c r="L313" s="68"/>
      <c r="M313" s="66"/>
      <c r="N313" s="69"/>
      <c r="O313" s="67"/>
      <c r="P313" s="66"/>
      <c r="Q313" s="65"/>
      <c r="R313" s="68"/>
    </row>
    <row r="314" spans="1:18" ht="27" x14ac:dyDescent="0.4">
      <c r="A314" s="65"/>
      <c r="B314" s="66"/>
      <c r="C314" s="66"/>
      <c r="D314" s="67"/>
      <c r="E314" s="68"/>
      <c r="F314" s="68"/>
      <c r="G314" s="66"/>
      <c r="H314" s="67"/>
      <c r="I314" s="67"/>
      <c r="J314" s="67"/>
      <c r="K314" s="66"/>
      <c r="L314" s="68"/>
      <c r="M314" s="66"/>
      <c r="N314" s="69"/>
      <c r="O314" s="67"/>
      <c r="P314" s="66"/>
      <c r="Q314" s="65"/>
      <c r="R314" s="68"/>
    </row>
    <row r="315" spans="1:18" ht="27" x14ac:dyDescent="0.4">
      <c r="A315" s="65"/>
      <c r="B315" s="66"/>
      <c r="C315" s="66"/>
      <c r="D315" s="67"/>
      <c r="E315" s="68"/>
      <c r="F315" s="68"/>
      <c r="G315" s="66"/>
      <c r="H315" s="67"/>
      <c r="I315" s="67"/>
      <c r="J315" s="67"/>
      <c r="K315" s="66"/>
      <c r="L315" s="68"/>
      <c r="M315" s="66"/>
      <c r="N315" s="69"/>
      <c r="O315" s="67"/>
      <c r="P315" s="66"/>
      <c r="Q315" s="65"/>
      <c r="R315" s="68"/>
    </row>
    <row r="316" spans="1:18" ht="27" x14ac:dyDescent="0.4">
      <c r="A316" s="65"/>
      <c r="B316" s="66"/>
      <c r="C316" s="66"/>
      <c r="D316" s="67"/>
      <c r="E316" s="68"/>
      <c r="F316" s="68"/>
      <c r="G316" s="66"/>
      <c r="H316" s="67"/>
      <c r="I316" s="67"/>
      <c r="J316" s="67"/>
      <c r="K316" s="66"/>
      <c r="L316" s="68"/>
      <c r="M316" s="66"/>
      <c r="N316" s="69"/>
      <c r="O316" s="67"/>
      <c r="P316" s="66"/>
      <c r="Q316" s="65"/>
      <c r="R316" s="68"/>
    </row>
    <row r="317" spans="1:18" ht="27" x14ac:dyDescent="0.4">
      <c r="A317" s="65"/>
      <c r="B317" s="66"/>
      <c r="C317" s="66"/>
      <c r="D317" s="67"/>
      <c r="E317" s="68"/>
      <c r="F317" s="68"/>
      <c r="G317" s="66"/>
      <c r="H317" s="67"/>
      <c r="I317" s="67"/>
      <c r="J317" s="67"/>
      <c r="K317" s="66"/>
      <c r="L317" s="68"/>
      <c r="M317" s="66"/>
      <c r="N317" s="69"/>
      <c r="O317" s="67"/>
      <c r="P317" s="66"/>
      <c r="Q317" s="65"/>
      <c r="R317" s="68"/>
    </row>
    <row r="318" spans="1:18" ht="27" x14ac:dyDescent="0.4">
      <c r="A318" s="65"/>
      <c r="B318" s="66"/>
      <c r="C318" s="66"/>
      <c r="D318" s="67"/>
      <c r="E318" s="68"/>
      <c r="F318" s="68"/>
      <c r="G318" s="66"/>
      <c r="H318" s="67"/>
      <c r="I318" s="67"/>
      <c r="J318" s="67"/>
      <c r="K318" s="66"/>
      <c r="L318" s="68"/>
      <c r="M318" s="66"/>
      <c r="N318" s="69"/>
      <c r="O318" s="67"/>
      <c r="P318" s="66"/>
      <c r="Q318" s="65"/>
      <c r="R318" s="68"/>
    </row>
    <row r="319" spans="1:18" ht="27" x14ac:dyDescent="0.4">
      <c r="A319" s="65"/>
      <c r="B319" s="66"/>
      <c r="C319" s="66"/>
      <c r="D319" s="67"/>
      <c r="E319" s="68"/>
      <c r="F319" s="68"/>
      <c r="G319" s="66"/>
      <c r="H319" s="67"/>
      <c r="I319" s="67"/>
      <c r="J319" s="67"/>
      <c r="K319" s="66"/>
      <c r="L319" s="68"/>
      <c r="M319" s="66"/>
      <c r="N319" s="69"/>
      <c r="O319" s="67"/>
      <c r="P319" s="66"/>
      <c r="Q319" s="65"/>
      <c r="R319" s="68"/>
    </row>
    <row r="320" spans="1:18" ht="27" x14ac:dyDescent="0.4">
      <c r="A320" s="65"/>
      <c r="B320" s="66"/>
      <c r="C320" s="66"/>
      <c r="D320" s="67"/>
      <c r="E320" s="68"/>
      <c r="F320" s="68"/>
      <c r="G320" s="66"/>
      <c r="H320" s="67"/>
      <c r="I320" s="67"/>
      <c r="J320" s="67"/>
      <c r="K320" s="66"/>
      <c r="L320" s="68"/>
      <c r="M320" s="66"/>
      <c r="N320" s="69"/>
      <c r="O320" s="67"/>
      <c r="P320" s="66"/>
      <c r="Q320" s="65"/>
      <c r="R320" s="68"/>
    </row>
    <row r="321" spans="1:18" ht="27" x14ac:dyDescent="0.4">
      <c r="A321" s="65"/>
      <c r="B321" s="66"/>
      <c r="C321" s="66"/>
      <c r="D321" s="67"/>
      <c r="E321" s="68"/>
      <c r="F321" s="68"/>
      <c r="G321" s="66"/>
      <c r="H321" s="67"/>
      <c r="I321" s="67"/>
      <c r="J321" s="67"/>
      <c r="K321" s="66"/>
      <c r="L321" s="68"/>
      <c r="M321" s="66"/>
      <c r="N321" s="69"/>
      <c r="O321" s="67"/>
      <c r="P321" s="66"/>
      <c r="Q321" s="65"/>
      <c r="R321" s="68"/>
    </row>
  </sheetData>
  <mergeCells count="10">
    <mergeCell ref="A1:A2"/>
    <mergeCell ref="B1:B2"/>
    <mergeCell ref="C1:C2"/>
    <mergeCell ref="D1:D2"/>
    <mergeCell ref="E1:E2"/>
    <mergeCell ref="F1:F2"/>
    <mergeCell ref="G1:K1"/>
    <mergeCell ref="L1:L2"/>
    <mergeCell ref="M1:Q1"/>
    <mergeCell ref="R1:R2"/>
  </mergeCells>
  <phoneticPr fontId="4" type="noConversion"/>
  <dataValidations count="3">
    <dataValidation type="list" allowBlank="1" showInputMessage="1" showErrorMessage="1" sqref="AA91 AQ91 BG91 BW91 CM91 DC91 DS91 EI91 EY91 FO91 GE91 GU91 HK91 IA91 IQ91 JG91 JW91 KM91 LC91 LS91 MI91 MY91 NO91 OE91 OU91 PK91 QA91 QQ91 RG91 RW91 SM91 TC91 TS91 UI91 UY91 VO91 WE91 WU91 XK91 YA91 YQ91 ZG91 ZW91 AAM91 ABC91 ABS91 ACI91 ACY91 ADO91 AEE91 AEU91 AFK91 AGA91 AGQ91 AHG91 AHW91 AIM91 AJC91 AJS91 AKI91 AKY91 ALO91 AME91 AMU91 ANK91 AOA91 AOQ91 APG91 APW91 AQM91 ARC91 ARS91 ASI91 ASY91 ATO91 AUE91 AUU91 AVK91 AWA91 AWQ91 AXG91 AXW91 AYM91 AZC91 AZS91 BAI91 BAY91 BBO91 BCE91 BCU91 BDK91 BEA91 BEQ91 BFG91 BFW91 BGM91 BHC91 BHS91 BII91 BIY91 BJO91 BKE91 BKU91 BLK91 BMA91 BMQ91 BNG91 BNW91 BOM91 BPC91 BPS91 BQI91 BQY91 BRO91 BSE91 BSU91 BTK91 BUA91 BUQ91 BVG91 BVW91 BWM91 BXC91 BXS91 BYI91 BYY91 BZO91 CAE91 CAU91 CBK91 CCA91 CCQ91 CDG91 CDW91 CEM91 CFC91 CFS91 CGI91 CGY91 CHO91 CIE91 CIU91 CJK91 CKA91 CKQ91 CLG91 CLW91 CMM91 CNC91 CNS91 COI91 COY91 CPO91 CQE91 CQU91 CRK91 CSA91 CSQ91 CTG91 CTW91 CUM91 CVC91 CVS91 CWI91 CWY91 CXO91 CYE91 CYU91 CZK91 DAA91 DAQ91 DBG91 DBW91 DCM91 DDC91 DDS91 DEI91 DEY91 DFO91 DGE91 DGU91 DHK91 DIA91 DIQ91 DJG91 DJW91 DKM91 DLC91 DLS91 DMI91 DMY91 DNO91 DOE91 DOU91 DPK91 DQA91 DQQ91 DRG91 DRW91 DSM91 DTC91 DTS91 DUI91 DUY91 DVO91 DWE91 DWU91 DXK91 DYA91 DYQ91 DZG91 DZW91 EAM91 EBC91 EBS91 ECI91 ECY91 EDO91 EEE91 EEU91 EFK91 EGA91 EGQ91 EHG91 EHW91 EIM91 EJC91 EJS91 EKI91 EKY91 ELO91 EME91 EMU91 ENK91 EOA91 EOQ91 EPG91 EPW91 EQM91 ERC91 ERS91 ESI91 ESY91 ETO91 EUE91 EUU91 EVK91 EWA91 EWQ91 EXG91 EXW91 EYM91 EZC91 EZS91 FAI91 FAY91 FBO91 FCE91 FCU91 FDK91 FEA91 FEQ91 FFG91 FFW91 FGM91 FHC91 FHS91 FII91 FIY91 FJO91 FKE91 FKU91 FLK91 FMA91 FMQ91 FNG91 FNW91 FOM91 FPC91 FPS91 FQI91 FQY91 FRO91 FSE91 FSU91 FTK91 FUA91 FUQ91 FVG91 FVW91 FWM91 FXC91 FXS91 FYI91 FYY91 FZO91 GAE91 GAU91 GBK91 GCA91 GCQ91 GDG91 GDW91 GEM91 GFC91 GFS91 GGI91 GGY91 GHO91 GIE91 GIU91 GJK91 GKA91 GKQ91 GLG91 GLW91 GMM91 GNC91 GNS91 GOI91 GOY91 GPO91 GQE91 GQU91 GRK91 GSA91 GSQ91 GTG91 GTW91 GUM91 GVC91 GVS91 GWI91 GWY91 GXO91 GYE91 GYU91 GZK91 HAA91 HAQ91 HBG91 HBW91 HCM91 HDC91 HDS91 HEI91 HEY91 HFO91 HGE91 HGU91 HHK91 HIA91 HIQ91 HJG91 HJW91 HKM91 HLC91 HLS91 HMI91 HMY91 HNO91 HOE91 HOU91 HPK91 HQA91 HQQ91 HRG91 HRW91 HSM91 HTC91 HTS91 HUI91 HUY91 HVO91 HWE91 HWU91 HXK91 HYA91 HYQ91 HZG91 HZW91 IAM91 IBC91 IBS91 ICI91 ICY91 IDO91 IEE91 IEU91 IFK91 IGA91 IGQ91 IHG91 IHW91 IIM91 IJC91 IJS91 IKI91 IKY91 ILO91 IME91 IMU91 INK91 IOA91 IOQ91 IPG91 IPW91 IQM91 IRC91 IRS91 ISI91 ISY91 ITO91 IUE91 IUU91 IVK91 IWA91 IWQ91 IXG91 IXW91 IYM91 IZC91 IZS91 JAI91 JAY91 JBO91 JCE91 JCU91 JDK91 JEA91 JEQ91 JFG91 JFW91 JGM91 JHC91 JHS91 JII91 JIY91 JJO91 JKE91 JKU91 JLK91 JMA91 JMQ91 JNG91 JNW91 JOM91 JPC91 JPS91 JQI91 JQY91 JRO91 JSE91 JSU91 JTK91 JUA91 JUQ91 JVG91 JVW91 JWM91 JXC91 JXS91 JYI91 JYY91 JZO91 KAE91 KAU91 KBK91 KCA91 KCQ91 KDG91 KDW91 KEM91 KFC91 KFS91 KGI91 KGY91 KHO91 KIE91 KIU91 KJK91 KKA91 KKQ91 KLG91 KLW91 KMM91 KNC91 KNS91 KOI91 KOY91 KPO91 KQE91 KQU91 KRK91 KSA91 KSQ91 KTG91 KTW91 KUM91 KVC91 KVS91 KWI91 KWY91 KXO91 KYE91 KYU91 KZK91 LAA91 LAQ91 LBG91 LBW91 LCM91 LDC91 LDS91 LEI91 LEY91 LFO91 LGE91 LGU91 LHK91 LIA91 LIQ91 LJG91 LJW91 LKM91 LLC91 LLS91 LMI91 LMY91 LNO91 LOE91 LOU91 LPK91 LQA91 LQQ91 LRG91 LRW91 LSM91 LTC91 LTS91 LUI91 LUY91 LVO91 LWE91 LWU91 LXK91 LYA91 LYQ91 LZG91 LZW91 MAM91 MBC91 MBS91 MCI91 MCY91 MDO91 MEE91 MEU91 MFK91 MGA91 MGQ91 MHG91 MHW91 MIM91 MJC91 MJS91 MKI91 MKY91 MLO91 MME91 MMU91 MNK91 MOA91 MOQ91 MPG91 MPW91 MQM91 MRC91 MRS91 MSI91 MSY91 MTO91 MUE91 MUU91 MVK91 MWA91 MWQ91 MXG91 MXW91 MYM91 MZC91 MZS91 NAI91 NAY91 NBO91 NCE91 NCU91 NDK91 NEA91 NEQ91 NFG91 NFW91 NGM91 NHC91 NHS91 NII91 NIY91 NJO91 NKE91 NKU91 NLK91 NMA91 NMQ91 NNG91 NNW91 NOM91 NPC91 NPS91 NQI91 NQY91 NRO91 NSE91 NSU91 NTK91 NUA91 NUQ91 NVG91 NVW91 NWM91 NXC91 NXS91 NYI91 NYY91 NZO91 OAE91 OAU91 OBK91 OCA91 OCQ91 ODG91 ODW91 OEM91 OFC91 OFS91 OGI91 OGY91 OHO91 OIE91 OIU91 OJK91 OKA91 OKQ91 OLG91 OLW91 OMM91 ONC91 ONS91 OOI91 OOY91 OPO91 OQE91 OQU91 ORK91 OSA91 OSQ91 OTG91 OTW91 OUM91 OVC91 OVS91 OWI91 OWY91 OXO91 OYE91 OYU91 OZK91 PAA91 PAQ91 PBG91 PBW91 PCM91 PDC91 PDS91 PEI91 PEY91 PFO91 PGE91 PGU91 PHK91 PIA91 PIQ91 PJG91 PJW91 PKM91 PLC91 PLS91 PMI91 PMY91 PNO91 POE91 POU91 PPK91 PQA91 PQQ91 PRG91 PRW91 PSM91 PTC91 PTS91 PUI91 PUY91 PVO91 PWE91 PWU91 PXK91 PYA91 PYQ91 PZG91 PZW91 QAM91 QBC91 QBS91 QCI91 QCY91 QDO91 QEE91 QEU91 QFK91 QGA91 QGQ91 QHG91 QHW91 QIM91 QJC91 QJS91 QKI91 QKY91 QLO91 QME91 QMU91 QNK91 QOA91 QOQ91 QPG91 QPW91 QQM91 QRC91 QRS91 QSI91 QSY91 QTO91 QUE91 QUU91 QVK91 QWA91 QWQ91 QXG91 QXW91 QYM91 QZC91 QZS91 RAI91 RAY91 RBO91 RCE91 RCU91 RDK91 REA91 REQ91 RFG91 RFW91 RGM91 RHC91 RHS91 RII91 RIY91 RJO91 RKE91 RKU91 RLK91 RMA91 RMQ91 RNG91 RNW91 ROM91 RPC91 RPS91 RQI91 RQY91 RRO91 RSE91 RSU91 RTK91 RUA91 RUQ91 RVG91 RVW91 RWM91 RXC91 RXS91 RYI91 RYY91 RZO91 SAE91 SAU91 SBK91 SCA91 SCQ91 SDG91 SDW91 SEM91 SFC91 SFS91 SGI91 SGY91 SHO91 SIE91 SIU91 SJK91 SKA91 SKQ91 SLG91 SLW91 SMM91 SNC91 SNS91 SOI91 SOY91 SPO91 SQE91 SQU91 SRK91 SSA91 SSQ91 STG91 STW91 SUM91 SVC91 SVS91 SWI91 SWY91 SXO91 SYE91 SYU91 SZK91 TAA91 TAQ91 TBG91 TBW91 TCM91 TDC91 TDS91 TEI91 TEY91 TFO91 TGE91 TGU91 THK91 TIA91 TIQ91 TJG91 TJW91 TKM91 TLC91 TLS91 TMI91 TMY91 TNO91 TOE91 TOU91 TPK91 TQA91 TQQ91 TRG91 TRW91 TSM91 TTC91 TTS91 TUI91 TUY91 TVO91 TWE91 TWU91 TXK91 TYA91 TYQ91 TZG91 TZW91 UAM91 UBC91 UBS91 UCI91 UCY91 UDO91 UEE91 UEU91 UFK91 UGA91 UGQ91 UHG91 UHW91 UIM91 UJC91 UJS91 UKI91 UKY91 ULO91 UME91 UMU91 UNK91 UOA91 UOQ91 UPG91 UPW91 UQM91 URC91 URS91 USI91 USY91 UTO91 UUE91 UUU91 UVK91 UWA91 UWQ91 UXG91 UXW91 UYM91 UZC91 UZS91 VAI91 VAY91 VBO91 VCE91 VCU91 VDK91 VEA91 VEQ91 VFG91 VFW91 VGM91 VHC91 VHS91 VII91 VIY91 VJO91 VKE91 VKU91 VLK91 VMA91 VMQ91 VNG91 VNW91 VOM91 VPC91 VPS91 VQI91 VQY91 VRO91 VSE91 VSU91 VTK91 VUA91 VUQ91 VVG91 VVW91 VWM91 VXC91 VXS91 VYI91 VYY91 VZO91 WAE91 WAU91 WBK91 WCA91 WCQ91 WDG91 WDW91 WEM91 WFC91 WFS91 WGI91 WGY91 WHO91 WIE91 WIU91 WJK91 WKA91 WKQ91 WLG91 WLW91 WMM91 WNC91 WNS91 WOI91 WOY91 WPO91 WQE91 WQU91 WRK91 WSA91 WSQ91 WTG91 WTW91 WUM91 WVC91 WVS91 WWI91 WWY91 WXO91 WYE91 WYU91 WZK91 XAA91 XAQ91 XBG91 XBW91 XCM91 XDC91 XDS91 XEI91" xr:uid="{186B2FF9-99E9-442E-A95A-E7F2E80AC48E}">
      <formula1>INDIRECT(AI91)</formula1>
    </dataValidation>
    <dataValidation type="list" allowBlank="1" showInputMessage="1" showErrorMessage="1" sqref="XEY91" xr:uid="{424AF0E1-21B8-45A9-AB1B-36D8E2211A7F}">
      <formula1>INDIRECT(E91)</formula1>
    </dataValidation>
    <dataValidation type="list" allowBlank="1" showInputMessage="1" showErrorMessage="1" sqref="M3:M321" xr:uid="{A5D35C96-5EF8-45BE-A398-A26BA193DA40}">
      <formula1>INDIRECT(S3)</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Month CM</vt:lpstr>
      <vt:lpstr>ALL_ZONE</vt:lpstr>
      <vt:lpstr>MTB</vt:lpstr>
      <vt:lpstr>Z2</vt:lpstr>
      <vt:lpstr>FZ</vt:lpstr>
      <vt:lpstr>SAT1</vt:lpstr>
      <vt:lpstr>ALL_ZONE!Print_Area</vt:lpstr>
      <vt:lpstr>'Month CM'!Print_Area</vt:lpstr>
      <vt:lpstr>ALL_ZONE!Print_Titles</vt:lpstr>
      <vt:lpstr>'Month CM'!Print_Titles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amplo engineering</dc:creator>
  <cp:lastModifiedBy>anan arayatanitkul</cp:lastModifiedBy>
  <cp:lastPrinted>2026-03-26T02:46:07Z</cp:lastPrinted>
  <dcterms:created xsi:type="dcterms:W3CDTF">2025-11-04T03:37:08Z</dcterms:created>
  <dcterms:modified xsi:type="dcterms:W3CDTF">2026-06-17T14:54:52Z</dcterms:modified>
</cp:coreProperties>
</file>